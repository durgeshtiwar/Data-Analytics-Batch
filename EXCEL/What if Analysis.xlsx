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urge\OneDrive\Desktop\Data Analytics\EXCEL\"/>
    </mc:Choice>
  </mc:AlternateContent>
  <xr:revisionPtr revIDLastSave="0" documentId="13_ncr:1_{563239E9-AE7D-495A-9F04-3E25B76B3FF0}" xr6:coauthVersionLast="47" xr6:coauthVersionMax="47" xr10:uidLastSave="{00000000-0000-0000-0000-000000000000}"/>
  <bookViews>
    <workbookView xWindow="-110" yWindow="-110" windowWidth="19420" windowHeight="10300" xr2:uid="{A1DEF31B-D751-4700-B6A8-20D0246E2408}"/>
  </bookViews>
  <sheets>
    <sheet name="Base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D6" i="1"/>
  <c r="D5" i="1"/>
  <c r="D7" i="1" s="1"/>
  <c r="D8" i="1" l="1"/>
  <c r="D9" i="1" l="1"/>
  <c r="D10" i="1" s="1"/>
  <c r="L2" i="1" s="1"/>
  <c r="D11" i="1" l="1"/>
  <c r="K2" i="1" s="1"/>
  <c r="H2" i="1"/>
</calcChain>
</file>

<file path=xl/sharedStrings.xml><?xml version="1.0" encoding="utf-8"?>
<sst xmlns="http://schemas.openxmlformats.org/spreadsheetml/2006/main" count="20" uniqueCount="16">
  <si>
    <t xml:space="preserve">Items </t>
  </si>
  <si>
    <t>Items Values</t>
  </si>
  <si>
    <t xml:space="preserve">Quantity </t>
  </si>
  <si>
    <t>Price</t>
  </si>
  <si>
    <t>Revenue</t>
  </si>
  <si>
    <t>fixed Cost</t>
  </si>
  <si>
    <t>Variable Cost</t>
  </si>
  <si>
    <t>Gross Profit</t>
  </si>
  <si>
    <t>Tax</t>
  </si>
  <si>
    <t>Net Profit</t>
  </si>
  <si>
    <t>Profit Margin</t>
  </si>
  <si>
    <t>Varible Cost</t>
  </si>
  <si>
    <t>Fixed Cost</t>
  </si>
  <si>
    <t xml:space="preserve">Increse Price </t>
  </si>
  <si>
    <t>Net Price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</si>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</sst>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9" fontId="2" fillId="7" borderId="1" xfId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2" fillId="5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center"/>
    </xf>
    <xf numFmtId="0" fontId="3" fillId="6" borderId="1" xfId="0" applyFont="1" applyFill="1" applyBorder="1"/>
    <xf numFmtId="9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9F897-D0EF-4680-AE45-08A4B5CD9B55}">
  <dimension ref="A1:L27"/>
  <sheetViews>
    <sheetView showGridLines="0" tabSelected="1" workbookViewId="0">
      <selection activeCell="E17" sqref="E17"/>
    </sheetView>
  </sheetViews>
  <sheetFormatPr defaultRowHeight="14.5" x14ac:dyDescent="0.35"/>
  <cols>
    <col min="1" max="1" width="12.81640625" customWidth="1"/>
    <col min="3" max="3" width="15.81640625" customWidth="1"/>
    <col min="4" max="4" width="19" customWidth="1"/>
    <col min="5" max="5" width="16.36328125" customWidth="1"/>
    <col min="8" max="8" width="10.90625" customWidth="1"/>
    <col min="10" max="10" width="10.36328125" bestFit="1" customWidth="1"/>
    <col min="11" max="11" width="15.1796875" bestFit="1" customWidth="1"/>
    <col min="12" max="12" width="11.36328125" bestFit="1" customWidth="1"/>
  </cols>
  <sheetData>
    <row r="1" spans="1:12" ht="18" customHeight="1" x14ac:dyDescent="0.45">
      <c r="G1" s="6" t="s">
        <v>3</v>
      </c>
      <c r="H1" s="6" t="s">
        <v>14</v>
      </c>
      <c r="J1" s="13" t="s">
        <v>15</v>
      </c>
      <c r="K1" s="13" t="s">
        <v>10</v>
      </c>
      <c r="L1" s="13" t="s">
        <v>9</v>
      </c>
    </row>
    <row r="2" spans="1:12" ht="18.5" x14ac:dyDescent="0.35">
      <c r="A2" s="9" t="s">
        <v>11</v>
      </c>
      <c r="B2" s="10">
        <v>0.25</v>
      </c>
      <c r="C2" s="6" t="s">
        <v>0</v>
      </c>
      <c r="D2" s="6" t="s">
        <v>1</v>
      </c>
      <c r="E2" s="6" t="s">
        <v>13</v>
      </c>
      <c r="G2" s="11"/>
      <c r="H2" s="4">
        <f>D10</f>
        <v>19250</v>
      </c>
      <c r="J2" s="4"/>
      <c r="K2" s="14">
        <f>D11</f>
        <v>0.27500000000000002</v>
      </c>
      <c r="L2" s="4">
        <f>D10</f>
        <v>19250</v>
      </c>
    </row>
    <row r="3" spans="1:12" x14ac:dyDescent="0.35">
      <c r="A3" s="9" t="s">
        <v>8</v>
      </c>
      <c r="B3" s="10">
        <v>0.3</v>
      </c>
      <c r="C3" s="2" t="s">
        <v>2</v>
      </c>
      <c r="D3" s="2">
        <v>350</v>
      </c>
      <c r="E3" s="11">
        <v>15</v>
      </c>
      <c r="G3" s="11">
        <v>100</v>
      </c>
      <c r="H3" s="12">
        <f t="dataTable" ref="H3:H27" dt2D="0" dtr="0" r1="D4"/>
        <v>875</v>
      </c>
      <c r="J3" s="4">
        <v>50</v>
      </c>
      <c r="K3" s="5">
        <f t="dataTable" ref="K3:L27" dt2D="0" dtr="0" r1="D3" ca="1"/>
        <v>0</v>
      </c>
      <c r="L3" s="4">
        <v>-17500</v>
      </c>
    </row>
    <row r="4" spans="1:12" x14ac:dyDescent="0.35">
      <c r="A4" s="9" t="s">
        <v>12</v>
      </c>
      <c r="B4" s="9">
        <v>25000</v>
      </c>
      <c r="C4" s="2" t="s">
        <v>3</v>
      </c>
      <c r="D4" s="2">
        <v>200</v>
      </c>
      <c r="G4" s="11">
        <f>G3+$E$3</f>
        <v>115</v>
      </c>
      <c r="H4" s="12">
        <v>3631.25</v>
      </c>
      <c r="J4" s="4">
        <f>J3+$E$3</f>
        <v>65</v>
      </c>
      <c r="K4" s="5">
        <v>0</v>
      </c>
      <c r="L4" s="4">
        <v>-15250</v>
      </c>
    </row>
    <row r="5" spans="1:12" x14ac:dyDescent="0.35">
      <c r="C5" s="3" t="s">
        <v>4</v>
      </c>
      <c r="D5" s="3">
        <f>D3*D4</f>
        <v>70000</v>
      </c>
      <c r="G5" s="11">
        <f>G4+$E$3</f>
        <v>130</v>
      </c>
      <c r="H5" s="12">
        <v>6387.5</v>
      </c>
      <c r="J5" s="4">
        <f>J4+$E$3</f>
        <v>80</v>
      </c>
      <c r="K5" s="5">
        <v>0</v>
      </c>
      <c r="L5" s="4">
        <v>-13000</v>
      </c>
    </row>
    <row r="6" spans="1:12" x14ac:dyDescent="0.35">
      <c r="A6" s="1"/>
      <c r="B6" s="1"/>
      <c r="C6" s="2" t="s">
        <v>5</v>
      </c>
      <c r="D6" s="2">
        <f>B4</f>
        <v>25000</v>
      </c>
      <c r="G6" s="11">
        <f>G5+$E$3</f>
        <v>145</v>
      </c>
      <c r="H6" s="12">
        <v>9143.75</v>
      </c>
      <c r="J6" s="4">
        <f>J5+$E$3</f>
        <v>95</v>
      </c>
      <c r="K6" s="5">
        <v>0</v>
      </c>
      <c r="L6" s="4">
        <v>-10750</v>
      </c>
    </row>
    <row r="7" spans="1:12" x14ac:dyDescent="0.35">
      <c r="A7" s="1"/>
      <c r="B7" s="1"/>
      <c r="C7" s="2" t="s">
        <v>6</v>
      </c>
      <c r="D7" s="2">
        <f>B2*D5</f>
        <v>17500</v>
      </c>
      <c r="G7" s="11">
        <f>G6+$E$3</f>
        <v>160</v>
      </c>
      <c r="H7" s="12">
        <v>11900</v>
      </c>
      <c r="J7" s="4">
        <f>J6+$E$3</f>
        <v>110</v>
      </c>
      <c r="K7" s="5">
        <v>0</v>
      </c>
      <c r="L7" s="4">
        <v>-8500</v>
      </c>
    </row>
    <row r="8" spans="1:12" x14ac:dyDescent="0.35">
      <c r="A8" s="1"/>
      <c r="B8" s="1"/>
      <c r="C8" s="2" t="s">
        <v>7</v>
      </c>
      <c r="D8" s="2">
        <f>D5-SUM(D6:D7)</f>
        <v>27500</v>
      </c>
      <c r="G8" s="11">
        <f>G7+$E$3</f>
        <v>175</v>
      </c>
      <c r="H8" s="12">
        <v>14656.25</v>
      </c>
      <c r="J8" s="4">
        <f>J7+$E$3</f>
        <v>125</v>
      </c>
      <c r="K8" s="5">
        <v>0</v>
      </c>
      <c r="L8" s="4">
        <v>-6250</v>
      </c>
    </row>
    <row r="9" spans="1:12" x14ac:dyDescent="0.35">
      <c r="A9" s="1"/>
      <c r="B9" s="1"/>
      <c r="C9" s="2" t="s">
        <v>8</v>
      </c>
      <c r="D9" s="2">
        <f>IF(D8&gt;0,D8*$B$3,0)</f>
        <v>8250</v>
      </c>
      <c r="G9" s="11">
        <f>G8+$E$3</f>
        <v>190</v>
      </c>
      <c r="H9" s="12">
        <v>17412.5</v>
      </c>
      <c r="J9" s="4">
        <f>J8+$E$3</f>
        <v>140</v>
      </c>
      <c r="K9" s="5">
        <v>0</v>
      </c>
      <c r="L9" s="4">
        <v>-4000</v>
      </c>
    </row>
    <row r="10" spans="1:12" x14ac:dyDescent="0.35">
      <c r="A10" s="1"/>
      <c r="B10" s="1"/>
      <c r="C10" s="2" t="s">
        <v>9</v>
      </c>
      <c r="D10" s="2">
        <f>D8-D9</f>
        <v>19250</v>
      </c>
      <c r="G10" s="11">
        <f>G9+$E$3</f>
        <v>205</v>
      </c>
      <c r="H10" s="12">
        <v>20168.75</v>
      </c>
      <c r="J10" s="4">
        <f>J9+$E$3</f>
        <v>155</v>
      </c>
      <c r="K10" s="5">
        <v>0</v>
      </c>
      <c r="L10" s="4">
        <v>-1750</v>
      </c>
    </row>
    <row r="11" spans="1:12" x14ac:dyDescent="0.35">
      <c r="A11" s="1"/>
      <c r="B11" s="1"/>
      <c r="C11" s="7" t="s">
        <v>10</v>
      </c>
      <c r="D11" s="8">
        <f>IF(D10&gt;0,D10/D5,0)</f>
        <v>0.27500000000000002</v>
      </c>
      <c r="G11" s="11">
        <f>G10+$E$3</f>
        <v>220</v>
      </c>
      <c r="H11" s="12">
        <v>22925</v>
      </c>
      <c r="J11" s="4">
        <f>J10+$E$3</f>
        <v>170</v>
      </c>
      <c r="K11" s="5">
        <v>1.0294117647058823E-2</v>
      </c>
      <c r="L11" s="4">
        <v>350</v>
      </c>
    </row>
    <row r="12" spans="1:12" x14ac:dyDescent="0.35">
      <c r="G12" s="11">
        <f>G11+$E$3</f>
        <v>235</v>
      </c>
      <c r="H12" s="12">
        <v>25681.25</v>
      </c>
      <c r="J12" s="4">
        <f>J11+$E$3</f>
        <v>185</v>
      </c>
      <c r="K12" s="5">
        <v>5.202702702702703E-2</v>
      </c>
      <c r="L12" s="4">
        <v>1925</v>
      </c>
    </row>
    <row r="13" spans="1:12" x14ac:dyDescent="0.35">
      <c r="G13" s="11">
        <f>G12+$E$3</f>
        <v>250</v>
      </c>
      <c r="H13" s="12">
        <v>28437.5</v>
      </c>
      <c r="J13" s="4">
        <f>J12+$E$3</f>
        <v>200</v>
      </c>
      <c r="K13" s="5">
        <v>8.7499999999999994E-2</v>
      </c>
      <c r="L13" s="4">
        <v>3500</v>
      </c>
    </row>
    <row r="14" spans="1:12" x14ac:dyDescent="0.35">
      <c r="G14" s="11">
        <f>G13+$E$3</f>
        <v>265</v>
      </c>
      <c r="H14" s="12">
        <v>31193.75</v>
      </c>
      <c r="J14" s="4">
        <f>J13+$E$3</f>
        <v>215</v>
      </c>
      <c r="K14" s="5">
        <v>0.11802325581395348</v>
      </c>
      <c r="L14" s="4">
        <v>5075</v>
      </c>
    </row>
    <row r="15" spans="1:12" x14ac:dyDescent="0.35">
      <c r="G15" s="11">
        <f>G14+$E$3</f>
        <v>280</v>
      </c>
      <c r="H15" s="12">
        <v>33950</v>
      </c>
      <c r="J15" s="4">
        <f>J14+$E$3</f>
        <v>230</v>
      </c>
      <c r="K15" s="5">
        <v>0.14456521739130435</v>
      </c>
      <c r="L15" s="4">
        <v>6650</v>
      </c>
    </row>
    <row r="16" spans="1:12" x14ac:dyDescent="0.35">
      <c r="G16" s="11">
        <f>G15+$E$3</f>
        <v>295</v>
      </c>
      <c r="H16" s="12">
        <v>36706.25</v>
      </c>
      <c r="J16" s="4">
        <f>J15+$E$3</f>
        <v>245</v>
      </c>
      <c r="K16" s="5">
        <v>0.16785714285714284</v>
      </c>
      <c r="L16" s="4">
        <v>8225</v>
      </c>
    </row>
    <row r="17" spans="7:12" x14ac:dyDescent="0.35">
      <c r="G17" s="11">
        <f>G16+$E$3</f>
        <v>310</v>
      </c>
      <c r="H17" s="12">
        <v>39462.5</v>
      </c>
      <c r="J17" s="4">
        <f>J16+$E$3</f>
        <v>260</v>
      </c>
      <c r="K17" s="5">
        <v>0.18846153846153846</v>
      </c>
      <c r="L17" s="4">
        <v>9800</v>
      </c>
    </row>
    <row r="18" spans="7:12" x14ac:dyDescent="0.35">
      <c r="G18" s="11">
        <f>G17+$E$3</f>
        <v>325</v>
      </c>
      <c r="H18" s="12">
        <v>42218.75</v>
      </c>
      <c r="J18" s="4">
        <f>J17+$E$3</f>
        <v>275</v>
      </c>
      <c r="K18" s="5">
        <v>0.20681818181818182</v>
      </c>
      <c r="L18" s="4">
        <v>11375</v>
      </c>
    </row>
    <row r="19" spans="7:12" x14ac:dyDescent="0.35">
      <c r="G19" s="11">
        <f>G18+$E$3</f>
        <v>340</v>
      </c>
      <c r="H19" s="12">
        <v>44975</v>
      </c>
      <c r="J19" s="4">
        <f>J18+$E$3</f>
        <v>290</v>
      </c>
      <c r="K19" s="5">
        <v>0.22327586206896552</v>
      </c>
      <c r="L19" s="4">
        <v>12950</v>
      </c>
    </row>
    <row r="20" spans="7:12" x14ac:dyDescent="0.35">
      <c r="G20" s="11">
        <f>G19+$E$3</f>
        <v>355</v>
      </c>
      <c r="H20" s="12">
        <v>47731.25</v>
      </c>
      <c r="J20" s="4">
        <f>J19+$E$3</f>
        <v>305</v>
      </c>
      <c r="K20" s="5">
        <v>0.23811475409836066</v>
      </c>
      <c r="L20" s="4">
        <v>14525</v>
      </c>
    </row>
    <row r="21" spans="7:12" x14ac:dyDescent="0.35">
      <c r="G21" s="11">
        <f>G20+$E$3</f>
        <v>370</v>
      </c>
      <c r="H21" s="12">
        <v>50487.5</v>
      </c>
      <c r="J21" s="4">
        <f>J20+$E$3</f>
        <v>320</v>
      </c>
      <c r="K21" s="5">
        <v>0.25156250000000002</v>
      </c>
      <c r="L21" s="4">
        <v>16100</v>
      </c>
    </row>
    <row r="22" spans="7:12" x14ac:dyDescent="0.35">
      <c r="G22" s="11">
        <f>G21+$E$3</f>
        <v>385</v>
      </c>
      <c r="H22" s="12">
        <v>53243.75</v>
      </c>
      <c r="J22" s="4">
        <f>J21+$E$3</f>
        <v>335</v>
      </c>
      <c r="K22" s="5">
        <v>0.26380597014925372</v>
      </c>
      <c r="L22" s="4">
        <v>17675</v>
      </c>
    </row>
    <row r="23" spans="7:12" x14ac:dyDescent="0.35">
      <c r="G23" s="11">
        <f>G22+$E$3</f>
        <v>400</v>
      </c>
      <c r="H23" s="12">
        <v>56000</v>
      </c>
      <c r="J23" s="4">
        <f>J22+$E$3</f>
        <v>350</v>
      </c>
      <c r="K23" s="5">
        <v>0.27500000000000002</v>
      </c>
      <c r="L23" s="4">
        <v>19250</v>
      </c>
    </row>
    <row r="24" spans="7:12" x14ac:dyDescent="0.35">
      <c r="G24" s="11">
        <f>G23+$E$3</f>
        <v>415</v>
      </c>
      <c r="H24" s="12">
        <v>58756.25</v>
      </c>
      <c r="J24" s="4">
        <f>J23+$E$3</f>
        <v>365</v>
      </c>
      <c r="K24" s="5">
        <v>0.28527397260273973</v>
      </c>
      <c r="L24" s="4">
        <v>20825</v>
      </c>
    </row>
    <row r="25" spans="7:12" x14ac:dyDescent="0.35">
      <c r="G25" s="11">
        <f>G24+$E$3</f>
        <v>430</v>
      </c>
      <c r="H25" s="12">
        <v>61512.5</v>
      </c>
      <c r="J25" s="4">
        <f>J24+$E$3</f>
        <v>380</v>
      </c>
      <c r="K25" s="5">
        <v>0.29473684210526313</v>
      </c>
      <c r="L25" s="4">
        <v>22400</v>
      </c>
    </row>
    <row r="26" spans="7:12" x14ac:dyDescent="0.35">
      <c r="G26" s="11">
        <f>G25+$E$3</f>
        <v>445</v>
      </c>
      <c r="H26" s="12">
        <v>64268.75</v>
      </c>
      <c r="J26" s="4">
        <f>J25+$E$3</f>
        <v>395</v>
      </c>
      <c r="K26" s="5">
        <v>0.30348101265822786</v>
      </c>
      <c r="L26" s="4">
        <v>23975</v>
      </c>
    </row>
    <row r="27" spans="7:12" x14ac:dyDescent="0.35">
      <c r="G27" s="11">
        <f>G26+$E$3</f>
        <v>460</v>
      </c>
      <c r="H27" s="12">
        <v>67025</v>
      </c>
      <c r="J27" s="4">
        <f>J26+$E$3</f>
        <v>410</v>
      </c>
      <c r="K27" s="5">
        <v>0.31158536585365854</v>
      </c>
      <c r="L27" s="4">
        <v>25550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Durgesh Pratap tiwari</dc:creator>
  <cp:lastModifiedBy>Durgesh Pratap tiwari</cp:lastModifiedBy>
  <dcterms:created xsi:type="dcterms:W3CDTF">2025-11-12T10:52:49Z</dcterms:created>
  <dcterms:modified xsi:type="dcterms:W3CDTF">2025-11-14T07:36:14Z</dcterms:modified>
</cp:coreProperties>
</file>