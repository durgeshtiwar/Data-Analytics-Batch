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rge\OneDrive\Desktop\Data Analytics\EXCEL\"/>
    </mc:Choice>
  </mc:AlternateContent>
  <xr:revisionPtr revIDLastSave="0" documentId="13_ncr:1_{A42EA46B-4ED7-465C-8193-26CC83BA8EB0}" xr6:coauthVersionLast="47" xr6:coauthVersionMax="47" xr10:uidLastSave="{00000000-0000-0000-0000-000000000000}"/>
  <bookViews>
    <workbookView xWindow="-110" yWindow="-110" windowWidth="19420" windowHeight="10300" activeTab="2" xr2:uid="{A1DEF31B-D751-4700-B6A8-20D0246E2408}"/>
  </bookViews>
  <sheets>
    <sheet name="Base" sheetId="1" r:id="rId1"/>
    <sheet name="Coffee Store Pivot" sheetId="4" r:id="rId2"/>
    <sheet name="Forcast -1" sheetId="6" r:id="rId3"/>
    <sheet name="Forcasting" sheetId="5" r:id="rId4"/>
    <sheet name="Data Tables" sheetId="3" r:id="rId5"/>
  </sheets>
  <definedNames>
    <definedName name="ExternalData_1" localSheetId="4" hidden="1">'Data Tables'!$A$1:$U$4249</definedName>
  </definedNames>
  <calcPr calcId="18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5" l="1"/>
  <c r="C34" i="5"/>
  <c r="C35" i="5"/>
  <c r="C36" i="5"/>
  <c r="C37" i="5"/>
  <c r="C38" i="5"/>
  <c r="B33" i="5"/>
  <c r="B34" i="5"/>
  <c r="B35" i="5"/>
  <c r="B36" i="5"/>
  <c r="B37" i="5"/>
  <c r="B38" i="5"/>
  <c r="C28" i="5"/>
  <c r="C29" i="5"/>
  <c r="C30" i="5"/>
  <c r="C31" i="5"/>
  <c r="C32" i="5"/>
  <c r="C27" i="5"/>
  <c r="B28" i="5"/>
  <c r="B29" i="5"/>
  <c r="B30" i="5"/>
  <c r="B31" i="5"/>
  <c r="B32" i="5"/>
  <c r="B27" i="5"/>
  <c r="C26" i="6"/>
  <c r="C27" i="6"/>
  <c r="C28" i="6"/>
  <c r="C29" i="6"/>
  <c r="C30" i="6"/>
  <c r="C31" i="6"/>
  <c r="D26" i="6"/>
  <c r="D27" i="6"/>
  <c r="D28" i="6"/>
  <c r="D29" i="6"/>
  <c r="D30" i="6"/>
  <c r="D31" i="6"/>
  <c r="E26" i="6"/>
  <c r="E27" i="6"/>
  <c r="E28" i="6"/>
  <c r="E29" i="6"/>
  <c r="E30" i="6"/>
  <c r="E31" i="6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D6" i="1"/>
  <c r="D5" i="1"/>
  <c r="D7" i="1" s="1"/>
  <c r="D8" i="1" l="1"/>
  <c r="D9" i="1" l="1"/>
  <c r="D10" i="1" s="1"/>
  <c r="L2" i="1" s="1"/>
  <c r="D11" i="1" l="1"/>
  <c r="K2" i="1" s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553AA2-D693-4AB5-98E4-FC12DD1BECF9}" keepAlive="1" name="Query - Coffee Store Data" description="Connection to the 'Coffee Store Data' query in the workbook." type="5" refreshedVersion="8" background="1" saveData="1">
    <dbPr connection="Provider=Microsoft.Mashup.OleDb.1;Data Source=$Workbook$;Location=&quot;Coffee Store Data&quot;;Extended Properties=&quot;&quot;" command="SELECT * FROM [Coffee Store Data]"/>
  </connection>
</connections>
</file>

<file path=xl/sharedStrings.xml><?xml version="1.0" encoding="utf-8"?>
<sst xmlns="http://schemas.openxmlformats.org/spreadsheetml/2006/main" count="25540" uniqueCount="89">
  <si>
    <t xml:space="preserve">Items </t>
  </si>
  <si>
    <t>Items Values</t>
  </si>
  <si>
    <t xml:space="preserve">Quantity </t>
  </si>
  <si>
    <t>Price</t>
  </si>
  <si>
    <t>Revenue</t>
  </si>
  <si>
    <t>fixed Cost</t>
  </si>
  <si>
    <t>Variable Cost</t>
  </si>
  <si>
    <t>Gross Profit</t>
  </si>
  <si>
    <t>Tax</t>
  </si>
  <si>
    <t>Net Profit</t>
  </si>
  <si>
    <t>Profit Margin</t>
  </si>
  <si>
    <t>Varible Cost</t>
  </si>
  <si>
    <t>Fixed Cost</t>
  </si>
  <si>
    <t xml:space="preserve">Increse Price </t>
  </si>
  <si>
    <t>Net Price</t>
  </si>
  <si>
    <t>Quantity</t>
  </si>
  <si>
    <t>Area Code</t>
  </si>
  <si>
    <t>Date</t>
  </si>
  <si>
    <t>Region</t>
  </si>
  <si>
    <t>Market Size</t>
  </si>
  <si>
    <t>Product</t>
  </si>
  <si>
    <t>Product Type</t>
  </si>
  <si>
    <t>State</t>
  </si>
  <si>
    <t>Type</t>
  </si>
  <si>
    <t>Budget COGS</t>
  </si>
  <si>
    <t>Budget Margin</t>
  </si>
  <si>
    <t>Budget Profit</t>
  </si>
  <si>
    <t>Budget Sales</t>
  </si>
  <si>
    <t>Cogs</t>
  </si>
  <si>
    <t>Inventory</t>
  </si>
  <si>
    <t>Margin</t>
  </si>
  <si>
    <t>Marketing</t>
  </si>
  <si>
    <t>Profit</t>
  </si>
  <si>
    <t>Sales</t>
  </si>
  <si>
    <t>% Sales Achieved</t>
  </si>
  <si>
    <t>% Profit</t>
  </si>
  <si>
    <t>% COGS</t>
  </si>
  <si>
    <t>Central</t>
  </si>
  <si>
    <t>Major Market</t>
  </si>
  <si>
    <t>Amaretto</t>
  </si>
  <si>
    <t>Coffee</t>
  </si>
  <si>
    <t>Colorado</t>
  </si>
  <si>
    <t>Regular</t>
  </si>
  <si>
    <t>Columbian</t>
  </si>
  <si>
    <t>Decaf Irish Cream</t>
  </si>
  <si>
    <t>Decaf</t>
  </si>
  <si>
    <t>Green Tea</t>
  </si>
  <si>
    <t>Tea</t>
  </si>
  <si>
    <t>Caffe Mocha</t>
  </si>
  <si>
    <t>Espresso</t>
  </si>
  <si>
    <t>Decaf Espresso</t>
  </si>
  <si>
    <t>Chamomile</t>
  </si>
  <si>
    <t>Herbal Tea</t>
  </si>
  <si>
    <t>Lemon</t>
  </si>
  <si>
    <t>Mint</t>
  </si>
  <si>
    <t>Darjeeling</t>
  </si>
  <si>
    <t>Earl Grey</t>
  </si>
  <si>
    <t>Illinois</t>
  </si>
  <si>
    <t>Small Market</t>
  </si>
  <si>
    <t>Iowa</t>
  </si>
  <si>
    <t>Missouri</t>
  </si>
  <si>
    <t>Ohio</t>
  </si>
  <si>
    <t>Wisconsin</t>
  </si>
  <si>
    <t>East</t>
  </si>
  <si>
    <t>Connecticut</t>
  </si>
  <si>
    <t>Florida</t>
  </si>
  <si>
    <t>Massachusetts</t>
  </si>
  <si>
    <t>Regular Espresso</t>
  </si>
  <si>
    <t>New Hampshire</t>
  </si>
  <si>
    <t>New York</t>
  </si>
  <si>
    <t>South</t>
  </si>
  <si>
    <t>Louisiana</t>
  </si>
  <si>
    <t>Caffe Latte</t>
  </si>
  <si>
    <t>New Mexico</t>
  </si>
  <si>
    <t>Oklahoma</t>
  </si>
  <si>
    <t>Texas</t>
  </si>
  <si>
    <t>West</t>
  </si>
  <si>
    <t>Utah</t>
  </si>
  <si>
    <t>California</t>
  </si>
  <si>
    <t>Nevada</t>
  </si>
  <si>
    <t>Oregon</t>
  </si>
  <si>
    <t>Washington</t>
  </si>
  <si>
    <t>Row Labels</t>
  </si>
  <si>
    <t>Grand Total</t>
  </si>
  <si>
    <t>Sum of Sales</t>
  </si>
  <si>
    <t>Forecast(Sales)</t>
  </si>
  <si>
    <t>Lower Confidence Bound(Sales)</t>
  </si>
  <si>
    <t>Upper Confidence Bound(Sales)</t>
  </si>
  <si>
    <t>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</si>
</sst>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2" fillId="7" borderId="1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3" fillId="6" borderId="1" xfId="0" applyFont="1" applyFill="1" applyBorder="1"/>
    <xf numFmtId="9" fontId="2" fillId="2" borderId="1" xfId="0" applyNumberFormat="1" applyFont="1" applyFill="1" applyBorder="1" applyAlignment="1">
      <alignment horizontal="center" vertical="center"/>
    </xf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2" fontId="0" fillId="0" borderId="0" xfId="0" applyNumberFormat="1"/>
    <xf numFmtId="14" fontId="2" fillId="9" borderId="1" xfId="0" applyNumberFormat="1" applyFont="1" applyFill="1" applyBorder="1" applyAlignment="1">
      <alignment horizontal="center"/>
    </xf>
    <xf numFmtId="0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/>
    <xf numFmtId="14" fontId="2" fillId="9" borderId="2" xfId="0" applyNumberFormat="1" applyFont="1" applyFill="1" applyBorder="1" applyAlignment="1">
      <alignment horizontal="center"/>
    </xf>
    <xf numFmtId="0" fontId="2" fillId="9" borderId="2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0" fillId="9" borderId="0" xfId="0" applyFill="1"/>
    <xf numFmtId="0" fontId="0" fillId="10" borderId="1" xfId="0" applyFill="1" applyBorder="1"/>
  </cellXfs>
  <cellStyles count="2">
    <cellStyle name="Normal" xfId="0" builtinId="0"/>
    <cellStyle name="Percent" xfId="1" builtinId="5"/>
  </cellStyles>
  <dxfs count="10">
    <dxf>
      <numFmt numFmtId="2" formatCode="0.00"/>
    </dxf>
    <dxf>
      <numFmt numFmtId="2" formatCode="0.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Forcast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'Forcast -1'!$B$1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'Forcast -1'!$B$2:$B$31</c:f>
              <c:numCache>
                <c:formatCode>General</c:formatCode>
                <c:ptCount val="30"/>
                <c:pt idx="0">
                  <c:v>31555</c:v>
                </c:pt>
                <c:pt idx="1">
                  <c:v>32092</c:v>
                </c:pt>
                <c:pt idx="2">
                  <c:v>32245</c:v>
                </c:pt>
                <c:pt idx="3">
                  <c:v>32943</c:v>
                </c:pt>
                <c:pt idx="4">
                  <c:v>33692</c:v>
                </c:pt>
                <c:pt idx="5">
                  <c:v>35125</c:v>
                </c:pt>
                <c:pt idx="6">
                  <c:v>36161</c:v>
                </c:pt>
                <c:pt idx="7">
                  <c:v>36029</c:v>
                </c:pt>
                <c:pt idx="8">
                  <c:v>33092</c:v>
                </c:pt>
                <c:pt idx="9">
                  <c:v>32849</c:v>
                </c:pt>
                <c:pt idx="10">
                  <c:v>32003</c:v>
                </c:pt>
                <c:pt idx="11">
                  <c:v>33373</c:v>
                </c:pt>
                <c:pt idx="12">
                  <c:v>35316</c:v>
                </c:pt>
                <c:pt idx="13">
                  <c:v>34192</c:v>
                </c:pt>
                <c:pt idx="14">
                  <c:v>34355</c:v>
                </c:pt>
                <c:pt idx="15">
                  <c:v>35112</c:v>
                </c:pt>
                <c:pt idx="16">
                  <c:v>33394</c:v>
                </c:pt>
                <c:pt idx="17">
                  <c:v>34807</c:v>
                </c:pt>
                <c:pt idx="18">
                  <c:v>35830</c:v>
                </c:pt>
                <c:pt idx="19">
                  <c:v>35707</c:v>
                </c:pt>
                <c:pt idx="20">
                  <c:v>35269</c:v>
                </c:pt>
                <c:pt idx="21">
                  <c:v>34987</c:v>
                </c:pt>
                <c:pt idx="22">
                  <c:v>34103</c:v>
                </c:pt>
                <c:pt idx="23">
                  <c:v>35580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19-47A5-B958-D32CE7792E2E}"/>
            </c:ext>
          </c:extLst>
        </c:ser>
        <c:ser>
          <c:idx val="1"/>
          <c:order val="1"/>
          <c:tx>
            <c:strRef>
              <c:f>'Forcast -1'!$C$1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'Forcast -1'!$A$2:$A$31</c:f>
              <c:numCache>
                <c:formatCode>m/d/yyyy</c:formatCode>
                <c:ptCount val="30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</c:numCache>
            </c:numRef>
          </c:cat>
          <c:val>
            <c:numRef>
              <c:f>'Forcast -1'!$C$2:$C$31</c:f>
              <c:numCache>
                <c:formatCode>General</c:formatCode>
                <c:ptCount val="30"/>
                <c:pt idx="23">
                  <c:v>35580</c:v>
                </c:pt>
                <c:pt idx="24">
                  <c:v>35567.283958351654</c:v>
                </c:pt>
                <c:pt idx="25">
                  <c:v>35680.635361977256</c:v>
                </c:pt>
                <c:pt idx="26">
                  <c:v>35793.986765602858</c:v>
                </c:pt>
                <c:pt idx="27">
                  <c:v>35907.33816922846</c:v>
                </c:pt>
                <c:pt idx="28">
                  <c:v>36020.689572854069</c:v>
                </c:pt>
                <c:pt idx="29">
                  <c:v>36134.040976479671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19-47A5-B958-D32CE7792E2E}"/>
            </c:ext>
          </c:extLst>
        </c:ser>
        <c:ser>
          <c:idx val="2"/>
          <c:order val="2"/>
          <c:tx>
            <c:strRef>
              <c:f>'Forcast -1'!$D$1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'Forcast -1'!$A$2:$A$31</c:f>
              <c:numCache>
                <c:formatCode>m/d/yyyy</c:formatCode>
                <c:ptCount val="30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</c:numCache>
            </c:numRef>
          </c:cat>
          <c:val>
            <c:numRef>
              <c:f>'Forcast -1'!$D$2:$D$31</c:f>
              <c:numCache>
                <c:formatCode>General</c:formatCode>
                <c:ptCount val="30"/>
                <c:pt idx="23" formatCode="0.00">
                  <c:v>35580</c:v>
                </c:pt>
                <c:pt idx="24" formatCode="0.00">
                  <c:v>33366.133295290951</c:v>
                </c:pt>
                <c:pt idx="25" formatCode="0.00">
                  <c:v>32717.817068898774</c:v>
                </c:pt>
                <c:pt idx="26" formatCode="0.00">
                  <c:v>32227.439992471205</c:v>
                </c:pt>
                <c:pt idx="27" formatCode="0.00">
                  <c:v>31824.328877905817</c:v>
                </c:pt>
                <c:pt idx="28" formatCode="0.00">
                  <c:v>31478.616379674262</c:v>
                </c:pt>
                <c:pt idx="29" formatCode="0.00">
                  <c:v>31174.33759496671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19-47A5-B958-D32CE7792E2E}"/>
            </c:ext>
          </c:extLst>
        </c:ser>
        <c:ser>
          <c:idx val="3"/>
          <c:order val="3"/>
          <c:tx>
            <c:strRef>
              <c:f>'Forcast -1'!$E$1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'Forcast -1'!$A$2:$A$31</c:f>
              <c:numCache>
                <c:formatCode>m/d/yyyy</c:formatCode>
                <c:ptCount val="30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</c:numCache>
            </c:numRef>
          </c:cat>
          <c:val>
            <c:numRef>
              <c:f>'Forcast -1'!$E$2:$E$31</c:f>
              <c:numCache>
                <c:formatCode>General</c:formatCode>
                <c:ptCount val="30"/>
                <c:pt idx="23" formatCode="0.00">
                  <c:v>35580</c:v>
                </c:pt>
                <c:pt idx="24" formatCode="0.00">
                  <c:v>37768.434621412358</c:v>
                </c:pt>
                <c:pt idx="25" formatCode="0.00">
                  <c:v>38643.453655055739</c:v>
                </c:pt>
                <c:pt idx="26" formatCode="0.00">
                  <c:v>39360.533538734511</c:v>
                </c:pt>
                <c:pt idx="27" formatCode="0.00">
                  <c:v>39990.3474605511</c:v>
                </c:pt>
                <c:pt idx="28" formatCode="0.00">
                  <c:v>40562.762766033877</c:v>
                </c:pt>
                <c:pt idx="29" formatCode="0.00">
                  <c:v>41093.744357992633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19-47A5-B958-D32CE7792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4931600"/>
        <c:axId val="2074931120"/>
      </c:lineChart>
      <c:catAx>
        <c:axId val="207493160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31120"/>
        <c:crosses val="autoZero"/>
        <c:auto val="1"/>
        <c:lblAlgn val="ctr"/>
        <c:lblOffset val="100"/>
        <c:noMultiLvlLbl val="0"/>
      </c:catAx>
      <c:valAx>
        <c:axId val="2074931120"/>
        <c:scaling>
          <c:orientation val="minMax"/>
          <c:min val="3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3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0</xdr:row>
      <xdr:rowOff>69850</xdr:rowOff>
    </xdr:from>
    <xdr:to>
      <xdr:col>14</xdr:col>
      <xdr:colOff>381000</xdr:colOff>
      <xdr:row>22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90AA11-8B19-F509-0F7D-99155336B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rge" refreshedDate="45975.669617476851" createdVersion="8" refreshedVersion="8" minRefreshableVersion="3" recordCount="4248" xr:uid="{5735A200-6CE0-478C-9415-DA40F20CD24E}">
  <cacheSource type="worksheet">
    <worksheetSource name="Coffee_Store_Data"/>
  </cacheSource>
  <cacheFields count="24">
    <cacheField name="Area Code" numFmtId="0">
      <sharedItems containsSemiMixedTypes="0" containsString="0" containsNumber="1" containsInteger="1" minValue="203" maxValue="985"/>
    </cacheField>
    <cacheField name="Date" numFmtId="14">
      <sharedItems containsSemiMixedTypes="0" containsNonDate="0" containsDate="1" containsString="0" minDate="2010-01-01T00:00:00" maxDate="2011-12-02T00:00:00" count="24"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</sharedItems>
      <fieldGroup par="23"/>
    </cacheField>
    <cacheField name="Region" numFmtId="0">
      <sharedItems/>
    </cacheField>
    <cacheField name="Market Size" numFmtId="0">
      <sharedItems/>
    </cacheField>
    <cacheField name="Product" numFmtId="0">
      <sharedItems/>
    </cacheField>
    <cacheField name="Product Type" numFmtId="0">
      <sharedItems/>
    </cacheField>
    <cacheField name="State" numFmtId="0">
      <sharedItems/>
    </cacheField>
    <cacheField name="Type" numFmtId="0">
      <sharedItems/>
    </cacheField>
    <cacheField name="Budget COGS" numFmtId="0">
      <sharedItems containsSemiMixedTypes="0" containsString="0" containsNumber="1" containsInteger="1" minValue="0" maxValue="450"/>
    </cacheField>
    <cacheField name="Budget Margin" numFmtId="0">
      <sharedItems containsSemiMixedTypes="0" containsString="0" containsNumber="1" containsInteger="1" minValue="-210" maxValue="690"/>
    </cacheField>
    <cacheField name="Budget Profit" numFmtId="0">
      <sharedItems containsSemiMixedTypes="0" containsString="0" containsNumber="1" containsInteger="1" minValue="-320" maxValue="560"/>
    </cacheField>
    <cacheField name="Budget Sales" numFmtId="0">
      <sharedItems containsSemiMixedTypes="0" containsString="0" containsNumber="1" containsInteger="1" minValue="0" maxValue="1140"/>
    </cacheField>
    <cacheField name="Cogs" numFmtId="0">
      <sharedItems containsSemiMixedTypes="0" containsString="0" containsNumber="1" containsInteger="1" minValue="0" maxValue="364"/>
    </cacheField>
    <cacheField name="Inventory" numFmtId="0">
      <sharedItems containsSemiMixedTypes="0" containsString="0" containsNumber="1" containsInteger="1" minValue="-3534" maxValue="8252"/>
    </cacheField>
    <cacheField name="Margin" numFmtId="0">
      <sharedItems containsSemiMixedTypes="0" containsString="0" containsNumber="1" containsInteger="1" minValue="-302" maxValue="613"/>
    </cacheField>
    <cacheField name="Marketing" numFmtId="0">
      <sharedItems containsSemiMixedTypes="0" containsString="0" containsNumber="1" containsInteger="1" minValue="0" maxValue="156"/>
    </cacheField>
    <cacheField name="Profit" numFmtId="0">
      <sharedItems containsSemiMixedTypes="0" containsString="0" containsNumber="1" containsInteger="1" minValue="-638" maxValue="778"/>
    </cacheField>
    <cacheField name="Sales" numFmtId="0">
      <sharedItems containsSemiMixedTypes="0" containsString="0" containsNumber="1" containsInteger="1" minValue="17" maxValue="912"/>
    </cacheField>
    <cacheField name="% Sales Achieved" numFmtId="0">
      <sharedItems containsString="0" containsBlank="1" containsNumber="1" minValue="0.66785714285714282" maxValue="3"/>
    </cacheField>
    <cacheField name="% Profit" numFmtId="0">
      <sharedItems containsString="0" containsBlank="1" containsNumber="1" minValue="-3.9" maxValue="6.5"/>
    </cacheField>
    <cacheField name="% COGS" numFmtId="0">
      <sharedItems containsString="0" containsBlank="1" containsNumber="1" minValue="0.68285714285714283" maxValue="4.5"/>
    </cacheField>
    <cacheField name="Months (Date)" numFmtId="0" databaseField="0">
      <fieldGroup base="1">
        <rangePr groupBy="months" startDate="2010-01-01T00:00:00" endDate="2011-12-02T00:00:00"/>
        <groupItems count="14">
          <s v="&lt;01-01-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11"/>
        </groupItems>
      </fieldGroup>
    </cacheField>
    <cacheField name="Quarters (Date)" numFmtId="0" databaseField="0">
      <fieldGroup base="1">
        <rangePr groupBy="quarters" startDate="2010-01-01T00:00:00" endDate="2011-12-02T00:00:00"/>
        <groupItems count="6">
          <s v="&lt;01-01-2010"/>
          <s v="Qtr1"/>
          <s v="Qtr2"/>
          <s v="Qtr3"/>
          <s v="Qtr4"/>
          <s v="&gt;02-12-2011"/>
        </groupItems>
      </fieldGroup>
    </cacheField>
    <cacheField name="Years (Date)" numFmtId="0" databaseField="0">
      <fieldGroup base="1">
        <rangePr groupBy="years" startDate="2010-01-01T00:00:00" endDate="2011-12-02T00:00:00"/>
        <groupItems count="4">
          <s v="&lt;01-01-2010"/>
          <s v="2010"/>
          <s v="2011"/>
          <s v="&gt;02-12-20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8">
  <r>
    <n v="719"/>
    <x v="0"/>
    <s v="Central"/>
    <s v="Major Market"/>
    <s v="Amaretto"/>
    <s v="Coffee"/>
    <s v="Colorado"/>
    <s v="Regular"/>
    <n v="90"/>
    <n v="130"/>
    <n v="100"/>
    <n v="220"/>
    <n v="89"/>
    <n v="777"/>
    <n v="130"/>
    <n v="24"/>
    <n v="94"/>
    <n v="219"/>
    <n v="0.99545454545454548"/>
    <n v="0.94"/>
    <n v="0.98888888888888893"/>
  </r>
  <r>
    <n v="970"/>
    <x v="0"/>
    <s v="Central"/>
    <s v="Major Market"/>
    <s v="Columbian"/>
    <s v="Coffee"/>
    <s v="Colorado"/>
    <s v="Regular"/>
    <n v="80"/>
    <n v="110"/>
    <n v="80"/>
    <n v="190"/>
    <n v="83"/>
    <n v="623"/>
    <n v="107"/>
    <n v="27"/>
    <n v="68"/>
    <n v="190"/>
    <n v="1"/>
    <n v="0.85"/>
    <n v="1.0375000000000001"/>
  </r>
  <r>
    <n v="970"/>
    <x v="0"/>
    <s v="Central"/>
    <s v="Major Market"/>
    <s v="Decaf Irish Cream"/>
    <s v="Coffee"/>
    <s v="Colorado"/>
    <s v="Decaf"/>
    <n v="100"/>
    <n v="140"/>
    <n v="110"/>
    <n v="240"/>
    <n v="95"/>
    <n v="821"/>
    <n v="139"/>
    <n v="26"/>
    <n v="101"/>
    <n v="234"/>
    <n v="0.97499999999999998"/>
    <n v="0.91818181818181821"/>
    <n v="0.95"/>
  </r>
  <r>
    <n v="303"/>
    <x v="0"/>
    <s v="Central"/>
    <s v="Major Market"/>
    <s v="Green Tea"/>
    <s v="Tea"/>
    <s v="Colorado"/>
    <s v="Regular"/>
    <n v="30"/>
    <n v="50"/>
    <n v="30"/>
    <n v="80"/>
    <n v="44"/>
    <n v="623"/>
    <n v="56"/>
    <n v="14"/>
    <n v="30"/>
    <n v="100"/>
    <n v="1.25"/>
    <n v="1"/>
    <n v="1.4666666666666666"/>
  </r>
  <r>
    <n v="303"/>
    <x v="0"/>
    <s v="Central"/>
    <s v="Major Market"/>
    <s v="Caffe Mocha"/>
    <s v="Espresso"/>
    <s v="Colorado"/>
    <s v="Regular"/>
    <n v="60"/>
    <n v="90"/>
    <n v="70"/>
    <n v="150"/>
    <n v="54"/>
    <n v="456"/>
    <n v="80"/>
    <n v="15"/>
    <n v="54"/>
    <n v="134"/>
    <n v="0.89333333333333331"/>
    <n v="0.77142857142857146"/>
    <n v="0.9"/>
  </r>
  <r>
    <n v="720"/>
    <x v="0"/>
    <s v="Central"/>
    <s v="Major Market"/>
    <s v="Decaf Espresso"/>
    <s v="Espresso"/>
    <s v="Colorado"/>
    <s v="Decaf"/>
    <n v="80"/>
    <n v="130"/>
    <n v="80"/>
    <n v="210"/>
    <n v="72"/>
    <n v="558"/>
    <n v="108"/>
    <n v="23"/>
    <n v="53"/>
    <n v="180"/>
    <n v="0.8571428571428571"/>
    <n v="0.66249999999999998"/>
    <n v="0.9"/>
  </r>
  <r>
    <n v="970"/>
    <x v="0"/>
    <s v="Central"/>
    <s v="Major Market"/>
    <s v="Chamomile"/>
    <s v="Herbal Tea"/>
    <s v="Colorado"/>
    <s v="Decaf"/>
    <n v="140"/>
    <n v="160"/>
    <n v="110"/>
    <n v="300"/>
    <n v="170"/>
    <n v="1091"/>
    <n v="171"/>
    <n v="47"/>
    <n v="99"/>
    <n v="341"/>
    <n v="1.1366666666666667"/>
    <n v="0.9"/>
    <n v="1.2142857142857142"/>
  </r>
  <r>
    <n v="719"/>
    <x v="0"/>
    <s v="Central"/>
    <s v="Major Market"/>
    <s v="Lemon"/>
    <s v="Herbal Tea"/>
    <s v="Colorado"/>
    <s v="Decaf"/>
    <n v="50"/>
    <n v="80"/>
    <n v="20"/>
    <n v="130"/>
    <n v="63"/>
    <n v="435"/>
    <n v="87"/>
    <n v="57"/>
    <n v="0"/>
    <n v="150"/>
    <n v="1.1538461538461537"/>
    <n v="0"/>
    <n v="1.26"/>
  </r>
  <r>
    <n v="970"/>
    <x v="0"/>
    <s v="Central"/>
    <s v="Major Market"/>
    <s v="Mint"/>
    <s v="Herbal Tea"/>
    <s v="Colorado"/>
    <s v="Decaf"/>
    <n v="50"/>
    <n v="70"/>
    <n v="40"/>
    <n v="120"/>
    <n v="60"/>
    <n v="336"/>
    <n v="80"/>
    <n v="19"/>
    <n v="33"/>
    <n v="140"/>
    <n v="1.1666666666666667"/>
    <n v="0.82499999999999996"/>
    <n v="1.2"/>
  </r>
  <r>
    <n v="719"/>
    <x v="0"/>
    <s v="Central"/>
    <s v="Major Market"/>
    <s v="Darjeeling"/>
    <s v="Tea"/>
    <s v="Colorado"/>
    <s v="Regular"/>
    <n v="40"/>
    <n v="70"/>
    <n v="20"/>
    <n v="110"/>
    <n v="58"/>
    <n v="338"/>
    <n v="72"/>
    <n v="22"/>
    <n v="17"/>
    <n v="130"/>
    <n v="1.1818181818181819"/>
    <n v="0.85"/>
    <n v="1.45"/>
  </r>
  <r>
    <n v="303"/>
    <x v="0"/>
    <s v="Central"/>
    <s v="Major Market"/>
    <s v="Earl Grey"/>
    <s v="Tea"/>
    <s v="Colorado"/>
    <s v="Regular"/>
    <n v="50"/>
    <n v="70"/>
    <n v="40"/>
    <n v="120"/>
    <n v="64"/>
    <n v="965"/>
    <n v="76"/>
    <n v="19"/>
    <n v="36"/>
    <n v="140"/>
    <n v="1.1666666666666667"/>
    <n v="0.9"/>
    <n v="1.28"/>
  </r>
  <r>
    <n v="217"/>
    <x v="0"/>
    <s v="Central"/>
    <s v="Major Market"/>
    <s v="Columbian"/>
    <s v="Coffee"/>
    <s v="Illinois"/>
    <s v="Regular"/>
    <n v="150"/>
    <n v="210"/>
    <n v="130"/>
    <n v="360"/>
    <n v="144"/>
    <n v="862"/>
    <n v="201"/>
    <n v="47"/>
    <n v="111"/>
    <n v="345"/>
    <n v="0.95833333333333337"/>
    <n v="0.85384615384615381"/>
    <n v="0.96"/>
  </r>
  <r>
    <n v="309"/>
    <x v="0"/>
    <s v="Central"/>
    <s v="Major Market"/>
    <s v="Decaf Irish Cream"/>
    <s v="Coffee"/>
    <s v="Illinois"/>
    <s v="Decaf"/>
    <n v="100"/>
    <n v="140"/>
    <n v="100"/>
    <n v="240"/>
    <n v="95"/>
    <n v="608"/>
    <n v="139"/>
    <n v="30"/>
    <n v="87"/>
    <n v="234"/>
    <n v="0.97499999999999998"/>
    <n v="0.87"/>
    <n v="0.95"/>
  </r>
  <r>
    <n v="309"/>
    <x v="0"/>
    <s v="Central"/>
    <s v="Major Market"/>
    <s v="Caffe Mocha"/>
    <s v="Espresso"/>
    <s v="Illinois"/>
    <s v="Regular"/>
    <n v="270"/>
    <n v="370"/>
    <n v="260"/>
    <n v="640"/>
    <n v="234"/>
    <n v="1310"/>
    <n v="312"/>
    <n v="77"/>
    <n v="203"/>
    <n v="546"/>
    <n v="0.85312500000000002"/>
    <n v="0.78076923076923077"/>
    <n v="0.8666666666666667"/>
  </r>
  <r>
    <n v="630"/>
    <x v="0"/>
    <s v="Central"/>
    <s v="Major Market"/>
    <s v="Decaf Espresso"/>
    <s v="Espresso"/>
    <s v="Illinois"/>
    <s v="Decaf"/>
    <n v="260"/>
    <n v="270"/>
    <n v="180"/>
    <n v="530"/>
    <n v="228"/>
    <n v="1459"/>
    <n v="228"/>
    <n v="63"/>
    <n v="140"/>
    <n v="456"/>
    <n v="0.86037735849056607"/>
    <n v="0.77777777777777779"/>
    <n v="0.87692307692307692"/>
  </r>
  <r>
    <n v="312"/>
    <x v="0"/>
    <s v="Central"/>
    <s v="Major Market"/>
    <s v="Chamomile"/>
    <s v="Herbal Tea"/>
    <s v="Illinois"/>
    <s v="Decaf"/>
    <n v="70"/>
    <n v="120"/>
    <n v="100"/>
    <n v="190"/>
    <n v="89"/>
    <n v="777"/>
    <n v="130"/>
    <n v="24"/>
    <n v="95"/>
    <n v="219"/>
    <n v="1.1526315789473685"/>
    <n v="0.95"/>
    <n v="1.2714285714285714"/>
  </r>
  <r>
    <n v="630"/>
    <x v="0"/>
    <s v="Central"/>
    <s v="Major Market"/>
    <s v="Lemon"/>
    <s v="Herbal Tea"/>
    <s v="Illinois"/>
    <s v="Decaf"/>
    <n v="70"/>
    <n v="90"/>
    <n v="60"/>
    <n v="160"/>
    <n v="83"/>
    <n v="623"/>
    <n v="107"/>
    <n v="27"/>
    <n v="68"/>
    <n v="190"/>
    <n v="1.1875"/>
    <n v="1.1333333333333333"/>
    <n v="1.1857142857142857"/>
  </r>
  <r>
    <n v="773"/>
    <x v="0"/>
    <s v="Central"/>
    <s v="Major Market"/>
    <s v="Mint"/>
    <s v="Herbal Tea"/>
    <s v="Illinois"/>
    <s v="Decaf"/>
    <n v="80"/>
    <n v="120"/>
    <n v="100"/>
    <n v="200"/>
    <n v="95"/>
    <n v="821"/>
    <n v="139"/>
    <n v="26"/>
    <n v="101"/>
    <n v="234"/>
    <n v="1.17"/>
    <n v="1.01"/>
    <n v="1.1875"/>
  </r>
  <r>
    <n v="217"/>
    <x v="0"/>
    <s v="Central"/>
    <s v="Major Market"/>
    <s v="Darjeeling"/>
    <s v="Tea"/>
    <s v="Illinois"/>
    <s v="Regular"/>
    <n v="40"/>
    <n v="70"/>
    <n v="50"/>
    <n v="110"/>
    <n v="54"/>
    <n v="456"/>
    <n v="80"/>
    <n v="15"/>
    <n v="53"/>
    <n v="134"/>
    <n v="1.2181818181818183"/>
    <n v="1.06"/>
    <n v="1.35"/>
  </r>
  <r>
    <n v="708"/>
    <x v="0"/>
    <s v="Central"/>
    <s v="Major Market"/>
    <s v="Earl Grey"/>
    <s v="Tea"/>
    <s v="Illinois"/>
    <s v="Regular"/>
    <n v="60"/>
    <n v="90"/>
    <n v="40"/>
    <n v="150"/>
    <n v="72"/>
    <n v="558"/>
    <n v="108"/>
    <n v="23"/>
    <n v="54"/>
    <n v="180"/>
    <n v="1.2"/>
    <n v="1.35"/>
    <n v="1.2"/>
  </r>
  <r>
    <n v="319"/>
    <x v="0"/>
    <s v="Central"/>
    <s v="Small Market"/>
    <s v="Amaretto"/>
    <s v="Coffee"/>
    <s v="Iowa"/>
    <s v="Regular"/>
    <n v="10"/>
    <n v="30"/>
    <n v="20"/>
    <n v="40"/>
    <n v="18"/>
    <n v="821"/>
    <n v="27"/>
    <n v="5"/>
    <n v="11"/>
    <n v="45"/>
    <n v="1.125"/>
    <n v="0.55000000000000004"/>
    <n v="1.8"/>
  </r>
  <r>
    <n v="641"/>
    <x v="0"/>
    <s v="Central"/>
    <s v="Small Market"/>
    <s v="Columbian"/>
    <s v="Coffee"/>
    <s v="Iowa"/>
    <s v="Regular"/>
    <n v="20"/>
    <n v="40"/>
    <n v="20"/>
    <n v="60"/>
    <n v="28"/>
    <n v="965"/>
    <n v="34"/>
    <n v="8"/>
    <n v="5"/>
    <n v="62"/>
    <n v="1.0333333333333334"/>
    <n v="0.25"/>
    <n v="1.4"/>
  </r>
  <r>
    <n v="712"/>
    <x v="0"/>
    <s v="Central"/>
    <s v="Small Market"/>
    <s v="Decaf Irish Cream"/>
    <s v="Coffee"/>
    <s v="Iowa"/>
    <s v="Decaf"/>
    <n v="20"/>
    <n v="30"/>
    <n v="20"/>
    <n v="50"/>
    <n v="23"/>
    <n v="623"/>
    <n v="31"/>
    <n v="7"/>
    <n v="12"/>
    <n v="54"/>
    <n v="1.08"/>
    <n v="0.6"/>
    <n v="1.1499999999999999"/>
  </r>
  <r>
    <n v="563"/>
    <x v="0"/>
    <s v="Central"/>
    <s v="Small Market"/>
    <s v="Caffe Mocha"/>
    <s v="Espresso"/>
    <s v="Iowa"/>
    <s v="Regular"/>
    <n v="10"/>
    <n v="40"/>
    <n v="30"/>
    <n v="50"/>
    <n v="17"/>
    <n v="777"/>
    <n v="26"/>
    <n v="4"/>
    <n v="11"/>
    <n v="43"/>
    <n v="0.86"/>
    <n v="0.36666666666666664"/>
    <n v="1.7"/>
  </r>
  <r>
    <n v="563"/>
    <x v="0"/>
    <s v="Central"/>
    <s v="Small Market"/>
    <s v="Decaf Espresso"/>
    <s v="Espresso"/>
    <s v="Iowa"/>
    <s v="Decaf"/>
    <n v="10"/>
    <n v="40"/>
    <n v="30"/>
    <n v="50"/>
    <n v="17"/>
    <n v="777"/>
    <n v="26"/>
    <n v="4"/>
    <n v="10"/>
    <n v="43"/>
    <n v="0.86"/>
    <n v="0.33333333333333331"/>
    <n v="1.7"/>
  </r>
  <r>
    <n v="641"/>
    <x v="0"/>
    <s v="Central"/>
    <s v="Small Market"/>
    <s v="Chamomile"/>
    <s v="Herbal Tea"/>
    <s v="Iowa"/>
    <s v="Decaf"/>
    <n v="200"/>
    <n v="280"/>
    <n v="200"/>
    <n v="480"/>
    <n v="234"/>
    <n v="1310"/>
    <n v="312"/>
    <n v="77"/>
    <n v="202"/>
    <n v="546"/>
    <n v="1.1375"/>
    <n v="1.01"/>
    <n v="1.17"/>
  </r>
  <r>
    <n v="563"/>
    <x v="0"/>
    <s v="Central"/>
    <s v="Small Market"/>
    <s v="Lemon"/>
    <s v="Herbal Tea"/>
    <s v="Iowa"/>
    <s v="Decaf"/>
    <n v="80"/>
    <n v="120"/>
    <n v="90"/>
    <n v="200"/>
    <n v="95"/>
    <n v="608"/>
    <n v="139"/>
    <n v="30"/>
    <n v="86"/>
    <n v="234"/>
    <n v="1.17"/>
    <n v="0.9555555555555556"/>
    <n v="1.1875"/>
  </r>
  <r>
    <n v="712"/>
    <x v="0"/>
    <s v="Central"/>
    <s v="Small Market"/>
    <s v="Darjeeling"/>
    <s v="Tea"/>
    <s v="Iowa"/>
    <s v="Regular"/>
    <n v="190"/>
    <n v="210"/>
    <n v="140"/>
    <n v="400"/>
    <n v="228"/>
    <n v="1459"/>
    <n v="228"/>
    <n v="63"/>
    <n v="141"/>
    <n v="456"/>
    <n v="1.1399999999999999"/>
    <n v="1.0071428571428571"/>
    <n v="1.2"/>
  </r>
  <r>
    <n v="319"/>
    <x v="0"/>
    <s v="Central"/>
    <s v="Small Market"/>
    <s v="Earl Grey"/>
    <s v="Tea"/>
    <s v="Iowa"/>
    <s v="Regular"/>
    <n v="210"/>
    <n v="270"/>
    <n v="160"/>
    <n v="480"/>
    <n v="245"/>
    <n v="1419"/>
    <n v="301"/>
    <n v="93"/>
    <n v="175"/>
    <n v="546"/>
    <n v="1.1375"/>
    <n v="1.09375"/>
    <n v="1.1666666666666667"/>
  </r>
  <r>
    <n v="636"/>
    <x v="0"/>
    <s v="Central"/>
    <s v="Small Market"/>
    <s v="Columbian"/>
    <s v="Coffee"/>
    <s v="Missouri"/>
    <s v="Regular"/>
    <n v="90"/>
    <n v="100"/>
    <n v="40"/>
    <n v="190"/>
    <n v="85"/>
    <n v="494"/>
    <n v="105"/>
    <n v="32"/>
    <n v="39"/>
    <n v="190"/>
    <n v="1"/>
    <n v="0.97499999999999998"/>
    <n v="0.94444444444444442"/>
  </r>
  <r>
    <n v="573"/>
    <x v="0"/>
    <s v="Central"/>
    <s v="Small Market"/>
    <s v="Decaf Irish Cream"/>
    <s v="Coffee"/>
    <s v="Missouri"/>
    <s v="Decaf"/>
    <n v="80"/>
    <n v="90"/>
    <n v="50"/>
    <n v="170"/>
    <n v="78"/>
    <n v="965"/>
    <n v="92"/>
    <n v="24"/>
    <n v="47"/>
    <n v="170"/>
    <n v="1"/>
    <n v="0.94"/>
    <n v="0.97499999999999998"/>
  </r>
  <r>
    <n v="417"/>
    <x v="0"/>
    <s v="Central"/>
    <s v="Small Market"/>
    <s v="Green Tea"/>
    <s v="Tea"/>
    <s v="Missouri"/>
    <s v="Regular"/>
    <n v="20"/>
    <n v="40"/>
    <n v="0"/>
    <n v="60"/>
    <n v="34"/>
    <n v="197"/>
    <n v="42"/>
    <n v="12"/>
    <n v="-4"/>
    <n v="76"/>
    <n v="1.2666666666666666"/>
    <m/>
    <n v="1.7"/>
  </r>
  <r>
    <n v="573"/>
    <x v="0"/>
    <s v="Central"/>
    <s v="Small Market"/>
    <s v="Caffe Mocha"/>
    <s v="Espresso"/>
    <s v="Missouri"/>
    <s v="Regular"/>
    <n v="50"/>
    <n v="90"/>
    <n v="70"/>
    <n v="140"/>
    <n v="50"/>
    <n v="821"/>
    <n v="73"/>
    <n v="14"/>
    <n v="48"/>
    <n v="123"/>
    <n v="0.87857142857142856"/>
    <n v="0.68571428571428572"/>
    <n v="1"/>
  </r>
  <r>
    <n v="660"/>
    <x v="0"/>
    <s v="Central"/>
    <s v="Small Market"/>
    <s v="Decaf Espresso"/>
    <s v="Espresso"/>
    <s v="Missouri"/>
    <s v="Decaf"/>
    <n v="50"/>
    <n v="80"/>
    <n v="60"/>
    <n v="130"/>
    <n v="46"/>
    <n v="777"/>
    <n v="68"/>
    <n v="12"/>
    <n v="45"/>
    <n v="114"/>
    <n v="0.87692307692307692"/>
    <n v="0.75"/>
    <n v="0.92"/>
  </r>
  <r>
    <n v="573"/>
    <x v="0"/>
    <s v="Central"/>
    <s v="Small Market"/>
    <s v="Chamomile"/>
    <s v="Herbal Tea"/>
    <s v="Missouri"/>
    <s v="Decaf"/>
    <n v="30"/>
    <n v="40"/>
    <n v="0"/>
    <n v="70"/>
    <n v="37"/>
    <n v="261"/>
    <n v="53"/>
    <n v="34"/>
    <n v="-11"/>
    <n v="90"/>
    <n v="1.2857142857142858"/>
    <m/>
    <n v="1.2333333333333334"/>
  </r>
  <r>
    <n v="314"/>
    <x v="0"/>
    <s v="Central"/>
    <s v="Small Market"/>
    <s v="Lemon"/>
    <s v="Herbal Tea"/>
    <s v="Missouri"/>
    <s v="Decaf"/>
    <n v="70"/>
    <n v="10"/>
    <n v="-20"/>
    <n v="80"/>
    <n v="88"/>
    <n v="525"/>
    <n v="11"/>
    <n v="27"/>
    <n v="-39"/>
    <n v="99"/>
    <n v="1.2375"/>
    <n v="1.95"/>
    <n v="1.2571428571428571"/>
  </r>
  <r>
    <n v="314"/>
    <x v="0"/>
    <s v="Central"/>
    <s v="Small Market"/>
    <s v="Darjeeling"/>
    <s v="Tea"/>
    <s v="Missouri"/>
    <s v="Regular"/>
    <n v="30"/>
    <n v="40"/>
    <n v="10"/>
    <n v="70"/>
    <n v="35"/>
    <n v="196"/>
    <n v="47"/>
    <n v="11"/>
    <n v="9"/>
    <n v="82"/>
    <n v="1.1714285714285715"/>
    <n v="0.9"/>
    <n v="1.1666666666666667"/>
  </r>
  <r>
    <n v="573"/>
    <x v="0"/>
    <s v="Central"/>
    <s v="Small Market"/>
    <s v="Earl Grey"/>
    <s v="Tea"/>
    <s v="Missouri"/>
    <s v="Regular"/>
    <n v="20"/>
    <n v="30"/>
    <n v="-10"/>
    <n v="50"/>
    <n v="29"/>
    <n v="169"/>
    <n v="36"/>
    <n v="11"/>
    <n v="-9"/>
    <n v="65"/>
    <n v="1.3"/>
    <n v="0.9"/>
    <n v="1.45"/>
  </r>
  <r>
    <n v="740"/>
    <x v="0"/>
    <s v="Central"/>
    <s v="Major Market"/>
    <s v="Amaretto"/>
    <s v="Coffee"/>
    <s v="Ohio"/>
    <s v="Regular"/>
    <n v="60"/>
    <n v="80"/>
    <n v="50"/>
    <n v="140"/>
    <n v="60"/>
    <n v="336"/>
    <n v="80"/>
    <n v="19"/>
    <n v="34"/>
    <n v="140"/>
    <n v="1"/>
    <n v="0.68"/>
    <n v="1"/>
  </r>
  <r>
    <n v="614"/>
    <x v="0"/>
    <s v="Central"/>
    <s v="Major Market"/>
    <s v="Columbian"/>
    <s v="Coffee"/>
    <s v="Ohio"/>
    <s v="Regular"/>
    <n v="60"/>
    <n v="80"/>
    <n v="50"/>
    <n v="140"/>
    <n v="57"/>
    <n v="364"/>
    <n v="83"/>
    <n v="18"/>
    <n v="42"/>
    <n v="140"/>
    <n v="1"/>
    <n v="0.84"/>
    <n v="0.95"/>
  </r>
  <r>
    <n v="614"/>
    <x v="0"/>
    <s v="Central"/>
    <s v="Major Market"/>
    <s v="Decaf Irish Cream"/>
    <s v="Coffee"/>
    <s v="Ohio"/>
    <s v="Decaf"/>
    <n v="60"/>
    <n v="90"/>
    <n v="20"/>
    <n v="150"/>
    <n v="63"/>
    <n v="435"/>
    <n v="87"/>
    <n v="57"/>
    <n v="0"/>
    <n v="150"/>
    <n v="1"/>
    <n v="0"/>
    <n v="1.05"/>
  </r>
  <r>
    <n v="216"/>
    <x v="0"/>
    <s v="Central"/>
    <s v="Major Market"/>
    <s v="Earl Grey"/>
    <s v="Tea"/>
    <s v="Ohio"/>
    <s v="Regular"/>
    <n v="70"/>
    <n v="100"/>
    <n v="60"/>
    <n v="170"/>
    <n v="84"/>
    <n v="500"/>
    <n v="116"/>
    <n v="26"/>
    <n v="67"/>
    <n v="200"/>
    <n v="1.1764705882352942"/>
    <n v="1.1166666666666667"/>
    <n v="1.2"/>
  </r>
  <r>
    <n v="614"/>
    <x v="0"/>
    <s v="Central"/>
    <s v="Major Market"/>
    <s v="Decaf Espresso"/>
    <s v="Espresso"/>
    <s v="Ohio"/>
    <s v="Decaf"/>
    <n v="60"/>
    <n v="90"/>
    <n v="40"/>
    <n v="150"/>
    <n v="58"/>
    <n v="338"/>
    <n v="72"/>
    <n v="22"/>
    <n v="16"/>
    <n v="130"/>
    <n v="0.8666666666666667"/>
    <n v="0.4"/>
    <n v="0.96666666666666667"/>
  </r>
  <r>
    <n v="614"/>
    <x v="0"/>
    <s v="Central"/>
    <s v="Major Market"/>
    <s v="Caffe Mocha"/>
    <s v="Espresso"/>
    <s v="Ohio"/>
    <s v="Regular"/>
    <n v="190"/>
    <n v="210"/>
    <n v="140"/>
    <n v="400"/>
    <n v="170"/>
    <n v="1091"/>
    <n v="171"/>
    <n v="47"/>
    <n v="99"/>
    <n v="341"/>
    <n v="0.85250000000000004"/>
    <n v="0.70714285714285718"/>
    <n v="0.89473684210526316"/>
  </r>
  <r>
    <n v="937"/>
    <x v="0"/>
    <s v="Central"/>
    <s v="Major Market"/>
    <s v="Chamomile"/>
    <s v="Herbal Tea"/>
    <s v="Ohio"/>
    <s v="Decaf"/>
    <n v="20"/>
    <n v="50"/>
    <n v="50"/>
    <n v="70"/>
    <n v="32"/>
    <n v="456"/>
    <n v="48"/>
    <n v="8"/>
    <n v="29"/>
    <n v="80"/>
    <n v="1.1428571428571428"/>
    <n v="0.57999999999999996"/>
    <n v="1.6"/>
  </r>
  <r>
    <n v="740"/>
    <x v="0"/>
    <s v="Central"/>
    <s v="Major Market"/>
    <s v="Lemon"/>
    <s v="Herbal Tea"/>
    <s v="Ohio"/>
    <s v="Decaf"/>
    <n v="20"/>
    <n v="50"/>
    <n v="50"/>
    <n v="70"/>
    <n v="32"/>
    <n v="821"/>
    <n v="48"/>
    <n v="8"/>
    <n v="29"/>
    <n v="80"/>
    <n v="1.1428571428571428"/>
    <n v="0.57999999999999996"/>
    <n v="1.6"/>
  </r>
  <r>
    <n v="567"/>
    <x v="0"/>
    <s v="Central"/>
    <s v="Major Market"/>
    <s v="Darjeeling"/>
    <s v="Tea"/>
    <s v="Ohio"/>
    <s v="Regular"/>
    <n v="70"/>
    <n v="110"/>
    <n v="60"/>
    <n v="180"/>
    <n v="84"/>
    <n v="651"/>
    <n v="126"/>
    <n v="27"/>
    <n v="68"/>
    <n v="210"/>
    <n v="1.1666666666666667"/>
    <n v="1.1333333333333333"/>
    <n v="1.2"/>
  </r>
  <r>
    <n v="262"/>
    <x v="0"/>
    <s v="Central"/>
    <s v="Small Market"/>
    <s v="Amaretto"/>
    <s v="Coffee"/>
    <s v="Wisconsin"/>
    <s v="Regular"/>
    <n v="50"/>
    <n v="70"/>
    <n v="30"/>
    <n v="120"/>
    <n v="54"/>
    <n v="312"/>
    <n v="66"/>
    <n v="20"/>
    <n v="13"/>
    <n v="120"/>
    <n v="1"/>
    <n v="0.43333333333333335"/>
    <n v="1.08"/>
  </r>
  <r>
    <n v="262"/>
    <x v="0"/>
    <s v="Central"/>
    <s v="Small Market"/>
    <s v="Columbian"/>
    <s v="Coffee"/>
    <s v="Wisconsin"/>
    <s v="Regular"/>
    <n v="80"/>
    <n v="110"/>
    <n v="20"/>
    <n v="190"/>
    <n v="79"/>
    <n v="551"/>
    <n v="111"/>
    <n v="72"/>
    <n v="9"/>
    <n v="190"/>
    <n v="1"/>
    <n v="0.45"/>
    <n v="0.98750000000000004"/>
  </r>
  <r>
    <n v="414"/>
    <x v="0"/>
    <s v="Central"/>
    <s v="Small Market"/>
    <s v="Decaf Irish Cream"/>
    <s v="Coffee"/>
    <s v="Wisconsin"/>
    <s v="Decaf"/>
    <n v="80"/>
    <n v="100"/>
    <n v="60"/>
    <n v="180"/>
    <n v="77"/>
    <n v="432"/>
    <n v="103"/>
    <n v="25"/>
    <n v="51"/>
    <n v="180"/>
    <n v="1"/>
    <n v="0.85"/>
    <n v="0.96250000000000002"/>
  </r>
  <r>
    <n v="262"/>
    <x v="0"/>
    <s v="Central"/>
    <s v="Small Market"/>
    <s v="Earl Grey"/>
    <s v="Tea"/>
    <s v="Wisconsin"/>
    <s v="Regular"/>
    <n v="60"/>
    <n v="90"/>
    <n v="10"/>
    <n v="150"/>
    <n v="75"/>
    <n v="522"/>
    <n v="105"/>
    <n v="68"/>
    <n v="7"/>
    <n v="180"/>
    <n v="1.2"/>
    <n v="0.7"/>
    <n v="1.25"/>
  </r>
  <r>
    <n v="262"/>
    <x v="0"/>
    <s v="Central"/>
    <s v="Small Market"/>
    <s v="Decaf Espresso"/>
    <s v="Espresso"/>
    <s v="Wisconsin"/>
    <s v="Decaf"/>
    <n v="50"/>
    <n v="70"/>
    <n v="50"/>
    <n v="120"/>
    <n v="48"/>
    <n v="623"/>
    <n v="62"/>
    <n v="15"/>
    <n v="34"/>
    <n v="110"/>
    <n v="0.91666666666666663"/>
    <n v="0.68"/>
    <n v="0.96"/>
  </r>
  <r>
    <n v="414"/>
    <x v="0"/>
    <s v="Central"/>
    <s v="Small Market"/>
    <s v="Caffe Mocha"/>
    <s v="Espresso"/>
    <s v="Wisconsin"/>
    <s v="Regular"/>
    <n v="80"/>
    <n v="90"/>
    <n v="50"/>
    <n v="170"/>
    <n v="69"/>
    <n v="965"/>
    <n v="81"/>
    <n v="21"/>
    <n v="38"/>
    <n v="150"/>
    <n v="0.88235294117647056"/>
    <n v="0.76"/>
    <n v="0.86250000000000004"/>
  </r>
  <r>
    <n v="715"/>
    <x v="0"/>
    <s v="Central"/>
    <s v="Small Market"/>
    <s v="Chamomile"/>
    <s v="Herbal Tea"/>
    <s v="Wisconsin"/>
    <s v="Decaf"/>
    <n v="50"/>
    <n v="100"/>
    <n v="80"/>
    <n v="150"/>
    <n v="67"/>
    <n v="400"/>
    <n v="113"/>
    <n v="20"/>
    <n v="70"/>
    <n v="180"/>
    <n v="1.2"/>
    <n v="0.875"/>
    <n v="1.34"/>
  </r>
  <r>
    <n v="715"/>
    <x v="0"/>
    <s v="Central"/>
    <s v="Small Market"/>
    <s v="Lemon"/>
    <s v="Herbal Tea"/>
    <s v="Wisconsin"/>
    <s v="Decaf"/>
    <n v="20"/>
    <n v="50"/>
    <n v="50"/>
    <n v="70"/>
    <n v="33"/>
    <n v="777"/>
    <n v="48"/>
    <n v="9"/>
    <n v="28"/>
    <n v="81"/>
    <n v="1.1571428571428573"/>
    <n v="0.56000000000000005"/>
    <n v="1.65"/>
  </r>
  <r>
    <n v="608"/>
    <x v="0"/>
    <s v="Central"/>
    <s v="Small Market"/>
    <s v="Darjeeling"/>
    <s v="Tea"/>
    <s v="Wisconsin"/>
    <s v="Regular"/>
    <n v="50"/>
    <n v="80"/>
    <n v="50"/>
    <n v="130"/>
    <n v="61"/>
    <n v="390"/>
    <n v="89"/>
    <n v="19"/>
    <n v="47"/>
    <n v="150"/>
    <n v="1.1538461538461537"/>
    <n v="0.94"/>
    <n v="1.22"/>
  </r>
  <r>
    <n v="475"/>
    <x v="0"/>
    <s v="East"/>
    <s v="Small Market"/>
    <s v="Darjeeling"/>
    <s v="Tea"/>
    <s v="Connecticut"/>
    <s v="Regular"/>
    <n v="50"/>
    <n v="80"/>
    <n v="60"/>
    <n v="130"/>
    <n v="50"/>
    <n v="821"/>
    <n v="73"/>
    <n v="14"/>
    <n v="47"/>
    <n v="123"/>
    <n v="0.94615384615384612"/>
    <n v="0.78333333333333333"/>
    <n v="1"/>
  </r>
  <r>
    <n v="475"/>
    <x v="0"/>
    <s v="East"/>
    <s v="Small Market"/>
    <s v="Green Tea"/>
    <s v="Tea"/>
    <s v="Connecticut"/>
    <s v="Regular"/>
    <n v="40"/>
    <n v="60"/>
    <n v="40"/>
    <n v="100"/>
    <n v="38"/>
    <n v="777"/>
    <n v="56"/>
    <n v="10"/>
    <n v="35"/>
    <n v="94"/>
    <n v="0.94"/>
    <n v="0.875"/>
    <n v="0.95"/>
  </r>
  <r>
    <n v="475"/>
    <x v="0"/>
    <s v="East"/>
    <s v="Small Market"/>
    <s v="Decaf Espresso"/>
    <s v="Espresso"/>
    <s v="Connecticut"/>
    <s v="Decaf"/>
    <n v="50"/>
    <n v="70"/>
    <n v="40"/>
    <n v="120"/>
    <n v="55"/>
    <n v="312"/>
    <n v="75"/>
    <n v="18"/>
    <n v="30"/>
    <n v="130"/>
    <n v="1.0833333333333333"/>
    <n v="0.75"/>
    <n v="1.1000000000000001"/>
  </r>
  <r>
    <n v="860"/>
    <x v="0"/>
    <s v="East"/>
    <s v="Small Market"/>
    <s v="Caffe Mocha"/>
    <s v="Espresso"/>
    <s v="Connecticut"/>
    <s v="Regular"/>
    <n v="70"/>
    <n v="100"/>
    <n v="20"/>
    <n v="170"/>
    <n v="75"/>
    <n v="522"/>
    <n v="105"/>
    <n v="68"/>
    <n v="7"/>
    <n v="180"/>
    <n v="1.0588235294117647"/>
    <n v="0.35"/>
    <n v="1.0714285714285714"/>
  </r>
  <r>
    <n v="475"/>
    <x v="0"/>
    <s v="East"/>
    <s v="Small Market"/>
    <s v="Columbian"/>
    <s v="Coffee"/>
    <s v="Connecticut"/>
    <s v="Regular"/>
    <n v="110"/>
    <n v="180"/>
    <n v="130"/>
    <n v="290"/>
    <n v="124"/>
    <n v="961"/>
    <n v="186"/>
    <n v="40"/>
    <n v="115"/>
    <n v="310"/>
    <n v="1.0689655172413792"/>
    <n v="0.88461538461538458"/>
    <n v="1.1272727272727272"/>
  </r>
  <r>
    <n v="860"/>
    <x v="0"/>
    <s v="East"/>
    <s v="Small Market"/>
    <s v="Lemon"/>
    <s v="Herbal Tea"/>
    <s v="Connecticut"/>
    <s v="Decaf"/>
    <n v="60"/>
    <n v="80"/>
    <n v="40"/>
    <n v="140"/>
    <n v="85"/>
    <n v="494"/>
    <n v="105"/>
    <n v="32"/>
    <n v="40"/>
    <n v="190"/>
    <n v="1.3571428571428572"/>
    <n v="1"/>
    <n v="1.4166666666666667"/>
  </r>
  <r>
    <n v="475"/>
    <x v="0"/>
    <s v="East"/>
    <s v="Small Market"/>
    <s v="Mint"/>
    <s v="Herbal Tea"/>
    <s v="Connecticut"/>
    <s v="Decaf"/>
    <n v="50"/>
    <n v="80"/>
    <n v="50"/>
    <n v="130"/>
    <n v="78"/>
    <n v="965"/>
    <n v="92"/>
    <n v="24"/>
    <n v="47"/>
    <n v="170"/>
    <n v="1.3076923076923077"/>
    <n v="0.94"/>
    <n v="1.56"/>
  </r>
  <r>
    <n v="954"/>
    <x v="0"/>
    <s v="East"/>
    <s v="Major Market"/>
    <s v="Darjeeling"/>
    <s v="Tea"/>
    <s v="Florida"/>
    <s v="Regular"/>
    <n v="30"/>
    <n v="50"/>
    <n v="40"/>
    <n v="80"/>
    <n v="32"/>
    <n v="821"/>
    <n v="48"/>
    <n v="8"/>
    <n v="28"/>
    <n v="80"/>
    <n v="1"/>
    <n v="0.7"/>
    <n v="1.0666666666666667"/>
  </r>
  <r>
    <n v="754"/>
    <x v="0"/>
    <s v="East"/>
    <s v="Major Market"/>
    <s v="Green Tea"/>
    <s v="Tea"/>
    <s v="Florida"/>
    <s v="Regular"/>
    <n v="30"/>
    <n v="50"/>
    <n v="40"/>
    <n v="80"/>
    <n v="33"/>
    <n v="777"/>
    <n v="48"/>
    <n v="9"/>
    <n v="28"/>
    <n v="81"/>
    <n v="1.0125"/>
    <n v="0.7"/>
    <n v="1.1000000000000001"/>
  </r>
  <r>
    <n v="754"/>
    <x v="0"/>
    <s v="East"/>
    <s v="Major Market"/>
    <s v="Decaf Espresso"/>
    <s v="Espresso"/>
    <s v="Florida"/>
    <s v="Decaf"/>
    <n v="70"/>
    <n v="100"/>
    <n v="60"/>
    <n v="170"/>
    <n v="77"/>
    <n v="432"/>
    <n v="103"/>
    <n v="25"/>
    <n v="50"/>
    <n v="180"/>
    <n v="1.0588235294117647"/>
    <n v="0.83333333333333337"/>
    <n v="1.1000000000000001"/>
  </r>
  <r>
    <n v="239"/>
    <x v="0"/>
    <s v="East"/>
    <s v="Major Market"/>
    <s v="Caffe Mocha"/>
    <s v="Espresso"/>
    <s v="Florida"/>
    <s v="Regular"/>
    <n v="70"/>
    <n v="110"/>
    <n v="30"/>
    <n v="180"/>
    <n v="79"/>
    <n v="551"/>
    <n v="111"/>
    <n v="72"/>
    <n v="9"/>
    <n v="190"/>
    <n v="1.0555555555555556"/>
    <n v="0.3"/>
    <n v="1.1285714285714286"/>
  </r>
  <r>
    <n v="754"/>
    <x v="0"/>
    <s v="East"/>
    <s v="Major Market"/>
    <s v="Decaf Irish Cream"/>
    <s v="Coffee"/>
    <s v="Florida"/>
    <s v="Decaf"/>
    <n v="80"/>
    <n v="110"/>
    <n v="70"/>
    <n v="190"/>
    <n v="84"/>
    <n v="500"/>
    <n v="116"/>
    <n v="26"/>
    <n v="67"/>
    <n v="200"/>
    <n v="1.0526315789473684"/>
    <n v="0.95714285714285718"/>
    <n v="1.05"/>
  </r>
  <r>
    <n v="954"/>
    <x v="0"/>
    <s v="East"/>
    <s v="Major Market"/>
    <s v="Columbian"/>
    <s v="Coffee"/>
    <s v="Florida"/>
    <s v="Regular"/>
    <n v="80"/>
    <n v="110"/>
    <n v="70"/>
    <n v="190"/>
    <n v="84"/>
    <n v="651"/>
    <n v="126"/>
    <n v="27"/>
    <n v="68"/>
    <n v="210"/>
    <n v="1.1052631578947369"/>
    <n v="0.97142857142857142"/>
    <n v="1.05"/>
  </r>
  <r>
    <n v="863"/>
    <x v="0"/>
    <s v="East"/>
    <s v="Major Market"/>
    <s v="Chamomile"/>
    <s v="Herbal Tea"/>
    <s v="Florida"/>
    <s v="Decaf"/>
    <n v="30"/>
    <n v="50"/>
    <n v="30"/>
    <n v="80"/>
    <n v="48"/>
    <n v="623"/>
    <n v="62"/>
    <n v="15"/>
    <n v="34"/>
    <n v="110"/>
    <n v="1.375"/>
    <n v="1.1333333333333333"/>
    <n v="1.6"/>
  </r>
  <r>
    <n v="239"/>
    <x v="0"/>
    <s v="East"/>
    <s v="Major Market"/>
    <s v="Lemon"/>
    <s v="Herbal Tea"/>
    <s v="Florida"/>
    <s v="Decaf"/>
    <n v="40"/>
    <n v="50"/>
    <n v="20"/>
    <n v="90"/>
    <n v="54"/>
    <n v="312"/>
    <n v="66"/>
    <n v="20"/>
    <n v="13"/>
    <n v="120"/>
    <n v="1.3333333333333333"/>
    <n v="0.65"/>
    <n v="1.35"/>
  </r>
  <r>
    <n v="772"/>
    <x v="0"/>
    <s v="East"/>
    <s v="Major Market"/>
    <s v="Mint"/>
    <s v="Herbal Tea"/>
    <s v="Florida"/>
    <s v="Decaf"/>
    <n v="50"/>
    <n v="60"/>
    <n v="40"/>
    <n v="110"/>
    <n v="69"/>
    <n v="965"/>
    <n v="81"/>
    <n v="21"/>
    <n v="39"/>
    <n v="150"/>
    <n v="1.3636363636363635"/>
    <n v="0.97499999999999998"/>
    <n v="1.38"/>
  </r>
  <r>
    <n v="508"/>
    <x v="0"/>
    <s v="East"/>
    <s v="Major Market"/>
    <s v="Darjeeling"/>
    <s v="Tea"/>
    <s v="Massachusetts"/>
    <s v="Regular"/>
    <n v="30"/>
    <n v="50"/>
    <n v="40"/>
    <n v="80"/>
    <n v="32"/>
    <n v="821"/>
    <n v="48"/>
    <n v="8"/>
    <n v="29"/>
    <n v="80"/>
    <n v="1"/>
    <n v="0.72499999999999998"/>
    <n v="1.0666666666666667"/>
  </r>
  <r>
    <n v="781"/>
    <x v="0"/>
    <s v="East"/>
    <s v="Major Market"/>
    <s v="Green Tea"/>
    <s v="Tea"/>
    <s v="Massachusetts"/>
    <s v="Regular"/>
    <n v="30"/>
    <n v="50"/>
    <n v="40"/>
    <n v="80"/>
    <n v="32"/>
    <n v="456"/>
    <n v="48"/>
    <n v="8"/>
    <n v="29"/>
    <n v="80"/>
    <n v="1"/>
    <n v="0.72499999999999998"/>
    <n v="1.0666666666666667"/>
  </r>
  <r>
    <n v="978"/>
    <x v="0"/>
    <s v="East"/>
    <s v="Major Market"/>
    <s v="Regular Espresso"/>
    <s v="Espresso"/>
    <s v="Massachusetts"/>
    <s v="Regular"/>
    <n v="160"/>
    <n v="170"/>
    <n v="110"/>
    <n v="330"/>
    <n v="170"/>
    <n v="1091"/>
    <n v="171"/>
    <n v="47"/>
    <n v="100"/>
    <n v="341"/>
    <n v="1.0333333333333334"/>
    <n v="0.90909090909090906"/>
    <n v="1.0625"/>
  </r>
  <r>
    <n v="781"/>
    <x v="0"/>
    <s v="East"/>
    <s v="Major Market"/>
    <s v="Caffe Mocha"/>
    <s v="Espresso"/>
    <s v="Massachusetts"/>
    <s v="Regular"/>
    <n v="60"/>
    <n v="60"/>
    <n v="-10"/>
    <n v="120"/>
    <n v="63"/>
    <n v="435"/>
    <n v="63"/>
    <n v="57"/>
    <n v="-23"/>
    <n v="126"/>
    <n v="1.05"/>
    <n v="2.2999999999999998"/>
    <n v="1.05"/>
  </r>
  <r>
    <n v="413"/>
    <x v="0"/>
    <s v="East"/>
    <s v="Major Market"/>
    <s v="Columbian"/>
    <s v="Coffee"/>
    <s v="Massachusetts"/>
    <s v="Regular"/>
    <n v="60"/>
    <n v="400"/>
    <n v="360"/>
    <n v="460"/>
    <n v="72"/>
    <n v="558"/>
    <n v="422"/>
    <n v="23"/>
    <n v="367"/>
    <n v="494"/>
    <n v="1.0739130434782609"/>
    <n v="1.0194444444444444"/>
    <n v="1.2"/>
  </r>
  <r>
    <n v="339"/>
    <x v="0"/>
    <s v="East"/>
    <s v="Major Market"/>
    <s v="Lemon"/>
    <s v="Herbal Tea"/>
    <s v="Massachusetts"/>
    <s v="Decaf"/>
    <n v="40"/>
    <n v="60"/>
    <n v="30"/>
    <n v="100"/>
    <n v="58"/>
    <n v="338"/>
    <n v="72"/>
    <n v="22"/>
    <n v="17"/>
    <n v="130"/>
    <n v="1.3"/>
    <n v="0.56666666666666665"/>
    <n v="1.45"/>
  </r>
  <r>
    <n v="603"/>
    <x v="0"/>
    <s v="East"/>
    <s v="Small Market"/>
    <s v="Darjeeling"/>
    <s v="Tea"/>
    <s v="New Hampshire"/>
    <s v="Regular"/>
    <n v="10"/>
    <n v="30"/>
    <n v="20"/>
    <n v="40"/>
    <n v="18"/>
    <n v="821"/>
    <n v="27"/>
    <n v="5"/>
    <n v="10"/>
    <n v="45"/>
    <n v="1.125"/>
    <n v="0.5"/>
    <n v="1.8"/>
  </r>
  <r>
    <n v="603"/>
    <x v="0"/>
    <s v="East"/>
    <s v="Small Market"/>
    <s v="Green Tea"/>
    <s v="Tea"/>
    <s v="New Hampshire"/>
    <s v="Regular"/>
    <n v="10"/>
    <n v="30"/>
    <n v="20"/>
    <n v="40"/>
    <n v="17"/>
    <n v="777"/>
    <n v="26"/>
    <n v="4"/>
    <n v="11"/>
    <n v="43"/>
    <n v="1.075"/>
    <n v="0.55000000000000004"/>
    <n v="1.7"/>
  </r>
  <r>
    <n v="603"/>
    <x v="0"/>
    <s v="East"/>
    <s v="Small Market"/>
    <s v="Regular Espresso"/>
    <s v="Espresso"/>
    <s v="New Hampshire"/>
    <s v="Regular"/>
    <n v="20"/>
    <n v="40"/>
    <n v="0"/>
    <n v="60"/>
    <n v="29"/>
    <n v="169"/>
    <n v="36"/>
    <n v="11"/>
    <n v="-8"/>
    <n v="65"/>
    <n v="1.0833333333333333"/>
    <m/>
    <n v="1.45"/>
  </r>
  <r>
    <n v="603"/>
    <x v="0"/>
    <s v="East"/>
    <s v="Small Market"/>
    <s v="Caffe Mocha"/>
    <s v="Espresso"/>
    <s v="New Hampshire"/>
    <s v="Regular"/>
    <n v="30"/>
    <n v="50"/>
    <n v="0"/>
    <n v="80"/>
    <n v="37"/>
    <n v="261"/>
    <n v="53"/>
    <n v="34"/>
    <n v="-10"/>
    <n v="90"/>
    <n v="1.125"/>
    <m/>
    <n v="1.2333333333333334"/>
  </r>
  <r>
    <n v="603"/>
    <x v="0"/>
    <s v="East"/>
    <s v="Small Market"/>
    <s v="Amaretto"/>
    <s v="Coffee"/>
    <s v="New Hampshire"/>
    <s v="Regular"/>
    <n v="30"/>
    <n v="50"/>
    <n v="30"/>
    <n v="80"/>
    <n v="38"/>
    <n v="241"/>
    <n v="55"/>
    <n v="12"/>
    <n v="20"/>
    <n v="93"/>
    <n v="1.1625000000000001"/>
    <n v="0.66666666666666663"/>
    <n v="1.2666666666666666"/>
  </r>
  <r>
    <n v="603"/>
    <x v="0"/>
    <s v="East"/>
    <s v="Small Market"/>
    <s v="Columbian"/>
    <s v="Coffee"/>
    <s v="New Hampshire"/>
    <s v="Regular"/>
    <n v="40"/>
    <n v="70"/>
    <n v="40"/>
    <n v="110"/>
    <n v="48"/>
    <n v="372"/>
    <n v="72"/>
    <n v="15"/>
    <n v="25"/>
    <n v="120"/>
    <n v="1.0909090909090908"/>
    <n v="0.625"/>
    <n v="1.2"/>
  </r>
  <r>
    <n v="603"/>
    <x v="0"/>
    <s v="East"/>
    <s v="Small Market"/>
    <s v="Lemon"/>
    <s v="Herbal Tea"/>
    <s v="New Hampshire"/>
    <s v="Decaf"/>
    <n v="20"/>
    <n v="30"/>
    <n v="0"/>
    <n v="50"/>
    <n v="34"/>
    <n v="197"/>
    <n v="42"/>
    <n v="12"/>
    <n v="-4"/>
    <n v="76"/>
    <n v="1.52"/>
    <m/>
    <n v="1.7"/>
  </r>
  <r>
    <n v="347"/>
    <x v="0"/>
    <s v="East"/>
    <s v="Major Market"/>
    <s v="Darjeeling"/>
    <s v="Tea"/>
    <s v="New York"/>
    <s v="Regular"/>
    <n v="100"/>
    <n v="150"/>
    <n v="120"/>
    <n v="250"/>
    <n v="95"/>
    <n v="821"/>
    <n v="139"/>
    <n v="26"/>
    <n v="101"/>
    <n v="234"/>
    <n v="0.93600000000000005"/>
    <n v="0.84166666666666667"/>
    <n v="0.95"/>
  </r>
  <r>
    <n v="646"/>
    <x v="0"/>
    <s v="East"/>
    <s v="Major Market"/>
    <s v="Earl Grey"/>
    <s v="Tea"/>
    <s v="New York"/>
    <s v="Regular"/>
    <n v="90"/>
    <n v="140"/>
    <n v="110"/>
    <n v="230"/>
    <n v="89"/>
    <n v="777"/>
    <n v="130"/>
    <n v="24"/>
    <n v="94"/>
    <n v="219"/>
    <n v="0.95217391304347831"/>
    <n v="0.8545454545454545"/>
    <n v="0.98888888888888893"/>
  </r>
  <r>
    <n v="347"/>
    <x v="0"/>
    <s v="East"/>
    <s v="Major Market"/>
    <s v="Green Tea"/>
    <s v="Tea"/>
    <s v="New York"/>
    <s v="Regular"/>
    <n v="50"/>
    <n v="90"/>
    <n v="70"/>
    <n v="140"/>
    <n v="54"/>
    <n v="456"/>
    <n v="80"/>
    <n v="15"/>
    <n v="54"/>
    <n v="134"/>
    <n v="0.95714285714285718"/>
    <n v="0.77142857142857146"/>
    <n v="1.08"/>
  </r>
  <r>
    <n v="631"/>
    <x v="0"/>
    <s v="East"/>
    <s v="Major Market"/>
    <s v="Regular Espresso"/>
    <s v="Espresso"/>
    <s v="New York"/>
    <s v="Regular"/>
    <n v="210"/>
    <n v="270"/>
    <n v="200"/>
    <n v="480"/>
    <n v="228"/>
    <n v="1459"/>
    <n v="262"/>
    <n v="63"/>
    <n v="175"/>
    <n v="490"/>
    <n v="1.0208333333333333"/>
    <n v="0.875"/>
    <n v="1.0857142857142856"/>
  </r>
  <r>
    <n v="315"/>
    <x v="0"/>
    <s v="East"/>
    <s v="Major Market"/>
    <s v="Caffe Mocha"/>
    <s v="Espresso"/>
    <s v="New York"/>
    <s v="Regular"/>
    <n v="100"/>
    <n v="-50"/>
    <n v="-170"/>
    <n v="50"/>
    <n v="105"/>
    <n v="725"/>
    <n v="-44"/>
    <n v="95"/>
    <n v="-172"/>
    <n v="61"/>
    <n v="1.22"/>
    <n v="1.0117647058823529"/>
    <n v="1.05"/>
  </r>
  <r>
    <n v="716"/>
    <x v="0"/>
    <s v="East"/>
    <s v="Major Market"/>
    <s v="Columbian"/>
    <s v="Coffee"/>
    <s v="New York"/>
    <s v="Regular"/>
    <n v="260"/>
    <n v="380"/>
    <n v="260"/>
    <n v="640"/>
    <n v="271"/>
    <n v="2101"/>
    <n v="407"/>
    <n v="94"/>
    <n v="262"/>
    <n v="678"/>
    <n v="1.059375"/>
    <n v="1.0076923076923077"/>
    <n v="1.0423076923076924"/>
  </r>
  <r>
    <n v="607"/>
    <x v="0"/>
    <s v="East"/>
    <s v="Major Market"/>
    <s v="Lemon"/>
    <s v="Herbal Tea"/>
    <s v="New York"/>
    <s v="Decaf"/>
    <n v="180"/>
    <n v="190"/>
    <n v="100"/>
    <n v="370"/>
    <n v="245"/>
    <n v="1419"/>
    <n v="238"/>
    <n v="93"/>
    <n v="111"/>
    <n v="483"/>
    <n v="1.3054054054054054"/>
    <n v="1.1100000000000001"/>
    <n v="1.3611111111111112"/>
  </r>
  <r>
    <n v="845"/>
    <x v="0"/>
    <s v="East"/>
    <s v="Major Market"/>
    <s v="Mint"/>
    <s v="Herbal Tea"/>
    <s v="New York"/>
    <s v="Decaf"/>
    <n v="150"/>
    <n v="-10"/>
    <n v="-70"/>
    <n v="140"/>
    <n v="207"/>
    <n v="965"/>
    <n v="-27"/>
    <n v="64"/>
    <n v="-113"/>
    <n v="180"/>
    <n v="1.2857142857142858"/>
    <n v="1.6142857142857143"/>
    <n v="1.38"/>
  </r>
  <r>
    <n v="337"/>
    <x v="0"/>
    <s v="South"/>
    <s v="Small Market"/>
    <s v="Caffe Mocha"/>
    <s v="Espresso"/>
    <s v="Louisiana"/>
    <s v="Regular"/>
    <n v="50"/>
    <n v="100"/>
    <n v="80"/>
    <n v="150"/>
    <n v="67"/>
    <n v="400"/>
    <n v="113"/>
    <n v="20"/>
    <n v="70"/>
    <n v="180"/>
    <n v="1.2"/>
    <n v="0.875"/>
    <n v="1.34"/>
  </r>
  <r>
    <n v="337"/>
    <x v="0"/>
    <s v="South"/>
    <s v="Small Market"/>
    <s v="Decaf Espresso"/>
    <s v="Espresso"/>
    <s v="Louisiana"/>
    <s v="Decaf"/>
    <n v="50"/>
    <n v="70"/>
    <n v="50"/>
    <n v="120"/>
    <n v="61"/>
    <n v="390"/>
    <n v="89"/>
    <n v="19"/>
    <n v="48"/>
    <n v="150"/>
    <n v="1.25"/>
    <n v="0.96"/>
    <n v="1.22"/>
  </r>
  <r>
    <n v="337"/>
    <x v="0"/>
    <s v="South"/>
    <s v="Small Market"/>
    <s v="Chamomile"/>
    <s v="Herbal Tea"/>
    <s v="Louisiana"/>
    <s v="Decaf"/>
    <n v="40"/>
    <n v="60"/>
    <n v="40"/>
    <n v="100"/>
    <n v="49"/>
    <n v="623"/>
    <n v="63"/>
    <n v="16"/>
    <n v="35"/>
    <n v="112"/>
    <n v="1.1200000000000001"/>
    <n v="0.875"/>
    <n v="1.2250000000000001"/>
  </r>
  <r>
    <n v="504"/>
    <x v="0"/>
    <s v="South"/>
    <s v="Small Market"/>
    <s v="Lemon"/>
    <s v="Herbal Tea"/>
    <s v="Louisiana"/>
    <s v="Decaf"/>
    <n v="80"/>
    <n v="100"/>
    <n v="40"/>
    <n v="180"/>
    <n v="85"/>
    <n v="494"/>
    <n v="105"/>
    <n v="32"/>
    <n v="40"/>
    <n v="190"/>
    <n v="1.0555555555555556"/>
    <n v="1"/>
    <n v="1.0625"/>
  </r>
  <r>
    <n v="504"/>
    <x v="0"/>
    <s v="South"/>
    <s v="Small Market"/>
    <s v="Caffe Latte"/>
    <s v="Espresso"/>
    <s v="Louisiana"/>
    <s v="Regular"/>
    <n v="60"/>
    <n v="90"/>
    <n v="10"/>
    <n v="150"/>
    <n v="75"/>
    <n v="522"/>
    <n v="105"/>
    <n v="68"/>
    <n v="8"/>
    <n v="180"/>
    <n v="1.2"/>
    <n v="0.8"/>
    <n v="1.25"/>
  </r>
  <r>
    <n v="225"/>
    <x v="0"/>
    <s v="South"/>
    <s v="Small Market"/>
    <s v="Columbian"/>
    <s v="Coffee"/>
    <s v="Louisiana"/>
    <s v="Regular"/>
    <n v="40"/>
    <n v="60"/>
    <n v="50"/>
    <n v="100"/>
    <n v="34"/>
    <n v="777"/>
    <n v="51"/>
    <n v="9"/>
    <n v="30"/>
    <n v="85"/>
    <n v="0.85"/>
    <n v="0.6"/>
    <n v="0.85"/>
  </r>
  <r>
    <n v="985"/>
    <x v="0"/>
    <s v="South"/>
    <s v="Small Market"/>
    <s v="Decaf Irish Cream"/>
    <s v="Coffee"/>
    <s v="Louisiana"/>
    <s v="Decaf"/>
    <n v="40"/>
    <n v="60"/>
    <n v="50"/>
    <n v="100"/>
    <n v="33"/>
    <n v="777"/>
    <n v="48"/>
    <n v="9"/>
    <n v="28"/>
    <n v="81"/>
    <n v="0.81"/>
    <n v="0.56000000000000005"/>
    <n v="0.82499999999999996"/>
  </r>
  <r>
    <n v="505"/>
    <x v="0"/>
    <s v="South"/>
    <s v="Small Market"/>
    <s v="Caffe Mocha"/>
    <s v="Espresso"/>
    <s v="New Mexico"/>
    <s v="Regular"/>
    <n v="30"/>
    <n v="40"/>
    <n v="-10"/>
    <n v="70"/>
    <n v="37"/>
    <n v="261"/>
    <n v="53"/>
    <n v="34"/>
    <n v="-10"/>
    <n v="90"/>
    <n v="1.2857142857142858"/>
    <n v="1"/>
    <n v="1.2333333333333334"/>
  </r>
  <r>
    <n v="505"/>
    <x v="0"/>
    <s v="South"/>
    <s v="Small Market"/>
    <s v="Decaf Espresso"/>
    <s v="Espresso"/>
    <s v="New Mexico"/>
    <s v="Decaf"/>
    <n v="30"/>
    <n v="40"/>
    <n v="10"/>
    <n v="70"/>
    <n v="35"/>
    <n v="196"/>
    <n v="47"/>
    <n v="11"/>
    <n v="9"/>
    <n v="82"/>
    <n v="1.1714285714285715"/>
    <n v="0.9"/>
    <n v="1.1666666666666667"/>
  </r>
  <r>
    <n v="505"/>
    <x v="0"/>
    <s v="South"/>
    <s v="Small Market"/>
    <s v="Chamomile"/>
    <s v="Herbal Tea"/>
    <s v="New Mexico"/>
    <s v="Decaf"/>
    <n v="10"/>
    <n v="30"/>
    <n v="20"/>
    <n v="40"/>
    <n v="18"/>
    <n v="821"/>
    <n v="27"/>
    <n v="5"/>
    <n v="11"/>
    <n v="45"/>
    <n v="1.125"/>
    <n v="0.55000000000000004"/>
    <n v="1.8"/>
  </r>
  <r>
    <n v="505"/>
    <x v="0"/>
    <s v="South"/>
    <s v="Small Market"/>
    <s v="Lemon"/>
    <s v="Herbal Tea"/>
    <s v="New Mexico"/>
    <s v="Decaf"/>
    <n v="20"/>
    <n v="40"/>
    <n v="20"/>
    <n v="60"/>
    <n v="28"/>
    <n v="965"/>
    <n v="34"/>
    <n v="8"/>
    <n v="4"/>
    <n v="62"/>
    <n v="1.0333333333333334"/>
    <n v="0.2"/>
    <n v="1.4"/>
  </r>
  <r>
    <n v="505"/>
    <x v="0"/>
    <s v="South"/>
    <s v="Small Market"/>
    <s v="Caffe Latte"/>
    <s v="Espresso"/>
    <s v="New Mexico"/>
    <s v="Regular"/>
    <n v="20"/>
    <n v="30"/>
    <n v="0"/>
    <n v="50"/>
    <n v="29"/>
    <n v="169"/>
    <n v="36"/>
    <n v="11"/>
    <n v="-8"/>
    <n v="65"/>
    <n v="1.3"/>
    <m/>
    <n v="1.45"/>
  </r>
  <r>
    <n v="505"/>
    <x v="0"/>
    <s v="South"/>
    <s v="Small Market"/>
    <s v="Columbian"/>
    <s v="Coffee"/>
    <s v="New Mexico"/>
    <s v="Regular"/>
    <n v="60"/>
    <n v="90"/>
    <n v="50"/>
    <n v="150"/>
    <n v="48"/>
    <n v="372"/>
    <n v="72"/>
    <n v="15"/>
    <n v="26"/>
    <n v="120"/>
    <n v="0.8"/>
    <n v="0.52"/>
    <n v="0.8"/>
  </r>
  <r>
    <n v="505"/>
    <x v="0"/>
    <s v="South"/>
    <s v="Small Market"/>
    <s v="Decaf Irish Cream"/>
    <s v="Coffee"/>
    <s v="New Mexico"/>
    <s v="Decaf"/>
    <n v="110"/>
    <n v="10"/>
    <n v="-30"/>
    <n v="120"/>
    <n v="88"/>
    <n v="525"/>
    <n v="11"/>
    <n v="27"/>
    <n v="-39"/>
    <n v="99"/>
    <n v="0.82499999999999996"/>
    <n v="1.3"/>
    <n v="0.8"/>
  </r>
  <r>
    <n v="405"/>
    <x v="0"/>
    <s v="South"/>
    <s v="Small Market"/>
    <s v="Caffe Mocha"/>
    <s v="Espresso"/>
    <s v="Oklahoma"/>
    <s v="Regular"/>
    <n v="20"/>
    <n v="40"/>
    <n v="40"/>
    <n v="60"/>
    <n v="32"/>
    <n v="456"/>
    <n v="48"/>
    <n v="8"/>
    <n v="28"/>
    <n v="80"/>
    <n v="1.3333333333333333"/>
    <n v="0.7"/>
    <n v="1.6"/>
  </r>
  <r>
    <n v="405"/>
    <x v="0"/>
    <s v="South"/>
    <s v="Small Market"/>
    <s v="Decaf Espresso"/>
    <s v="Espresso"/>
    <s v="Oklahoma"/>
    <s v="Decaf"/>
    <n v="70"/>
    <n v="110"/>
    <n v="70"/>
    <n v="180"/>
    <n v="84"/>
    <n v="651"/>
    <n v="126"/>
    <n v="27"/>
    <n v="67"/>
    <n v="210"/>
    <n v="1.1666666666666667"/>
    <n v="0.95714285714285718"/>
    <n v="1.2"/>
  </r>
  <r>
    <n v="918"/>
    <x v="0"/>
    <s v="South"/>
    <s v="Small Market"/>
    <s v="Chamomile"/>
    <s v="Herbal Tea"/>
    <s v="Oklahoma"/>
    <s v="Decaf"/>
    <n v="50"/>
    <n v="60"/>
    <n v="20"/>
    <n v="110"/>
    <n v="54"/>
    <n v="312"/>
    <n v="66"/>
    <n v="20"/>
    <n v="13"/>
    <n v="120"/>
    <n v="1.0909090909090908"/>
    <n v="0.65"/>
    <n v="1.08"/>
  </r>
  <r>
    <n v="580"/>
    <x v="0"/>
    <s v="South"/>
    <s v="Small Market"/>
    <s v="Lemon"/>
    <s v="Herbal Tea"/>
    <s v="Oklahoma"/>
    <s v="Decaf"/>
    <n v="70"/>
    <n v="110"/>
    <n v="30"/>
    <n v="180"/>
    <n v="79"/>
    <n v="551"/>
    <n v="111"/>
    <n v="72"/>
    <n v="10"/>
    <n v="190"/>
    <n v="1.0555555555555556"/>
    <n v="0.33333333333333331"/>
    <n v="1.1285714285714286"/>
  </r>
  <r>
    <n v="405"/>
    <x v="0"/>
    <s v="South"/>
    <s v="Small Market"/>
    <s v="Caffe Latte"/>
    <s v="Espresso"/>
    <s v="Oklahoma"/>
    <s v="Regular"/>
    <n v="70"/>
    <n v="100"/>
    <n v="70"/>
    <n v="170"/>
    <n v="84"/>
    <n v="500"/>
    <n v="116"/>
    <n v="26"/>
    <n v="66"/>
    <n v="200"/>
    <n v="1.1764705882352942"/>
    <n v="0.94285714285714284"/>
    <n v="1.2"/>
  </r>
  <r>
    <n v="580"/>
    <x v="0"/>
    <s v="South"/>
    <s v="Small Market"/>
    <s v="Columbian"/>
    <s v="Coffee"/>
    <s v="Oklahoma"/>
    <s v="Regular"/>
    <n v="50"/>
    <n v="70"/>
    <n v="50"/>
    <n v="120"/>
    <n v="44"/>
    <n v="623"/>
    <n v="56"/>
    <n v="14"/>
    <n v="29"/>
    <n v="100"/>
    <n v="0.83333333333333337"/>
    <n v="0.57999999999999996"/>
    <n v="0.88"/>
  </r>
  <r>
    <n v="580"/>
    <x v="0"/>
    <s v="South"/>
    <s v="Small Market"/>
    <s v="Decaf Irish Cream"/>
    <s v="Coffee"/>
    <s v="Oklahoma"/>
    <s v="Decaf"/>
    <n v="40"/>
    <n v="60"/>
    <n v="50"/>
    <n v="100"/>
    <n v="32"/>
    <n v="821"/>
    <n v="48"/>
    <n v="8"/>
    <n v="28"/>
    <n v="80"/>
    <n v="0.8"/>
    <n v="0.56000000000000005"/>
    <n v="0.8"/>
  </r>
  <r>
    <n v="325"/>
    <x v="0"/>
    <s v="South"/>
    <s v="Major Market"/>
    <s v="Caffe Mocha"/>
    <s v="Espresso"/>
    <s v="Texas"/>
    <s v="Regular"/>
    <n v="70"/>
    <n v="110"/>
    <n v="90"/>
    <n v="180"/>
    <n v="89"/>
    <n v="777"/>
    <n v="130"/>
    <n v="24"/>
    <n v="95"/>
    <n v="219"/>
    <n v="1.2166666666666666"/>
    <n v="1.0555555555555556"/>
    <n v="1.2714285714285714"/>
  </r>
  <r>
    <n v="956"/>
    <x v="0"/>
    <s v="South"/>
    <s v="Major Market"/>
    <s v="Decaf Espresso"/>
    <s v="Espresso"/>
    <s v="Texas"/>
    <s v="Decaf"/>
    <n v="40"/>
    <n v="70"/>
    <n v="60"/>
    <n v="110"/>
    <n v="54"/>
    <n v="456"/>
    <n v="80"/>
    <n v="15"/>
    <n v="54"/>
    <n v="134"/>
    <n v="1.2181818181818183"/>
    <n v="0.9"/>
    <n v="1.35"/>
  </r>
  <r>
    <n v="281"/>
    <x v="0"/>
    <s v="South"/>
    <s v="Major Market"/>
    <s v="Chamomile"/>
    <s v="Herbal Tea"/>
    <s v="Texas"/>
    <s v="Decaf"/>
    <n v="50"/>
    <n v="80"/>
    <n v="50"/>
    <n v="130"/>
    <n v="60"/>
    <n v="336"/>
    <n v="80"/>
    <n v="19"/>
    <n v="33"/>
    <n v="140"/>
    <n v="1.0769230769230769"/>
    <n v="0.66"/>
    <n v="1.2"/>
  </r>
  <r>
    <n v="254"/>
    <x v="0"/>
    <s v="South"/>
    <s v="Major Market"/>
    <s v="Lemon"/>
    <s v="Herbal Tea"/>
    <s v="Texas"/>
    <s v="Decaf"/>
    <n v="50"/>
    <n v="80"/>
    <n v="50"/>
    <n v="130"/>
    <n v="57"/>
    <n v="364"/>
    <n v="83"/>
    <n v="18"/>
    <n v="42"/>
    <n v="140"/>
    <n v="1.0769230769230769"/>
    <n v="0.84"/>
    <n v="1.1399999999999999"/>
  </r>
  <r>
    <n v="830"/>
    <x v="0"/>
    <s v="South"/>
    <s v="Major Market"/>
    <s v="Caffe Latte"/>
    <s v="Espresso"/>
    <s v="Texas"/>
    <s v="Regular"/>
    <n v="60"/>
    <n v="90"/>
    <n v="50"/>
    <n v="150"/>
    <n v="72"/>
    <n v="558"/>
    <n v="108"/>
    <n v="23"/>
    <n v="53"/>
    <n v="180"/>
    <n v="1.2"/>
    <n v="1.06"/>
    <n v="1.2"/>
  </r>
  <r>
    <n v="409"/>
    <x v="0"/>
    <s v="South"/>
    <s v="Major Market"/>
    <s v="Columbian"/>
    <s v="Coffee"/>
    <s v="Texas"/>
    <s v="Regular"/>
    <n v="260"/>
    <n v="300"/>
    <n v="220"/>
    <n v="560"/>
    <n v="207"/>
    <n v="965"/>
    <n v="245"/>
    <n v="64"/>
    <n v="159"/>
    <n v="452"/>
    <n v="0.80714285714285716"/>
    <n v="0.72272727272727277"/>
    <n v="0.7961538461538461"/>
  </r>
  <r>
    <n v="325"/>
    <x v="0"/>
    <s v="South"/>
    <s v="Major Market"/>
    <s v="Decaf Irish Cream"/>
    <s v="Coffee"/>
    <s v="Texas"/>
    <s v="Decaf"/>
    <n v="100"/>
    <n v="130"/>
    <n v="100"/>
    <n v="230"/>
    <n v="83"/>
    <n v="623"/>
    <n v="107"/>
    <n v="27"/>
    <n v="68"/>
    <n v="190"/>
    <n v="0.82608695652173914"/>
    <n v="0.68"/>
    <n v="0.83"/>
  </r>
  <r>
    <n v="435"/>
    <x v="0"/>
    <s v="West"/>
    <s v="Small Market"/>
    <s v="Caffe Latte"/>
    <s v="Espresso"/>
    <s v="Utah"/>
    <s v="Regular"/>
    <n v="40"/>
    <n v="60"/>
    <n v="40"/>
    <n v="100"/>
    <n v="46"/>
    <n v="777"/>
    <n v="68"/>
    <n v="12"/>
    <n v="44"/>
    <n v="114"/>
    <n v="1.1399999999999999"/>
    <n v="1.1000000000000001"/>
    <n v="1.1499999999999999"/>
  </r>
  <r>
    <n v="435"/>
    <x v="0"/>
    <s v="West"/>
    <s v="Small Market"/>
    <s v="Caffe Mocha"/>
    <s v="Espresso"/>
    <s v="Utah"/>
    <s v="Regular"/>
    <n v="40"/>
    <n v="60"/>
    <n v="40"/>
    <n v="100"/>
    <n v="49"/>
    <n v="623"/>
    <n v="63"/>
    <n v="16"/>
    <n v="34"/>
    <n v="112"/>
    <n v="1.1200000000000001"/>
    <n v="0.85"/>
    <n v="1.2250000000000001"/>
  </r>
  <r>
    <n v="435"/>
    <x v="0"/>
    <s v="West"/>
    <s v="Small Market"/>
    <s v="Decaf Espresso"/>
    <s v="Espresso"/>
    <s v="Utah"/>
    <s v="Decaf"/>
    <n v="40"/>
    <n v="70"/>
    <n v="50"/>
    <n v="110"/>
    <n v="50"/>
    <n v="821"/>
    <n v="73"/>
    <n v="14"/>
    <n v="47"/>
    <n v="123"/>
    <n v="1.1181818181818182"/>
    <n v="0.94"/>
    <n v="1.25"/>
  </r>
  <r>
    <n v="801"/>
    <x v="0"/>
    <s v="West"/>
    <s v="Small Market"/>
    <s v="Chamomile"/>
    <s v="Herbal Tea"/>
    <s v="Utah"/>
    <s v="Decaf"/>
    <n v="30"/>
    <n v="50"/>
    <n v="30"/>
    <n v="80"/>
    <n v="38"/>
    <n v="241"/>
    <n v="55"/>
    <n v="12"/>
    <n v="21"/>
    <n v="93"/>
    <n v="1.1625000000000001"/>
    <n v="0.7"/>
    <n v="1.2666666666666666"/>
  </r>
  <r>
    <n v="435"/>
    <x v="0"/>
    <s v="West"/>
    <s v="Small Market"/>
    <s v="Lemon"/>
    <s v="Herbal Tea"/>
    <s v="Utah"/>
    <s v="Decaf"/>
    <n v="40"/>
    <n v="60"/>
    <n v="30"/>
    <n v="100"/>
    <n v="48"/>
    <n v="372"/>
    <n v="72"/>
    <n v="15"/>
    <n v="25"/>
    <n v="120"/>
    <n v="1.2"/>
    <n v="0.83333333333333337"/>
    <n v="1.2"/>
  </r>
  <r>
    <n v="435"/>
    <x v="0"/>
    <s v="West"/>
    <s v="Small Market"/>
    <s v="Mint"/>
    <s v="Herbal Tea"/>
    <s v="Utah"/>
    <s v="Decaf"/>
    <n v="70"/>
    <n v="10"/>
    <n v="-30"/>
    <n v="80"/>
    <n v="88"/>
    <n v="525"/>
    <n v="11"/>
    <n v="27"/>
    <n v="-40"/>
    <n v="99"/>
    <n v="1.2375"/>
    <n v="1.3333333333333333"/>
    <n v="1.2571428571428571"/>
  </r>
  <r>
    <n v="435"/>
    <x v="0"/>
    <s v="West"/>
    <s v="Small Market"/>
    <s v="Darjeeling"/>
    <s v="Tea"/>
    <s v="Utah"/>
    <s v="Regular"/>
    <n v="20"/>
    <n v="40"/>
    <n v="0"/>
    <n v="60"/>
    <n v="37"/>
    <n v="261"/>
    <n v="53"/>
    <n v="34"/>
    <n v="-10"/>
    <n v="90"/>
    <n v="1.5"/>
    <m/>
    <n v="1.85"/>
  </r>
  <r>
    <n v="435"/>
    <x v="0"/>
    <s v="West"/>
    <s v="Small Market"/>
    <s v="Earl Grey"/>
    <s v="Tea"/>
    <s v="Utah"/>
    <s v="Regular"/>
    <n v="20"/>
    <n v="30"/>
    <n v="10"/>
    <n v="50"/>
    <n v="35"/>
    <n v="196"/>
    <n v="47"/>
    <n v="11"/>
    <n v="9"/>
    <n v="82"/>
    <n v="1.64"/>
    <n v="0.9"/>
    <n v="1.75"/>
  </r>
  <r>
    <n v="435"/>
    <x v="0"/>
    <s v="West"/>
    <s v="Small Market"/>
    <s v="Green Tea"/>
    <s v="Tea"/>
    <s v="Utah"/>
    <s v="Regular"/>
    <n v="10"/>
    <n v="30"/>
    <n v="10"/>
    <n v="40"/>
    <n v="29"/>
    <n v="169"/>
    <n v="36"/>
    <n v="11"/>
    <n v="-9"/>
    <n v="65"/>
    <n v="1.625"/>
    <n v="-0.9"/>
    <n v="2.9"/>
  </r>
  <r>
    <n v="801"/>
    <x v="0"/>
    <s v="West"/>
    <s v="Small Market"/>
    <s v="Amaretto"/>
    <s v="Coffee"/>
    <s v="Utah"/>
    <s v="Regular"/>
    <n v="90"/>
    <n v="120"/>
    <n v="80"/>
    <n v="210"/>
    <n v="78"/>
    <n v="965"/>
    <n v="92"/>
    <n v="24"/>
    <n v="47"/>
    <n v="170"/>
    <n v="0.80952380952380953"/>
    <n v="0.58750000000000002"/>
    <n v="0.8666666666666667"/>
  </r>
  <r>
    <n v="435"/>
    <x v="0"/>
    <s v="West"/>
    <s v="Small Market"/>
    <s v="Columbian"/>
    <s v="Coffee"/>
    <s v="Utah"/>
    <s v="Regular"/>
    <n v="60"/>
    <n v="100"/>
    <n v="70"/>
    <n v="160"/>
    <n v="55"/>
    <n v="312"/>
    <n v="75"/>
    <n v="18"/>
    <n v="30"/>
    <n v="130"/>
    <n v="0.8125"/>
    <n v="0.42857142857142855"/>
    <n v="0.91666666666666663"/>
  </r>
  <r>
    <n v="801"/>
    <x v="0"/>
    <s v="West"/>
    <s v="Small Market"/>
    <s v="Decaf Irish Cream"/>
    <s v="Coffee"/>
    <s v="Utah"/>
    <s v="Decaf"/>
    <n v="100"/>
    <n v="130"/>
    <n v="70"/>
    <n v="230"/>
    <n v="85"/>
    <n v="494"/>
    <n v="105"/>
    <n v="32"/>
    <n v="39"/>
    <n v="190"/>
    <n v="0.82608695652173914"/>
    <n v="0.55714285714285716"/>
    <n v="0.85"/>
  </r>
  <r>
    <n v="661"/>
    <x v="0"/>
    <s v="West"/>
    <s v="Major Market"/>
    <s v="Caffe Latte"/>
    <s v="Espresso"/>
    <s v="California"/>
    <s v="Regular"/>
    <n v="210"/>
    <n v="220"/>
    <n v="150"/>
    <n v="430"/>
    <n v="228"/>
    <n v="1459"/>
    <n v="228"/>
    <n v="63"/>
    <n v="140"/>
    <n v="456"/>
    <n v="1.0604651162790697"/>
    <n v="0.93333333333333335"/>
    <n v="1.0857142857142856"/>
  </r>
  <r>
    <n v="818"/>
    <x v="0"/>
    <s v="West"/>
    <s v="Major Market"/>
    <s v="Caffe Mocha"/>
    <s v="Espresso"/>
    <s v="California"/>
    <s v="Regular"/>
    <n v="100"/>
    <n v="140"/>
    <n v="20"/>
    <n v="240"/>
    <n v="105"/>
    <n v="725"/>
    <n v="145"/>
    <n v="95"/>
    <n v="17"/>
    <n v="250"/>
    <n v="1.0416666666666667"/>
    <n v="0.85"/>
    <n v="1.05"/>
  </r>
  <r>
    <n v="213"/>
    <x v="0"/>
    <s v="West"/>
    <s v="Major Market"/>
    <s v="Decaf Espresso"/>
    <s v="Espresso"/>
    <s v="California"/>
    <s v="Decaf"/>
    <n v="220"/>
    <n v="300"/>
    <n v="200"/>
    <n v="520"/>
    <n v="234"/>
    <n v="1310"/>
    <n v="312"/>
    <n v="77"/>
    <n v="203"/>
    <n v="546"/>
    <n v="1.05"/>
    <n v="1.0149999999999999"/>
    <n v="1.0636363636363637"/>
  </r>
  <r>
    <n v="510"/>
    <x v="0"/>
    <s v="West"/>
    <s v="Major Market"/>
    <s v="Chamomile"/>
    <s v="Herbal Tea"/>
    <s v="California"/>
    <s v="Decaf"/>
    <n v="80"/>
    <n v="120"/>
    <n v="100"/>
    <n v="200"/>
    <n v="95"/>
    <n v="821"/>
    <n v="139"/>
    <n v="26"/>
    <n v="102"/>
    <n v="234"/>
    <n v="1.17"/>
    <n v="1.02"/>
    <n v="1.1875"/>
  </r>
  <r>
    <n v="310"/>
    <x v="0"/>
    <s v="West"/>
    <s v="Major Market"/>
    <s v="Lemon"/>
    <s v="Herbal Tea"/>
    <s v="California"/>
    <s v="Decaf"/>
    <n v="170"/>
    <n v="220"/>
    <n v="160"/>
    <n v="390"/>
    <n v="207"/>
    <n v="965"/>
    <n v="245"/>
    <n v="64"/>
    <n v="160"/>
    <n v="452"/>
    <n v="1.1589743589743591"/>
    <n v="1"/>
    <n v="1.2176470588235293"/>
  </r>
  <r>
    <n v="707"/>
    <x v="0"/>
    <s v="West"/>
    <s v="Major Market"/>
    <s v="Mint"/>
    <s v="Herbal Tea"/>
    <s v="California"/>
    <s v="Decaf"/>
    <n v="70"/>
    <n v="90"/>
    <n v="60"/>
    <n v="160"/>
    <n v="83"/>
    <n v="623"/>
    <n v="107"/>
    <n v="27"/>
    <n v="67"/>
    <n v="190"/>
    <n v="1.1875"/>
    <n v="1.1166666666666667"/>
    <n v="1.1857142857142857"/>
  </r>
  <r>
    <n v="619"/>
    <x v="0"/>
    <s v="West"/>
    <s v="Major Market"/>
    <s v="Darjeeling"/>
    <s v="Tea"/>
    <s v="California"/>
    <s v="Regular"/>
    <n v="50"/>
    <n v="90"/>
    <n v="80"/>
    <n v="140"/>
    <n v="89"/>
    <n v="777"/>
    <n v="130"/>
    <n v="24"/>
    <n v="94"/>
    <n v="219"/>
    <n v="1.5642857142857143"/>
    <n v="1.175"/>
    <n v="1.78"/>
  </r>
  <r>
    <n v="650"/>
    <x v="0"/>
    <s v="West"/>
    <s v="Major Market"/>
    <s v="Earl Grey"/>
    <s v="Tea"/>
    <s v="California"/>
    <s v="Regular"/>
    <n v="30"/>
    <n v="60"/>
    <n v="60"/>
    <n v="90"/>
    <n v="54"/>
    <n v="456"/>
    <n v="80"/>
    <n v="15"/>
    <n v="54"/>
    <n v="134"/>
    <n v="1.4888888888888889"/>
    <n v="0.9"/>
    <n v="1.8"/>
  </r>
  <r>
    <n v="760"/>
    <x v="0"/>
    <s v="West"/>
    <s v="Major Market"/>
    <s v="Green Tea"/>
    <s v="Tea"/>
    <s v="California"/>
    <s v="Regular"/>
    <n v="40"/>
    <n v="80"/>
    <n v="50"/>
    <n v="120"/>
    <n v="72"/>
    <n v="558"/>
    <n v="108"/>
    <n v="23"/>
    <n v="54"/>
    <n v="180"/>
    <n v="1.5"/>
    <n v="1.08"/>
    <n v="1.8"/>
  </r>
  <r>
    <n v="916"/>
    <x v="0"/>
    <s v="West"/>
    <s v="Major Market"/>
    <s v="Amaretto"/>
    <s v="Coffee"/>
    <s v="California"/>
    <s v="Regular"/>
    <n v="110"/>
    <n v="70"/>
    <n v="30"/>
    <n v="180"/>
    <n v="95"/>
    <n v="608"/>
    <n v="50"/>
    <n v="30"/>
    <n v="-2"/>
    <n v="145"/>
    <n v="0.80555555555555558"/>
    <n v="-6.6666666666666666E-2"/>
    <n v="0.86363636363636365"/>
  </r>
  <r>
    <n v="559"/>
    <x v="0"/>
    <s v="West"/>
    <s v="Major Market"/>
    <s v="Columbian"/>
    <s v="Coffee"/>
    <s v="California"/>
    <s v="Regular"/>
    <n v="340"/>
    <n v="500"/>
    <n v="370"/>
    <n v="840"/>
    <n v="271"/>
    <n v="2101"/>
    <n v="407"/>
    <n v="94"/>
    <n v="262"/>
    <n v="678"/>
    <n v="0.80714285714285716"/>
    <n v="0.70810810810810809"/>
    <n v="0.79705882352941182"/>
  </r>
  <r>
    <n v="650"/>
    <x v="0"/>
    <s v="West"/>
    <s v="Major Market"/>
    <s v="Decaf Irish Cream"/>
    <s v="Coffee"/>
    <s v="California"/>
    <s v="Decaf"/>
    <n v="180"/>
    <n v="-40"/>
    <n v="-120"/>
    <n v="140"/>
    <n v="144"/>
    <n v="862"/>
    <n v="-26"/>
    <n v="47"/>
    <n v="-117"/>
    <n v="118"/>
    <n v="0.84285714285714286"/>
    <n v="0.97499999999999998"/>
    <n v="0.8"/>
  </r>
  <r>
    <n v="775"/>
    <x v="0"/>
    <s v="West"/>
    <s v="Small Market"/>
    <s v="Caffe Latte"/>
    <s v="Espresso"/>
    <s v="Nevada"/>
    <s v="Regular"/>
    <n v="10"/>
    <n v="30"/>
    <n v="20"/>
    <n v="40"/>
    <n v="17"/>
    <n v="777"/>
    <n v="26"/>
    <n v="4"/>
    <n v="11"/>
    <n v="43"/>
    <n v="1.075"/>
    <n v="0.55000000000000004"/>
    <n v="1.7"/>
  </r>
  <r>
    <n v="702"/>
    <x v="0"/>
    <s v="West"/>
    <s v="Small Market"/>
    <s v="Caffe Mocha"/>
    <s v="Espresso"/>
    <s v="Nevada"/>
    <s v="Regular"/>
    <n v="10"/>
    <n v="30"/>
    <n v="20"/>
    <n v="40"/>
    <n v="18"/>
    <n v="821"/>
    <n v="27"/>
    <n v="5"/>
    <n v="10"/>
    <n v="45"/>
    <n v="1.125"/>
    <n v="0.5"/>
    <n v="1.8"/>
  </r>
  <r>
    <n v="775"/>
    <x v="0"/>
    <s v="West"/>
    <s v="Small Market"/>
    <s v="Decaf Espresso"/>
    <s v="Espresso"/>
    <s v="Nevada"/>
    <s v="Decaf"/>
    <n v="10"/>
    <n v="30"/>
    <n v="20"/>
    <n v="40"/>
    <n v="17"/>
    <n v="777"/>
    <n v="26"/>
    <n v="4"/>
    <n v="11"/>
    <n v="43"/>
    <n v="1.075"/>
    <n v="0.55000000000000004"/>
    <n v="1.7"/>
  </r>
  <r>
    <n v="775"/>
    <x v="0"/>
    <s v="West"/>
    <s v="Small Market"/>
    <s v="Decaf Irish Cream"/>
    <s v="Coffee"/>
    <s v="Nevada"/>
    <s v="Decaf"/>
    <n v="30"/>
    <n v="40"/>
    <n v="20"/>
    <n v="70"/>
    <n v="28"/>
    <n v="965"/>
    <n v="34"/>
    <n v="8"/>
    <n v="4"/>
    <n v="62"/>
    <n v="0.88571428571428568"/>
    <n v="0.2"/>
    <n v="0.93333333333333335"/>
  </r>
  <r>
    <n v="702"/>
    <x v="0"/>
    <s v="West"/>
    <s v="Small Market"/>
    <s v="Chamomile"/>
    <s v="Herbal Tea"/>
    <s v="Nevada"/>
    <s v="Decaf"/>
    <n v="90"/>
    <n v="130"/>
    <n v="30"/>
    <n v="220"/>
    <n v="105"/>
    <n v="725"/>
    <n v="145"/>
    <n v="95"/>
    <n v="16"/>
    <n v="250"/>
    <n v="1.1363636363636365"/>
    <n v="0.53333333333333333"/>
    <n v="1.1666666666666667"/>
  </r>
  <r>
    <n v="775"/>
    <x v="0"/>
    <s v="West"/>
    <s v="Small Market"/>
    <s v="Lemon"/>
    <s v="Herbal Tea"/>
    <s v="Nevada"/>
    <s v="Decaf"/>
    <n v="120"/>
    <n v="180"/>
    <n v="120"/>
    <n v="300"/>
    <n v="144"/>
    <n v="862"/>
    <n v="201"/>
    <n v="47"/>
    <n v="111"/>
    <n v="345"/>
    <n v="1.1499999999999999"/>
    <n v="0.92500000000000004"/>
    <n v="1.2"/>
  </r>
  <r>
    <n v="702"/>
    <x v="0"/>
    <s v="West"/>
    <s v="Small Market"/>
    <s v="Mint"/>
    <s v="Herbal Tea"/>
    <s v="Nevada"/>
    <s v="Decaf"/>
    <n v="80"/>
    <n v="120"/>
    <n v="90"/>
    <n v="200"/>
    <n v="95"/>
    <n v="608"/>
    <n v="139"/>
    <n v="30"/>
    <n v="86"/>
    <n v="234"/>
    <n v="1.17"/>
    <n v="0.9555555555555556"/>
    <n v="1.1875"/>
  </r>
  <r>
    <n v="775"/>
    <x v="0"/>
    <s v="West"/>
    <s v="Small Market"/>
    <s v="Darjeeling"/>
    <s v="Tea"/>
    <s v="Nevada"/>
    <s v="Regular"/>
    <n v="150"/>
    <n v="220"/>
    <n v="150"/>
    <n v="370"/>
    <n v="234"/>
    <n v="1310"/>
    <n v="312"/>
    <n v="77"/>
    <n v="203"/>
    <n v="546"/>
    <n v="1.4756756756756757"/>
    <n v="1.3533333333333333"/>
    <n v="1.56"/>
  </r>
  <r>
    <n v="775"/>
    <x v="0"/>
    <s v="West"/>
    <s v="Small Market"/>
    <s v="Earl Grey"/>
    <s v="Tea"/>
    <s v="Nevada"/>
    <s v="Regular"/>
    <n v="150"/>
    <n v="160"/>
    <n v="100"/>
    <n v="310"/>
    <n v="228"/>
    <n v="1459"/>
    <n v="228"/>
    <n v="63"/>
    <n v="141"/>
    <n v="456"/>
    <n v="1.4709677419354839"/>
    <n v="1.41"/>
    <n v="1.52"/>
  </r>
  <r>
    <n v="702"/>
    <x v="0"/>
    <s v="West"/>
    <s v="Small Market"/>
    <s v="Green Tea"/>
    <s v="Tea"/>
    <s v="Nevada"/>
    <s v="Regular"/>
    <n v="160"/>
    <n v="-160"/>
    <n v="-240"/>
    <n v="0"/>
    <n v="245"/>
    <n v="1419"/>
    <n v="-245"/>
    <n v="93"/>
    <n v="-354"/>
    <n v="17"/>
    <m/>
    <n v="1.4750000000000001"/>
    <n v="1.53125"/>
  </r>
  <r>
    <n v="702"/>
    <x v="0"/>
    <s v="West"/>
    <s v="Small Market"/>
    <s v="Columbian"/>
    <s v="Coffee"/>
    <s v="Nevada"/>
    <s v="Regular"/>
    <n v="40"/>
    <n v="50"/>
    <n v="10"/>
    <n v="90"/>
    <n v="34"/>
    <n v="197"/>
    <n v="42"/>
    <n v="12"/>
    <n v="-3"/>
    <n v="76"/>
    <n v="0.84444444444444444"/>
    <n v="-0.3"/>
    <n v="0.85"/>
  </r>
  <r>
    <n v="503"/>
    <x v="0"/>
    <s v="West"/>
    <s v="Small Market"/>
    <s v="Caffe Latte"/>
    <s v="Espresso"/>
    <s v="Oregon"/>
    <s v="Regular"/>
    <n v="50"/>
    <n v="70"/>
    <n v="20"/>
    <n v="120"/>
    <n v="58"/>
    <n v="338"/>
    <n v="72"/>
    <n v="22"/>
    <n v="16"/>
    <n v="130"/>
    <n v="1.0833333333333333"/>
    <n v="0.8"/>
    <n v="1.1599999999999999"/>
  </r>
  <r>
    <n v="503"/>
    <x v="0"/>
    <s v="West"/>
    <s v="Small Market"/>
    <s v="Caffe Mocha"/>
    <s v="Espresso"/>
    <s v="Oregon"/>
    <s v="Regular"/>
    <n v="50"/>
    <n v="80"/>
    <n v="50"/>
    <n v="130"/>
    <n v="60"/>
    <n v="336"/>
    <n v="80"/>
    <n v="19"/>
    <n v="33"/>
    <n v="140"/>
    <n v="1.0769230769230769"/>
    <n v="0.66"/>
    <n v="1.2"/>
  </r>
  <r>
    <n v="971"/>
    <x v="0"/>
    <s v="West"/>
    <s v="Small Market"/>
    <s v="Decaf Espresso"/>
    <s v="Espresso"/>
    <s v="Oregon"/>
    <s v="Decaf"/>
    <n v="160"/>
    <n v="160"/>
    <n v="100"/>
    <n v="320"/>
    <n v="170"/>
    <n v="1091"/>
    <n v="171"/>
    <n v="47"/>
    <n v="99"/>
    <n v="341"/>
    <n v="1.065625"/>
    <n v="0.99"/>
    <n v="1.0625"/>
  </r>
  <r>
    <n v="971"/>
    <x v="0"/>
    <s v="West"/>
    <s v="Small Market"/>
    <s v="Decaf Irish Cream"/>
    <s v="Coffee"/>
    <s v="Oregon"/>
    <s v="Decaf"/>
    <n v="70"/>
    <n v="100"/>
    <n v="70"/>
    <n v="170"/>
    <n v="57"/>
    <n v="364"/>
    <n v="83"/>
    <n v="18"/>
    <n v="42"/>
    <n v="140"/>
    <n v="0.82352941176470584"/>
    <n v="0.6"/>
    <n v="0.81428571428571428"/>
  </r>
  <r>
    <n v="971"/>
    <x v="0"/>
    <s v="West"/>
    <s v="Small Market"/>
    <s v="Chamomile"/>
    <s v="Herbal Tea"/>
    <s v="Oregon"/>
    <s v="Decaf"/>
    <n v="30"/>
    <n v="40"/>
    <n v="40"/>
    <n v="70"/>
    <n v="36"/>
    <n v="777"/>
    <n v="54"/>
    <n v="10"/>
    <n v="33"/>
    <n v="90"/>
    <n v="1.2857142857142858"/>
    <n v="0.82499999999999996"/>
    <n v="1.2"/>
  </r>
  <r>
    <n v="503"/>
    <x v="0"/>
    <s v="West"/>
    <s v="Small Market"/>
    <s v="Lemon"/>
    <s v="Herbal Tea"/>
    <s v="Oregon"/>
    <s v="Decaf"/>
    <n v="30"/>
    <n v="50"/>
    <n v="30"/>
    <n v="80"/>
    <n v="44"/>
    <n v="623"/>
    <n v="56"/>
    <n v="14"/>
    <n v="29"/>
    <n v="100"/>
    <n v="1.25"/>
    <n v="0.96666666666666667"/>
    <n v="1.4666666666666666"/>
  </r>
  <r>
    <n v="971"/>
    <x v="0"/>
    <s v="West"/>
    <s v="Small Market"/>
    <s v="Darjeeling"/>
    <s v="Tea"/>
    <s v="Oregon"/>
    <s v="Regular"/>
    <n v="20"/>
    <n v="30"/>
    <n v="30"/>
    <n v="50"/>
    <n v="32"/>
    <n v="456"/>
    <n v="48"/>
    <n v="8"/>
    <n v="28"/>
    <n v="80"/>
    <n v="1.6"/>
    <n v="0.93333333333333335"/>
    <n v="1.6"/>
  </r>
  <r>
    <n v="503"/>
    <x v="0"/>
    <s v="West"/>
    <s v="Small Market"/>
    <s v="Earl Grey"/>
    <s v="Tea"/>
    <s v="Oregon"/>
    <s v="Regular"/>
    <n v="50"/>
    <n v="90"/>
    <n v="60"/>
    <n v="140"/>
    <n v="84"/>
    <n v="651"/>
    <n v="126"/>
    <n v="27"/>
    <n v="68"/>
    <n v="210"/>
    <n v="1.5"/>
    <n v="1.1333333333333333"/>
    <n v="1.68"/>
  </r>
  <r>
    <n v="541"/>
    <x v="0"/>
    <s v="West"/>
    <s v="Small Market"/>
    <s v="Green Tea"/>
    <s v="Tea"/>
    <s v="Oregon"/>
    <s v="Regular"/>
    <n v="50"/>
    <n v="80"/>
    <n v="50"/>
    <n v="130"/>
    <n v="84"/>
    <n v="500"/>
    <n v="116"/>
    <n v="26"/>
    <n v="67"/>
    <n v="200"/>
    <n v="1.5384615384615385"/>
    <n v="1.34"/>
    <n v="1.68"/>
  </r>
  <r>
    <n v="541"/>
    <x v="0"/>
    <s v="West"/>
    <s v="Small Market"/>
    <s v="Amaretto"/>
    <s v="Coffee"/>
    <s v="Oregon"/>
    <s v="Regular"/>
    <n v="70"/>
    <n v="110"/>
    <n v="40"/>
    <n v="180"/>
    <n v="63"/>
    <n v="435"/>
    <n v="87"/>
    <n v="57"/>
    <n v="1"/>
    <n v="150"/>
    <n v="0.83333333333333337"/>
    <n v="2.5000000000000001E-2"/>
    <n v="0.9"/>
  </r>
  <r>
    <n v="503"/>
    <x v="0"/>
    <s v="West"/>
    <s v="Small Market"/>
    <s v="Columbian"/>
    <s v="Coffee"/>
    <s v="Oregon"/>
    <s v="Regular"/>
    <n v="80"/>
    <n v="120"/>
    <n v="60"/>
    <n v="200"/>
    <n v="67"/>
    <n v="400"/>
    <n v="93"/>
    <n v="22"/>
    <n v="28"/>
    <n v="160"/>
    <n v="0.8"/>
    <n v="0.46666666666666667"/>
    <n v="0.83750000000000002"/>
  </r>
  <r>
    <n v="425"/>
    <x v="0"/>
    <s v="West"/>
    <s v="Small Market"/>
    <s v="Caffe Latte"/>
    <s v="Espresso"/>
    <s v="Washington"/>
    <s v="Regular"/>
    <n v="40"/>
    <n v="60"/>
    <n v="40"/>
    <n v="100"/>
    <n v="48"/>
    <n v="623"/>
    <n v="62"/>
    <n v="15"/>
    <n v="35"/>
    <n v="110"/>
    <n v="1.1000000000000001"/>
    <n v="0.875"/>
    <n v="1.2"/>
  </r>
  <r>
    <n v="253"/>
    <x v="0"/>
    <s v="West"/>
    <s v="Small Market"/>
    <s v="Caffe Mocha"/>
    <s v="Espresso"/>
    <s v="Washington"/>
    <s v="Regular"/>
    <n v="50"/>
    <n v="60"/>
    <n v="20"/>
    <n v="110"/>
    <n v="54"/>
    <n v="312"/>
    <n v="66"/>
    <n v="20"/>
    <n v="13"/>
    <n v="120"/>
    <n v="1.0909090909090908"/>
    <n v="0.65"/>
    <n v="1.08"/>
  </r>
  <r>
    <n v="206"/>
    <x v="0"/>
    <s v="West"/>
    <s v="Small Market"/>
    <s v="Decaf Espresso"/>
    <s v="Espresso"/>
    <s v="Washington"/>
    <s v="Decaf"/>
    <n v="60"/>
    <n v="80"/>
    <n v="60"/>
    <n v="140"/>
    <n v="69"/>
    <n v="965"/>
    <n v="81"/>
    <n v="21"/>
    <n v="39"/>
    <n v="150"/>
    <n v="1.0714285714285714"/>
    <n v="0.65"/>
    <n v="1.1499999999999999"/>
  </r>
  <r>
    <n v="509"/>
    <x v="0"/>
    <s v="West"/>
    <s v="Small Market"/>
    <s v="Decaf Irish Cream"/>
    <s v="Coffee"/>
    <s v="Washington"/>
    <s v="Decaf"/>
    <n v="90"/>
    <n v="140"/>
    <n v="60"/>
    <n v="230"/>
    <n v="79"/>
    <n v="551"/>
    <n v="111"/>
    <n v="72"/>
    <n v="9"/>
    <n v="190"/>
    <n v="0.82608695652173914"/>
    <n v="0.15"/>
    <n v="0.87777777777777777"/>
  </r>
  <r>
    <n v="206"/>
    <x v="0"/>
    <s v="West"/>
    <s v="Small Market"/>
    <s v="Chamomile"/>
    <s v="Herbal Tea"/>
    <s v="Washington"/>
    <s v="Decaf"/>
    <n v="100"/>
    <n v="170"/>
    <n v="120"/>
    <n v="270"/>
    <n v="124"/>
    <n v="961"/>
    <n v="186"/>
    <n v="40"/>
    <n v="115"/>
    <n v="310"/>
    <n v="1.1481481481481481"/>
    <n v="0.95833333333333337"/>
    <n v="1.24"/>
  </r>
  <r>
    <n v="360"/>
    <x v="0"/>
    <s v="West"/>
    <s v="Small Market"/>
    <s v="Lemon"/>
    <s v="Herbal Tea"/>
    <s v="Washington"/>
    <s v="Decaf"/>
    <n v="20"/>
    <n v="50"/>
    <n v="50"/>
    <n v="70"/>
    <n v="34"/>
    <n v="777"/>
    <n v="51"/>
    <n v="9"/>
    <n v="30"/>
    <n v="85"/>
    <n v="1.2142857142857142"/>
    <n v="0.6"/>
    <n v="1.7"/>
  </r>
  <r>
    <n v="360"/>
    <x v="0"/>
    <s v="West"/>
    <s v="Small Market"/>
    <s v="Darjeeling"/>
    <s v="Tea"/>
    <s v="Washington"/>
    <s v="Regular"/>
    <n v="40"/>
    <n v="80"/>
    <n v="50"/>
    <n v="120"/>
    <n v="67"/>
    <n v="400"/>
    <n v="113"/>
    <n v="20"/>
    <n v="70"/>
    <n v="180"/>
    <n v="1.5"/>
    <n v="1.4"/>
    <n v="1.675"/>
  </r>
  <r>
    <n v="253"/>
    <x v="0"/>
    <s v="West"/>
    <s v="Small Market"/>
    <s v="Earl Grey"/>
    <s v="Tea"/>
    <s v="Washington"/>
    <s v="Regular"/>
    <n v="40"/>
    <n v="60"/>
    <n v="40"/>
    <n v="100"/>
    <n v="61"/>
    <n v="390"/>
    <n v="89"/>
    <n v="19"/>
    <n v="48"/>
    <n v="150"/>
    <n v="1.5"/>
    <n v="1.2"/>
    <n v="1.5249999999999999"/>
  </r>
  <r>
    <n v="360"/>
    <x v="0"/>
    <s v="West"/>
    <s v="Small Market"/>
    <s v="Green Tea"/>
    <s v="Tea"/>
    <s v="Washington"/>
    <s v="Regular"/>
    <n v="40"/>
    <n v="80"/>
    <n v="20"/>
    <n v="120"/>
    <n v="75"/>
    <n v="522"/>
    <n v="105"/>
    <n v="68"/>
    <n v="8"/>
    <n v="180"/>
    <n v="1.5"/>
    <n v="0.4"/>
    <n v="1.875"/>
  </r>
  <r>
    <n v="206"/>
    <x v="0"/>
    <s v="West"/>
    <s v="Small Market"/>
    <s v="Columbian"/>
    <s v="Coffee"/>
    <s v="Washington"/>
    <s v="Regular"/>
    <n v="60"/>
    <n v="100"/>
    <n v="70"/>
    <n v="160"/>
    <n v="53"/>
    <n v="338"/>
    <n v="77"/>
    <n v="16"/>
    <n v="38"/>
    <n v="130"/>
    <n v="0.8125"/>
    <n v="0.54285714285714282"/>
    <n v="0.8833333333333333"/>
  </r>
  <r>
    <n v="303"/>
    <x v="1"/>
    <s v="Central"/>
    <s v="Major Market"/>
    <s v="Amaretto"/>
    <s v="Coffee"/>
    <s v="Colorado"/>
    <s v="Regular"/>
    <n v="100"/>
    <n v="150"/>
    <n v="120"/>
    <n v="250"/>
    <n v="99"/>
    <n v="766"/>
    <n v="144"/>
    <n v="27"/>
    <n v="105"/>
    <n v="243"/>
    <n v="0.97199999999999998"/>
    <n v="0.875"/>
    <n v="0.99"/>
  </r>
  <r>
    <n v="720"/>
    <x v="1"/>
    <s v="Central"/>
    <s v="Major Market"/>
    <s v="Columbian"/>
    <s v="Coffee"/>
    <s v="Colorado"/>
    <s v="Regular"/>
    <n v="80"/>
    <n v="110"/>
    <n v="80"/>
    <n v="190"/>
    <n v="83"/>
    <n v="613"/>
    <n v="107"/>
    <n v="27"/>
    <n v="68"/>
    <n v="190"/>
    <n v="1"/>
    <n v="0.85"/>
    <n v="1.0375000000000001"/>
  </r>
  <r>
    <n v="719"/>
    <x v="1"/>
    <s v="Central"/>
    <s v="Major Market"/>
    <s v="Decaf Irish Cream"/>
    <s v="Coffee"/>
    <s v="Colorado"/>
    <s v="Decaf"/>
    <n v="100"/>
    <n v="140"/>
    <n v="110"/>
    <n v="240"/>
    <n v="95"/>
    <n v="809"/>
    <n v="137"/>
    <n v="26"/>
    <n v="99"/>
    <n v="232"/>
    <n v="0.96666666666666667"/>
    <n v="0.9"/>
    <n v="0.95"/>
  </r>
  <r>
    <n v="970"/>
    <x v="1"/>
    <s v="Central"/>
    <s v="Major Market"/>
    <s v="Green Tea"/>
    <s v="Tea"/>
    <s v="Colorado"/>
    <s v="Regular"/>
    <n v="30"/>
    <n v="50"/>
    <n v="30"/>
    <n v="80"/>
    <n v="44"/>
    <n v="618"/>
    <n v="56"/>
    <n v="14"/>
    <n v="30"/>
    <n v="100"/>
    <n v="1.25"/>
    <n v="1"/>
    <n v="1.4666666666666666"/>
  </r>
  <r>
    <n v="970"/>
    <x v="1"/>
    <s v="Central"/>
    <s v="Major Market"/>
    <s v="Caffe Mocha"/>
    <s v="Espresso"/>
    <s v="Colorado"/>
    <s v="Regular"/>
    <n v="80"/>
    <n v="140"/>
    <n v="110"/>
    <n v="220"/>
    <n v="77"/>
    <n v="449"/>
    <n v="112"/>
    <n v="21"/>
    <n v="80"/>
    <n v="189"/>
    <n v="0.85909090909090913"/>
    <n v="0.72727272727272729"/>
    <n v="0.96250000000000002"/>
  </r>
  <r>
    <n v="303"/>
    <x v="1"/>
    <s v="Central"/>
    <s v="Major Market"/>
    <s v="Decaf Espresso"/>
    <s v="Espresso"/>
    <s v="Colorado"/>
    <s v="Decaf"/>
    <n v="80"/>
    <n v="140"/>
    <n v="90"/>
    <n v="220"/>
    <n v="75"/>
    <n v="549"/>
    <n v="114"/>
    <n v="24"/>
    <n v="59"/>
    <n v="189"/>
    <n v="0.85909090909090913"/>
    <n v="0.65555555555555556"/>
    <n v="0.9375"/>
  </r>
  <r>
    <n v="970"/>
    <x v="1"/>
    <s v="Central"/>
    <s v="Major Market"/>
    <s v="Chamomile"/>
    <s v="Herbal Tea"/>
    <s v="Colorado"/>
    <s v="Decaf"/>
    <n v="140"/>
    <n v="150"/>
    <n v="100"/>
    <n v="290"/>
    <n v="170"/>
    <n v="1073"/>
    <n v="170"/>
    <n v="47"/>
    <n v="99"/>
    <n v="340"/>
    <n v="1.1724137931034482"/>
    <n v="0.99"/>
    <n v="1.2142857142857142"/>
  </r>
  <r>
    <n v="970"/>
    <x v="1"/>
    <s v="Central"/>
    <s v="Major Market"/>
    <s v="Lemon"/>
    <s v="Herbal Tea"/>
    <s v="Colorado"/>
    <s v="Decaf"/>
    <n v="40"/>
    <n v="70"/>
    <n v="10"/>
    <n v="110"/>
    <n v="54"/>
    <n v="427"/>
    <n v="75"/>
    <n v="49"/>
    <n v="-3"/>
    <n v="129"/>
    <n v="1.1727272727272726"/>
    <n v="-0.3"/>
    <n v="1.35"/>
  </r>
  <r>
    <n v="303"/>
    <x v="1"/>
    <s v="Central"/>
    <s v="Major Market"/>
    <s v="Mint"/>
    <s v="Herbal Tea"/>
    <s v="Colorado"/>
    <s v="Decaf"/>
    <n v="50"/>
    <n v="70"/>
    <n v="40"/>
    <n v="120"/>
    <n v="60"/>
    <n v="329"/>
    <n v="80"/>
    <n v="19"/>
    <n v="33"/>
    <n v="140"/>
    <n v="1.1666666666666667"/>
    <n v="0.82499999999999996"/>
    <n v="1.2"/>
  </r>
  <r>
    <n v="719"/>
    <x v="1"/>
    <s v="Central"/>
    <s v="Major Market"/>
    <s v="Darjeeling"/>
    <s v="Tea"/>
    <s v="Colorado"/>
    <s v="Regular"/>
    <n v="50"/>
    <n v="60"/>
    <n v="10"/>
    <n v="110"/>
    <n v="59"/>
    <n v="331"/>
    <n v="73"/>
    <n v="22"/>
    <n v="18"/>
    <n v="132"/>
    <n v="1.2"/>
    <n v="1.8"/>
    <n v="1.18"/>
  </r>
  <r>
    <n v="720"/>
    <x v="1"/>
    <s v="Central"/>
    <s v="Major Market"/>
    <s v="Earl Grey"/>
    <s v="Tea"/>
    <s v="Colorado"/>
    <s v="Regular"/>
    <n v="50"/>
    <n v="60"/>
    <n v="30"/>
    <n v="110"/>
    <n v="62"/>
    <n v="958"/>
    <n v="74"/>
    <n v="19"/>
    <n v="34"/>
    <n v="136"/>
    <n v="1.2363636363636363"/>
    <n v="1.1333333333333333"/>
    <n v="1.24"/>
  </r>
  <r>
    <n v="312"/>
    <x v="1"/>
    <s v="Central"/>
    <s v="Major Market"/>
    <s v="Columbian"/>
    <s v="Coffee"/>
    <s v="Illinois"/>
    <s v="Regular"/>
    <n v="150"/>
    <n v="220"/>
    <n v="140"/>
    <n v="370"/>
    <n v="148"/>
    <n v="844"/>
    <n v="206"/>
    <n v="48"/>
    <n v="115"/>
    <n v="354"/>
    <n v="0.95675675675675675"/>
    <n v="0.8214285714285714"/>
    <n v="0.98666666666666669"/>
  </r>
  <r>
    <n v="847"/>
    <x v="1"/>
    <s v="Central"/>
    <s v="Major Market"/>
    <s v="Decaf Irish Cream"/>
    <s v="Coffee"/>
    <s v="Illinois"/>
    <s v="Decaf"/>
    <n v="110"/>
    <n v="150"/>
    <n v="100"/>
    <n v="260"/>
    <n v="104"/>
    <n v="596"/>
    <n v="150"/>
    <n v="33"/>
    <n v="95"/>
    <n v="254"/>
    <n v="0.97692307692307689"/>
    <n v="0.95"/>
    <n v="0.94545454545454544"/>
  </r>
  <r>
    <n v="708"/>
    <x v="1"/>
    <s v="Central"/>
    <s v="Major Market"/>
    <s v="Caffe Mocha"/>
    <s v="Espresso"/>
    <s v="Illinois"/>
    <s v="Regular"/>
    <n v="270"/>
    <n v="370"/>
    <n v="260"/>
    <n v="640"/>
    <n v="234"/>
    <n v="1282"/>
    <n v="311"/>
    <n v="77"/>
    <n v="201"/>
    <n v="545"/>
    <n v="0.8515625"/>
    <n v="0.77307692307692311"/>
    <n v="0.8666666666666667"/>
  </r>
  <r>
    <n v="312"/>
    <x v="1"/>
    <s v="Central"/>
    <s v="Major Market"/>
    <s v="Decaf Espresso"/>
    <s v="Espresso"/>
    <s v="Illinois"/>
    <s v="Decaf"/>
    <n v="260"/>
    <n v="270"/>
    <n v="180"/>
    <n v="530"/>
    <n v="228"/>
    <n v="1436"/>
    <n v="229"/>
    <n v="63"/>
    <n v="142"/>
    <n v="457"/>
    <n v="0.86226415094339626"/>
    <n v="0.78888888888888886"/>
    <n v="0.87692307692307692"/>
  </r>
  <r>
    <n v="815"/>
    <x v="1"/>
    <s v="Central"/>
    <s v="Major Market"/>
    <s v="Chamomile"/>
    <s v="Herbal Tea"/>
    <s v="Illinois"/>
    <s v="Decaf"/>
    <n v="80"/>
    <n v="130"/>
    <n v="110"/>
    <n v="210"/>
    <n v="99"/>
    <n v="766"/>
    <n v="144"/>
    <n v="27"/>
    <n v="105"/>
    <n v="243"/>
    <n v="1.1571428571428573"/>
    <n v="0.95454545454545459"/>
    <n v="1.2375"/>
  </r>
  <r>
    <n v="773"/>
    <x v="1"/>
    <s v="Central"/>
    <s v="Major Market"/>
    <s v="Lemon"/>
    <s v="Herbal Tea"/>
    <s v="Illinois"/>
    <s v="Decaf"/>
    <n v="70"/>
    <n v="90"/>
    <n v="60"/>
    <n v="160"/>
    <n v="83"/>
    <n v="613"/>
    <n v="107"/>
    <n v="27"/>
    <n v="68"/>
    <n v="190"/>
    <n v="1.1875"/>
    <n v="1.1333333333333333"/>
    <n v="1.1857142857142857"/>
  </r>
  <r>
    <n v="847"/>
    <x v="1"/>
    <s v="Central"/>
    <s v="Major Market"/>
    <s v="Mint"/>
    <s v="Herbal Tea"/>
    <s v="Illinois"/>
    <s v="Decaf"/>
    <n v="80"/>
    <n v="120"/>
    <n v="100"/>
    <n v="200"/>
    <n v="95"/>
    <n v="809"/>
    <n v="137"/>
    <n v="26"/>
    <n v="99"/>
    <n v="232"/>
    <n v="1.1599999999999999"/>
    <n v="0.99"/>
    <n v="1.1875"/>
  </r>
  <r>
    <n v="309"/>
    <x v="1"/>
    <s v="Central"/>
    <s v="Major Market"/>
    <s v="Darjeeling"/>
    <s v="Tea"/>
    <s v="Illinois"/>
    <s v="Regular"/>
    <n v="60"/>
    <n v="100"/>
    <n v="80"/>
    <n v="160"/>
    <n v="77"/>
    <n v="449"/>
    <n v="112"/>
    <n v="21"/>
    <n v="79"/>
    <n v="189"/>
    <n v="1.1812499999999999"/>
    <n v="0.98750000000000004"/>
    <n v="1.2833333333333334"/>
  </r>
  <r>
    <n v="630"/>
    <x v="1"/>
    <s v="Central"/>
    <s v="Major Market"/>
    <s v="Earl Grey"/>
    <s v="Tea"/>
    <s v="Illinois"/>
    <s v="Regular"/>
    <n v="60"/>
    <n v="100"/>
    <n v="50"/>
    <n v="160"/>
    <n v="75"/>
    <n v="549"/>
    <n v="114"/>
    <n v="24"/>
    <n v="59"/>
    <n v="189"/>
    <n v="1.1812499999999999"/>
    <n v="1.18"/>
    <n v="1.25"/>
  </r>
  <r>
    <n v="712"/>
    <x v="1"/>
    <s v="Central"/>
    <s v="Small Market"/>
    <s v="Amaretto"/>
    <s v="Coffee"/>
    <s v="Iowa"/>
    <s v="Regular"/>
    <n v="10"/>
    <n v="30"/>
    <n v="20"/>
    <n v="40"/>
    <n v="18"/>
    <n v="818"/>
    <n v="27"/>
    <n v="5"/>
    <n v="10"/>
    <n v="45"/>
    <n v="1.125"/>
    <n v="0.5"/>
    <n v="1.8"/>
  </r>
  <r>
    <n v="319"/>
    <x v="1"/>
    <s v="Central"/>
    <s v="Small Market"/>
    <s v="Columbian"/>
    <s v="Coffee"/>
    <s v="Iowa"/>
    <s v="Regular"/>
    <n v="20"/>
    <n v="40"/>
    <n v="20"/>
    <n v="60"/>
    <n v="28"/>
    <n v="961"/>
    <n v="35"/>
    <n v="8"/>
    <n v="6"/>
    <n v="63"/>
    <n v="1.05"/>
    <n v="0.3"/>
    <n v="1.4"/>
  </r>
  <r>
    <n v="712"/>
    <x v="1"/>
    <s v="Central"/>
    <s v="Small Market"/>
    <s v="Decaf Irish Cream"/>
    <s v="Coffee"/>
    <s v="Iowa"/>
    <s v="Decaf"/>
    <n v="20"/>
    <n v="30"/>
    <n v="20"/>
    <n v="50"/>
    <n v="23"/>
    <n v="620"/>
    <n v="31"/>
    <n v="7"/>
    <n v="12"/>
    <n v="54"/>
    <n v="1.08"/>
    <n v="0.6"/>
    <n v="1.1499999999999999"/>
  </r>
  <r>
    <n v="319"/>
    <x v="1"/>
    <s v="Central"/>
    <s v="Small Market"/>
    <s v="Caffe Mocha"/>
    <s v="Espresso"/>
    <s v="Iowa"/>
    <s v="Regular"/>
    <n v="20"/>
    <n v="30"/>
    <n v="20"/>
    <n v="50"/>
    <n v="19"/>
    <n v="774"/>
    <n v="28"/>
    <n v="5"/>
    <n v="11"/>
    <n v="47"/>
    <n v="0.94"/>
    <n v="0.55000000000000004"/>
    <n v="0.95"/>
  </r>
  <r>
    <n v="712"/>
    <x v="1"/>
    <s v="Central"/>
    <s v="Small Market"/>
    <s v="Decaf Espresso"/>
    <s v="Espresso"/>
    <s v="Iowa"/>
    <s v="Decaf"/>
    <n v="0"/>
    <n v="50"/>
    <n v="40"/>
    <n v="50"/>
    <n v="0"/>
    <n v="774"/>
    <n v="43"/>
    <n v="0"/>
    <n v="32"/>
    <n v="43"/>
    <n v="0.86"/>
    <n v="0.8"/>
    <m/>
  </r>
  <r>
    <n v="563"/>
    <x v="1"/>
    <s v="Central"/>
    <s v="Small Market"/>
    <s v="Chamomile"/>
    <s v="Herbal Tea"/>
    <s v="Iowa"/>
    <s v="Decaf"/>
    <n v="200"/>
    <n v="270"/>
    <n v="190"/>
    <n v="470"/>
    <n v="234"/>
    <n v="1282"/>
    <n v="311"/>
    <n v="77"/>
    <n v="201"/>
    <n v="545"/>
    <n v="1.1595744680851063"/>
    <n v="1.0578947368421052"/>
    <n v="1.17"/>
  </r>
  <r>
    <n v="563"/>
    <x v="1"/>
    <s v="Central"/>
    <s v="Small Market"/>
    <s v="Lemon"/>
    <s v="Herbal Tea"/>
    <s v="Iowa"/>
    <s v="Decaf"/>
    <n v="80"/>
    <n v="140"/>
    <n v="110"/>
    <n v="220"/>
    <n v="104"/>
    <n v="596"/>
    <n v="150"/>
    <n v="33"/>
    <n v="95"/>
    <n v="254"/>
    <n v="1.1545454545454545"/>
    <n v="0.86363636363636365"/>
    <n v="1.3"/>
  </r>
  <r>
    <n v="563"/>
    <x v="1"/>
    <s v="Central"/>
    <s v="Small Market"/>
    <s v="Darjeeling"/>
    <s v="Tea"/>
    <s v="Iowa"/>
    <s v="Regular"/>
    <n v="190"/>
    <n v="210"/>
    <n v="140"/>
    <n v="400"/>
    <n v="228"/>
    <n v="1436"/>
    <n v="229"/>
    <n v="63"/>
    <n v="141"/>
    <n v="457"/>
    <n v="1.1425000000000001"/>
    <n v="1.0071428571428571"/>
    <n v="1.2"/>
  </r>
  <r>
    <n v="515"/>
    <x v="1"/>
    <s v="Central"/>
    <s v="Small Market"/>
    <s v="Earl Grey"/>
    <s v="Tea"/>
    <s v="Iowa"/>
    <s v="Regular"/>
    <n v="200"/>
    <n v="260"/>
    <n v="150"/>
    <n v="460"/>
    <n v="240"/>
    <n v="1391"/>
    <n v="294"/>
    <n v="91"/>
    <n v="169"/>
    <n v="534"/>
    <n v="1.1608695652173913"/>
    <n v="1.1266666666666667"/>
    <n v="1.2"/>
  </r>
  <r>
    <n v="314"/>
    <x v="1"/>
    <s v="Central"/>
    <s v="Small Market"/>
    <s v="Columbian"/>
    <s v="Coffee"/>
    <s v="Missouri"/>
    <s v="Regular"/>
    <n v="90"/>
    <n v="110"/>
    <n v="50"/>
    <n v="200"/>
    <n v="86"/>
    <n v="484"/>
    <n v="107"/>
    <n v="32"/>
    <n v="42"/>
    <n v="193"/>
    <n v="0.96499999999999997"/>
    <n v="0.84"/>
    <n v="0.9555555555555556"/>
  </r>
  <r>
    <n v="816"/>
    <x v="1"/>
    <s v="Central"/>
    <s v="Small Market"/>
    <s v="Decaf Irish Cream"/>
    <s v="Coffee"/>
    <s v="Missouri"/>
    <s v="Decaf"/>
    <n v="70"/>
    <n v="100"/>
    <n v="60"/>
    <n v="170"/>
    <n v="75"/>
    <n v="956"/>
    <n v="90"/>
    <n v="23"/>
    <n v="46"/>
    <n v="165"/>
    <n v="0.97058823529411764"/>
    <n v="0.76666666666666672"/>
    <n v="1.0714285714285714"/>
  </r>
  <r>
    <n v="573"/>
    <x v="1"/>
    <s v="Central"/>
    <s v="Small Market"/>
    <s v="Green Tea"/>
    <s v="Tea"/>
    <s v="Missouri"/>
    <s v="Regular"/>
    <n v="20"/>
    <n v="40"/>
    <n v="0"/>
    <n v="60"/>
    <n v="33"/>
    <n v="193"/>
    <n v="41"/>
    <n v="12"/>
    <n v="-4"/>
    <n v="74"/>
    <n v="1.2333333333333334"/>
    <m/>
    <n v="1.65"/>
  </r>
  <r>
    <n v="573"/>
    <x v="1"/>
    <s v="Central"/>
    <s v="Small Market"/>
    <s v="Caffe Mocha"/>
    <s v="Espresso"/>
    <s v="Missouri"/>
    <s v="Regular"/>
    <n v="50"/>
    <n v="90"/>
    <n v="70"/>
    <n v="140"/>
    <n v="50"/>
    <n v="814"/>
    <n v="73"/>
    <n v="14"/>
    <n v="48"/>
    <n v="123"/>
    <n v="0.87857142857142856"/>
    <n v="0.68571428571428572"/>
    <n v="1"/>
  </r>
  <r>
    <n v="573"/>
    <x v="1"/>
    <s v="Central"/>
    <s v="Small Market"/>
    <s v="Decaf Espresso"/>
    <s v="Espresso"/>
    <s v="Missouri"/>
    <s v="Decaf"/>
    <n v="40"/>
    <n v="80"/>
    <n v="60"/>
    <n v="120"/>
    <n v="42"/>
    <n v="771"/>
    <n v="61"/>
    <n v="11"/>
    <n v="38"/>
    <n v="103"/>
    <n v="0.85833333333333328"/>
    <n v="0.6333333333333333"/>
    <n v="1.05"/>
  </r>
  <r>
    <n v="636"/>
    <x v="1"/>
    <s v="Central"/>
    <s v="Small Market"/>
    <s v="Chamomile"/>
    <s v="Herbal Tea"/>
    <s v="Missouri"/>
    <s v="Decaf"/>
    <n v="30"/>
    <n v="60"/>
    <n v="10"/>
    <n v="90"/>
    <n v="43"/>
    <n v="256"/>
    <n v="61"/>
    <n v="39"/>
    <n v="-8"/>
    <n v="104"/>
    <n v="1.1555555555555554"/>
    <n v="-0.8"/>
    <n v="1.4333333333333333"/>
  </r>
  <r>
    <n v="417"/>
    <x v="1"/>
    <s v="Central"/>
    <s v="Small Market"/>
    <s v="Lemon"/>
    <s v="Herbal Tea"/>
    <s v="Missouri"/>
    <s v="Decaf"/>
    <n v="70"/>
    <n v="10"/>
    <n v="-20"/>
    <n v="80"/>
    <n v="84"/>
    <n v="625"/>
    <n v="18"/>
    <n v="26"/>
    <n v="-32"/>
    <n v="102"/>
    <n v="1.2749999999999999"/>
    <n v="1.6"/>
    <n v="1.2"/>
  </r>
  <r>
    <n v="816"/>
    <x v="1"/>
    <s v="Central"/>
    <s v="Small Market"/>
    <s v="Darjeeling"/>
    <s v="Tea"/>
    <s v="Missouri"/>
    <s v="Regular"/>
    <n v="30"/>
    <n v="40"/>
    <n v="10"/>
    <n v="70"/>
    <n v="35"/>
    <n v="191"/>
    <n v="47"/>
    <n v="11"/>
    <n v="9"/>
    <n v="82"/>
    <n v="1.1714285714285715"/>
    <n v="0.9"/>
    <n v="1.1666666666666667"/>
  </r>
  <r>
    <n v="314"/>
    <x v="1"/>
    <s v="Central"/>
    <s v="Small Market"/>
    <s v="Earl Grey"/>
    <s v="Tea"/>
    <s v="Missouri"/>
    <s v="Regular"/>
    <n v="20"/>
    <n v="30"/>
    <n v="-10"/>
    <n v="50"/>
    <n v="30"/>
    <n v="165"/>
    <n v="38"/>
    <n v="11"/>
    <n v="-7"/>
    <n v="68"/>
    <n v="1.36"/>
    <n v="0.7"/>
    <n v="1.5"/>
  </r>
  <r>
    <n v="937"/>
    <x v="1"/>
    <s v="Central"/>
    <s v="Major Market"/>
    <s v="Amaretto"/>
    <s v="Coffee"/>
    <s v="Ohio"/>
    <s v="Regular"/>
    <n v="60"/>
    <n v="80"/>
    <n v="50"/>
    <n v="140"/>
    <n v="60"/>
    <n v="329"/>
    <n v="80"/>
    <n v="19"/>
    <n v="33"/>
    <n v="140"/>
    <n v="1"/>
    <n v="0.66"/>
    <n v="1"/>
  </r>
  <r>
    <n v="513"/>
    <x v="1"/>
    <s v="Central"/>
    <s v="Major Market"/>
    <s v="Columbian"/>
    <s v="Coffee"/>
    <s v="Ohio"/>
    <s v="Regular"/>
    <n v="50"/>
    <n v="80"/>
    <n v="50"/>
    <n v="130"/>
    <n v="52"/>
    <n v="357"/>
    <n v="76"/>
    <n v="16"/>
    <n v="38"/>
    <n v="128"/>
    <n v="0.98461538461538467"/>
    <n v="0.76"/>
    <n v="1.04"/>
  </r>
  <r>
    <n v="614"/>
    <x v="1"/>
    <s v="Central"/>
    <s v="Major Market"/>
    <s v="Decaf Irish Cream"/>
    <s v="Coffee"/>
    <s v="Ohio"/>
    <s v="Decaf"/>
    <n v="50"/>
    <n v="80"/>
    <n v="20"/>
    <n v="130"/>
    <n v="54"/>
    <n v="427"/>
    <n v="75"/>
    <n v="49"/>
    <n v="-3"/>
    <n v="129"/>
    <n v="0.99230769230769234"/>
    <n v="-0.15"/>
    <n v="1.08"/>
  </r>
  <r>
    <n v="614"/>
    <x v="1"/>
    <s v="Central"/>
    <s v="Major Market"/>
    <s v="Darjeeling"/>
    <s v="Tea"/>
    <s v="Ohio"/>
    <s v="Regular"/>
    <n v="60"/>
    <n v="110"/>
    <n v="60"/>
    <n v="170"/>
    <n v="80"/>
    <n v="640"/>
    <n v="120"/>
    <n v="26"/>
    <n v="62"/>
    <n v="200"/>
    <n v="1.1764705882352942"/>
    <n v="1.0333333333333334"/>
    <n v="1.3333333333333333"/>
  </r>
  <r>
    <n v="513"/>
    <x v="1"/>
    <s v="Central"/>
    <s v="Major Market"/>
    <s v="Earl Grey"/>
    <s v="Tea"/>
    <s v="Ohio"/>
    <s v="Regular"/>
    <n v="70"/>
    <n v="110"/>
    <n v="70"/>
    <n v="180"/>
    <n v="86"/>
    <n v="490"/>
    <n v="120"/>
    <n v="26"/>
    <n v="71"/>
    <n v="206"/>
    <n v="1.1444444444444444"/>
    <n v="1.0142857142857142"/>
    <n v="1.2285714285714286"/>
  </r>
  <r>
    <n v="614"/>
    <x v="1"/>
    <s v="Central"/>
    <s v="Major Market"/>
    <s v="Decaf Espresso"/>
    <s v="Espresso"/>
    <s v="Ohio"/>
    <s v="Decaf"/>
    <n v="60"/>
    <n v="90"/>
    <n v="40"/>
    <n v="150"/>
    <n v="59"/>
    <n v="331"/>
    <n v="73"/>
    <n v="22"/>
    <n v="18"/>
    <n v="132"/>
    <n v="0.88"/>
    <n v="0.45"/>
    <n v="0.98333333333333328"/>
  </r>
  <r>
    <n v="234"/>
    <x v="1"/>
    <s v="Central"/>
    <s v="Major Market"/>
    <s v="Caffe Mocha"/>
    <s v="Espresso"/>
    <s v="Ohio"/>
    <s v="Regular"/>
    <n v="190"/>
    <n v="210"/>
    <n v="140"/>
    <n v="400"/>
    <n v="170"/>
    <n v="1073"/>
    <n v="170"/>
    <n v="47"/>
    <n v="98"/>
    <n v="340"/>
    <n v="0.85"/>
    <n v="0.7"/>
    <n v="0.89473684210526316"/>
  </r>
  <r>
    <n v="330"/>
    <x v="1"/>
    <s v="Central"/>
    <s v="Major Market"/>
    <s v="Chamomile"/>
    <s v="Herbal Tea"/>
    <s v="Ohio"/>
    <s v="Decaf"/>
    <n v="10"/>
    <n v="30"/>
    <n v="30"/>
    <n v="40"/>
    <n v="22"/>
    <n v="452"/>
    <n v="34"/>
    <n v="6"/>
    <n v="17"/>
    <n v="56"/>
    <n v="1.4"/>
    <n v="0.56666666666666665"/>
    <n v="2.2000000000000002"/>
  </r>
  <r>
    <n v="740"/>
    <x v="1"/>
    <s v="Central"/>
    <s v="Major Market"/>
    <s v="Lemon"/>
    <s v="Herbal Tea"/>
    <s v="Ohio"/>
    <s v="Decaf"/>
    <n v="20"/>
    <n v="50"/>
    <n v="50"/>
    <n v="70"/>
    <n v="32"/>
    <n v="817"/>
    <n v="48"/>
    <n v="8"/>
    <n v="28"/>
    <n v="80"/>
    <n v="1.1428571428571428"/>
    <n v="0.56000000000000005"/>
    <n v="1.6"/>
  </r>
  <r>
    <n v="262"/>
    <x v="1"/>
    <s v="Central"/>
    <s v="Small Market"/>
    <s v="Amaretto"/>
    <s v="Coffee"/>
    <s v="Wisconsin"/>
    <s v="Regular"/>
    <n v="50"/>
    <n v="70"/>
    <n v="30"/>
    <n v="120"/>
    <n v="53"/>
    <n v="306"/>
    <n v="65"/>
    <n v="20"/>
    <n v="12"/>
    <n v="118"/>
    <n v="0.98333333333333328"/>
    <n v="0.4"/>
    <n v="1.06"/>
  </r>
  <r>
    <n v="920"/>
    <x v="1"/>
    <s v="Central"/>
    <s v="Small Market"/>
    <s v="Columbian"/>
    <s v="Coffee"/>
    <s v="Wisconsin"/>
    <s v="Regular"/>
    <n v="90"/>
    <n v="140"/>
    <n v="40"/>
    <n v="230"/>
    <n v="92"/>
    <n v="541"/>
    <n v="128"/>
    <n v="83"/>
    <n v="15"/>
    <n v="220"/>
    <n v="0.95652173913043481"/>
    <n v="0.375"/>
    <n v="1.0222222222222221"/>
  </r>
  <r>
    <n v="414"/>
    <x v="1"/>
    <s v="Central"/>
    <s v="Small Market"/>
    <s v="Decaf Irish Cream"/>
    <s v="Coffee"/>
    <s v="Wisconsin"/>
    <s v="Decaf"/>
    <n v="80"/>
    <n v="100"/>
    <n v="60"/>
    <n v="180"/>
    <n v="77"/>
    <n v="423"/>
    <n v="103"/>
    <n v="25"/>
    <n v="50"/>
    <n v="180"/>
    <n v="1"/>
    <n v="0.83333333333333337"/>
    <n v="0.96250000000000002"/>
  </r>
  <r>
    <n v="920"/>
    <x v="1"/>
    <s v="Central"/>
    <s v="Small Market"/>
    <s v="Darjeeling"/>
    <s v="Tea"/>
    <s v="Wisconsin"/>
    <s v="Regular"/>
    <n v="40"/>
    <n v="80"/>
    <n v="50"/>
    <n v="120"/>
    <n v="56"/>
    <n v="382"/>
    <n v="81"/>
    <n v="17"/>
    <n v="41"/>
    <n v="137"/>
    <n v="1.1416666666666666"/>
    <n v="0.82"/>
    <n v="1.4"/>
  </r>
  <r>
    <n v="414"/>
    <x v="1"/>
    <s v="Central"/>
    <s v="Small Market"/>
    <s v="Earl Grey"/>
    <s v="Tea"/>
    <s v="Wisconsin"/>
    <s v="Regular"/>
    <n v="50"/>
    <n v="80"/>
    <n v="10"/>
    <n v="130"/>
    <n v="65"/>
    <n v="513"/>
    <n v="90"/>
    <n v="58"/>
    <n v="3"/>
    <n v="155"/>
    <n v="1.1923076923076923"/>
    <n v="0.3"/>
    <n v="1.3"/>
  </r>
  <r>
    <n v="715"/>
    <x v="1"/>
    <s v="Central"/>
    <s v="Small Market"/>
    <s v="Decaf Espresso"/>
    <s v="Espresso"/>
    <s v="Wisconsin"/>
    <s v="Decaf"/>
    <n v="50"/>
    <n v="70"/>
    <n v="50"/>
    <n v="120"/>
    <n v="48"/>
    <n v="617"/>
    <n v="62"/>
    <n v="15"/>
    <n v="35"/>
    <n v="110"/>
    <n v="0.91666666666666663"/>
    <n v="0.7"/>
    <n v="0.96"/>
  </r>
  <r>
    <n v="414"/>
    <x v="1"/>
    <s v="Central"/>
    <s v="Small Market"/>
    <s v="Caffe Mocha"/>
    <s v="Espresso"/>
    <s v="Wisconsin"/>
    <s v="Regular"/>
    <n v="80"/>
    <n v="100"/>
    <n v="60"/>
    <n v="180"/>
    <n v="70"/>
    <n v="957"/>
    <n v="84"/>
    <n v="21"/>
    <n v="42"/>
    <n v="154"/>
    <n v="0.85555555555555551"/>
    <n v="0.7"/>
    <n v="0.875"/>
  </r>
  <r>
    <n v="715"/>
    <x v="1"/>
    <s v="Central"/>
    <s v="Small Market"/>
    <s v="Chamomile"/>
    <s v="Herbal Tea"/>
    <s v="Wisconsin"/>
    <s v="Decaf"/>
    <n v="50"/>
    <n v="100"/>
    <n v="80"/>
    <n v="150"/>
    <n v="65"/>
    <n v="372"/>
    <n v="109"/>
    <n v="20"/>
    <n v="66"/>
    <n v="174"/>
    <n v="1.1599999999999999"/>
    <n v="0.82499999999999996"/>
    <n v="1.3"/>
  </r>
  <r>
    <n v="262"/>
    <x v="1"/>
    <s v="Central"/>
    <s v="Small Market"/>
    <s v="Lemon"/>
    <s v="Herbal Tea"/>
    <s v="Wisconsin"/>
    <s v="Decaf"/>
    <n v="40"/>
    <n v="60"/>
    <n v="50"/>
    <n v="100"/>
    <n v="47"/>
    <n v="772"/>
    <n v="68"/>
    <n v="13"/>
    <n v="43"/>
    <n v="115"/>
    <n v="1.1499999999999999"/>
    <n v="0.86"/>
    <n v="1.175"/>
  </r>
  <r>
    <n v="475"/>
    <x v="1"/>
    <s v="East"/>
    <s v="Small Market"/>
    <s v="Darjeeling"/>
    <s v="Tea"/>
    <s v="Connecticut"/>
    <s v="Regular"/>
    <n v="50"/>
    <n v="80"/>
    <n v="60"/>
    <n v="130"/>
    <n v="50"/>
    <n v="814"/>
    <n v="73"/>
    <n v="14"/>
    <n v="48"/>
    <n v="123"/>
    <n v="0.94615384615384612"/>
    <n v="0.8"/>
    <n v="1"/>
  </r>
  <r>
    <n v="475"/>
    <x v="1"/>
    <s v="East"/>
    <s v="Small Market"/>
    <s v="Green Tea"/>
    <s v="Tea"/>
    <s v="Connecticut"/>
    <s v="Regular"/>
    <n v="20"/>
    <n v="50"/>
    <n v="40"/>
    <n v="70"/>
    <n v="27"/>
    <n v="772"/>
    <n v="39"/>
    <n v="7"/>
    <n v="21"/>
    <n v="66"/>
    <n v="0.94285714285714284"/>
    <n v="0.52500000000000002"/>
    <n v="1.35"/>
  </r>
  <r>
    <n v="203"/>
    <x v="1"/>
    <s v="East"/>
    <s v="Small Market"/>
    <s v="Decaf Espresso"/>
    <s v="Espresso"/>
    <s v="Connecticut"/>
    <s v="Decaf"/>
    <n v="50"/>
    <n v="70"/>
    <n v="40"/>
    <n v="120"/>
    <n v="55"/>
    <n v="305"/>
    <n v="75"/>
    <n v="18"/>
    <n v="29"/>
    <n v="130"/>
    <n v="1.0833333333333333"/>
    <n v="0.72499999999999998"/>
    <n v="1.1000000000000001"/>
  </r>
  <r>
    <n v="860"/>
    <x v="1"/>
    <s v="East"/>
    <s v="Small Market"/>
    <s v="Caffe Mocha"/>
    <s v="Espresso"/>
    <s v="Connecticut"/>
    <s v="Regular"/>
    <n v="60"/>
    <n v="90"/>
    <n v="20"/>
    <n v="150"/>
    <n v="65"/>
    <n v="513"/>
    <n v="90"/>
    <n v="58"/>
    <n v="3"/>
    <n v="155"/>
    <n v="1.0333333333333334"/>
    <n v="0.15"/>
    <n v="1.0833333333333333"/>
  </r>
  <r>
    <n v="959"/>
    <x v="1"/>
    <s v="East"/>
    <s v="Small Market"/>
    <s v="Columbian"/>
    <s v="Coffee"/>
    <s v="Connecticut"/>
    <s v="Regular"/>
    <n v="120"/>
    <n v="180"/>
    <n v="130"/>
    <n v="300"/>
    <n v="130"/>
    <n v="945"/>
    <n v="195"/>
    <n v="42"/>
    <n v="121"/>
    <n v="325"/>
    <n v="1.0833333333333333"/>
    <n v="0.93076923076923079"/>
    <n v="1.0833333333333333"/>
  </r>
  <r>
    <n v="475"/>
    <x v="1"/>
    <s v="East"/>
    <s v="Small Market"/>
    <s v="Lemon"/>
    <s v="Herbal Tea"/>
    <s v="Connecticut"/>
    <s v="Decaf"/>
    <n v="60"/>
    <n v="90"/>
    <n v="50"/>
    <n v="150"/>
    <n v="86"/>
    <n v="484"/>
    <n v="107"/>
    <n v="32"/>
    <n v="41"/>
    <n v="193"/>
    <n v="1.2866666666666666"/>
    <n v="0.82"/>
    <n v="1.4333333333333333"/>
  </r>
  <r>
    <n v="860"/>
    <x v="1"/>
    <s v="East"/>
    <s v="Small Market"/>
    <s v="Mint"/>
    <s v="Herbal Tea"/>
    <s v="Connecticut"/>
    <s v="Decaf"/>
    <n v="50"/>
    <n v="70"/>
    <n v="50"/>
    <n v="120"/>
    <n v="75"/>
    <n v="956"/>
    <n v="90"/>
    <n v="23"/>
    <n v="46"/>
    <n v="165"/>
    <n v="1.375"/>
    <n v="0.92"/>
    <n v="1.5"/>
  </r>
  <r>
    <n v="786"/>
    <x v="1"/>
    <s v="East"/>
    <s v="Major Market"/>
    <s v="Darjeeling"/>
    <s v="Tea"/>
    <s v="Florida"/>
    <s v="Regular"/>
    <n v="30"/>
    <n v="50"/>
    <n v="40"/>
    <n v="80"/>
    <n v="32"/>
    <n v="817"/>
    <n v="48"/>
    <n v="8"/>
    <n v="28"/>
    <n v="80"/>
    <n v="1"/>
    <n v="0.7"/>
    <n v="1.0666666666666667"/>
  </r>
  <r>
    <n v="727"/>
    <x v="1"/>
    <s v="East"/>
    <s v="Major Market"/>
    <s v="Green Tea"/>
    <s v="Tea"/>
    <s v="Florida"/>
    <s v="Regular"/>
    <n v="40"/>
    <n v="80"/>
    <n v="60"/>
    <n v="120"/>
    <n v="47"/>
    <n v="772"/>
    <n v="68"/>
    <n v="13"/>
    <n v="44"/>
    <n v="115"/>
    <n v="0.95833333333333337"/>
    <n v="0.73333333333333328"/>
    <n v="1.175"/>
  </r>
  <r>
    <n v="407"/>
    <x v="1"/>
    <s v="East"/>
    <s v="Major Market"/>
    <s v="Decaf Espresso"/>
    <s v="Espresso"/>
    <s v="Florida"/>
    <s v="Decaf"/>
    <n v="70"/>
    <n v="100"/>
    <n v="60"/>
    <n v="170"/>
    <n v="77"/>
    <n v="423"/>
    <n v="103"/>
    <n v="25"/>
    <n v="51"/>
    <n v="180"/>
    <n v="1.0588235294117647"/>
    <n v="0.85"/>
    <n v="1.1000000000000001"/>
  </r>
  <r>
    <n v="305"/>
    <x v="1"/>
    <s v="East"/>
    <s v="Major Market"/>
    <s v="Caffe Mocha"/>
    <s v="Espresso"/>
    <s v="Florida"/>
    <s v="Regular"/>
    <n v="80"/>
    <n v="130"/>
    <n v="40"/>
    <n v="210"/>
    <n v="92"/>
    <n v="541"/>
    <n v="128"/>
    <n v="83"/>
    <n v="16"/>
    <n v="220"/>
    <n v="1.0476190476190477"/>
    <n v="0.4"/>
    <n v="1.1499999999999999"/>
  </r>
  <r>
    <n v="305"/>
    <x v="1"/>
    <s v="East"/>
    <s v="Major Market"/>
    <s v="Decaf Irish Cream"/>
    <s v="Coffee"/>
    <s v="Florida"/>
    <s v="Decaf"/>
    <n v="80"/>
    <n v="110"/>
    <n v="70"/>
    <n v="190"/>
    <n v="86"/>
    <n v="490"/>
    <n v="120"/>
    <n v="26"/>
    <n v="71"/>
    <n v="206"/>
    <n v="1.0842105263157895"/>
    <n v="1.0142857142857142"/>
    <n v="1.075"/>
  </r>
  <r>
    <n v="754"/>
    <x v="1"/>
    <s v="East"/>
    <s v="Major Market"/>
    <s v="Columbian"/>
    <s v="Coffee"/>
    <s v="Florida"/>
    <s v="Regular"/>
    <n v="70"/>
    <n v="120"/>
    <n v="80"/>
    <n v="190"/>
    <n v="80"/>
    <n v="640"/>
    <n v="120"/>
    <n v="26"/>
    <n v="63"/>
    <n v="200"/>
    <n v="1.0526315789473684"/>
    <n v="0.78749999999999998"/>
    <n v="1.1428571428571428"/>
  </r>
  <r>
    <n v="754"/>
    <x v="1"/>
    <s v="East"/>
    <s v="Major Market"/>
    <s v="Chamomile"/>
    <s v="Herbal Tea"/>
    <s v="Florida"/>
    <s v="Decaf"/>
    <n v="30"/>
    <n v="50"/>
    <n v="30"/>
    <n v="80"/>
    <n v="48"/>
    <n v="617"/>
    <n v="62"/>
    <n v="15"/>
    <n v="34"/>
    <n v="110"/>
    <n v="1.375"/>
    <n v="1.1333333333333333"/>
    <n v="1.6"/>
  </r>
  <r>
    <n v="727"/>
    <x v="1"/>
    <s v="East"/>
    <s v="Major Market"/>
    <s v="Lemon"/>
    <s v="Herbal Tea"/>
    <s v="Florida"/>
    <s v="Decaf"/>
    <n v="40"/>
    <n v="50"/>
    <n v="20"/>
    <n v="90"/>
    <n v="53"/>
    <n v="306"/>
    <n v="65"/>
    <n v="20"/>
    <n v="12"/>
    <n v="118"/>
    <n v="1.3111111111111111"/>
    <n v="0.6"/>
    <n v="1.325"/>
  </r>
  <r>
    <n v="850"/>
    <x v="1"/>
    <s v="East"/>
    <s v="Major Market"/>
    <s v="Mint"/>
    <s v="Herbal Tea"/>
    <s v="Florida"/>
    <s v="Decaf"/>
    <n v="50"/>
    <n v="70"/>
    <n v="50"/>
    <n v="120"/>
    <n v="70"/>
    <n v="957"/>
    <n v="84"/>
    <n v="21"/>
    <n v="42"/>
    <n v="154"/>
    <n v="1.2833333333333334"/>
    <n v="0.84"/>
    <n v="1.4"/>
  </r>
  <r>
    <n v="978"/>
    <x v="1"/>
    <s v="East"/>
    <s v="Major Market"/>
    <s v="Darjeeling"/>
    <s v="Tea"/>
    <s v="Massachusetts"/>
    <s v="Regular"/>
    <n v="30"/>
    <n v="50"/>
    <n v="40"/>
    <n v="80"/>
    <n v="32"/>
    <n v="817"/>
    <n v="48"/>
    <n v="8"/>
    <n v="28"/>
    <n v="80"/>
    <n v="1"/>
    <n v="0.7"/>
    <n v="1.0666666666666667"/>
  </r>
  <r>
    <n v="978"/>
    <x v="1"/>
    <s v="East"/>
    <s v="Major Market"/>
    <s v="Green Tea"/>
    <s v="Tea"/>
    <s v="Massachusetts"/>
    <s v="Regular"/>
    <n v="20"/>
    <n v="40"/>
    <n v="30"/>
    <n v="60"/>
    <n v="22"/>
    <n v="452"/>
    <n v="34"/>
    <n v="6"/>
    <n v="17"/>
    <n v="56"/>
    <n v="0.93333333333333335"/>
    <n v="0.56666666666666665"/>
    <n v="1.1000000000000001"/>
  </r>
  <r>
    <n v="508"/>
    <x v="1"/>
    <s v="East"/>
    <s v="Major Market"/>
    <s v="Regular Espresso"/>
    <s v="Espresso"/>
    <s v="Massachusetts"/>
    <s v="Regular"/>
    <n v="160"/>
    <n v="170"/>
    <n v="110"/>
    <n v="330"/>
    <n v="170"/>
    <n v="1073"/>
    <n v="170"/>
    <n v="47"/>
    <n v="99"/>
    <n v="340"/>
    <n v="1.0303030303030303"/>
    <n v="0.9"/>
    <n v="1.0625"/>
  </r>
  <r>
    <n v="508"/>
    <x v="1"/>
    <s v="East"/>
    <s v="Major Market"/>
    <s v="Caffe Mocha"/>
    <s v="Espresso"/>
    <s v="Massachusetts"/>
    <s v="Regular"/>
    <n v="50"/>
    <n v="70"/>
    <n v="10"/>
    <n v="120"/>
    <n v="54"/>
    <n v="451"/>
    <n v="74"/>
    <n v="49"/>
    <n v="-4"/>
    <n v="128"/>
    <n v="1.0666666666666667"/>
    <n v="-0.4"/>
    <n v="1.08"/>
  </r>
  <r>
    <n v="774"/>
    <x v="1"/>
    <s v="East"/>
    <s v="Major Market"/>
    <s v="Columbian"/>
    <s v="Coffee"/>
    <s v="Massachusetts"/>
    <s v="Regular"/>
    <n v="70"/>
    <n v="370"/>
    <n v="330"/>
    <n v="440"/>
    <n v="75"/>
    <n v="235"/>
    <n v="395"/>
    <n v="24"/>
    <n v="340"/>
    <n v="470"/>
    <n v="1.0681818181818181"/>
    <n v="1.0303030303030303"/>
    <n v="1.0714285714285714"/>
  </r>
  <r>
    <n v="781"/>
    <x v="1"/>
    <s v="East"/>
    <s v="Major Market"/>
    <s v="Lemon"/>
    <s v="Herbal Tea"/>
    <s v="Massachusetts"/>
    <s v="Decaf"/>
    <n v="40"/>
    <n v="60"/>
    <n v="30"/>
    <n v="100"/>
    <n v="59"/>
    <n v="331"/>
    <n v="73"/>
    <n v="22"/>
    <n v="18"/>
    <n v="132"/>
    <n v="1.32"/>
    <n v="0.6"/>
    <n v="1.4750000000000001"/>
  </r>
  <r>
    <n v="603"/>
    <x v="1"/>
    <s v="East"/>
    <s v="Small Market"/>
    <s v="Darjeeling"/>
    <s v="Tea"/>
    <s v="New Hampshire"/>
    <s v="Regular"/>
    <n v="10"/>
    <n v="30"/>
    <n v="20"/>
    <n v="40"/>
    <n v="18"/>
    <n v="818"/>
    <n v="27"/>
    <n v="5"/>
    <n v="11"/>
    <n v="45"/>
    <n v="1.125"/>
    <n v="0.55000000000000004"/>
    <n v="1.8"/>
  </r>
  <r>
    <n v="603"/>
    <x v="1"/>
    <s v="East"/>
    <s v="Small Market"/>
    <s v="Green Tea"/>
    <s v="Tea"/>
    <s v="New Hampshire"/>
    <s v="Regular"/>
    <n v="0"/>
    <n v="40"/>
    <n v="30"/>
    <n v="40"/>
    <n v="0"/>
    <n v="774"/>
    <n v="43"/>
    <n v="0"/>
    <n v="32"/>
    <n v="43"/>
    <n v="1.075"/>
    <n v="1.0666666666666667"/>
    <m/>
  </r>
  <r>
    <n v="603"/>
    <x v="1"/>
    <s v="East"/>
    <s v="Small Market"/>
    <s v="Regular Espresso"/>
    <s v="Espresso"/>
    <s v="New Hampshire"/>
    <s v="Regular"/>
    <n v="20"/>
    <n v="40"/>
    <n v="0"/>
    <n v="60"/>
    <n v="30"/>
    <n v="165"/>
    <n v="38"/>
    <n v="11"/>
    <n v="-6"/>
    <n v="68"/>
    <n v="1.1333333333333333"/>
    <m/>
    <n v="1.5"/>
  </r>
  <r>
    <n v="603"/>
    <x v="1"/>
    <s v="East"/>
    <s v="Small Market"/>
    <s v="Caffe Mocha"/>
    <s v="Espresso"/>
    <s v="New Hampshire"/>
    <s v="Regular"/>
    <n v="40"/>
    <n v="60"/>
    <n v="10"/>
    <n v="100"/>
    <n v="43"/>
    <n v="256"/>
    <n v="61"/>
    <n v="39"/>
    <n v="-7"/>
    <n v="104"/>
    <n v="1.04"/>
    <n v="-0.7"/>
    <n v="1.075"/>
  </r>
  <r>
    <n v="603"/>
    <x v="1"/>
    <s v="East"/>
    <s v="Small Market"/>
    <s v="Amaretto"/>
    <s v="Coffee"/>
    <s v="New Hampshire"/>
    <s v="Regular"/>
    <n v="30"/>
    <n v="60"/>
    <n v="40"/>
    <n v="90"/>
    <n v="41"/>
    <n v="236"/>
    <n v="60"/>
    <n v="13"/>
    <n v="25"/>
    <n v="101"/>
    <n v="1.1222222222222222"/>
    <n v="0.625"/>
    <n v="1.3666666666666667"/>
  </r>
  <r>
    <n v="603"/>
    <x v="1"/>
    <s v="East"/>
    <s v="Small Market"/>
    <s v="Columbian"/>
    <s v="Coffee"/>
    <s v="New Hampshire"/>
    <s v="Regular"/>
    <n v="40"/>
    <n v="60"/>
    <n v="30"/>
    <n v="100"/>
    <n v="45"/>
    <n v="366"/>
    <n v="69"/>
    <n v="14"/>
    <n v="23"/>
    <n v="114"/>
    <n v="1.1399999999999999"/>
    <n v="0.76666666666666672"/>
    <n v="1.125"/>
  </r>
  <r>
    <n v="603"/>
    <x v="1"/>
    <s v="East"/>
    <s v="Small Market"/>
    <s v="Lemon"/>
    <s v="Herbal Tea"/>
    <s v="New Hampshire"/>
    <s v="Decaf"/>
    <n v="20"/>
    <n v="30"/>
    <n v="0"/>
    <n v="50"/>
    <n v="33"/>
    <n v="193"/>
    <n v="41"/>
    <n v="12"/>
    <n v="-4"/>
    <n v="74"/>
    <n v="1.48"/>
    <m/>
    <n v="1.65"/>
  </r>
  <r>
    <n v="631"/>
    <x v="1"/>
    <s v="East"/>
    <s v="Major Market"/>
    <s v="Darjeeling"/>
    <s v="Tea"/>
    <s v="New York"/>
    <s v="Regular"/>
    <n v="100"/>
    <n v="150"/>
    <n v="120"/>
    <n v="250"/>
    <n v="95"/>
    <n v="809"/>
    <n v="137"/>
    <n v="26"/>
    <n v="100"/>
    <n v="232"/>
    <n v="0.92800000000000005"/>
    <n v="0.83333333333333337"/>
    <n v="0.95"/>
  </r>
  <r>
    <n v="518"/>
    <x v="1"/>
    <s v="East"/>
    <s v="Major Market"/>
    <s v="Earl Grey"/>
    <s v="Tea"/>
    <s v="New York"/>
    <s v="Regular"/>
    <n v="100"/>
    <n v="160"/>
    <n v="130"/>
    <n v="260"/>
    <n v="99"/>
    <n v="766"/>
    <n v="144"/>
    <n v="27"/>
    <n v="105"/>
    <n v="243"/>
    <n v="0.93461538461538463"/>
    <n v="0.80769230769230771"/>
    <n v="0.99"/>
  </r>
  <r>
    <n v="845"/>
    <x v="1"/>
    <s v="East"/>
    <s v="Major Market"/>
    <s v="Green Tea"/>
    <s v="Tea"/>
    <s v="New York"/>
    <s v="Regular"/>
    <n v="80"/>
    <n v="120"/>
    <n v="90"/>
    <n v="200"/>
    <n v="77"/>
    <n v="449"/>
    <n v="112"/>
    <n v="21"/>
    <n v="79"/>
    <n v="189"/>
    <n v="0.94499999999999995"/>
    <n v="0.87777777777777777"/>
    <n v="0.96250000000000002"/>
  </r>
  <r>
    <n v="585"/>
    <x v="1"/>
    <s v="East"/>
    <s v="Major Market"/>
    <s v="Regular Espresso"/>
    <s v="Espresso"/>
    <s v="New York"/>
    <s v="Regular"/>
    <n v="210"/>
    <n v="350"/>
    <n v="280"/>
    <n v="560"/>
    <n v="228"/>
    <n v="1402"/>
    <n v="352"/>
    <n v="63"/>
    <n v="264"/>
    <n v="580"/>
    <n v="1.0357142857142858"/>
    <n v="0.94285714285714284"/>
    <n v="1.0857142857142856"/>
  </r>
  <r>
    <n v="585"/>
    <x v="1"/>
    <s v="East"/>
    <s v="Major Market"/>
    <s v="Caffe Mocha"/>
    <s v="Espresso"/>
    <s v="New York"/>
    <s v="Regular"/>
    <n v="110"/>
    <n v="-60"/>
    <n v="-190"/>
    <n v="50"/>
    <n v="121"/>
    <n v="901"/>
    <n v="-60"/>
    <n v="110"/>
    <n v="-203"/>
    <n v="61"/>
    <n v="1.22"/>
    <n v="1.0684210526315789"/>
    <n v="1.1000000000000001"/>
  </r>
  <r>
    <n v="917"/>
    <x v="1"/>
    <s v="East"/>
    <s v="Major Market"/>
    <s v="Columbian"/>
    <s v="Coffee"/>
    <s v="New York"/>
    <s v="Regular"/>
    <n v="240"/>
    <n v="370"/>
    <n v="250"/>
    <n v="610"/>
    <n v="258"/>
    <n v="2067"/>
    <n v="387"/>
    <n v="90"/>
    <n v="245"/>
    <n v="645"/>
    <n v="1.0573770491803278"/>
    <n v="0.98"/>
    <n v="1.075"/>
  </r>
  <r>
    <n v="518"/>
    <x v="1"/>
    <s v="East"/>
    <s v="Major Market"/>
    <s v="Lemon"/>
    <s v="Herbal Tea"/>
    <s v="New York"/>
    <s v="Decaf"/>
    <n v="180"/>
    <n v="200"/>
    <n v="110"/>
    <n v="380"/>
    <n v="240"/>
    <n v="1454"/>
    <n v="255"/>
    <n v="91"/>
    <n v="131"/>
    <n v="495"/>
    <n v="1.3026315789473684"/>
    <n v="1.1909090909090909"/>
    <n v="1.3333333333333333"/>
  </r>
  <r>
    <n v="607"/>
    <x v="1"/>
    <s v="East"/>
    <s v="Major Market"/>
    <s v="Mint"/>
    <s v="Herbal Tea"/>
    <s v="New York"/>
    <s v="Decaf"/>
    <n v="160"/>
    <n v="-20"/>
    <n v="-80"/>
    <n v="140"/>
    <n v="213"/>
    <n v="1214"/>
    <n v="-33"/>
    <n v="66"/>
    <n v="-120"/>
    <n v="180"/>
    <n v="1.2857142857142858"/>
    <n v="1.5"/>
    <n v="1.33125"/>
  </r>
  <r>
    <n v="504"/>
    <x v="1"/>
    <s v="South"/>
    <s v="Small Market"/>
    <s v="Caffe Mocha"/>
    <s v="Espresso"/>
    <s v="Louisiana"/>
    <s v="Regular"/>
    <n v="50"/>
    <n v="90"/>
    <n v="70"/>
    <n v="140"/>
    <n v="65"/>
    <n v="372"/>
    <n v="109"/>
    <n v="20"/>
    <n v="65"/>
    <n v="174"/>
    <n v="1.2428571428571429"/>
    <n v="0.9285714285714286"/>
    <n v="1.3"/>
  </r>
  <r>
    <n v="985"/>
    <x v="1"/>
    <s v="South"/>
    <s v="Small Market"/>
    <s v="Decaf Espresso"/>
    <s v="Espresso"/>
    <s v="Louisiana"/>
    <s v="Decaf"/>
    <n v="40"/>
    <n v="70"/>
    <n v="50"/>
    <n v="110"/>
    <n v="56"/>
    <n v="382"/>
    <n v="81"/>
    <n v="17"/>
    <n v="41"/>
    <n v="137"/>
    <n v="1.2454545454545454"/>
    <n v="0.82"/>
    <n v="1.4"/>
  </r>
  <r>
    <n v="337"/>
    <x v="1"/>
    <s v="South"/>
    <s v="Small Market"/>
    <s v="Chamomile"/>
    <s v="Herbal Tea"/>
    <s v="Louisiana"/>
    <s v="Decaf"/>
    <n v="40"/>
    <n v="60"/>
    <n v="40"/>
    <n v="100"/>
    <n v="49"/>
    <n v="617"/>
    <n v="63"/>
    <n v="16"/>
    <n v="35"/>
    <n v="112"/>
    <n v="1.1200000000000001"/>
    <n v="0.875"/>
    <n v="1.2250000000000001"/>
  </r>
  <r>
    <n v="225"/>
    <x v="1"/>
    <s v="South"/>
    <s v="Small Market"/>
    <s v="Lemon"/>
    <s v="Herbal Tea"/>
    <s v="Louisiana"/>
    <s v="Decaf"/>
    <n v="80"/>
    <n v="100"/>
    <n v="40"/>
    <n v="180"/>
    <n v="86"/>
    <n v="484"/>
    <n v="107"/>
    <n v="32"/>
    <n v="42"/>
    <n v="193"/>
    <n v="1.0722222222222222"/>
    <n v="1.05"/>
    <n v="1.075"/>
  </r>
  <r>
    <n v="318"/>
    <x v="1"/>
    <s v="South"/>
    <s v="Small Market"/>
    <s v="Caffe Latte"/>
    <s v="Espresso"/>
    <s v="Louisiana"/>
    <s v="Regular"/>
    <n v="50"/>
    <n v="80"/>
    <n v="10"/>
    <n v="130"/>
    <n v="65"/>
    <n v="342"/>
    <n v="90"/>
    <n v="58"/>
    <n v="2"/>
    <n v="155"/>
    <n v="1.1923076923076923"/>
    <n v="0.2"/>
    <n v="1.3"/>
  </r>
  <r>
    <n v="337"/>
    <x v="1"/>
    <s v="South"/>
    <s v="Small Market"/>
    <s v="Columbian"/>
    <s v="Coffee"/>
    <s v="Louisiana"/>
    <s v="Regular"/>
    <n v="40"/>
    <n v="70"/>
    <n v="60"/>
    <n v="110"/>
    <n v="38"/>
    <n v="772"/>
    <n v="56"/>
    <n v="10"/>
    <n v="34"/>
    <n v="94"/>
    <n v="0.8545454545454545"/>
    <n v="0.56666666666666665"/>
    <n v="0.95"/>
  </r>
  <r>
    <n v="504"/>
    <x v="1"/>
    <s v="South"/>
    <s v="Small Market"/>
    <s v="Decaf Irish Cream"/>
    <s v="Coffee"/>
    <s v="Louisiana"/>
    <s v="Decaf"/>
    <n v="50"/>
    <n v="90"/>
    <n v="70"/>
    <n v="140"/>
    <n v="47"/>
    <n v="772"/>
    <n v="68"/>
    <n v="13"/>
    <n v="44"/>
    <n v="115"/>
    <n v="0.8214285714285714"/>
    <n v="0.62857142857142856"/>
    <n v="0.94"/>
  </r>
  <r>
    <n v="505"/>
    <x v="1"/>
    <s v="South"/>
    <s v="Small Market"/>
    <s v="Caffe Mocha"/>
    <s v="Espresso"/>
    <s v="New Mexico"/>
    <s v="Regular"/>
    <n v="30"/>
    <n v="50"/>
    <n v="0"/>
    <n v="80"/>
    <n v="43"/>
    <n v="256"/>
    <n v="61"/>
    <n v="39"/>
    <n v="-7"/>
    <n v="104"/>
    <n v="1.3"/>
    <m/>
    <n v="1.4333333333333333"/>
  </r>
  <r>
    <n v="505"/>
    <x v="1"/>
    <s v="South"/>
    <s v="Small Market"/>
    <s v="Decaf Espresso"/>
    <s v="Espresso"/>
    <s v="New Mexico"/>
    <s v="Decaf"/>
    <n v="30"/>
    <n v="40"/>
    <n v="10"/>
    <n v="70"/>
    <n v="35"/>
    <n v="191"/>
    <n v="47"/>
    <n v="11"/>
    <n v="8"/>
    <n v="82"/>
    <n v="1.1714285714285715"/>
    <n v="0.8"/>
    <n v="1.1666666666666667"/>
  </r>
  <r>
    <n v="505"/>
    <x v="1"/>
    <s v="South"/>
    <s v="Small Market"/>
    <s v="Chamomile"/>
    <s v="Herbal Tea"/>
    <s v="New Mexico"/>
    <s v="Decaf"/>
    <n v="10"/>
    <n v="30"/>
    <n v="20"/>
    <n v="40"/>
    <n v="18"/>
    <n v="818"/>
    <n v="27"/>
    <n v="5"/>
    <n v="10"/>
    <n v="45"/>
    <n v="1.125"/>
    <n v="0.5"/>
    <n v="1.8"/>
  </r>
  <r>
    <n v="505"/>
    <x v="1"/>
    <s v="South"/>
    <s v="Small Market"/>
    <s v="Lemon"/>
    <s v="Herbal Tea"/>
    <s v="New Mexico"/>
    <s v="Decaf"/>
    <n v="20"/>
    <n v="40"/>
    <n v="20"/>
    <n v="60"/>
    <n v="28"/>
    <n v="961"/>
    <n v="35"/>
    <n v="8"/>
    <n v="5"/>
    <n v="63"/>
    <n v="1.05"/>
    <n v="0.25"/>
    <n v="1.4"/>
  </r>
  <r>
    <n v="505"/>
    <x v="1"/>
    <s v="South"/>
    <s v="Small Market"/>
    <s v="Caffe Latte"/>
    <s v="Espresso"/>
    <s v="New Mexico"/>
    <s v="Regular"/>
    <n v="20"/>
    <n v="30"/>
    <n v="0"/>
    <n v="50"/>
    <n v="30"/>
    <n v="104"/>
    <n v="38"/>
    <n v="11"/>
    <n v="-7"/>
    <n v="68"/>
    <n v="1.36"/>
    <m/>
    <n v="1.5"/>
  </r>
  <r>
    <n v="505"/>
    <x v="1"/>
    <s v="South"/>
    <s v="Small Market"/>
    <s v="Columbian"/>
    <s v="Coffee"/>
    <s v="New Mexico"/>
    <s v="Regular"/>
    <n v="50"/>
    <n v="90"/>
    <n v="50"/>
    <n v="140"/>
    <n v="45"/>
    <n v="366"/>
    <n v="69"/>
    <n v="14"/>
    <n v="24"/>
    <n v="114"/>
    <n v="0.81428571428571428"/>
    <n v="0.48"/>
    <n v="0.9"/>
  </r>
  <r>
    <n v="505"/>
    <x v="1"/>
    <s v="South"/>
    <s v="Small Market"/>
    <s v="Decaf Irish Cream"/>
    <s v="Coffee"/>
    <s v="New Mexico"/>
    <s v="Decaf"/>
    <n v="100"/>
    <n v="20"/>
    <n v="-20"/>
    <n v="120"/>
    <n v="84"/>
    <n v="625"/>
    <n v="18"/>
    <n v="26"/>
    <n v="-31"/>
    <n v="102"/>
    <n v="0.85"/>
    <n v="1.55"/>
    <n v="0.84"/>
  </r>
  <r>
    <n v="405"/>
    <x v="1"/>
    <s v="South"/>
    <s v="Small Market"/>
    <s v="Caffe Latte"/>
    <s v="Espresso"/>
    <s v="Oklahoma"/>
    <s v="Regular"/>
    <n v="70"/>
    <n v="100"/>
    <n v="70"/>
    <n v="170"/>
    <n v="86"/>
    <n v="300"/>
    <n v="120"/>
    <n v="26"/>
    <n v="70"/>
    <n v="206"/>
    <n v="1.2117647058823529"/>
    <n v="1"/>
    <n v="1.2285714285714286"/>
  </r>
  <r>
    <n v="918"/>
    <x v="1"/>
    <s v="South"/>
    <s v="Small Market"/>
    <s v="Caffe Mocha"/>
    <s v="Espresso"/>
    <s v="Oklahoma"/>
    <s v="Regular"/>
    <n v="10"/>
    <n v="30"/>
    <n v="30"/>
    <n v="40"/>
    <n v="22"/>
    <n v="452"/>
    <n v="34"/>
    <n v="6"/>
    <n v="17"/>
    <n v="56"/>
    <n v="1.4"/>
    <n v="0.56666666666666665"/>
    <n v="2.2000000000000002"/>
  </r>
  <r>
    <n v="405"/>
    <x v="1"/>
    <s v="South"/>
    <s v="Small Market"/>
    <s v="Decaf Espresso"/>
    <s v="Espresso"/>
    <s v="Oklahoma"/>
    <s v="Decaf"/>
    <n v="60"/>
    <n v="110"/>
    <n v="70"/>
    <n v="170"/>
    <n v="80"/>
    <n v="640"/>
    <n v="120"/>
    <n v="26"/>
    <n v="63"/>
    <n v="200"/>
    <n v="1.1764705882352942"/>
    <n v="0.9"/>
    <n v="1.3333333333333333"/>
  </r>
  <r>
    <n v="918"/>
    <x v="1"/>
    <s v="South"/>
    <s v="Small Market"/>
    <s v="Chamomile"/>
    <s v="Herbal Tea"/>
    <s v="Oklahoma"/>
    <s v="Decaf"/>
    <n v="50"/>
    <n v="60"/>
    <n v="20"/>
    <n v="110"/>
    <n v="53"/>
    <n v="306"/>
    <n v="65"/>
    <n v="20"/>
    <n v="11"/>
    <n v="118"/>
    <n v="1.0727272727272728"/>
    <n v="0.55000000000000004"/>
    <n v="1.06"/>
  </r>
  <r>
    <n v="405"/>
    <x v="1"/>
    <s v="South"/>
    <s v="Small Market"/>
    <s v="Lemon"/>
    <s v="Herbal Tea"/>
    <s v="Oklahoma"/>
    <s v="Decaf"/>
    <n v="80"/>
    <n v="130"/>
    <n v="40"/>
    <n v="210"/>
    <n v="92"/>
    <n v="541"/>
    <n v="128"/>
    <n v="83"/>
    <n v="15"/>
    <n v="220"/>
    <n v="1.0476190476190477"/>
    <n v="0.375"/>
    <n v="1.1499999999999999"/>
  </r>
  <r>
    <n v="918"/>
    <x v="1"/>
    <s v="South"/>
    <s v="Small Market"/>
    <s v="Columbian"/>
    <s v="Coffee"/>
    <s v="Oklahoma"/>
    <s v="Regular"/>
    <n v="50"/>
    <n v="70"/>
    <n v="50"/>
    <n v="120"/>
    <n v="44"/>
    <n v="618"/>
    <n v="56"/>
    <n v="14"/>
    <n v="29"/>
    <n v="100"/>
    <n v="0.83333333333333337"/>
    <n v="0.57999999999999996"/>
    <n v="0.88"/>
  </r>
  <r>
    <n v="405"/>
    <x v="1"/>
    <s v="South"/>
    <s v="Small Market"/>
    <s v="Decaf Irish Cream"/>
    <s v="Coffee"/>
    <s v="Oklahoma"/>
    <s v="Decaf"/>
    <n v="40"/>
    <n v="60"/>
    <n v="50"/>
    <n v="100"/>
    <n v="32"/>
    <n v="817"/>
    <n v="48"/>
    <n v="8"/>
    <n v="29"/>
    <n v="80"/>
    <n v="0.8"/>
    <n v="0.57999999999999996"/>
    <n v="0.8"/>
  </r>
  <r>
    <n v="512"/>
    <x v="1"/>
    <s v="South"/>
    <s v="Major Market"/>
    <s v="Caffe Latte"/>
    <s v="Espresso"/>
    <s v="Texas"/>
    <s v="Regular"/>
    <n v="60"/>
    <n v="100"/>
    <n v="60"/>
    <n v="160"/>
    <n v="75"/>
    <n v="378"/>
    <n v="114"/>
    <n v="24"/>
    <n v="58"/>
    <n v="189"/>
    <n v="1.1812499999999999"/>
    <n v="0.96666666666666667"/>
    <n v="1.25"/>
  </r>
  <r>
    <n v="903"/>
    <x v="1"/>
    <s v="South"/>
    <s v="Major Market"/>
    <s v="Caffe Mocha"/>
    <s v="Espresso"/>
    <s v="Texas"/>
    <s v="Regular"/>
    <n v="80"/>
    <n v="120"/>
    <n v="100"/>
    <n v="200"/>
    <n v="99"/>
    <n v="766"/>
    <n v="144"/>
    <n v="27"/>
    <n v="106"/>
    <n v="243"/>
    <n v="1.2150000000000001"/>
    <n v="1.06"/>
    <n v="1.2375"/>
  </r>
  <r>
    <n v="956"/>
    <x v="1"/>
    <s v="South"/>
    <s v="Major Market"/>
    <s v="Decaf Espresso"/>
    <s v="Espresso"/>
    <s v="Texas"/>
    <s v="Decaf"/>
    <n v="60"/>
    <n v="100"/>
    <n v="90"/>
    <n v="160"/>
    <n v="77"/>
    <n v="449"/>
    <n v="112"/>
    <n v="21"/>
    <n v="80"/>
    <n v="189"/>
    <n v="1.1812499999999999"/>
    <n v="0.88888888888888884"/>
    <n v="1.2833333333333334"/>
  </r>
  <r>
    <n v="214"/>
    <x v="1"/>
    <s v="South"/>
    <s v="Major Market"/>
    <s v="Chamomile"/>
    <s v="Herbal Tea"/>
    <s v="Texas"/>
    <s v="Decaf"/>
    <n v="50"/>
    <n v="80"/>
    <n v="50"/>
    <n v="130"/>
    <n v="60"/>
    <n v="329"/>
    <n v="80"/>
    <n v="19"/>
    <n v="33"/>
    <n v="140"/>
    <n v="1.0769230769230769"/>
    <n v="0.66"/>
    <n v="1.2"/>
  </r>
  <r>
    <n v="432"/>
    <x v="1"/>
    <s v="South"/>
    <s v="Major Market"/>
    <s v="Lemon"/>
    <s v="Herbal Tea"/>
    <s v="Texas"/>
    <s v="Decaf"/>
    <n v="40"/>
    <n v="80"/>
    <n v="50"/>
    <n v="120"/>
    <n v="52"/>
    <n v="357"/>
    <n v="76"/>
    <n v="16"/>
    <n v="38"/>
    <n v="128"/>
    <n v="1.0666666666666667"/>
    <n v="0.76"/>
    <n v="1.3"/>
  </r>
  <r>
    <n v="972"/>
    <x v="1"/>
    <s v="South"/>
    <s v="Major Market"/>
    <s v="Columbian"/>
    <s v="Coffee"/>
    <s v="Texas"/>
    <s v="Regular"/>
    <n v="260"/>
    <n v="320"/>
    <n v="240"/>
    <n v="580"/>
    <n v="213"/>
    <n v="942"/>
    <n v="252"/>
    <n v="66"/>
    <n v="164"/>
    <n v="465"/>
    <n v="0.80172413793103448"/>
    <n v="0.68333333333333335"/>
    <n v="0.81923076923076921"/>
  </r>
  <r>
    <n v="432"/>
    <x v="1"/>
    <s v="South"/>
    <s v="Major Market"/>
    <s v="Decaf Irish Cream"/>
    <s v="Coffee"/>
    <s v="Texas"/>
    <s v="Decaf"/>
    <n v="100"/>
    <n v="130"/>
    <n v="100"/>
    <n v="230"/>
    <n v="83"/>
    <n v="613"/>
    <n v="107"/>
    <n v="27"/>
    <n v="68"/>
    <n v="190"/>
    <n v="0.82608695652173914"/>
    <n v="0.68"/>
    <n v="0.83"/>
  </r>
  <r>
    <n v="435"/>
    <x v="1"/>
    <s v="West"/>
    <s v="Small Market"/>
    <s v="Caffe Latte"/>
    <s v="Espresso"/>
    <s v="Utah"/>
    <s v="Regular"/>
    <n v="40"/>
    <n v="50"/>
    <n v="30"/>
    <n v="90"/>
    <n v="42"/>
    <n v="771"/>
    <n v="61"/>
    <n v="11"/>
    <n v="38"/>
    <n v="103"/>
    <n v="1.1444444444444444"/>
    <n v="1.2666666666666666"/>
    <n v="1.05"/>
  </r>
  <r>
    <n v="801"/>
    <x v="1"/>
    <s v="West"/>
    <s v="Small Market"/>
    <s v="Caffe Mocha"/>
    <s v="Espresso"/>
    <s v="Utah"/>
    <s v="Regular"/>
    <n v="40"/>
    <n v="60"/>
    <n v="40"/>
    <n v="100"/>
    <n v="49"/>
    <n v="617"/>
    <n v="63"/>
    <n v="16"/>
    <n v="35"/>
    <n v="112"/>
    <n v="1.1200000000000001"/>
    <n v="0.875"/>
    <n v="1.2250000000000001"/>
  </r>
  <r>
    <n v="435"/>
    <x v="1"/>
    <s v="West"/>
    <s v="Small Market"/>
    <s v="Decaf Espresso"/>
    <s v="Espresso"/>
    <s v="Utah"/>
    <s v="Decaf"/>
    <n v="40"/>
    <n v="70"/>
    <n v="50"/>
    <n v="110"/>
    <n v="50"/>
    <n v="814"/>
    <n v="73"/>
    <n v="14"/>
    <n v="48"/>
    <n v="123"/>
    <n v="1.1181818181818182"/>
    <n v="0.96"/>
    <n v="1.25"/>
  </r>
  <r>
    <n v="435"/>
    <x v="1"/>
    <s v="West"/>
    <s v="Small Market"/>
    <s v="Chamomile"/>
    <s v="Herbal Tea"/>
    <s v="Utah"/>
    <s v="Decaf"/>
    <n v="30"/>
    <n v="50"/>
    <n v="30"/>
    <n v="80"/>
    <n v="41"/>
    <n v="236"/>
    <n v="60"/>
    <n v="13"/>
    <n v="24"/>
    <n v="101"/>
    <n v="1.2625"/>
    <n v="0.8"/>
    <n v="1.3666666666666667"/>
  </r>
  <r>
    <n v="435"/>
    <x v="1"/>
    <s v="West"/>
    <s v="Small Market"/>
    <s v="Lemon"/>
    <s v="Herbal Tea"/>
    <s v="Utah"/>
    <s v="Decaf"/>
    <n v="30"/>
    <n v="70"/>
    <n v="40"/>
    <n v="100"/>
    <n v="45"/>
    <n v="366"/>
    <n v="69"/>
    <n v="14"/>
    <n v="24"/>
    <n v="114"/>
    <n v="1.1399999999999999"/>
    <n v="0.6"/>
    <n v="1.5"/>
  </r>
  <r>
    <n v="435"/>
    <x v="1"/>
    <s v="West"/>
    <s v="Small Market"/>
    <s v="Mint"/>
    <s v="Herbal Tea"/>
    <s v="Utah"/>
    <s v="Decaf"/>
    <n v="70"/>
    <n v="10"/>
    <n v="-30"/>
    <n v="80"/>
    <n v="84"/>
    <n v="625"/>
    <n v="18"/>
    <n v="26"/>
    <n v="-31"/>
    <n v="102"/>
    <n v="1.2749999999999999"/>
    <n v="1.0333333333333334"/>
    <n v="1.2"/>
  </r>
  <r>
    <n v="435"/>
    <x v="1"/>
    <s v="West"/>
    <s v="Small Market"/>
    <s v="Darjeeling"/>
    <s v="Tea"/>
    <s v="Utah"/>
    <s v="Regular"/>
    <n v="20"/>
    <n v="50"/>
    <n v="10"/>
    <n v="70"/>
    <n v="43"/>
    <n v="256"/>
    <n v="61"/>
    <n v="39"/>
    <n v="-7"/>
    <n v="104"/>
    <n v="1.4857142857142858"/>
    <n v="-0.7"/>
    <n v="2.15"/>
  </r>
  <r>
    <n v="435"/>
    <x v="1"/>
    <s v="West"/>
    <s v="Small Market"/>
    <s v="Earl Grey"/>
    <s v="Tea"/>
    <s v="Utah"/>
    <s v="Regular"/>
    <n v="20"/>
    <n v="30"/>
    <n v="10"/>
    <n v="50"/>
    <n v="35"/>
    <n v="191"/>
    <n v="47"/>
    <n v="11"/>
    <n v="9"/>
    <n v="82"/>
    <n v="1.64"/>
    <n v="0.9"/>
    <n v="1.75"/>
  </r>
  <r>
    <n v="435"/>
    <x v="1"/>
    <s v="West"/>
    <s v="Small Market"/>
    <s v="Green Tea"/>
    <s v="Tea"/>
    <s v="Utah"/>
    <s v="Regular"/>
    <n v="10"/>
    <n v="30"/>
    <n v="10"/>
    <n v="40"/>
    <n v="30"/>
    <n v="165"/>
    <n v="38"/>
    <n v="11"/>
    <n v="-6"/>
    <n v="68"/>
    <n v="1.7"/>
    <n v="-0.6"/>
    <n v="3"/>
  </r>
  <r>
    <n v="435"/>
    <x v="1"/>
    <s v="West"/>
    <s v="Small Market"/>
    <s v="Amaretto"/>
    <s v="Coffee"/>
    <s v="Utah"/>
    <s v="Regular"/>
    <n v="90"/>
    <n v="110"/>
    <n v="70"/>
    <n v="200"/>
    <n v="75"/>
    <n v="956"/>
    <n v="90"/>
    <n v="23"/>
    <n v="46"/>
    <n v="165"/>
    <n v="0.82499999999999996"/>
    <n v="0.65714285714285714"/>
    <n v="0.83333333333333337"/>
  </r>
  <r>
    <n v="435"/>
    <x v="1"/>
    <s v="West"/>
    <s v="Small Market"/>
    <s v="Columbian"/>
    <s v="Coffee"/>
    <s v="Utah"/>
    <s v="Regular"/>
    <n v="60"/>
    <n v="100"/>
    <n v="70"/>
    <n v="160"/>
    <n v="55"/>
    <n v="305"/>
    <n v="75"/>
    <n v="18"/>
    <n v="30"/>
    <n v="130"/>
    <n v="0.8125"/>
    <n v="0.42857142857142855"/>
    <n v="0.91666666666666663"/>
  </r>
  <r>
    <n v="435"/>
    <x v="1"/>
    <s v="West"/>
    <s v="Small Market"/>
    <s v="Decaf Irish Cream"/>
    <s v="Coffee"/>
    <s v="Utah"/>
    <s v="Decaf"/>
    <n v="100"/>
    <n v="140"/>
    <n v="80"/>
    <n v="240"/>
    <n v="86"/>
    <n v="484"/>
    <n v="107"/>
    <n v="32"/>
    <n v="41"/>
    <n v="193"/>
    <n v="0.8041666666666667"/>
    <n v="0.51249999999999996"/>
    <n v="0.86"/>
  </r>
  <r>
    <n v="831"/>
    <x v="1"/>
    <s v="West"/>
    <s v="Major Market"/>
    <s v="Caffe Latte"/>
    <s v="Espresso"/>
    <s v="California"/>
    <s v="Regular"/>
    <n v="210"/>
    <n v="220"/>
    <n v="150"/>
    <n v="430"/>
    <n v="228"/>
    <n v="1436"/>
    <n v="229"/>
    <n v="63"/>
    <n v="142"/>
    <n v="457"/>
    <n v="1.0627906976744186"/>
    <n v="0.94666666666666666"/>
    <n v="1.0857142857142856"/>
  </r>
  <r>
    <n v="916"/>
    <x v="1"/>
    <s v="West"/>
    <s v="Major Market"/>
    <s v="Caffe Mocha"/>
    <s v="Espresso"/>
    <s v="California"/>
    <s v="Regular"/>
    <n v="110"/>
    <n v="160"/>
    <n v="30"/>
    <n v="270"/>
    <n v="121"/>
    <n v="712"/>
    <n v="169"/>
    <n v="110"/>
    <n v="26"/>
    <n v="290"/>
    <n v="1.0740740740740742"/>
    <n v="0.8666666666666667"/>
    <n v="1.1000000000000001"/>
  </r>
  <r>
    <n v="951"/>
    <x v="1"/>
    <s v="West"/>
    <s v="Major Market"/>
    <s v="Decaf Espresso"/>
    <s v="Espresso"/>
    <s v="California"/>
    <s v="Decaf"/>
    <n v="220"/>
    <n v="300"/>
    <n v="200"/>
    <n v="520"/>
    <n v="234"/>
    <n v="1282"/>
    <n v="311"/>
    <n v="77"/>
    <n v="202"/>
    <n v="545"/>
    <n v="1.0480769230769231"/>
    <n v="1.01"/>
    <n v="1.0636363636363637"/>
  </r>
  <r>
    <n v="949"/>
    <x v="1"/>
    <s v="West"/>
    <s v="Major Market"/>
    <s v="Chamomile"/>
    <s v="Herbal Tea"/>
    <s v="California"/>
    <s v="Decaf"/>
    <n v="80"/>
    <n v="120"/>
    <n v="100"/>
    <n v="200"/>
    <n v="95"/>
    <n v="809"/>
    <n v="137"/>
    <n v="26"/>
    <n v="100"/>
    <n v="232"/>
    <n v="1.1599999999999999"/>
    <n v="1"/>
    <n v="1.1875"/>
  </r>
  <r>
    <n v="714"/>
    <x v="1"/>
    <s v="West"/>
    <s v="Major Market"/>
    <s v="Lemon"/>
    <s v="Herbal Tea"/>
    <s v="California"/>
    <s v="Decaf"/>
    <n v="180"/>
    <n v="220"/>
    <n v="160"/>
    <n v="400"/>
    <n v="213"/>
    <n v="942"/>
    <n v="252"/>
    <n v="66"/>
    <n v="164"/>
    <n v="465"/>
    <n v="1.1625000000000001"/>
    <n v="1.0249999999999999"/>
    <n v="1.1833333333333333"/>
  </r>
  <r>
    <n v="530"/>
    <x v="1"/>
    <s v="West"/>
    <s v="Major Market"/>
    <s v="Mint"/>
    <s v="Herbal Tea"/>
    <s v="California"/>
    <s v="Decaf"/>
    <n v="70"/>
    <n v="90"/>
    <n v="60"/>
    <n v="160"/>
    <n v="83"/>
    <n v="613"/>
    <n v="107"/>
    <n v="27"/>
    <n v="68"/>
    <n v="190"/>
    <n v="1.1875"/>
    <n v="1.1333333333333333"/>
    <n v="1.1857142857142857"/>
  </r>
  <r>
    <n v="626"/>
    <x v="1"/>
    <s v="West"/>
    <s v="Major Market"/>
    <s v="Darjeeling"/>
    <s v="Tea"/>
    <s v="California"/>
    <s v="Regular"/>
    <n v="60"/>
    <n v="100"/>
    <n v="90"/>
    <n v="160"/>
    <n v="99"/>
    <n v="766"/>
    <n v="144"/>
    <n v="27"/>
    <n v="106"/>
    <n v="243"/>
    <n v="1.51875"/>
    <n v="1.1777777777777778"/>
    <n v="1.65"/>
  </r>
  <r>
    <n v="858"/>
    <x v="1"/>
    <s v="West"/>
    <s v="Major Market"/>
    <s v="Earl Grey"/>
    <s v="Tea"/>
    <s v="California"/>
    <s v="Regular"/>
    <n v="50"/>
    <n v="70"/>
    <n v="60"/>
    <n v="120"/>
    <n v="77"/>
    <n v="449"/>
    <n v="112"/>
    <n v="21"/>
    <n v="80"/>
    <n v="189"/>
    <n v="1.575"/>
    <n v="1.3333333333333333"/>
    <n v="1.54"/>
  </r>
  <r>
    <n v="858"/>
    <x v="1"/>
    <s v="West"/>
    <s v="Major Market"/>
    <s v="Green Tea"/>
    <s v="Tea"/>
    <s v="California"/>
    <s v="Regular"/>
    <n v="40"/>
    <n v="80"/>
    <n v="50"/>
    <n v="120"/>
    <n v="75"/>
    <n v="549"/>
    <n v="114"/>
    <n v="24"/>
    <n v="58"/>
    <n v="189"/>
    <n v="1.575"/>
    <n v="1.1599999999999999"/>
    <n v="1.875"/>
  </r>
  <r>
    <n v="909"/>
    <x v="1"/>
    <s v="West"/>
    <s v="Major Market"/>
    <s v="Amaretto"/>
    <s v="Coffee"/>
    <s v="California"/>
    <s v="Regular"/>
    <n v="130"/>
    <n v="30"/>
    <n v="-20"/>
    <n v="160"/>
    <n v="104"/>
    <n v="685"/>
    <n v="28"/>
    <n v="33"/>
    <n v="-27"/>
    <n v="132"/>
    <n v="0.82499999999999996"/>
    <n v="1.35"/>
    <n v="0.8"/>
  </r>
  <r>
    <n v="415"/>
    <x v="1"/>
    <s v="West"/>
    <s v="Major Market"/>
    <s v="Columbian"/>
    <s v="Coffee"/>
    <s v="California"/>
    <s v="Regular"/>
    <n v="320"/>
    <n v="480"/>
    <n v="360"/>
    <n v="800"/>
    <n v="258"/>
    <n v="2067"/>
    <n v="387"/>
    <n v="90"/>
    <n v="245"/>
    <n v="645"/>
    <n v="0.80625000000000002"/>
    <n v="0.68055555555555558"/>
    <n v="0.80625000000000002"/>
  </r>
  <r>
    <n v="818"/>
    <x v="1"/>
    <s v="West"/>
    <s v="Major Market"/>
    <s v="Decaf Irish Cream"/>
    <s v="Coffee"/>
    <s v="California"/>
    <s v="Decaf"/>
    <n v="180"/>
    <n v="-30"/>
    <n v="-110"/>
    <n v="150"/>
    <n v="148"/>
    <n v="1071"/>
    <n v="-26"/>
    <n v="48"/>
    <n v="-117"/>
    <n v="122"/>
    <n v="0.81333333333333335"/>
    <n v="1.0636363636363637"/>
    <n v="0.82222222222222219"/>
  </r>
  <r>
    <n v="702"/>
    <x v="1"/>
    <s v="West"/>
    <s v="Small Market"/>
    <s v="Caffe Latte"/>
    <s v="Espresso"/>
    <s v="Nevada"/>
    <s v="Regular"/>
    <n v="0"/>
    <n v="40"/>
    <n v="30"/>
    <n v="40"/>
    <n v="0"/>
    <n v="774"/>
    <n v="43"/>
    <n v="0"/>
    <n v="31"/>
    <n v="43"/>
    <n v="1.075"/>
    <n v="1.0333333333333334"/>
    <m/>
  </r>
  <r>
    <n v="775"/>
    <x v="1"/>
    <s v="West"/>
    <s v="Small Market"/>
    <s v="Caffe Mocha"/>
    <s v="Espresso"/>
    <s v="Nevada"/>
    <s v="Regular"/>
    <n v="10"/>
    <n v="30"/>
    <n v="20"/>
    <n v="40"/>
    <n v="18"/>
    <n v="818"/>
    <n v="27"/>
    <n v="5"/>
    <n v="10"/>
    <n v="45"/>
    <n v="1.125"/>
    <n v="0.5"/>
    <n v="1.8"/>
  </r>
  <r>
    <n v="775"/>
    <x v="1"/>
    <s v="West"/>
    <s v="Small Market"/>
    <s v="Decaf Espresso"/>
    <s v="Espresso"/>
    <s v="Nevada"/>
    <s v="Decaf"/>
    <n v="10"/>
    <n v="30"/>
    <n v="20"/>
    <n v="40"/>
    <n v="19"/>
    <n v="774"/>
    <n v="28"/>
    <n v="5"/>
    <n v="11"/>
    <n v="47"/>
    <n v="1.175"/>
    <n v="0.55000000000000004"/>
    <n v="1.9"/>
  </r>
  <r>
    <n v="702"/>
    <x v="1"/>
    <s v="West"/>
    <s v="Small Market"/>
    <s v="Decaf Irish Cream"/>
    <s v="Coffee"/>
    <s v="Nevada"/>
    <s v="Decaf"/>
    <n v="30"/>
    <n v="40"/>
    <n v="20"/>
    <n v="70"/>
    <n v="28"/>
    <n v="961"/>
    <n v="35"/>
    <n v="8"/>
    <n v="6"/>
    <n v="63"/>
    <n v="0.9"/>
    <n v="0.3"/>
    <n v="0.93333333333333335"/>
  </r>
  <r>
    <n v="775"/>
    <x v="1"/>
    <s v="West"/>
    <s v="Small Market"/>
    <s v="Chamomile"/>
    <s v="Herbal Tea"/>
    <s v="Nevada"/>
    <s v="Decaf"/>
    <n v="100"/>
    <n v="150"/>
    <n v="40"/>
    <n v="250"/>
    <n v="121"/>
    <n v="712"/>
    <n v="169"/>
    <n v="110"/>
    <n v="26"/>
    <n v="290"/>
    <n v="1.1599999999999999"/>
    <n v="0.65"/>
    <n v="1.21"/>
  </r>
  <r>
    <n v="775"/>
    <x v="1"/>
    <s v="West"/>
    <s v="Small Market"/>
    <s v="Lemon"/>
    <s v="Herbal Tea"/>
    <s v="Nevada"/>
    <s v="Decaf"/>
    <n v="120"/>
    <n v="190"/>
    <n v="120"/>
    <n v="310"/>
    <n v="148"/>
    <n v="844"/>
    <n v="206"/>
    <n v="48"/>
    <n v="115"/>
    <n v="354"/>
    <n v="1.1419354838709677"/>
    <n v="0.95833333333333337"/>
    <n v="1.2333333333333334"/>
  </r>
  <r>
    <n v="702"/>
    <x v="1"/>
    <s v="West"/>
    <s v="Small Market"/>
    <s v="Mint"/>
    <s v="Herbal Tea"/>
    <s v="Nevada"/>
    <s v="Decaf"/>
    <n v="80"/>
    <n v="140"/>
    <n v="110"/>
    <n v="220"/>
    <n v="104"/>
    <n v="596"/>
    <n v="150"/>
    <n v="33"/>
    <n v="94"/>
    <n v="254"/>
    <n v="1.1545454545454545"/>
    <n v="0.8545454545454545"/>
    <n v="1.3"/>
  </r>
  <r>
    <n v="775"/>
    <x v="1"/>
    <s v="West"/>
    <s v="Small Market"/>
    <s v="Darjeeling"/>
    <s v="Tea"/>
    <s v="Nevada"/>
    <s v="Regular"/>
    <n v="150"/>
    <n v="220"/>
    <n v="150"/>
    <n v="370"/>
    <n v="234"/>
    <n v="1282"/>
    <n v="311"/>
    <n v="77"/>
    <n v="202"/>
    <n v="545"/>
    <n v="1.472972972972973"/>
    <n v="1.3466666666666667"/>
    <n v="1.56"/>
  </r>
  <r>
    <n v="702"/>
    <x v="1"/>
    <s v="West"/>
    <s v="Small Market"/>
    <s v="Earl Grey"/>
    <s v="Tea"/>
    <s v="Nevada"/>
    <s v="Regular"/>
    <n v="150"/>
    <n v="160"/>
    <n v="100"/>
    <n v="310"/>
    <n v="228"/>
    <n v="1436"/>
    <n v="229"/>
    <n v="63"/>
    <n v="142"/>
    <n v="457"/>
    <n v="1.4741935483870967"/>
    <n v="1.42"/>
    <n v="1.52"/>
  </r>
  <r>
    <n v="702"/>
    <x v="1"/>
    <s v="West"/>
    <s v="Small Market"/>
    <s v="Green Tea"/>
    <s v="Tea"/>
    <s v="Nevada"/>
    <s v="Regular"/>
    <n v="150"/>
    <n v="-150"/>
    <n v="-220"/>
    <n v="0"/>
    <n v="240"/>
    <n v="1937"/>
    <n v="-240"/>
    <n v="91"/>
    <n v="-342"/>
    <n v="23"/>
    <m/>
    <n v="1.5545454545454545"/>
    <n v="1.6"/>
  </r>
  <r>
    <n v="775"/>
    <x v="1"/>
    <s v="West"/>
    <s v="Small Market"/>
    <s v="Columbian"/>
    <s v="Coffee"/>
    <s v="Nevada"/>
    <s v="Regular"/>
    <n v="40"/>
    <n v="50"/>
    <n v="10"/>
    <n v="90"/>
    <n v="33"/>
    <n v="193"/>
    <n v="41"/>
    <n v="12"/>
    <n v="-5"/>
    <n v="74"/>
    <n v="0.82222222222222219"/>
    <n v="-0.5"/>
    <n v="0.82499999999999996"/>
  </r>
  <r>
    <n v="503"/>
    <x v="1"/>
    <s v="West"/>
    <s v="Small Market"/>
    <s v="Caffe Latte"/>
    <s v="Espresso"/>
    <s v="Oregon"/>
    <s v="Regular"/>
    <n v="50"/>
    <n v="70"/>
    <n v="20"/>
    <n v="120"/>
    <n v="59"/>
    <n v="331"/>
    <n v="73"/>
    <n v="22"/>
    <n v="18"/>
    <n v="132"/>
    <n v="1.1000000000000001"/>
    <n v="0.9"/>
    <n v="1.18"/>
  </r>
  <r>
    <n v="541"/>
    <x v="1"/>
    <s v="West"/>
    <s v="Small Market"/>
    <s v="Caffe Mocha"/>
    <s v="Espresso"/>
    <s v="Oregon"/>
    <s v="Regular"/>
    <n v="50"/>
    <n v="80"/>
    <n v="50"/>
    <n v="130"/>
    <n v="60"/>
    <n v="329"/>
    <n v="80"/>
    <n v="19"/>
    <n v="33"/>
    <n v="140"/>
    <n v="1.0769230769230769"/>
    <n v="0.66"/>
    <n v="1.2"/>
  </r>
  <r>
    <n v="971"/>
    <x v="1"/>
    <s v="West"/>
    <s v="Small Market"/>
    <s v="Decaf Espresso"/>
    <s v="Espresso"/>
    <s v="Oregon"/>
    <s v="Decaf"/>
    <n v="160"/>
    <n v="160"/>
    <n v="100"/>
    <n v="320"/>
    <n v="170"/>
    <n v="1073"/>
    <n v="170"/>
    <n v="47"/>
    <n v="99"/>
    <n v="340"/>
    <n v="1.0625"/>
    <n v="0.99"/>
    <n v="1.0625"/>
  </r>
  <r>
    <n v="971"/>
    <x v="1"/>
    <s v="West"/>
    <s v="Small Market"/>
    <s v="Decaf Irish Cream"/>
    <s v="Coffee"/>
    <s v="Oregon"/>
    <s v="Decaf"/>
    <n v="60"/>
    <n v="100"/>
    <n v="70"/>
    <n v="160"/>
    <n v="52"/>
    <n v="357"/>
    <n v="76"/>
    <n v="16"/>
    <n v="38"/>
    <n v="128"/>
    <n v="0.8"/>
    <n v="0.54285714285714282"/>
    <n v="0.8666666666666667"/>
  </r>
  <r>
    <n v="971"/>
    <x v="1"/>
    <s v="West"/>
    <s v="Small Market"/>
    <s v="Chamomile"/>
    <s v="Herbal Tea"/>
    <s v="Oregon"/>
    <s v="Decaf"/>
    <n v="20"/>
    <n v="50"/>
    <n v="50"/>
    <n v="70"/>
    <n v="33"/>
    <n v="772"/>
    <n v="48"/>
    <n v="9"/>
    <n v="28"/>
    <n v="81"/>
    <n v="1.1571428571428573"/>
    <n v="0.56000000000000005"/>
    <n v="1.65"/>
  </r>
  <r>
    <n v="541"/>
    <x v="1"/>
    <s v="West"/>
    <s v="Small Market"/>
    <s v="Lemon"/>
    <s v="Herbal Tea"/>
    <s v="Oregon"/>
    <s v="Decaf"/>
    <n v="30"/>
    <n v="50"/>
    <n v="30"/>
    <n v="80"/>
    <n v="44"/>
    <n v="618"/>
    <n v="56"/>
    <n v="14"/>
    <n v="30"/>
    <n v="100"/>
    <n v="1.25"/>
    <n v="1"/>
    <n v="1.4666666666666666"/>
  </r>
  <r>
    <n v="541"/>
    <x v="1"/>
    <s v="West"/>
    <s v="Small Market"/>
    <s v="Darjeeling"/>
    <s v="Tea"/>
    <s v="Oregon"/>
    <s v="Regular"/>
    <n v="10"/>
    <n v="20"/>
    <n v="20"/>
    <n v="30"/>
    <n v="22"/>
    <n v="452"/>
    <n v="34"/>
    <n v="6"/>
    <n v="17"/>
    <n v="56"/>
    <n v="1.8666666666666667"/>
    <n v="0.85"/>
    <n v="2.2000000000000002"/>
  </r>
  <r>
    <n v="971"/>
    <x v="1"/>
    <s v="West"/>
    <s v="Small Market"/>
    <s v="Earl Grey"/>
    <s v="Tea"/>
    <s v="Oregon"/>
    <s v="Regular"/>
    <n v="50"/>
    <n v="80"/>
    <n v="50"/>
    <n v="130"/>
    <n v="80"/>
    <n v="640"/>
    <n v="120"/>
    <n v="26"/>
    <n v="62"/>
    <n v="200"/>
    <n v="1.5384615384615385"/>
    <n v="1.24"/>
    <n v="1.6"/>
  </r>
  <r>
    <n v="503"/>
    <x v="1"/>
    <s v="West"/>
    <s v="Small Market"/>
    <s v="Green Tea"/>
    <s v="Tea"/>
    <s v="Oregon"/>
    <s v="Regular"/>
    <n v="50"/>
    <n v="90"/>
    <n v="60"/>
    <n v="140"/>
    <n v="86"/>
    <n v="490"/>
    <n v="120"/>
    <n v="26"/>
    <n v="71"/>
    <n v="206"/>
    <n v="1.4714285714285715"/>
    <n v="1.1833333333333333"/>
    <n v="1.72"/>
  </r>
  <r>
    <n v="971"/>
    <x v="1"/>
    <s v="West"/>
    <s v="Small Market"/>
    <s v="Amaretto"/>
    <s v="Coffee"/>
    <s v="Oregon"/>
    <s v="Regular"/>
    <n v="60"/>
    <n v="100"/>
    <n v="40"/>
    <n v="160"/>
    <n v="54"/>
    <n v="427"/>
    <n v="75"/>
    <n v="49"/>
    <n v="-4"/>
    <n v="129"/>
    <n v="0.80625000000000002"/>
    <n v="-0.1"/>
    <n v="0.9"/>
  </r>
  <r>
    <n v="503"/>
    <x v="1"/>
    <s v="West"/>
    <s v="Small Market"/>
    <s v="Columbian"/>
    <s v="Coffee"/>
    <s v="Oregon"/>
    <s v="Regular"/>
    <n v="80"/>
    <n v="110"/>
    <n v="50"/>
    <n v="190"/>
    <n v="65"/>
    <n v="392"/>
    <n v="90"/>
    <n v="21"/>
    <n v="25"/>
    <n v="155"/>
    <n v="0.81578947368421051"/>
    <n v="0.5"/>
    <n v="0.8125"/>
  </r>
  <r>
    <n v="360"/>
    <x v="1"/>
    <s v="West"/>
    <s v="Small Market"/>
    <s v="Caffe Latte"/>
    <s v="Espresso"/>
    <s v="Washington"/>
    <s v="Regular"/>
    <n v="40"/>
    <n v="60"/>
    <n v="40"/>
    <n v="100"/>
    <n v="48"/>
    <n v="617"/>
    <n v="62"/>
    <n v="15"/>
    <n v="35"/>
    <n v="110"/>
    <n v="1.1000000000000001"/>
    <n v="0.875"/>
    <n v="1.2"/>
  </r>
  <r>
    <n v="253"/>
    <x v="1"/>
    <s v="West"/>
    <s v="Small Market"/>
    <s v="Caffe Mocha"/>
    <s v="Espresso"/>
    <s v="Washington"/>
    <s v="Regular"/>
    <n v="50"/>
    <n v="60"/>
    <n v="20"/>
    <n v="110"/>
    <n v="53"/>
    <n v="306"/>
    <n v="65"/>
    <n v="20"/>
    <n v="12"/>
    <n v="118"/>
    <n v="1.0727272727272728"/>
    <n v="0.6"/>
    <n v="1.06"/>
  </r>
  <r>
    <n v="509"/>
    <x v="1"/>
    <s v="West"/>
    <s v="Small Market"/>
    <s v="Decaf Espresso"/>
    <s v="Espresso"/>
    <s v="Washington"/>
    <s v="Decaf"/>
    <n v="60"/>
    <n v="80"/>
    <n v="60"/>
    <n v="140"/>
    <n v="70"/>
    <n v="957"/>
    <n v="84"/>
    <n v="21"/>
    <n v="41"/>
    <n v="154"/>
    <n v="1.1000000000000001"/>
    <n v="0.68333333333333335"/>
    <n v="1.1666666666666667"/>
  </r>
  <r>
    <n v="206"/>
    <x v="1"/>
    <s v="West"/>
    <s v="Small Market"/>
    <s v="Decaf Irish Cream"/>
    <s v="Coffee"/>
    <s v="Washington"/>
    <s v="Decaf"/>
    <n v="110"/>
    <n v="160"/>
    <n v="60"/>
    <n v="270"/>
    <n v="92"/>
    <n v="541"/>
    <n v="128"/>
    <n v="83"/>
    <n v="15"/>
    <n v="220"/>
    <n v="0.81481481481481477"/>
    <n v="0.25"/>
    <n v="0.83636363636363631"/>
  </r>
  <r>
    <n v="206"/>
    <x v="1"/>
    <s v="West"/>
    <s v="Small Market"/>
    <s v="Chamomile"/>
    <s v="Herbal Tea"/>
    <s v="Washington"/>
    <s v="Decaf"/>
    <n v="110"/>
    <n v="170"/>
    <n v="120"/>
    <n v="280"/>
    <n v="130"/>
    <n v="945"/>
    <n v="195"/>
    <n v="42"/>
    <n v="121"/>
    <n v="325"/>
    <n v="1.1607142857142858"/>
    <n v="1.0083333333333333"/>
    <n v="1.1818181818181819"/>
  </r>
  <r>
    <n v="509"/>
    <x v="1"/>
    <s v="West"/>
    <s v="Small Market"/>
    <s v="Lemon"/>
    <s v="Herbal Tea"/>
    <s v="Washington"/>
    <s v="Decaf"/>
    <n v="30"/>
    <n v="50"/>
    <n v="50"/>
    <n v="80"/>
    <n v="38"/>
    <n v="772"/>
    <n v="56"/>
    <n v="10"/>
    <n v="34"/>
    <n v="94"/>
    <n v="1.175"/>
    <n v="0.68"/>
    <n v="1.2666666666666666"/>
  </r>
  <r>
    <n v="360"/>
    <x v="1"/>
    <s v="West"/>
    <s v="Small Market"/>
    <s v="Darjeeling"/>
    <s v="Tea"/>
    <s v="Washington"/>
    <s v="Regular"/>
    <n v="40"/>
    <n v="70"/>
    <n v="40"/>
    <n v="110"/>
    <n v="65"/>
    <n v="372"/>
    <n v="109"/>
    <n v="20"/>
    <n v="66"/>
    <n v="174"/>
    <n v="1.5818181818181818"/>
    <n v="1.65"/>
    <n v="1.625"/>
  </r>
  <r>
    <n v="206"/>
    <x v="1"/>
    <s v="West"/>
    <s v="Small Market"/>
    <s v="Earl Grey"/>
    <s v="Tea"/>
    <s v="Washington"/>
    <s v="Regular"/>
    <n v="30"/>
    <n v="60"/>
    <n v="40"/>
    <n v="90"/>
    <n v="56"/>
    <n v="382"/>
    <n v="81"/>
    <n v="17"/>
    <n v="41"/>
    <n v="137"/>
    <n v="1.5222222222222221"/>
    <n v="1.0249999999999999"/>
    <n v="1.8666666666666667"/>
  </r>
  <r>
    <n v="253"/>
    <x v="1"/>
    <s v="West"/>
    <s v="Small Market"/>
    <s v="Green Tea"/>
    <s v="Tea"/>
    <s v="Washington"/>
    <s v="Regular"/>
    <n v="40"/>
    <n v="60"/>
    <n v="10"/>
    <n v="100"/>
    <n v="65"/>
    <n v="513"/>
    <n v="90"/>
    <n v="58"/>
    <n v="3"/>
    <n v="155"/>
    <n v="1.55"/>
    <n v="0.3"/>
    <n v="1.625"/>
  </r>
  <r>
    <n v="509"/>
    <x v="1"/>
    <s v="West"/>
    <s v="Small Market"/>
    <s v="Columbian"/>
    <s v="Coffee"/>
    <s v="Washington"/>
    <s v="Regular"/>
    <n v="70"/>
    <n v="100"/>
    <n v="70"/>
    <n v="170"/>
    <n v="58"/>
    <n v="331"/>
    <n v="84"/>
    <n v="18"/>
    <n v="44"/>
    <n v="142"/>
    <n v="0.83529411764705885"/>
    <n v="0.62857142857142856"/>
    <n v="0.82857142857142863"/>
  </r>
  <r>
    <n v="720"/>
    <x v="2"/>
    <s v="Central"/>
    <s v="Major Market"/>
    <s v="Amaretto"/>
    <s v="Coffee"/>
    <s v="Colorado"/>
    <s v="Regular"/>
    <n v="90"/>
    <n v="130"/>
    <n v="100"/>
    <n v="220"/>
    <n v="87"/>
    <n v="756"/>
    <n v="126"/>
    <n v="24"/>
    <n v="90"/>
    <n v="213"/>
    <n v="0.96818181818181814"/>
    <n v="0.9"/>
    <n v="0.96666666666666667"/>
  </r>
  <r>
    <n v="970"/>
    <x v="2"/>
    <s v="Central"/>
    <s v="Major Market"/>
    <s v="Columbian"/>
    <s v="Coffee"/>
    <s v="Colorado"/>
    <s v="Regular"/>
    <n v="80"/>
    <n v="120"/>
    <n v="90"/>
    <n v="200"/>
    <n v="84"/>
    <n v="603"/>
    <n v="109"/>
    <n v="27"/>
    <n v="69"/>
    <n v="193"/>
    <n v="0.96499999999999997"/>
    <n v="0.76666666666666672"/>
    <n v="1.05"/>
  </r>
  <r>
    <n v="720"/>
    <x v="2"/>
    <s v="Central"/>
    <s v="Major Market"/>
    <s v="Decaf Irish Cream"/>
    <s v="Coffee"/>
    <s v="Colorado"/>
    <s v="Decaf"/>
    <n v="100"/>
    <n v="140"/>
    <n v="110"/>
    <n v="240"/>
    <n v="95"/>
    <n v="799"/>
    <n v="139"/>
    <n v="26"/>
    <n v="101"/>
    <n v="234"/>
    <n v="0.97499999999999998"/>
    <n v="0.91818181818181821"/>
    <n v="0.95"/>
  </r>
  <r>
    <n v="720"/>
    <x v="2"/>
    <s v="Central"/>
    <s v="Major Market"/>
    <s v="Green Tea"/>
    <s v="Tea"/>
    <s v="Colorado"/>
    <s v="Regular"/>
    <n v="30"/>
    <n v="50"/>
    <n v="30"/>
    <n v="80"/>
    <n v="43"/>
    <n v="613"/>
    <n v="55"/>
    <n v="14"/>
    <n v="29"/>
    <n v="98"/>
    <n v="1.2250000000000001"/>
    <n v="0.96666666666666667"/>
    <n v="1.4333333333333333"/>
  </r>
  <r>
    <n v="719"/>
    <x v="2"/>
    <s v="Central"/>
    <s v="Major Market"/>
    <s v="Caffe Mocha"/>
    <s v="Espresso"/>
    <s v="Colorado"/>
    <s v="Regular"/>
    <n v="90"/>
    <n v="140"/>
    <n v="110"/>
    <n v="230"/>
    <n v="81"/>
    <n v="441"/>
    <n v="117"/>
    <n v="22"/>
    <n v="84"/>
    <n v="198"/>
    <n v="0.86086956521739133"/>
    <n v="0.76363636363636367"/>
    <n v="0.9"/>
  </r>
  <r>
    <n v="970"/>
    <x v="2"/>
    <s v="Central"/>
    <s v="Major Market"/>
    <s v="Decaf Espresso"/>
    <s v="Espresso"/>
    <s v="Colorado"/>
    <s v="Decaf"/>
    <n v="80"/>
    <n v="130"/>
    <n v="80"/>
    <n v="210"/>
    <n v="72"/>
    <n v="541"/>
    <n v="108"/>
    <n v="23"/>
    <n v="54"/>
    <n v="180"/>
    <n v="0.8571428571428571"/>
    <n v="0.67500000000000004"/>
    <n v="0.9"/>
  </r>
  <r>
    <n v="719"/>
    <x v="2"/>
    <s v="Central"/>
    <s v="Major Market"/>
    <s v="Chamomile"/>
    <s v="Herbal Tea"/>
    <s v="Colorado"/>
    <s v="Decaf"/>
    <n v="130"/>
    <n v="150"/>
    <n v="100"/>
    <n v="280"/>
    <n v="162"/>
    <n v="1059"/>
    <n v="163"/>
    <n v="45"/>
    <n v="94"/>
    <n v="325"/>
    <n v="1.1607142857142858"/>
    <n v="0.94"/>
    <n v="1.2461538461538462"/>
  </r>
  <r>
    <n v="970"/>
    <x v="2"/>
    <s v="Central"/>
    <s v="Major Market"/>
    <s v="Lemon"/>
    <s v="Herbal Tea"/>
    <s v="Colorado"/>
    <s v="Decaf"/>
    <n v="40"/>
    <n v="70"/>
    <n v="20"/>
    <n v="110"/>
    <n v="52"/>
    <n v="421"/>
    <n v="73"/>
    <n v="47"/>
    <n v="-4"/>
    <n v="125"/>
    <n v="1.1363636363636365"/>
    <n v="-0.2"/>
    <n v="1.3"/>
  </r>
  <r>
    <n v="720"/>
    <x v="2"/>
    <s v="Central"/>
    <s v="Major Market"/>
    <s v="Mint"/>
    <s v="Herbal Tea"/>
    <s v="Colorado"/>
    <s v="Decaf"/>
    <n v="40"/>
    <n v="70"/>
    <n v="40"/>
    <n v="110"/>
    <n v="57"/>
    <n v="323"/>
    <n v="77"/>
    <n v="18"/>
    <n v="31"/>
    <n v="134"/>
    <n v="1.2181818181818183"/>
    <n v="0.77500000000000002"/>
    <n v="1.425"/>
  </r>
  <r>
    <n v="970"/>
    <x v="2"/>
    <s v="Central"/>
    <s v="Major Market"/>
    <s v="Darjeeling"/>
    <s v="Tea"/>
    <s v="Colorado"/>
    <s v="Regular"/>
    <n v="40"/>
    <n v="70"/>
    <n v="20"/>
    <n v="110"/>
    <n v="58"/>
    <n v="325"/>
    <n v="71"/>
    <n v="22"/>
    <n v="16"/>
    <n v="129"/>
    <n v="1.1727272727272726"/>
    <n v="0.8"/>
    <n v="1.45"/>
  </r>
  <r>
    <n v="303"/>
    <x v="2"/>
    <s v="Central"/>
    <s v="Major Market"/>
    <s v="Earl Grey"/>
    <s v="Tea"/>
    <s v="Colorado"/>
    <s v="Regular"/>
    <n v="50"/>
    <n v="60"/>
    <n v="30"/>
    <n v="110"/>
    <n v="62"/>
    <n v="952"/>
    <n v="73"/>
    <n v="19"/>
    <n v="32"/>
    <n v="135"/>
    <n v="1.2272727272727273"/>
    <n v="1.0666666666666667"/>
    <n v="1.24"/>
  </r>
  <r>
    <n v="217"/>
    <x v="2"/>
    <s v="Central"/>
    <s v="Major Market"/>
    <s v="Columbian"/>
    <s v="Coffee"/>
    <s v="Illinois"/>
    <s v="Regular"/>
    <n v="160"/>
    <n v="220"/>
    <n v="140"/>
    <n v="380"/>
    <n v="154"/>
    <n v="829"/>
    <n v="213"/>
    <n v="50"/>
    <n v="119"/>
    <n v="367"/>
    <n v="0.96578947368421053"/>
    <n v="0.85"/>
    <n v="0.96250000000000002"/>
  </r>
  <r>
    <n v="630"/>
    <x v="2"/>
    <s v="Central"/>
    <s v="Major Market"/>
    <s v="Decaf Irish Cream"/>
    <s v="Coffee"/>
    <s v="Illinois"/>
    <s v="Decaf"/>
    <n v="110"/>
    <n v="170"/>
    <n v="120"/>
    <n v="280"/>
    <n v="109"/>
    <n v="585"/>
    <n v="158"/>
    <n v="34"/>
    <n v="102"/>
    <n v="267"/>
    <n v="0.95357142857142863"/>
    <n v="0.85"/>
    <n v="0.99090909090909096"/>
  </r>
  <r>
    <n v="312"/>
    <x v="2"/>
    <s v="Central"/>
    <s v="Major Market"/>
    <s v="Caffe Mocha"/>
    <s v="Espresso"/>
    <s v="Illinois"/>
    <s v="Regular"/>
    <n v="280"/>
    <n v="380"/>
    <n v="260"/>
    <n v="660"/>
    <n v="243"/>
    <n v="1260"/>
    <n v="324"/>
    <n v="80"/>
    <n v="211"/>
    <n v="567"/>
    <n v="0.85909090909090913"/>
    <n v="0.81153846153846154"/>
    <n v="0.86785714285714288"/>
  </r>
  <r>
    <n v="773"/>
    <x v="2"/>
    <s v="Central"/>
    <s v="Major Market"/>
    <s v="Decaf Espresso"/>
    <s v="Espresso"/>
    <s v="Illinois"/>
    <s v="Decaf"/>
    <n v="270"/>
    <n v="290"/>
    <n v="200"/>
    <n v="560"/>
    <n v="239"/>
    <n v="1417"/>
    <n v="239"/>
    <n v="66"/>
    <n v="148"/>
    <n v="478"/>
    <n v="0.85357142857142854"/>
    <n v="0.74"/>
    <n v="0.88518518518518519"/>
  </r>
  <r>
    <n v="224"/>
    <x v="2"/>
    <s v="Central"/>
    <s v="Major Market"/>
    <s v="Chamomile"/>
    <s v="Herbal Tea"/>
    <s v="Illinois"/>
    <s v="Decaf"/>
    <n v="70"/>
    <n v="110"/>
    <n v="90"/>
    <n v="180"/>
    <n v="87"/>
    <n v="756"/>
    <n v="126"/>
    <n v="24"/>
    <n v="91"/>
    <n v="213"/>
    <n v="1.1833333333333333"/>
    <n v="1.0111111111111111"/>
    <n v="1.2428571428571429"/>
  </r>
  <r>
    <n v="630"/>
    <x v="2"/>
    <s v="Central"/>
    <s v="Major Market"/>
    <s v="Lemon"/>
    <s v="Herbal Tea"/>
    <s v="Illinois"/>
    <s v="Decaf"/>
    <n v="70"/>
    <n v="90"/>
    <n v="60"/>
    <n v="160"/>
    <n v="84"/>
    <n v="603"/>
    <n v="109"/>
    <n v="27"/>
    <n v="70"/>
    <n v="193"/>
    <n v="1.20625"/>
    <n v="1.1666666666666667"/>
    <n v="1.2"/>
  </r>
  <r>
    <n v="773"/>
    <x v="2"/>
    <s v="Central"/>
    <s v="Major Market"/>
    <s v="Mint"/>
    <s v="Herbal Tea"/>
    <s v="Illinois"/>
    <s v="Decaf"/>
    <n v="80"/>
    <n v="120"/>
    <n v="100"/>
    <n v="200"/>
    <n v="95"/>
    <n v="799"/>
    <n v="139"/>
    <n v="26"/>
    <n v="102"/>
    <n v="234"/>
    <n v="1.17"/>
    <n v="1.02"/>
    <n v="1.1875"/>
  </r>
  <r>
    <n v="815"/>
    <x v="2"/>
    <s v="Central"/>
    <s v="Major Market"/>
    <s v="Darjeeling"/>
    <s v="Tea"/>
    <s v="Illinois"/>
    <s v="Regular"/>
    <n v="60"/>
    <n v="110"/>
    <n v="80"/>
    <n v="170"/>
    <n v="81"/>
    <n v="441"/>
    <n v="117"/>
    <n v="22"/>
    <n v="84"/>
    <n v="198"/>
    <n v="1.1647058823529413"/>
    <n v="1.05"/>
    <n v="1.35"/>
  </r>
  <r>
    <n v="773"/>
    <x v="2"/>
    <s v="Central"/>
    <s v="Major Market"/>
    <s v="Earl Grey"/>
    <s v="Tea"/>
    <s v="Illinois"/>
    <s v="Regular"/>
    <n v="60"/>
    <n v="90"/>
    <n v="40"/>
    <n v="150"/>
    <n v="72"/>
    <n v="541"/>
    <n v="108"/>
    <n v="23"/>
    <n v="53"/>
    <n v="180"/>
    <n v="1.2"/>
    <n v="1.325"/>
    <n v="1.2"/>
  </r>
  <r>
    <n v="712"/>
    <x v="2"/>
    <s v="Central"/>
    <s v="Small Market"/>
    <s v="Amaretto"/>
    <s v="Coffee"/>
    <s v="Iowa"/>
    <s v="Regular"/>
    <n v="10"/>
    <n v="30"/>
    <n v="20"/>
    <n v="40"/>
    <n v="18"/>
    <n v="816"/>
    <n v="27"/>
    <n v="5"/>
    <n v="10"/>
    <n v="45"/>
    <n v="1.125"/>
    <n v="0.5"/>
    <n v="1.8"/>
  </r>
  <r>
    <n v="641"/>
    <x v="2"/>
    <s v="Central"/>
    <s v="Small Market"/>
    <s v="Columbian"/>
    <s v="Coffee"/>
    <s v="Iowa"/>
    <s v="Regular"/>
    <n v="20"/>
    <n v="40"/>
    <n v="20"/>
    <n v="60"/>
    <n v="28"/>
    <n v="958"/>
    <n v="35"/>
    <n v="8"/>
    <n v="6"/>
    <n v="63"/>
    <n v="1.05"/>
    <n v="0.3"/>
    <n v="1.4"/>
  </r>
  <r>
    <n v="563"/>
    <x v="2"/>
    <s v="Central"/>
    <s v="Small Market"/>
    <s v="Decaf Irish Cream"/>
    <s v="Coffee"/>
    <s v="Iowa"/>
    <s v="Decaf"/>
    <n v="20"/>
    <n v="30"/>
    <n v="20"/>
    <n v="50"/>
    <n v="23"/>
    <n v="617"/>
    <n v="31"/>
    <n v="7"/>
    <n v="12"/>
    <n v="54"/>
    <n v="1.08"/>
    <n v="0.6"/>
    <n v="1.1499999999999999"/>
  </r>
  <r>
    <n v="712"/>
    <x v="2"/>
    <s v="Central"/>
    <s v="Small Market"/>
    <s v="Caffe Mocha"/>
    <s v="Espresso"/>
    <s v="Iowa"/>
    <s v="Regular"/>
    <n v="10"/>
    <n v="30"/>
    <n v="20"/>
    <n v="40"/>
    <n v="16"/>
    <n v="772"/>
    <n v="25"/>
    <n v="4"/>
    <n v="9"/>
    <n v="41"/>
    <n v="1.0249999999999999"/>
    <n v="0.45"/>
    <n v="1.6"/>
  </r>
  <r>
    <n v="563"/>
    <x v="2"/>
    <s v="Central"/>
    <s v="Small Market"/>
    <s v="Decaf Espresso"/>
    <s v="Espresso"/>
    <s v="Iowa"/>
    <s v="Decaf"/>
    <n v="0"/>
    <n v="50"/>
    <n v="40"/>
    <n v="50"/>
    <n v="0"/>
    <n v="731"/>
    <n v="43"/>
    <n v="0"/>
    <n v="32"/>
    <n v="43"/>
    <n v="0.86"/>
    <n v="0.8"/>
    <m/>
  </r>
  <r>
    <n v="641"/>
    <x v="2"/>
    <s v="Central"/>
    <s v="Small Market"/>
    <s v="Chamomile"/>
    <s v="Herbal Tea"/>
    <s v="Iowa"/>
    <s v="Decaf"/>
    <n v="200"/>
    <n v="290"/>
    <n v="210"/>
    <n v="490"/>
    <n v="243"/>
    <n v="1260"/>
    <n v="324"/>
    <n v="80"/>
    <n v="212"/>
    <n v="567"/>
    <n v="1.1571428571428573"/>
    <n v="1.0095238095238095"/>
    <n v="1.2150000000000001"/>
  </r>
  <r>
    <n v="319"/>
    <x v="2"/>
    <s v="Central"/>
    <s v="Small Market"/>
    <s v="Lemon"/>
    <s v="Herbal Tea"/>
    <s v="Iowa"/>
    <s v="Decaf"/>
    <n v="90"/>
    <n v="140"/>
    <n v="110"/>
    <n v="230"/>
    <n v="109"/>
    <n v="585"/>
    <n v="158"/>
    <n v="34"/>
    <n v="102"/>
    <n v="267"/>
    <n v="1.1608695652173913"/>
    <n v="0.92727272727272725"/>
    <n v="1.211111111111111"/>
  </r>
  <r>
    <n v="515"/>
    <x v="2"/>
    <s v="Central"/>
    <s v="Small Market"/>
    <s v="Darjeeling"/>
    <s v="Tea"/>
    <s v="Iowa"/>
    <s v="Regular"/>
    <n v="200"/>
    <n v="220"/>
    <n v="140"/>
    <n v="420"/>
    <n v="239"/>
    <n v="1417"/>
    <n v="239"/>
    <n v="66"/>
    <n v="148"/>
    <n v="478"/>
    <n v="1.138095238095238"/>
    <n v="1.0571428571428572"/>
    <n v="1.1950000000000001"/>
  </r>
  <r>
    <n v="515"/>
    <x v="2"/>
    <s v="Central"/>
    <s v="Small Market"/>
    <s v="Earl Grey"/>
    <s v="Tea"/>
    <s v="Iowa"/>
    <s v="Regular"/>
    <n v="210"/>
    <n v="270"/>
    <n v="160"/>
    <n v="480"/>
    <n v="245"/>
    <n v="1369"/>
    <n v="301"/>
    <n v="93"/>
    <n v="175"/>
    <n v="546"/>
    <n v="1.1375"/>
    <n v="1.09375"/>
    <n v="1.1666666666666667"/>
  </r>
  <r>
    <n v="573"/>
    <x v="2"/>
    <s v="Central"/>
    <s v="Small Market"/>
    <s v="Columbian"/>
    <s v="Coffee"/>
    <s v="Missouri"/>
    <s v="Regular"/>
    <n v="90"/>
    <n v="100"/>
    <n v="40"/>
    <n v="190"/>
    <n v="85"/>
    <n v="476"/>
    <n v="104"/>
    <n v="32"/>
    <n v="39"/>
    <n v="189"/>
    <n v="0.99473684210526314"/>
    <n v="0.97499999999999998"/>
    <n v="0.94444444444444442"/>
  </r>
  <r>
    <n v="573"/>
    <x v="2"/>
    <s v="Central"/>
    <s v="Small Market"/>
    <s v="Decaf Irish Cream"/>
    <s v="Coffee"/>
    <s v="Missouri"/>
    <s v="Decaf"/>
    <n v="70"/>
    <n v="100"/>
    <n v="60"/>
    <n v="170"/>
    <n v="74"/>
    <n v="949"/>
    <n v="89"/>
    <n v="22"/>
    <n v="45"/>
    <n v="163"/>
    <n v="0.95882352941176474"/>
    <n v="0.75"/>
    <n v="1.0571428571428572"/>
  </r>
  <r>
    <n v="573"/>
    <x v="2"/>
    <s v="Central"/>
    <s v="Small Market"/>
    <s v="Green Tea"/>
    <s v="Tea"/>
    <s v="Missouri"/>
    <s v="Regular"/>
    <n v="20"/>
    <n v="40"/>
    <n v="0"/>
    <n v="60"/>
    <n v="33"/>
    <n v="190"/>
    <n v="42"/>
    <n v="12"/>
    <n v="-4"/>
    <n v="75"/>
    <n v="1.25"/>
    <m/>
    <n v="1.65"/>
  </r>
  <r>
    <n v="573"/>
    <x v="2"/>
    <s v="Central"/>
    <s v="Small Market"/>
    <s v="Caffe Mocha"/>
    <s v="Espresso"/>
    <s v="Missouri"/>
    <s v="Regular"/>
    <n v="50"/>
    <n v="90"/>
    <n v="70"/>
    <n v="140"/>
    <n v="49"/>
    <n v="809"/>
    <n v="72"/>
    <n v="13"/>
    <n v="47"/>
    <n v="121"/>
    <n v="0.86428571428571432"/>
    <n v="0.67142857142857137"/>
    <n v="0.98"/>
  </r>
  <r>
    <n v="660"/>
    <x v="2"/>
    <s v="Central"/>
    <s v="Small Market"/>
    <s v="Decaf Espresso"/>
    <s v="Espresso"/>
    <s v="Missouri"/>
    <s v="Decaf"/>
    <n v="50"/>
    <n v="80"/>
    <n v="60"/>
    <n v="130"/>
    <n v="48"/>
    <n v="766"/>
    <n v="70"/>
    <n v="13"/>
    <n v="45"/>
    <n v="118"/>
    <n v="0.90769230769230769"/>
    <n v="0.75"/>
    <n v="0.96"/>
  </r>
  <r>
    <n v="816"/>
    <x v="2"/>
    <s v="Central"/>
    <s v="Small Market"/>
    <s v="Chamomile"/>
    <s v="Herbal Tea"/>
    <s v="Missouri"/>
    <s v="Decaf"/>
    <n v="30"/>
    <n v="60"/>
    <n v="10"/>
    <n v="90"/>
    <n v="44"/>
    <n v="251"/>
    <n v="63"/>
    <n v="40"/>
    <n v="-6"/>
    <n v="107"/>
    <n v="1.1888888888888889"/>
    <n v="-0.6"/>
    <n v="1.4666666666666666"/>
  </r>
  <r>
    <n v="636"/>
    <x v="2"/>
    <s v="Central"/>
    <s v="Small Market"/>
    <s v="Lemon"/>
    <s v="Herbal Tea"/>
    <s v="Missouri"/>
    <s v="Decaf"/>
    <n v="70"/>
    <n v="20"/>
    <n v="-10"/>
    <n v="90"/>
    <n v="88"/>
    <n v="715"/>
    <n v="18"/>
    <n v="27"/>
    <n v="-32"/>
    <n v="106"/>
    <n v="1.1777777777777778"/>
    <n v="3.2"/>
    <n v="1.2571428571428571"/>
  </r>
  <r>
    <n v="417"/>
    <x v="2"/>
    <s v="Central"/>
    <s v="Small Market"/>
    <s v="Darjeeling"/>
    <s v="Tea"/>
    <s v="Missouri"/>
    <s v="Regular"/>
    <n v="30"/>
    <n v="40"/>
    <n v="10"/>
    <n v="70"/>
    <n v="36"/>
    <n v="187"/>
    <n v="49"/>
    <n v="11"/>
    <n v="11"/>
    <n v="85"/>
    <n v="1.2142857142857142"/>
    <n v="1.1000000000000001"/>
    <n v="1.2"/>
  </r>
  <r>
    <n v="417"/>
    <x v="2"/>
    <s v="Central"/>
    <s v="Small Market"/>
    <s v="Earl Grey"/>
    <s v="Tea"/>
    <s v="Missouri"/>
    <s v="Regular"/>
    <n v="20"/>
    <n v="40"/>
    <n v="0"/>
    <n v="60"/>
    <n v="33"/>
    <n v="162"/>
    <n v="42"/>
    <n v="12"/>
    <n v="-3"/>
    <n v="75"/>
    <n v="1.25"/>
    <m/>
    <n v="1.65"/>
  </r>
  <r>
    <n v="937"/>
    <x v="2"/>
    <s v="Central"/>
    <s v="Major Market"/>
    <s v="Amaretto"/>
    <s v="Coffee"/>
    <s v="Ohio"/>
    <s v="Regular"/>
    <n v="60"/>
    <n v="80"/>
    <n v="50"/>
    <n v="140"/>
    <n v="57"/>
    <n v="323"/>
    <n v="77"/>
    <n v="18"/>
    <n v="32"/>
    <n v="134"/>
    <n v="0.95714285714285718"/>
    <n v="0.64"/>
    <n v="0.95"/>
  </r>
  <r>
    <n v="740"/>
    <x v="2"/>
    <s v="Central"/>
    <s v="Major Market"/>
    <s v="Columbian"/>
    <s v="Coffee"/>
    <s v="Ohio"/>
    <s v="Regular"/>
    <n v="50"/>
    <n v="70"/>
    <n v="40"/>
    <n v="120"/>
    <n v="49"/>
    <n v="351"/>
    <n v="72"/>
    <n v="15"/>
    <n v="35"/>
    <n v="121"/>
    <n v="1.0083333333333333"/>
    <n v="0.875"/>
    <n v="0.98"/>
  </r>
  <r>
    <n v="513"/>
    <x v="2"/>
    <s v="Central"/>
    <s v="Major Market"/>
    <s v="Decaf Irish Cream"/>
    <s v="Coffee"/>
    <s v="Ohio"/>
    <s v="Decaf"/>
    <n v="50"/>
    <n v="80"/>
    <n v="20"/>
    <n v="130"/>
    <n v="52"/>
    <n v="421"/>
    <n v="73"/>
    <n v="47"/>
    <n v="-4"/>
    <n v="125"/>
    <n v="0.96153846153846156"/>
    <n v="-0.2"/>
    <n v="1.04"/>
  </r>
  <r>
    <n v="513"/>
    <x v="2"/>
    <s v="Central"/>
    <s v="Major Market"/>
    <s v="Darjeeling"/>
    <s v="Tea"/>
    <s v="Ohio"/>
    <s v="Regular"/>
    <n v="70"/>
    <n v="110"/>
    <n v="60"/>
    <n v="180"/>
    <n v="84"/>
    <n v="632"/>
    <n v="126"/>
    <n v="27"/>
    <n v="68"/>
    <n v="210"/>
    <n v="1.1666666666666667"/>
    <n v="1.1333333333333333"/>
    <n v="1.2"/>
  </r>
  <r>
    <n v="513"/>
    <x v="2"/>
    <s v="Central"/>
    <s v="Major Market"/>
    <s v="Earl Grey"/>
    <s v="Tea"/>
    <s v="Ohio"/>
    <s v="Regular"/>
    <n v="70"/>
    <n v="110"/>
    <n v="70"/>
    <n v="180"/>
    <n v="89"/>
    <n v="481"/>
    <n v="125"/>
    <n v="27"/>
    <n v="74"/>
    <n v="214"/>
    <n v="1.1888888888888889"/>
    <n v="1.0571428571428572"/>
    <n v="1.2714285714285714"/>
  </r>
  <r>
    <n v="234"/>
    <x v="2"/>
    <s v="Central"/>
    <s v="Major Market"/>
    <s v="Decaf Espresso"/>
    <s v="Espresso"/>
    <s v="Ohio"/>
    <s v="Decaf"/>
    <n v="60"/>
    <n v="90"/>
    <n v="40"/>
    <n v="150"/>
    <n v="58"/>
    <n v="325"/>
    <n v="71"/>
    <n v="22"/>
    <n v="15"/>
    <n v="129"/>
    <n v="0.86"/>
    <n v="0.375"/>
    <n v="0.96666666666666667"/>
  </r>
  <r>
    <n v="513"/>
    <x v="2"/>
    <s v="Central"/>
    <s v="Major Market"/>
    <s v="Caffe Mocha"/>
    <s v="Espresso"/>
    <s v="Ohio"/>
    <s v="Regular"/>
    <n v="180"/>
    <n v="200"/>
    <n v="130"/>
    <n v="380"/>
    <n v="162"/>
    <n v="1059"/>
    <n v="163"/>
    <n v="45"/>
    <n v="94"/>
    <n v="325"/>
    <n v="0.85526315789473684"/>
    <n v="0.72307692307692306"/>
    <n v="0.9"/>
  </r>
  <r>
    <n v="234"/>
    <x v="2"/>
    <s v="Central"/>
    <s v="Major Market"/>
    <s v="Chamomile"/>
    <s v="Herbal Tea"/>
    <s v="Ohio"/>
    <s v="Decaf"/>
    <n v="10"/>
    <n v="30"/>
    <n v="30"/>
    <n v="40"/>
    <n v="21"/>
    <n v="449"/>
    <n v="32"/>
    <n v="5"/>
    <n v="15"/>
    <n v="53"/>
    <n v="1.325"/>
    <n v="0.5"/>
    <n v="2.1"/>
  </r>
  <r>
    <n v="740"/>
    <x v="2"/>
    <s v="Central"/>
    <s v="Major Market"/>
    <s v="Lemon"/>
    <s v="Herbal Tea"/>
    <s v="Ohio"/>
    <s v="Decaf"/>
    <n v="20"/>
    <n v="40"/>
    <n v="40"/>
    <n v="60"/>
    <n v="32"/>
    <n v="813"/>
    <n v="47"/>
    <n v="8"/>
    <n v="28"/>
    <n v="79"/>
    <n v="1.3166666666666667"/>
    <n v="0.7"/>
    <n v="1.6"/>
  </r>
  <r>
    <n v="262"/>
    <x v="2"/>
    <s v="Central"/>
    <s v="Small Market"/>
    <s v="Amaretto"/>
    <s v="Coffee"/>
    <s v="Wisconsin"/>
    <s v="Regular"/>
    <n v="50"/>
    <n v="70"/>
    <n v="30"/>
    <n v="120"/>
    <n v="54"/>
    <n v="301"/>
    <n v="66"/>
    <n v="20"/>
    <n v="13"/>
    <n v="120"/>
    <n v="1"/>
    <n v="0.43333333333333335"/>
    <n v="1.08"/>
  </r>
  <r>
    <n v="262"/>
    <x v="2"/>
    <s v="Central"/>
    <s v="Small Market"/>
    <s v="Columbian"/>
    <s v="Coffee"/>
    <s v="Wisconsin"/>
    <s v="Regular"/>
    <n v="100"/>
    <n v="130"/>
    <n v="30"/>
    <n v="230"/>
    <n v="95"/>
    <n v="532"/>
    <n v="132"/>
    <n v="86"/>
    <n v="17"/>
    <n v="227"/>
    <n v="0.9869565217391304"/>
    <n v="0.56666666666666665"/>
    <n v="0.95"/>
  </r>
  <r>
    <n v="414"/>
    <x v="2"/>
    <s v="Central"/>
    <s v="Small Market"/>
    <s v="Decaf Irish Cream"/>
    <s v="Coffee"/>
    <s v="Wisconsin"/>
    <s v="Decaf"/>
    <n v="80"/>
    <n v="110"/>
    <n v="70"/>
    <n v="190"/>
    <n v="80"/>
    <n v="415"/>
    <n v="108"/>
    <n v="26"/>
    <n v="55"/>
    <n v="188"/>
    <n v="0.98947368421052628"/>
    <n v="0.7857142857142857"/>
    <n v="1"/>
  </r>
  <r>
    <n v="414"/>
    <x v="2"/>
    <s v="Central"/>
    <s v="Small Market"/>
    <s v="Darjeeling"/>
    <s v="Tea"/>
    <s v="Wisconsin"/>
    <s v="Regular"/>
    <n v="40"/>
    <n v="70"/>
    <n v="40"/>
    <n v="110"/>
    <n v="52"/>
    <n v="376"/>
    <n v="77"/>
    <n v="16"/>
    <n v="38"/>
    <n v="129"/>
    <n v="1.1727272727272726"/>
    <n v="0.95"/>
    <n v="1.3"/>
  </r>
  <r>
    <n v="920"/>
    <x v="2"/>
    <s v="Central"/>
    <s v="Small Market"/>
    <s v="Earl Grey"/>
    <s v="Tea"/>
    <s v="Wisconsin"/>
    <s v="Regular"/>
    <n v="50"/>
    <n v="80"/>
    <n v="10"/>
    <n v="130"/>
    <n v="63"/>
    <n v="506"/>
    <n v="87"/>
    <n v="57"/>
    <n v="1"/>
    <n v="150"/>
    <n v="1.1538461538461537"/>
    <n v="0.1"/>
    <n v="1.26"/>
  </r>
  <r>
    <n v="715"/>
    <x v="2"/>
    <s v="Central"/>
    <s v="Small Market"/>
    <s v="Decaf Espresso"/>
    <s v="Espresso"/>
    <s v="Wisconsin"/>
    <s v="Decaf"/>
    <n v="50"/>
    <n v="80"/>
    <n v="60"/>
    <n v="130"/>
    <n v="49"/>
    <n v="611"/>
    <n v="63"/>
    <n v="16"/>
    <n v="34"/>
    <n v="112"/>
    <n v="0.86153846153846159"/>
    <n v="0.56666666666666665"/>
    <n v="0.98"/>
  </r>
  <r>
    <n v="715"/>
    <x v="2"/>
    <s v="Central"/>
    <s v="Small Market"/>
    <s v="Caffe Mocha"/>
    <s v="Espresso"/>
    <s v="Wisconsin"/>
    <s v="Regular"/>
    <n v="80"/>
    <n v="100"/>
    <n v="60"/>
    <n v="180"/>
    <n v="71"/>
    <n v="950"/>
    <n v="84"/>
    <n v="22"/>
    <n v="41"/>
    <n v="155"/>
    <n v="0.86111111111111116"/>
    <n v="0.68333333333333335"/>
    <n v="0.88749999999999996"/>
  </r>
  <r>
    <n v="262"/>
    <x v="2"/>
    <s v="Central"/>
    <s v="Small Market"/>
    <s v="Chamomile"/>
    <s v="Herbal Tea"/>
    <s v="Wisconsin"/>
    <s v="Decaf"/>
    <n v="50"/>
    <n v="90"/>
    <n v="70"/>
    <n v="140"/>
    <n v="62"/>
    <n v="346"/>
    <n v="105"/>
    <n v="19"/>
    <n v="63"/>
    <n v="167"/>
    <n v="1.1928571428571428"/>
    <n v="0.9"/>
    <n v="1.24"/>
  </r>
  <r>
    <n v="715"/>
    <x v="2"/>
    <s v="Central"/>
    <s v="Small Market"/>
    <s v="Lemon"/>
    <s v="Herbal Tea"/>
    <s v="Wisconsin"/>
    <s v="Decaf"/>
    <n v="40"/>
    <n v="60"/>
    <n v="50"/>
    <n v="100"/>
    <n v="49"/>
    <n v="767"/>
    <n v="72"/>
    <n v="13"/>
    <n v="47"/>
    <n v="121"/>
    <n v="1.21"/>
    <n v="0.94"/>
    <n v="1.2250000000000001"/>
  </r>
  <r>
    <n v="959"/>
    <x v="2"/>
    <s v="East"/>
    <s v="Small Market"/>
    <s v="Darjeeling"/>
    <s v="Tea"/>
    <s v="Connecticut"/>
    <s v="Regular"/>
    <n v="50"/>
    <n v="80"/>
    <n v="60"/>
    <n v="130"/>
    <n v="49"/>
    <n v="809"/>
    <n v="72"/>
    <n v="13"/>
    <n v="47"/>
    <n v="121"/>
    <n v="0.93076923076923079"/>
    <n v="0.78333333333333333"/>
    <n v="0.98"/>
  </r>
  <r>
    <n v="860"/>
    <x v="2"/>
    <s v="East"/>
    <s v="Small Market"/>
    <s v="Green Tea"/>
    <s v="Tea"/>
    <s v="Connecticut"/>
    <s v="Regular"/>
    <n v="20"/>
    <n v="40"/>
    <n v="30"/>
    <n v="60"/>
    <n v="25"/>
    <n v="769"/>
    <n v="37"/>
    <n v="7"/>
    <n v="18"/>
    <n v="62"/>
    <n v="1.0333333333333334"/>
    <n v="0.6"/>
    <n v="1.25"/>
  </r>
  <r>
    <n v="860"/>
    <x v="2"/>
    <s v="East"/>
    <s v="Small Market"/>
    <s v="Decaf Espresso"/>
    <s v="Espresso"/>
    <s v="Connecticut"/>
    <s v="Decaf"/>
    <n v="50"/>
    <n v="70"/>
    <n v="40"/>
    <n v="120"/>
    <n v="53"/>
    <n v="299"/>
    <n v="71"/>
    <n v="17"/>
    <n v="26"/>
    <n v="124"/>
    <n v="1.0333333333333334"/>
    <n v="0.65"/>
    <n v="1.06"/>
  </r>
  <r>
    <n v="860"/>
    <x v="2"/>
    <s v="East"/>
    <s v="Small Market"/>
    <s v="Caffe Mocha"/>
    <s v="Espresso"/>
    <s v="Connecticut"/>
    <s v="Regular"/>
    <n v="60"/>
    <n v="80"/>
    <n v="10"/>
    <n v="140"/>
    <n v="63"/>
    <n v="506"/>
    <n v="87"/>
    <n v="57"/>
    <n v="0"/>
    <n v="150"/>
    <n v="1.0714285714285714"/>
    <n v="0"/>
    <n v="1.05"/>
  </r>
  <r>
    <n v="475"/>
    <x v="2"/>
    <s v="East"/>
    <s v="Small Market"/>
    <s v="Columbian"/>
    <s v="Coffee"/>
    <s v="Connecticut"/>
    <s v="Regular"/>
    <n v="110"/>
    <n v="180"/>
    <n v="130"/>
    <n v="290"/>
    <n v="123"/>
    <n v="932"/>
    <n v="186"/>
    <n v="40"/>
    <n v="114"/>
    <n v="309"/>
    <n v="1.0655172413793104"/>
    <n v="0.87692307692307692"/>
    <n v="1.1181818181818182"/>
  </r>
  <r>
    <n v="203"/>
    <x v="2"/>
    <s v="East"/>
    <s v="Small Market"/>
    <s v="Lemon"/>
    <s v="Herbal Tea"/>
    <s v="Connecticut"/>
    <s v="Decaf"/>
    <n v="60"/>
    <n v="80"/>
    <n v="40"/>
    <n v="140"/>
    <n v="85"/>
    <n v="476"/>
    <n v="104"/>
    <n v="32"/>
    <n v="39"/>
    <n v="189"/>
    <n v="1.35"/>
    <n v="0.97499999999999998"/>
    <n v="1.4166666666666667"/>
  </r>
  <r>
    <n v="203"/>
    <x v="2"/>
    <s v="East"/>
    <s v="Small Market"/>
    <s v="Mint"/>
    <s v="Herbal Tea"/>
    <s v="Connecticut"/>
    <s v="Decaf"/>
    <n v="50"/>
    <n v="70"/>
    <n v="50"/>
    <n v="120"/>
    <n v="74"/>
    <n v="949"/>
    <n v="89"/>
    <n v="22"/>
    <n v="46"/>
    <n v="163"/>
    <n v="1.3583333333333334"/>
    <n v="0.92"/>
    <n v="1.48"/>
  </r>
  <r>
    <n v="863"/>
    <x v="2"/>
    <s v="East"/>
    <s v="Major Market"/>
    <s v="Darjeeling"/>
    <s v="Tea"/>
    <s v="Florida"/>
    <s v="Regular"/>
    <n v="30"/>
    <n v="50"/>
    <n v="40"/>
    <n v="80"/>
    <n v="33"/>
    <n v="813"/>
    <n v="48"/>
    <n v="9"/>
    <n v="27"/>
    <n v="81"/>
    <n v="1.0125"/>
    <n v="0.67500000000000004"/>
    <n v="1.1000000000000001"/>
  </r>
  <r>
    <n v="813"/>
    <x v="2"/>
    <s v="East"/>
    <s v="Major Market"/>
    <s v="Green Tea"/>
    <s v="Tea"/>
    <s v="Florida"/>
    <s v="Regular"/>
    <n v="50"/>
    <n v="80"/>
    <n v="60"/>
    <n v="130"/>
    <n v="49"/>
    <n v="767"/>
    <n v="72"/>
    <n v="13"/>
    <n v="47"/>
    <n v="121"/>
    <n v="0.93076923076923079"/>
    <n v="0.78333333333333333"/>
    <n v="0.98"/>
  </r>
  <r>
    <n v="941"/>
    <x v="2"/>
    <s v="East"/>
    <s v="Major Market"/>
    <s v="Decaf Espresso"/>
    <s v="Espresso"/>
    <s v="Florida"/>
    <s v="Decaf"/>
    <n v="70"/>
    <n v="110"/>
    <n v="70"/>
    <n v="180"/>
    <n v="80"/>
    <n v="415"/>
    <n v="108"/>
    <n v="26"/>
    <n v="54"/>
    <n v="188"/>
    <n v="1.0444444444444445"/>
    <n v="0.77142857142857146"/>
    <n v="1.1428571428571428"/>
  </r>
  <r>
    <n v="941"/>
    <x v="2"/>
    <s v="East"/>
    <s v="Major Market"/>
    <s v="Caffe Mocha"/>
    <s v="Espresso"/>
    <s v="Florida"/>
    <s v="Regular"/>
    <n v="90"/>
    <n v="130"/>
    <n v="30"/>
    <n v="220"/>
    <n v="95"/>
    <n v="532"/>
    <n v="132"/>
    <n v="86"/>
    <n v="17"/>
    <n v="227"/>
    <n v="1.0318181818181817"/>
    <n v="0.56666666666666665"/>
    <n v="1.0555555555555556"/>
  </r>
  <r>
    <n v="321"/>
    <x v="2"/>
    <s v="East"/>
    <s v="Major Market"/>
    <s v="Decaf Irish Cream"/>
    <s v="Coffee"/>
    <s v="Florida"/>
    <s v="Decaf"/>
    <n v="80"/>
    <n v="120"/>
    <n v="80"/>
    <n v="200"/>
    <n v="89"/>
    <n v="481"/>
    <n v="125"/>
    <n v="27"/>
    <n v="74"/>
    <n v="214"/>
    <n v="1.07"/>
    <n v="0.92500000000000004"/>
    <n v="1.1125"/>
  </r>
  <r>
    <n v="561"/>
    <x v="2"/>
    <s v="East"/>
    <s v="Major Market"/>
    <s v="Columbian"/>
    <s v="Coffee"/>
    <s v="Florida"/>
    <s v="Regular"/>
    <n v="80"/>
    <n v="110"/>
    <n v="70"/>
    <n v="190"/>
    <n v="84"/>
    <n v="632"/>
    <n v="126"/>
    <n v="27"/>
    <n v="67"/>
    <n v="210"/>
    <n v="1.1052631578947369"/>
    <n v="0.95714285714285718"/>
    <n v="1.05"/>
  </r>
  <r>
    <n v="863"/>
    <x v="2"/>
    <s v="East"/>
    <s v="Major Market"/>
    <s v="Chamomile"/>
    <s v="Herbal Tea"/>
    <s v="Florida"/>
    <s v="Decaf"/>
    <n v="30"/>
    <n v="50"/>
    <n v="30"/>
    <n v="80"/>
    <n v="49"/>
    <n v="611"/>
    <n v="63"/>
    <n v="16"/>
    <n v="35"/>
    <n v="112"/>
    <n v="1.4"/>
    <n v="1.1666666666666667"/>
    <n v="1.6333333333333333"/>
  </r>
  <r>
    <n v="772"/>
    <x v="2"/>
    <s v="East"/>
    <s v="Major Market"/>
    <s v="Lemon"/>
    <s v="Herbal Tea"/>
    <s v="Florida"/>
    <s v="Decaf"/>
    <n v="40"/>
    <n v="50"/>
    <n v="20"/>
    <n v="90"/>
    <n v="54"/>
    <n v="301"/>
    <n v="66"/>
    <n v="20"/>
    <n v="12"/>
    <n v="120"/>
    <n v="1.3333333333333333"/>
    <n v="0.6"/>
    <n v="1.35"/>
  </r>
  <r>
    <n v="813"/>
    <x v="2"/>
    <s v="East"/>
    <s v="Major Market"/>
    <s v="Mint"/>
    <s v="Herbal Tea"/>
    <s v="Florida"/>
    <s v="Decaf"/>
    <n v="50"/>
    <n v="70"/>
    <n v="50"/>
    <n v="120"/>
    <n v="71"/>
    <n v="950"/>
    <n v="84"/>
    <n v="22"/>
    <n v="40"/>
    <n v="155"/>
    <n v="1.2916666666666667"/>
    <n v="0.8"/>
    <n v="1.42"/>
  </r>
  <r>
    <n v="978"/>
    <x v="2"/>
    <s v="East"/>
    <s v="Major Market"/>
    <s v="Darjeeling"/>
    <s v="Tea"/>
    <s v="Massachusetts"/>
    <s v="Regular"/>
    <n v="30"/>
    <n v="50"/>
    <n v="40"/>
    <n v="80"/>
    <n v="32"/>
    <n v="813"/>
    <n v="47"/>
    <n v="8"/>
    <n v="28"/>
    <n v="79"/>
    <n v="0.98750000000000004"/>
    <n v="0.7"/>
    <n v="1.0666666666666667"/>
  </r>
  <r>
    <n v="857"/>
    <x v="2"/>
    <s v="East"/>
    <s v="Major Market"/>
    <s v="Green Tea"/>
    <s v="Tea"/>
    <s v="Massachusetts"/>
    <s v="Regular"/>
    <n v="20"/>
    <n v="30"/>
    <n v="20"/>
    <n v="50"/>
    <n v="21"/>
    <n v="449"/>
    <n v="32"/>
    <n v="5"/>
    <n v="15"/>
    <n v="53"/>
    <n v="1.06"/>
    <n v="0.75"/>
    <n v="1.05"/>
  </r>
  <r>
    <n v="508"/>
    <x v="2"/>
    <s v="East"/>
    <s v="Major Market"/>
    <s v="Regular Espresso"/>
    <s v="Espresso"/>
    <s v="Massachusetts"/>
    <s v="Regular"/>
    <n v="150"/>
    <n v="160"/>
    <n v="100"/>
    <n v="310"/>
    <n v="162"/>
    <n v="1059"/>
    <n v="163"/>
    <n v="45"/>
    <n v="94"/>
    <n v="325"/>
    <n v="1.0483870967741935"/>
    <n v="0.94"/>
    <n v="1.08"/>
  </r>
  <r>
    <n v="508"/>
    <x v="2"/>
    <s v="East"/>
    <s v="Major Market"/>
    <s v="Caffe Mocha"/>
    <s v="Espresso"/>
    <s v="Massachusetts"/>
    <s v="Regular"/>
    <n v="40"/>
    <n v="80"/>
    <n v="20"/>
    <n v="120"/>
    <n v="52"/>
    <n v="446"/>
    <n v="73"/>
    <n v="47"/>
    <n v="-4"/>
    <n v="125"/>
    <n v="1.0416666666666667"/>
    <n v="-0.2"/>
    <n v="1.3"/>
  </r>
  <r>
    <n v="978"/>
    <x v="2"/>
    <s v="East"/>
    <s v="Major Market"/>
    <s v="Columbian"/>
    <s v="Coffee"/>
    <s v="Massachusetts"/>
    <s v="Regular"/>
    <n v="60"/>
    <n v="400"/>
    <n v="360"/>
    <n v="460"/>
    <n v="72"/>
    <n v="-54"/>
    <n v="420"/>
    <n v="23"/>
    <n v="366"/>
    <n v="492"/>
    <n v="1.0695652173913044"/>
    <n v="1.0166666666666666"/>
    <n v="1.2"/>
  </r>
  <r>
    <n v="508"/>
    <x v="2"/>
    <s v="East"/>
    <s v="Major Market"/>
    <s v="Lemon"/>
    <s v="Herbal Tea"/>
    <s v="Massachusetts"/>
    <s v="Decaf"/>
    <n v="40"/>
    <n v="60"/>
    <n v="30"/>
    <n v="100"/>
    <n v="58"/>
    <n v="325"/>
    <n v="71"/>
    <n v="22"/>
    <n v="16"/>
    <n v="129"/>
    <n v="1.29"/>
    <n v="0.53333333333333333"/>
    <n v="1.45"/>
  </r>
  <r>
    <n v="603"/>
    <x v="2"/>
    <s v="East"/>
    <s v="Small Market"/>
    <s v="Darjeeling"/>
    <s v="Tea"/>
    <s v="New Hampshire"/>
    <s v="Regular"/>
    <n v="10"/>
    <n v="30"/>
    <n v="20"/>
    <n v="40"/>
    <n v="18"/>
    <n v="816"/>
    <n v="27"/>
    <n v="5"/>
    <n v="11"/>
    <n v="45"/>
    <n v="1.125"/>
    <n v="0.55000000000000004"/>
    <n v="1.8"/>
  </r>
  <r>
    <n v="603"/>
    <x v="2"/>
    <s v="East"/>
    <s v="Small Market"/>
    <s v="Green Tea"/>
    <s v="Tea"/>
    <s v="New Hampshire"/>
    <s v="Regular"/>
    <n v="0"/>
    <n v="40"/>
    <n v="30"/>
    <n v="40"/>
    <n v="0"/>
    <n v="731"/>
    <n v="43"/>
    <n v="0"/>
    <n v="32"/>
    <n v="43"/>
    <n v="1.075"/>
    <n v="1.0666666666666667"/>
    <m/>
  </r>
  <r>
    <n v="603"/>
    <x v="2"/>
    <s v="East"/>
    <s v="Small Market"/>
    <s v="Regular Espresso"/>
    <s v="Espresso"/>
    <s v="New Hampshire"/>
    <s v="Regular"/>
    <n v="30"/>
    <n v="40"/>
    <n v="0"/>
    <n v="70"/>
    <n v="33"/>
    <n v="162"/>
    <n v="42"/>
    <n v="12"/>
    <n v="-4"/>
    <n v="75"/>
    <n v="1.0714285714285714"/>
    <m/>
    <n v="1.1000000000000001"/>
  </r>
  <r>
    <n v="603"/>
    <x v="2"/>
    <s v="East"/>
    <s v="Small Market"/>
    <s v="Caffe Mocha"/>
    <s v="Espresso"/>
    <s v="New Hampshire"/>
    <s v="Regular"/>
    <n v="40"/>
    <n v="60"/>
    <n v="10"/>
    <n v="100"/>
    <n v="44"/>
    <n v="251"/>
    <n v="63"/>
    <n v="40"/>
    <n v="-7"/>
    <n v="107"/>
    <n v="1.07"/>
    <n v="-0.7"/>
    <n v="1.1000000000000001"/>
  </r>
  <r>
    <n v="603"/>
    <x v="2"/>
    <s v="East"/>
    <s v="Small Market"/>
    <s v="Amaretto"/>
    <s v="Coffee"/>
    <s v="New Hampshire"/>
    <s v="Regular"/>
    <n v="40"/>
    <n v="60"/>
    <n v="40"/>
    <n v="100"/>
    <n v="43"/>
    <n v="231"/>
    <n v="64"/>
    <n v="13"/>
    <n v="29"/>
    <n v="107"/>
    <n v="1.07"/>
    <n v="0.72499999999999998"/>
    <n v="1.075"/>
  </r>
  <r>
    <n v="603"/>
    <x v="2"/>
    <s v="East"/>
    <s v="Small Market"/>
    <s v="Columbian"/>
    <s v="Coffee"/>
    <s v="New Hampshire"/>
    <s v="Regular"/>
    <n v="40"/>
    <n v="70"/>
    <n v="40"/>
    <n v="110"/>
    <n v="47"/>
    <n v="361"/>
    <n v="72"/>
    <n v="15"/>
    <n v="26"/>
    <n v="119"/>
    <n v="1.0818181818181818"/>
    <n v="0.65"/>
    <n v="1.175"/>
  </r>
  <r>
    <n v="603"/>
    <x v="2"/>
    <s v="East"/>
    <s v="Small Market"/>
    <s v="Lemon"/>
    <s v="Herbal Tea"/>
    <s v="New Hampshire"/>
    <s v="Decaf"/>
    <n v="20"/>
    <n v="30"/>
    <n v="0"/>
    <n v="50"/>
    <n v="33"/>
    <n v="190"/>
    <n v="42"/>
    <n v="12"/>
    <n v="-3"/>
    <n v="75"/>
    <n v="1.5"/>
    <m/>
    <n v="1.65"/>
  </r>
  <r>
    <n v="716"/>
    <x v="2"/>
    <s v="East"/>
    <s v="Major Market"/>
    <s v="Darjeeling"/>
    <s v="Tea"/>
    <s v="New York"/>
    <s v="Regular"/>
    <n v="100"/>
    <n v="150"/>
    <n v="120"/>
    <n v="250"/>
    <n v="95"/>
    <n v="799"/>
    <n v="139"/>
    <n v="26"/>
    <n v="102"/>
    <n v="234"/>
    <n v="0.93600000000000005"/>
    <n v="0.85"/>
    <n v="0.95"/>
  </r>
  <r>
    <n v="315"/>
    <x v="2"/>
    <s v="East"/>
    <s v="Major Market"/>
    <s v="Earl Grey"/>
    <s v="Tea"/>
    <s v="New York"/>
    <s v="Regular"/>
    <n v="90"/>
    <n v="140"/>
    <n v="110"/>
    <n v="230"/>
    <n v="87"/>
    <n v="756"/>
    <n v="126"/>
    <n v="24"/>
    <n v="91"/>
    <n v="213"/>
    <n v="0.92608695652173911"/>
    <n v="0.82727272727272727"/>
    <n v="0.96666666666666667"/>
  </r>
  <r>
    <n v="518"/>
    <x v="2"/>
    <s v="East"/>
    <s v="Major Market"/>
    <s v="Green Tea"/>
    <s v="Tea"/>
    <s v="New York"/>
    <s v="Regular"/>
    <n v="80"/>
    <n v="130"/>
    <n v="100"/>
    <n v="210"/>
    <n v="81"/>
    <n v="441"/>
    <n v="117"/>
    <n v="22"/>
    <n v="83"/>
    <n v="198"/>
    <n v="0.94285714285714284"/>
    <n v="0.83"/>
    <n v="1.0125"/>
  </r>
  <r>
    <n v="607"/>
    <x v="2"/>
    <s v="East"/>
    <s v="Major Market"/>
    <s v="Caffe Mocha"/>
    <s v="Espresso"/>
    <s v="New York"/>
    <s v="Regular"/>
    <n v="120"/>
    <n v="-60"/>
    <n v="-190"/>
    <n v="60"/>
    <n v="125"/>
    <n v="1118"/>
    <n v="-62"/>
    <n v="113"/>
    <n v="-208"/>
    <n v="63"/>
    <n v="1.05"/>
    <n v="1.0947368421052632"/>
    <n v="1.0416666666666667"/>
  </r>
  <r>
    <n v="718"/>
    <x v="2"/>
    <s v="East"/>
    <s v="Major Market"/>
    <s v="Regular Espresso"/>
    <s v="Espresso"/>
    <s v="New York"/>
    <s v="Regular"/>
    <n v="220"/>
    <n v="290"/>
    <n v="210"/>
    <n v="510"/>
    <n v="239"/>
    <n v="1260"/>
    <n v="284"/>
    <n v="66"/>
    <n v="194"/>
    <n v="523"/>
    <n v="1.0254901960784313"/>
    <n v="0.92380952380952386"/>
    <n v="1.0863636363636364"/>
  </r>
  <r>
    <n v="718"/>
    <x v="2"/>
    <s v="East"/>
    <s v="Major Market"/>
    <s v="Columbian"/>
    <s v="Coffee"/>
    <s v="New York"/>
    <s v="Regular"/>
    <n v="250"/>
    <n v="390"/>
    <n v="270"/>
    <n v="640"/>
    <n v="270"/>
    <n v="2041"/>
    <n v="405"/>
    <n v="94"/>
    <n v="259"/>
    <n v="675"/>
    <n v="1.0546875"/>
    <n v="0.95925925925925926"/>
    <n v="1.08"/>
  </r>
  <r>
    <n v="516"/>
    <x v="2"/>
    <s v="East"/>
    <s v="Major Market"/>
    <s v="Lemon"/>
    <s v="Herbal Tea"/>
    <s v="New York"/>
    <s v="Decaf"/>
    <n v="180"/>
    <n v="220"/>
    <n v="130"/>
    <n v="400"/>
    <n v="245"/>
    <n v="1471"/>
    <n v="268"/>
    <n v="93"/>
    <n v="141"/>
    <n v="513"/>
    <n v="1.2825"/>
    <n v="1.0846153846153845"/>
    <n v="1.3611111111111112"/>
  </r>
  <r>
    <n v="914"/>
    <x v="2"/>
    <s v="East"/>
    <s v="Major Market"/>
    <s v="Mint"/>
    <s v="Herbal Tea"/>
    <s v="New York"/>
    <s v="Decaf"/>
    <n v="160"/>
    <n v="-20"/>
    <n v="-80"/>
    <n v="140"/>
    <n v="214"/>
    <n v="1480"/>
    <n v="-32"/>
    <n v="66"/>
    <n v="-119"/>
    <n v="182"/>
    <n v="1.3"/>
    <n v="1.4875"/>
    <n v="1.3374999999999999"/>
  </r>
  <r>
    <n v="318"/>
    <x v="2"/>
    <s v="South"/>
    <s v="Small Market"/>
    <s v="Caffe Latte"/>
    <s v="Espresso"/>
    <s v="Louisiana"/>
    <s v="Regular"/>
    <n v="50"/>
    <n v="70"/>
    <n v="0"/>
    <n v="120"/>
    <n v="63"/>
    <n v="187"/>
    <n v="87"/>
    <n v="57"/>
    <n v="1"/>
    <n v="150"/>
    <n v="1.25"/>
    <m/>
    <n v="1.26"/>
  </r>
  <r>
    <n v="318"/>
    <x v="2"/>
    <s v="South"/>
    <s v="Small Market"/>
    <s v="Caffe Mocha"/>
    <s v="Espresso"/>
    <s v="Louisiana"/>
    <s v="Regular"/>
    <n v="50"/>
    <n v="90"/>
    <n v="70"/>
    <n v="140"/>
    <n v="62"/>
    <n v="346"/>
    <n v="105"/>
    <n v="19"/>
    <n v="63"/>
    <n v="167"/>
    <n v="1.1928571428571428"/>
    <n v="0.9"/>
    <n v="1.24"/>
  </r>
  <r>
    <n v="504"/>
    <x v="2"/>
    <s v="South"/>
    <s v="Small Market"/>
    <s v="Decaf Espresso"/>
    <s v="Espresso"/>
    <s v="Louisiana"/>
    <s v="Decaf"/>
    <n v="40"/>
    <n v="70"/>
    <n v="50"/>
    <n v="110"/>
    <n v="52"/>
    <n v="376"/>
    <n v="77"/>
    <n v="16"/>
    <n v="38"/>
    <n v="129"/>
    <n v="1.1727272727272726"/>
    <n v="0.76"/>
    <n v="1.3"/>
  </r>
  <r>
    <n v="337"/>
    <x v="2"/>
    <s v="South"/>
    <s v="Small Market"/>
    <s v="Chamomile"/>
    <s v="Herbal Tea"/>
    <s v="Louisiana"/>
    <s v="Decaf"/>
    <n v="40"/>
    <n v="60"/>
    <n v="40"/>
    <n v="100"/>
    <n v="48"/>
    <n v="611"/>
    <n v="62"/>
    <n v="15"/>
    <n v="34"/>
    <n v="110"/>
    <n v="1.1000000000000001"/>
    <n v="0.85"/>
    <n v="1.2"/>
  </r>
  <r>
    <n v="318"/>
    <x v="2"/>
    <s v="South"/>
    <s v="Small Market"/>
    <s v="Lemon"/>
    <s v="Herbal Tea"/>
    <s v="Louisiana"/>
    <s v="Decaf"/>
    <n v="80"/>
    <n v="100"/>
    <n v="40"/>
    <n v="180"/>
    <n v="85"/>
    <n v="476"/>
    <n v="104"/>
    <n v="32"/>
    <n v="39"/>
    <n v="189"/>
    <n v="1.05"/>
    <n v="0.97499999999999998"/>
    <n v="1.0625"/>
  </r>
  <r>
    <n v="318"/>
    <x v="2"/>
    <s v="South"/>
    <s v="Small Market"/>
    <s v="Decaf Irish Cream"/>
    <s v="Coffee"/>
    <s v="Louisiana"/>
    <s v="Decaf"/>
    <n v="60"/>
    <n v="90"/>
    <n v="70"/>
    <n v="150"/>
    <n v="49"/>
    <n v="767"/>
    <n v="72"/>
    <n v="13"/>
    <n v="47"/>
    <n v="121"/>
    <n v="0.80666666666666664"/>
    <n v="0.67142857142857137"/>
    <n v="0.81666666666666665"/>
  </r>
  <r>
    <n v="225"/>
    <x v="2"/>
    <s v="South"/>
    <s v="Small Market"/>
    <s v="Columbian"/>
    <s v="Coffee"/>
    <s v="Louisiana"/>
    <s v="Regular"/>
    <n v="40"/>
    <n v="60"/>
    <n v="50"/>
    <n v="100"/>
    <n v="33"/>
    <n v="768"/>
    <n v="49"/>
    <n v="9"/>
    <n v="29"/>
    <n v="82"/>
    <n v="0.82"/>
    <n v="0.57999999999999996"/>
    <n v="0.82499999999999996"/>
  </r>
  <r>
    <n v="505"/>
    <x v="2"/>
    <s v="South"/>
    <s v="Small Market"/>
    <s v="Caffe Latte"/>
    <s v="Espresso"/>
    <s v="New Mexico"/>
    <s v="Regular"/>
    <n v="20"/>
    <n v="40"/>
    <n v="10"/>
    <n v="60"/>
    <n v="33"/>
    <n v="36"/>
    <n v="42"/>
    <n v="12"/>
    <n v="-3"/>
    <n v="75"/>
    <n v="1.25"/>
    <n v="-0.3"/>
    <n v="1.65"/>
  </r>
  <r>
    <n v="505"/>
    <x v="2"/>
    <s v="South"/>
    <s v="Small Market"/>
    <s v="Caffe Mocha"/>
    <s v="Espresso"/>
    <s v="New Mexico"/>
    <s v="Regular"/>
    <n v="30"/>
    <n v="60"/>
    <n v="10"/>
    <n v="90"/>
    <n v="44"/>
    <n v="251"/>
    <n v="63"/>
    <n v="40"/>
    <n v="-7"/>
    <n v="107"/>
    <n v="1.1888888888888889"/>
    <n v="-0.7"/>
    <n v="1.4666666666666666"/>
  </r>
  <r>
    <n v="505"/>
    <x v="2"/>
    <s v="South"/>
    <s v="Small Market"/>
    <s v="Decaf Espresso"/>
    <s v="Espresso"/>
    <s v="New Mexico"/>
    <s v="Decaf"/>
    <n v="30"/>
    <n v="40"/>
    <n v="10"/>
    <n v="70"/>
    <n v="36"/>
    <n v="187"/>
    <n v="49"/>
    <n v="11"/>
    <n v="11"/>
    <n v="85"/>
    <n v="1.2142857142857142"/>
    <n v="1.1000000000000001"/>
    <n v="1.2"/>
  </r>
  <r>
    <n v="505"/>
    <x v="2"/>
    <s v="South"/>
    <s v="Small Market"/>
    <s v="Chamomile"/>
    <s v="Herbal Tea"/>
    <s v="New Mexico"/>
    <s v="Decaf"/>
    <n v="10"/>
    <n v="30"/>
    <n v="20"/>
    <n v="40"/>
    <n v="18"/>
    <n v="816"/>
    <n v="27"/>
    <n v="5"/>
    <n v="10"/>
    <n v="45"/>
    <n v="1.125"/>
    <n v="0.5"/>
    <n v="1.8"/>
  </r>
  <r>
    <n v="505"/>
    <x v="2"/>
    <s v="South"/>
    <s v="Small Market"/>
    <s v="Lemon"/>
    <s v="Herbal Tea"/>
    <s v="New Mexico"/>
    <s v="Decaf"/>
    <n v="20"/>
    <n v="40"/>
    <n v="20"/>
    <n v="60"/>
    <n v="28"/>
    <n v="958"/>
    <n v="35"/>
    <n v="8"/>
    <n v="5"/>
    <n v="63"/>
    <n v="1.05"/>
    <n v="0.25"/>
    <n v="1.4"/>
  </r>
  <r>
    <n v="505"/>
    <x v="2"/>
    <s v="South"/>
    <s v="Small Market"/>
    <s v="Decaf Irish Cream"/>
    <s v="Coffee"/>
    <s v="New Mexico"/>
    <s v="Decaf"/>
    <n v="110"/>
    <n v="20"/>
    <n v="-20"/>
    <n v="130"/>
    <n v="88"/>
    <n v="715"/>
    <n v="18"/>
    <n v="27"/>
    <n v="-33"/>
    <n v="106"/>
    <n v="0.81538461538461537"/>
    <n v="1.65"/>
    <n v="0.8"/>
  </r>
  <r>
    <n v="505"/>
    <x v="2"/>
    <s v="South"/>
    <s v="Small Market"/>
    <s v="Columbian"/>
    <s v="Coffee"/>
    <s v="New Mexico"/>
    <s v="Regular"/>
    <n v="50"/>
    <n v="90"/>
    <n v="50"/>
    <n v="140"/>
    <n v="47"/>
    <n v="361"/>
    <n v="72"/>
    <n v="15"/>
    <n v="26"/>
    <n v="119"/>
    <n v="0.85"/>
    <n v="0.52"/>
    <n v="0.94"/>
  </r>
  <r>
    <n v="405"/>
    <x v="2"/>
    <s v="South"/>
    <s v="Small Market"/>
    <s v="Caffe Latte"/>
    <s v="Espresso"/>
    <s v="Oklahoma"/>
    <s v="Regular"/>
    <n v="70"/>
    <n v="110"/>
    <n v="80"/>
    <n v="180"/>
    <n v="89"/>
    <n v="94"/>
    <n v="125"/>
    <n v="27"/>
    <n v="74"/>
    <n v="214"/>
    <n v="1.1888888888888889"/>
    <n v="0.92500000000000004"/>
    <n v="1.2714285714285714"/>
  </r>
  <r>
    <n v="918"/>
    <x v="2"/>
    <s v="South"/>
    <s v="Small Market"/>
    <s v="Caffe Mocha"/>
    <s v="Espresso"/>
    <s v="Oklahoma"/>
    <s v="Regular"/>
    <n v="10"/>
    <n v="30"/>
    <n v="30"/>
    <n v="40"/>
    <n v="21"/>
    <n v="449"/>
    <n v="32"/>
    <n v="5"/>
    <n v="15"/>
    <n v="53"/>
    <n v="1.325"/>
    <n v="0.5"/>
    <n v="2.1"/>
  </r>
  <r>
    <n v="580"/>
    <x v="2"/>
    <s v="South"/>
    <s v="Small Market"/>
    <s v="Decaf Espresso"/>
    <s v="Espresso"/>
    <s v="Oklahoma"/>
    <s v="Decaf"/>
    <n v="70"/>
    <n v="110"/>
    <n v="70"/>
    <n v="180"/>
    <n v="84"/>
    <n v="632"/>
    <n v="126"/>
    <n v="27"/>
    <n v="68"/>
    <n v="210"/>
    <n v="1.1666666666666667"/>
    <n v="0.97142857142857142"/>
    <n v="1.2"/>
  </r>
  <r>
    <n v="580"/>
    <x v="2"/>
    <s v="South"/>
    <s v="Small Market"/>
    <s v="Chamomile"/>
    <s v="Herbal Tea"/>
    <s v="Oklahoma"/>
    <s v="Decaf"/>
    <n v="50"/>
    <n v="60"/>
    <n v="20"/>
    <n v="110"/>
    <n v="54"/>
    <n v="301"/>
    <n v="66"/>
    <n v="20"/>
    <n v="13"/>
    <n v="120"/>
    <n v="1.0909090909090908"/>
    <n v="0.65"/>
    <n v="1.08"/>
  </r>
  <r>
    <n v="405"/>
    <x v="2"/>
    <s v="South"/>
    <s v="Small Market"/>
    <s v="Lemon"/>
    <s v="Herbal Tea"/>
    <s v="Oklahoma"/>
    <s v="Decaf"/>
    <n v="90"/>
    <n v="130"/>
    <n v="30"/>
    <n v="220"/>
    <n v="95"/>
    <n v="532"/>
    <n v="132"/>
    <n v="86"/>
    <n v="17"/>
    <n v="227"/>
    <n v="1.0318181818181817"/>
    <n v="0.56666666666666665"/>
    <n v="1.0555555555555556"/>
  </r>
  <r>
    <n v="405"/>
    <x v="2"/>
    <s v="South"/>
    <s v="Small Market"/>
    <s v="Decaf Irish Cream"/>
    <s v="Coffee"/>
    <s v="Oklahoma"/>
    <s v="Decaf"/>
    <n v="40"/>
    <n v="50"/>
    <n v="40"/>
    <n v="90"/>
    <n v="32"/>
    <n v="813"/>
    <n v="47"/>
    <n v="8"/>
    <n v="27"/>
    <n v="79"/>
    <n v="0.87777777777777777"/>
    <n v="0.67500000000000004"/>
    <n v="0.8"/>
  </r>
  <r>
    <n v="918"/>
    <x v="2"/>
    <s v="South"/>
    <s v="Small Market"/>
    <s v="Columbian"/>
    <s v="Coffee"/>
    <s v="Oklahoma"/>
    <s v="Regular"/>
    <n v="50"/>
    <n v="70"/>
    <n v="50"/>
    <n v="120"/>
    <n v="43"/>
    <n v="613"/>
    <n v="55"/>
    <n v="14"/>
    <n v="29"/>
    <n v="98"/>
    <n v="0.81666666666666665"/>
    <n v="0.57999999999999996"/>
    <n v="0.86"/>
  </r>
  <r>
    <n v="325"/>
    <x v="2"/>
    <s v="South"/>
    <s v="Major Market"/>
    <s v="Caffe Latte"/>
    <s v="Espresso"/>
    <s v="Texas"/>
    <s v="Regular"/>
    <n v="60"/>
    <n v="90"/>
    <n v="50"/>
    <n v="150"/>
    <n v="72"/>
    <n v="189"/>
    <n v="108"/>
    <n v="23"/>
    <n v="54"/>
    <n v="180"/>
    <n v="1.2"/>
    <n v="1.08"/>
    <n v="1.2"/>
  </r>
  <r>
    <n v="936"/>
    <x v="2"/>
    <s v="South"/>
    <s v="Major Market"/>
    <s v="Caffe Mocha"/>
    <s v="Espresso"/>
    <s v="Texas"/>
    <s v="Regular"/>
    <n v="70"/>
    <n v="110"/>
    <n v="90"/>
    <n v="180"/>
    <n v="87"/>
    <n v="756"/>
    <n v="126"/>
    <n v="24"/>
    <n v="91"/>
    <n v="213"/>
    <n v="1.1833333333333333"/>
    <n v="1.0111111111111111"/>
    <n v="1.2428571428571429"/>
  </r>
  <r>
    <n v="972"/>
    <x v="2"/>
    <s v="South"/>
    <s v="Major Market"/>
    <s v="Decaf Espresso"/>
    <s v="Espresso"/>
    <s v="Texas"/>
    <s v="Decaf"/>
    <n v="60"/>
    <n v="110"/>
    <n v="90"/>
    <n v="170"/>
    <n v="81"/>
    <n v="441"/>
    <n v="117"/>
    <n v="22"/>
    <n v="84"/>
    <n v="198"/>
    <n v="1.1647058823529413"/>
    <n v="0.93333333333333335"/>
    <n v="1.35"/>
  </r>
  <r>
    <n v="214"/>
    <x v="2"/>
    <s v="South"/>
    <s v="Major Market"/>
    <s v="Chamomile"/>
    <s v="Herbal Tea"/>
    <s v="Texas"/>
    <s v="Decaf"/>
    <n v="50"/>
    <n v="80"/>
    <n v="50"/>
    <n v="130"/>
    <n v="57"/>
    <n v="323"/>
    <n v="77"/>
    <n v="18"/>
    <n v="31"/>
    <n v="134"/>
    <n v="1.0307692307692307"/>
    <n v="0.62"/>
    <n v="1.1399999999999999"/>
  </r>
  <r>
    <n v="281"/>
    <x v="2"/>
    <s v="South"/>
    <s v="Major Market"/>
    <s v="Lemon"/>
    <s v="Herbal Tea"/>
    <s v="Texas"/>
    <s v="Decaf"/>
    <n v="40"/>
    <n v="70"/>
    <n v="40"/>
    <n v="110"/>
    <n v="49"/>
    <n v="351"/>
    <n v="72"/>
    <n v="15"/>
    <n v="35"/>
    <n v="121"/>
    <n v="1.1000000000000001"/>
    <n v="0.875"/>
    <n v="1.2250000000000001"/>
  </r>
  <r>
    <n v="214"/>
    <x v="2"/>
    <s v="South"/>
    <s v="Major Market"/>
    <s v="Decaf Irish Cream"/>
    <s v="Coffee"/>
    <s v="Texas"/>
    <s v="Decaf"/>
    <n v="100"/>
    <n v="140"/>
    <n v="110"/>
    <n v="240"/>
    <n v="84"/>
    <n v="603"/>
    <n v="109"/>
    <n v="27"/>
    <n v="70"/>
    <n v="193"/>
    <n v="0.8041666666666667"/>
    <n v="0.63636363636363635"/>
    <n v="0.84"/>
  </r>
  <r>
    <n v="940"/>
    <x v="2"/>
    <s v="South"/>
    <s v="Major Market"/>
    <s v="Columbian"/>
    <s v="Coffee"/>
    <s v="Texas"/>
    <s v="Regular"/>
    <n v="260"/>
    <n v="320"/>
    <n v="240"/>
    <n v="580"/>
    <n v="214"/>
    <n v="923"/>
    <n v="253"/>
    <n v="66"/>
    <n v="166"/>
    <n v="467"/>
    <n v="0.80517241379310345"/>
    <n v="0.69166666666666665"/>
    <n v="0.82307692307692304"/>
  </r>
  <r>
    <n v="435"/>
    <x v="2"/>
    <s v="West"/>
    <s v="Small Market"/>
    <s v="Caffe Latte"/>
    <s v="Espresso"/>
    <s v="Utah"/>
    <s v="Regular"/>
    <n v="40"/>
    <n v="70"/>
    <n v="50"/>
    <n v="110"/>
    <n v="48"/>
    <n v="766"/>
    <n v="70"/>
    <n v="13"/>
    <n v="45"/>
    <n v="118"/>
    <n v="1.0727272727272728"/>
    <n v="0.9"/>
    <n v="1.2"/>
  </r>
  <r>
    <n v="801"/>
    <x v="2"/>
    <s v="West"/>
    <s v="Small Market"/>
    <s v="Caffe Mocha"/>
    <s v="Espresso"/>
    <s v="Utah"/>
    <s v="Regular"/>
    <n v="40"/>
    <n v="60"/>
    <n v="40"/>
    <n v="100"/>
    <n v="48"/>
    <n v="611"/>
    <n v="62"/>
    <n v="15"/>
    <n v="34"/>
    <n v="110"/>
    <n v="1.1000000000000001"/>
    <n v="0.85"/>
    <n v="1.2"/>
  </r>
  <r>
    <n v="435"/>
    <x v="2"/>
    <s v="West"/>
    <s v="Small Market"/>
    <s v="Decaf Espresso"/>
    <s v="Espresso"/>
    <s v="Utah"/>
    <s v="Decaf"/>
    <n v="40"/>
    <n v="70"/>
    <n v="50"/>
    <n v="110"/>
    <n v="49"/>
    <n v="809"/>
    <n v="72"/>
    <n v="13"/>
    <n v="47"/>
    <n v="121"/>
    <n v="1.1000000000000001"/>
    <n v="0.94"/>
    <n v="1.2250000000000001"/>
  </r>
  <r>
    <n v="435"/>
    <x v="2"/>
    <s v="West"/>
    <s v="Small Market"/>
    <s v="Decaf Irish Cream"/>
    <s v="Coffee"/>
    <s v="Utah"/>
    <s v="Decaf"/>
    <n v="100"/>
    <n v="130"/>
    <n v="70"/>
    <n v="230"/>
    <n v="85"/>
    <n v="476"/>
    <n v="104"/>
    <n v="32"/>
    <n v="38"/>
    <n v="189"/>
    <n v="0.82173913043478264"/>
    <n v="0.54285714285714282"/>
    <n v="0.85"/>
  </r>
  <r>
    <n v="435"/>
    <x v="2"/>
    <s v="West"/>
    <s v="Small Market"/>
    <s v="Chamomile"/>
    <s v="Herbal Tea"/>
    <s v="Utah"/>
    <s v="Decaf"/>
    <n v="30"/>
    <n v="60"/>
    <n v="40"/>
    <n v="90"/>
    <n v="43"/>
    <n v="231"/>
    <n v="64"/>
    <n v="13"/>
    <n v="28"/>
    <n v="107"/>
    <n v="1.1888888888888889"/>
    <n v="0.7"/>
    <n v="1.4333333333333333"/>
  </r>
  <r>
    <n v="435"/>
    <x v="2"/>
    <s v="West"/>
    <s v="Small Market"/>
    <s v="Lemon"/>
    <s v="Herbal Tea"/>
    <s v="Utah"/>
    <s v="Decaf"/>
    <n v="40"/>
    <n v="60"/>
    <n v="30"/>
    <n v="100"/>
    <n v="47"/>
    <n v="361"/>
    <n v="72"/>
    <n v="15"/>
    <n v="26"/>
    <n v="119"/>
    <n v="1.19"/>
    <n v="0.8666666666666667"/>
    <n v="1.175"/>
  </r>
  <r>
    <n v="801"/>
    <x v="2"/>
    <s v="West"/>
    <s v="Small Market"/>
    <s v="Mint"/>
    <s v="Herbal Tea"/>
    <s v="Utah"/>
    <s v="Decaf"/>
    <n v="70"/>
    <n v="20"/>
    <n v="-20"/>
    <n v="90"/>
    <n v="88"/>
    <n v="715"/>
    <n v="18"/>
    <n v="27"/>
    <n v="-32"/>
    <n v="106"/>
    <n v="1.1777777777777778"/>
    <n v="1.6"/>
    <n v="1.2571428571428571"/>
  </r>
  <r>
    <n v="801"/>
    <x v="2"/>
    <s v="West"/>
    <s v="Small Market"/>
    <s v="Darjeeling"/>
    <s v="Tea"/>
    <s v="Utah"/>
    <s v="Regular"/>
    <n v="20"/>
    <n v="50"/>
    <n v="10"/>
    <n v="70"/>
    <n v="44"/>
    <n v="251"/>
    <n v="63"/>
    <n v="40"/>
    <n v="-7"/>
    <n v="107"/>
    <n v="1.5285714285714285"/>
    <n v="-0.7"/>
    <n v="2.2000000000000002"/>
  </r>
  <r>
    <n v="435"/>
    <x v="2"/>
    <s v="West"/>
    <s v="Small Market"/>
    <s v="Earl Grey"/>
    <s v="Tea"/>
    <s v="Utah"/>
    <s v="Regular"/>
    <n v="20"/>
    <n v="30"/>
    <n v="10"/>
    <n v="50"/>
    <n v="36"/>
    <n v="187"/>
    <n v="49"/>
    <n v="11"/>
    <n v="10"/>
    <n v="85"/>
    <n v="1.7"/>
    <n v="1"/>
    <n v="1.8"/>
  </r>
  <r>
    <n v="435"/>
    <x v="2"/>
    <s v="West"/>
    <s v="Small Market"/>
    <s v="Green Tea"/>
    <s v="Tea"/>
    <s v="Utah"/>
    <s v="Regular"/>
    <n v="20"/>
    <n v="30"/>
    <n v="10"/>
    <n v="50"/>
    <n v="33"/>
    <n v="162"/>
    <n v="42"/>
    <n v="12"/>
    <n v="-4"/>
    <n v="75"/>
    <n v="1.5"/>
    <n v="-0.4"/>
    <n v="1.65"/>
  </r>
  <r>
    <n v="435"/>
    <x v="2"/>
    <s v="West"/>
    <s v="Small Market"/>
    <s v="Amaretto"/>
    <s v="Coffee"/>
    <s v="Utah"/>
    <s v="Regular"/>
    <n v="90"/>
    <n v="110"/>
    <n v="70"/>
    <n v="200"/>
    <n v="74"/>
    <n v="949"/>
    <n v="89"/>
    <n v="22"/>
    <n v="45"/>
    <n v="163"/>
    <n v="0.81499999999999995"/>
    <n v="0.6428571428571429"/>
    <n v="0.82222222222222219"/>
  </r>
  <r>
    <n v="801"/>
    <x v="2"/>
    <s v="West"/>
    <s v="Small Market"/>
    <s v="Columbian"/>
    <s v="Coffee"/>
    <s v="Utah"/>
    <s v="Regular"/>
    <n v="60"/>
    <n v="90"/>
    <n v="60"/>
    <n v="150"/>
    <n v="53"/>
    <n v="299"/>
    <n v="71"/>
    <n v="17"/>
    <n v="26"/>
    <n v="124"/>
    <n v="0.82666666666666666"/>
    <n v="0.43333333333333335"/>
    <n v="0.8833333333333333"/>
  </r>
  <r>
    <n v="760"/>
    <x v="2"/>
    <s v="West"/>
    <s v="Major Market"/>
    <s v="Caffe Latte"/>
    <s v="Espresso"/>
    <s v="California"/>
    <s v="Regular"/>
    <n v="220"/>
    <n v="230"/>
    <n v="150"/>
    <n v="450"/>
    <n v="239"/>
    <n v="1417"/>
    <n v="239"/>
    <n v="66"/>
    <n v="149"/>
    <n v="478"/>
    <n v="1.0622222222222222"/>
    <n v="0.99333333333333329"/>
    <n v="1.0863636363636364"/>
  </r>
  <r>
    <n v="323"/>
    <x v="2"/>
    <s v="West"/>
    <s v="Major Market"/>
    <s v="Caffe Mocha"/>
    <s v="Espresso"/>
    <s v="California"/>
    <s v="Regular"/>
    <n v="120"/>
    <n v="160"/>
    <n v="30"/>
    <n v="280"/>
    <n v="125"/>
    <n v="700"/>
    <n v="173"/>
    <n v="113"/>
    <n v="27"/>
    <n v="298"/>
    <n v="1.0642857142857143"/>
    <n v="0.9"/>
    <n v="1.0416666666666667"/>
  </r>
  <r>
    <n v="916"/>
    <x v="2"/>
    <s v="West"/>
    <s v="Major Market"/>
    <s v="Decaf Espresso"/>
    <s v="Espresso"/>
    <s v="California"/>
    <s v="Decaf"/>
    <n v="230"/>
    <n v="310"/>
    <n v="210"/>
    <n v="540"/>
    <n v="243"/>
    <n v="1260"/>
    <n v="324"/>
    <n v="80"/>
    <n v="211"/>
    <n v="567"/>
    <n v="1.05"/>
    <n v="1.0047619047619047"/>
    <n v="1.0565217391304347"/>
  </r>
  <r>
    <n v="650"/>
    <x v="2"/>
    <s v="West"/>
    <s v="Major Market"/>
    <s v="Decaf Irish Cream"/>
    <s v="Coffee"/>
    <s v="California"/>
    <s v="Decaf"/>
    <n v="190"/>
    <n v="-40"/>
    <n v="-120"/>
    <n v="150"/>
    <n v="154"/>
    <n v="1288"/>
    <n v="-27"/>
    <n v="50"/>
    <n v="-121"/>
    <n v="127"/>
    <n v="0.84666666666666668"/>
    <n v="1.0083333333333333"/>
    <n v="0.81052631578947365"/>
  </r>
  <r>
    <n v="562"/>
    <x v="2"/>
    <s v="West"/>
    <s v="Major Market"/>
    <s v="Chamomile"/>
    <s v="Herbal Tea"/>
    <s v="California"/>
    <s v="Decaf"/>
    <n v="80"/>
    <n v="120"/>
    <n v="100"/>
    <n v="200"/>
    <n v="95"/>
    <n v="799"/>
    <n v="139"/>
    <n v="26"/>
    <n v="101"/>
    <n v="234"/>
    <n v="1.17"/>
    <n v="1.01"/>
    <n v="1.1875"/>
  </r>
  <r>
    <n v="213"/>
    <x v="2"/>
    <s v="West"/>
    <s v="Major Market"/>
    <s v="Lemon"/>
    <s v="Herbal Tea"/>
    <s v="California"/>
    <s v="Decaf"/>
    <n v="180"/>
    <n v="230"/>
    <n v="170"/>
    <n v="410"/>
    <n v="214"/>
    <n v="923"/>
    <n v="253"/>
    <n v="66"/>
    <n v="165"/>
    <n v="467"/>
    <n v="1.1390243902439023"/>
    <n v="0.97058823529411764"/>
    <n v="1.1888888888888889"/>
  </r>
  <r>
    <n v="562"/>
    <x v="2"/>
    <s v="West"/>
    <s v="Major Market"/>
    <s v="Mint"/>
    <s v="Herbal Tea"/>
    <s v="California"/>
    <s v="Decaf"/>
    <n v="70"/>
    <n v="90"/>
    <n v="60"/>
    <n v="160"/>
    <n v="84"/>
    <n v="603"/>
    <n v="109"/>
    <n v="27"/>
    <n v="69"/>
    <n v="193"/>
    <n v="1.20625"/>
    <n v="1.1499999999999999"/>
    <n v="1.2"/>
  </r>
  <r>
    <n v="415"/>
    <x v="2"/>
    <s v="West"/>
    <s v="Major Market"/>
    <s v="Darjeeling"/>
    <s v="Tea"/>
    <s v="California"/>
    <s v="Regular"/>
    <n v="50"/>
    <n v="90"/>
    <n v="80"/>
    <n v="140"/>
    <n v="87"/>
    <n v="756"/>
    <n v="126"/>
    <n v="24"/>
    <n v="91"/>
    <n v="213"/>
    <n v="1.5214285714285714"/>
    <n v="1.1375"/>
    <n v="1.74"/>
  </r>
  <r>
    <n v="951"/>
    <x v="2"/>
    <s v="West"/>
    <s v="Major Market"/>
    <s v="Earl Grey"/>
    <s v="Tea"/>
    <s v="California"/>
    <s v="Regular"/>
    <n v="50"/>
    <n v="80"/>
    <n v="70"/>
    <n v="130"/>
    <n v="81"/>
    <n v="441"/>
    <n v="117"/>
    <n v="22"/>
    <n v="84"/>
    <n v="198"/>
    <n v="1.523076923076923"/>
    <n v="1.2"/>
    <n v="1.62"/>
  </r>
  <r>
    <n v="415"/>
    <x v="2"/>
    <s v="West"/>
    <s v="Major Market"/>
    <s v="Green Tea"/>
    <s v="Tea"/>
    <s v="California"/>
    <s v="Regular"/>
    <n v="40"/>
    <n v="80"/>
    <n v="50"/>
    <n v="120"/>
    <n v="72"/>
    <n v="541"/>
    <n v="108"/>
    <n v="23"/>
    <n v="54"/>
    <n v="180"/>
    <n v="1.5"/>
    <n v="1.08"/>
    <n v="1.8"/>
  </r>
  <r>
    <n v="925"/>
    <x v="2"/>
    <s v="West"/>
    <s v="Major Market"/>
    <s v="Amaretto"/>
    <s v="Coffee"/>
    <s v="California"/>
    <s v="Regular"/>
    <n v="130"/>
    <n v="20"/>
    <n v="-30"/>
    <n v="150"/>
    <n v="109"/>
    <n v="796"/>
    <n v="16"/>
    <n v="34"/>
    <n v="-41"/>
    <n v="125"/>
    <n v="0.83333333333333337"/>
    <n v="1.3666666666666667"/>
    <n v="0.83846153846153848"/>
  </r>
  <r>
    <n v="707"/>
    <x v="2"/>
    <s v="West"/>
    <s v="Major Market"/>
    <s v="Columbian"/>
    <s v="Coffee"/>
    <s v="California"/>
    <s v="Regular"/>
    <n v="340"/>
    <n v="500"/>
    <n v="370"/>
    <n v="840"/>
    <n v="270"/>
    <n v="2041"/>
    <n v="405"/>
    <n v="94"/>
    <n v="259"/>
    <n v="675"/>
    <n v="0.8035714285714286"/>
    <n v="0.7"/>
    <n v="0.79411764705882348"/>
  </r>
  <r>
    <n v="775"/>
    <x v="2"/>
    <s v="West"/>
    <s v="Small Market"/>
    <s v="Caffe Latte"/>
    <s v="Espresso"/>
    <s v="Nevada"/>
    <s v="Regular"/>
    <n v="0"/>
    <n v="40"/>
    <n v="30"/>
    <n v="40"/>
    <n v="0"/>
    <n v="731"/>
    <n v="43"/>
    <n v="0"/>
    <n v="31"/>
    <n v="43"/>
    <n v="1.075"/>
    <n v="1.0333333333333334"/>
    <m/>
  </r>
  <r>
    <n v="775"/>
    <x v="2"/>
    <s v="West"/>
    <s v="Small Market"/>
    <s v="Caffe Mocha"/>
    <s v="Espresso"/>
    <s v="Nevada"/>
    <s v="Regular"/>
    <n v="10"/>
    <n v="30"/>
    <n v="20"/>
    <n v="40"/>
    <n v="18"/>
    <n v="816"/>
    <n v="27"/>
    <n v="5"/>
    <n v="10"/>
    <n v="45"/>
    <n v="1.125"/>
    <n v="0.5"/>
    <n v="1.8"/>
  </r>
  <r>
    <n v="775"/>
    <x v="2"/>
    <s v="West"/>
    <s v="Small Market"/>
    <s v="Decaf Espresso"/>
    <s v="Espresso"/>
    <s v="Nevada"/>
    <s v="Decaf"/>
    <n v="10"/>
    <n v="20"/>
    <n v="10"/>
    <n v="30"/>
    <n v="16"/>
    <n v="772"/>
    <n v="25"/>
    <n v="4"/>
    <n v="10"/>
    <n v="41"/>
    <n v="1.3666666666666667"/>
    <n v="1"/>
    <n v="1.6"/>
  </r>
  <r>
    <n v="702"/>
    <x v="2"/>
    <s v="West"/>
    <s v="Small Market"/>
    <s v="Decaf Irish Cream"/>
    <s v="Coffee"/>
    <s v="Nevada"/>
    <s v="Decaf"/>
    <n v="30"/>
    <n v="40"/>
    <n v="20"/>
    <n v="70"/>
    <n v="28"/>
    <n v="958"/>
    <n v="35"/>
    <n v="8"/>
    <n v="6"/>
    <n v="63"/>
    <n v="0.9"/>
    <n v="0.3"/>
    <n v="0.93333333333333335"/>
  </r>
  <r>
    <n v="775"/>
    <x v="2"/>
    <s v="West"/>
    <s v="Small Market"/>
    <s v="Chamomile"/>
    <s v="Herbal Tea"/>
    <s v="Nevada"/>
    <s v="Decaf"/>
    <n v="100"/>
    <n v="160"/>
    <n v="50"/>
    <n v="260"/>
    <n v="125"/>
    <n v="700"/>
    <n v="173"/>
    <n v="113"/>
    <n v="27"/>
    <n v="298"/>
    <n v="1.1461538461538461"/>
    <n v="0.54"/>
    <n v="1.25"/>
  </r>
  <r>
    <n v="702"/>
    <x v="2"/>
    <s v="West"/>
    <s v="Small Market"/>
    <s v="Lemon"/>
    <s v="Herbal Tea"/>
    <s v="Nevada"/>
    <s v="Decaf"/>
    <n v="130"/>
    <n v="190"/>
    <n v="120"/>
    <n v="320"/>
    <n v="154"/>
    <n v="829"/>
    <n v="213"/>
    <n v="50"/>
    <n v="119"/>
    <n v="367"/>
    <n v="1.1468750000000001"/>
    <n v="0.9916666666666667"/>
    <n v="1.1846153846153846"/>
  </r>
  <r>
    <n v="702"/>
    <x v="2"/>
    <s v="West"/>
    <s v="Small Market"/>
    <s v="Mint"/>
    <s v="Herbal Tea"/>
    <s v="Nevada"/>
    <s v="Decaf"/>
    <n v="90"/>
    <n v="140"/>
    <n v="110"/>
    <n v="230"/>
    <n v="109"/>
    <n v="585"/>
    <n v="158"/>
    <n v="34"/>
    <n v="102"/>
    <n v="267"/>
    <n v="1.1608695652173913"/>
    <n v="0.92727272727272725"/>
    <n v="1.211111111111111"/>
  </r>
  <r>
    <n v="702"/>
    <x v="2"/>
    <s v="West"/>
    <s v="Small Market"/>
    <s v="Darjeeling"/>
    <s v="Tea"/>
    <s v="Nevada"/>
    <s v="Regular"/>
    <n v="160"/>
    <n v="220"/>
    <n v="150"/>
    <n v="380"/>
    <n v="243"/>
    <n v="1260"/>
    <n v="324"/>
    <n v="80"/>
    <n v="212"/>
    <n v="567"/>
    <n v="1.4921052631578948"/>
    <n v="1.4133333333333333"/>
    <n v="1.51875"/>
  </r>
  <r>
    <n v="702"/>
    <x v="2"/>
    <s v="West"/>
    <s v="Small Market"/>
    <s v="Earl Grey"/>
    <s v="Tea"/>
    <s v="Nevada"/>
    <s v="Regular"/>
    <n v="150"/>
    <n v="170"/>
    <n v="110"/>
    <n v="320"/>
    <n v="239"/>
    <n v="1417"/>
    <n v="239"/>
    <n v="66"/>
    <n v="148"/>
    <n v="478"/>
    <n v="1.4937499999999999"/>
    <n v="1.3454545454545455"/>
    <n v="1.5933333333333333"/>
  </r>
  <r>
    <n v="775"/>
    <x v="2"/>
    <s v="West"/>
    <s v="Small Market"/>
    <s v="Green Tea"/>
    <s v="Tea"/>
    <s v="Nevada"/>
    <s v="Regular"/>
    <n v="160"/>
    <n v="-160"/>
    <n v="-240"/>
    <n v="0"/>
    <n v="245"/>
    <n v="2449"/>
    <n v="-245"/>
    <n v="93"/>
    <n v="-340"/>
    <n v="32"/>
    <m/>
    <n v="1.4166666666666667"/>
    <n v="1.53125"/>
  </r>
  <r>
    <n v="702"/>
    <x v="2"/>
    <s v="West"/>
    <s v="Small Market"/>
    <s v="Columbian"/>
    <s v="Coffee"/>
    <s v="Nevada"/>
    <s v="Regular"/>
    <n v="40"/>
    <n v="50"/>
    <n v="10"/>
    <n v="90"/>
    <n v="33"/>
    <n v="190"/>
    <n v="42"/>
    <n v="12"/>
    <n v="-4"/>
    <n v="75"/>
    <n v="0.83333333333333337"/>
    <n v="-0.4"/>
    <n v="0.82499999999999996"/>
  </r>
  <r>
    <n v="541"/>
    <x v="2"/>
    <s v="West"/>
    <s v="Small Market"/>
    <s v="Caffe Latte"/>
    <s v="Espresso"/>
    <s v="Oregon"/>
    <s v="Regular"/>
    <n v="50"/>
    <n v="70"/>
    <n v="20"/>
    <n v="120"/>
    <n v="58"/>
    <n v="325"/>
    <n v="71"/>
    <n v="22"/>
    <n v="15"/>
    <n v="129"/>
    <n v="1.075"/>
    <n v="0.75"/>
    <n v="1.1599999999999999"/>
  </r>
  <r>
    <n v="971"/>
    <x v="2"/>
    <s v="West"/>
    <s v="Small Market"/>
    <s v="Caffe Mocha"/>
    <s v="Espresso"/>
    <s v="Oregon"/>
    <s v="Regular"/>
    <n v="50"/>
    <n v="70"/>
    <n v="40"/>
    <n v="120"/>
    <n v="57"/>
    <n v="323"/>
    <n v="77"/>
    <n v="18"/>
    <n v="32"/>
    <n v="134"/>
    <n v="1.1166666666666667"/>
    <n v="0.8"/>
    <n v="1.1399999999999999"/>
  </r>
  <r>
    <n v="971"/>
    <x v="2"/>
    <s v="West"/>
    <s v="Small Market"/>
    <s v="Decaf Espresso"/>
    <s v="Espresso"/>
    <s v="Oregon"/>
    <s v="Decaf"/>
    <n v="150"/>
    <n v="160"/>
    <n v="100"/>
    <n v="310"/>
    <n v="162"/>
    <n v="1059"/>
    <n v="163"/>
    <n v="45"/>
    <n v="94"/>
    <n v="325"/>
    <n v="1.0483870967741935"/>
    <n v="0.94"/>
    <n v="1.08"/>
  </r>
  <r>
    <n v="503"/>
    <x v="2"/>
    <s v="West"/>
    <s v="Small Market"/>
    <s v="Decaf Irish Cream"/>
    <s v="Coffee"/>
    <s v="Oregon"/>
    <s v="Decaf"/>
    <n v="60"/>
    <n v="90"/>
    <n v="60"/>
    <n v="150"/>
    <n v="49"/>
    <n v="351"/>
    <n v="72"/>
    <n v="15"/>
    <n v="34"/>
    <n v="121"/>
    <n v="0.80666666666666664"/>
    <n v="0.56666666666666665"/>
    <n v="0.81666666666666665"/>
  </r>
  <r>
    <n v="541"/>
    <x v="2"/>
    <s v="West"/>
    <s v="Small Market"/>
    <s v="Chamomile"/>
    <s v="Herbal Tea"/>
    <s v="Oregon"/>
    <s v="Decaf"/>
    <n v="30"/>
    <n v="50"/>
    <n v="50"/>
    <n v="80"/>
    <n v="37"/>
    <n v="768"/>
    <n v="55"/>
    <n v="10"/>
    <n v="33"/>
    <n v="92"/>
    <n v="1.1499999999999999"/>
    <n v="0.66"/>
    <n v="1.2333333333333334"/>
  </r>
  <r>
    <n v="971"/>
    <x v="2"/>
    <s v="West"/>
    <s v="Small Market"/>
    <s v="Lemon"/>
    <s v="Herbal Tea"/>
    <s v="Oregon"/>
    <s v="Decaf"/>
    <n v="30"/>
    <n v="50"/>
    <n v="30"/>
    <n v="80"/>
    <n v="43"/>
    <n v="613"/>
    <n v="55"/>
    <n v="14"/>
    <n v="29"/>
    <n v="98"/>
    <n v="1.2250000000000001"/>
    <n v="0.96666666666666667"/>
    <n v="1.4333333333333333"/>
  </r>
  <r>
    <n v="971"/>
    <x v="2"/>
    <s v="West"/>
    <s v="Small Market"/>
    <s v="Darjeeling"/>
    <s v="Tea"/>
    <s v="Oregon"/>
    <s v="Regular"/>
    <n v="10"/>
    <n v="20"/>
    <n v="20"/>
    <n v="30"/>
    <n v="21"/>
    <n v="449"/>
    <n v="32"/>
    <n v="5"/>
    <n v="16"/>
    <n v="53"/>
    <n v="1.7666666666666666"/>
    <n v="0.8"/>
    <n v="2.1"/>
  </r>
  <r>
    <n v="503"/>
    <x v="2"/>
    <s v="West"/>
    <s v="Small Market"/>
    <s v="Earl Grey"/>
    <s v="Tea"/>
    <s v="Oregon"/>
    <s v="Regular"/>
    <n v="50"/>
    <n v="90"/>
    <n v="60"/>
    <n v="140"/>
    <n v="84"/>
    <n v="632"/>
    <n v="126"/>
    <n v="27"/>
    <n v="68"/>
    <n v="210"/>
    <n v="1.5"/>
    <n v="1.1333333333333333"/>
    <n v="1.68"/>
  </r>
  <r>
    <n v="541"/>
    <x v="2"/>
    <s v="West"/>
    <s v="Small Market"/>
    <s v="Green Tea"/>
    <s v="Tea"/>
    <s v="Oregon"/>
    <s v="Regular"/>
    <n v="50"/>
    <n v="90"/>
    <n v="60"/>
    <n v="140"/>
    <n v="89"/>
    <n v="481"/>
    <n v="125"/>
    <n v="27"/>
    <n v="74"/>
    <n v="214"/>
    <n v="1.5285714285714285"/>
    <n v="1.2333333333333334"/>
    <n v="1.78"/>
  </r>
  <r>
    <n v="503"/>
    <x v="2"/>
    <s v="West"/>
    <s v="Small Market"/>
    <s v="Amaretto"/>
    <s v="Coffee"/>
    <s v="Oregon"/>
    <s v="Regular"/>
    <n v="60"/>
    <n v="90"/>
    <n v="30"/>
    <n v="150"/>
    <n v="52"/>
    <n v="421"/>
    <n v="73"/>
    <n v="47"/>
    <n v="-3"/>
    <n v="125"/>
    <n v="0.83333333333333337"/>
    <n v="-0.1"/>
    <n v="0.8666666666666667"/>
  </r>
  <r>
    <n v="503"/>
    <x v="2"/>
    <s v="West"/>
    <s v="Small Market"/>
    <s v="Columbian"/>
    <s v="Coffee"/>
    <s v="Oregon"/>
    <s v="Regular"/>
    <n v="70"/>
    <n v="110"/>
    <n v="60"/>
    <n v="180"/>
    <n v="62"/>
    <n v="385"/>
    <n v="87"/>
    <n v="20"/>
    <n v="24"/>
    <n v="149"/>
    <n v="0.82777777777777772"/>
    <n v="0.4"/>
    <n v="0.88571428571428568"/>
  </r>
  <r>
    <n v="253"/>
    <x v="2"/>
    <s v="West"/>
    <s v="Small Market"/>
    <s v="Caffe Latte"/>
    <s v="Espresso"/>
    <s v="Washington"/>
    <s v="Regular"/>
    <n v="40"/>
    <n v="60"/>
    <n v="40"/>
    <n v="100"/>
    <n v="49"/>
    <n v="611"/>
    <n v="63"/>
    <n v="16"/>
    <n v="35"/>
    <n v="112"/>
    <n v="1.1200000000000001"/>
    <n v="0.875"/>
    <n v="1.2250000000000001"/>
  </r>
  <r>
    <n v="253"/>
    <x v="2"/>
    <s v="West"/>
    <s v="Small Market"/>
    <s v="Caffe Mocha"/>
    <s v="Espresso"/>
    <s v="Washington"/>
    <s v="Regular"/>
    <n v="50"/>
    <n v="60"/>
    <n v="20"/>
    <n v="110"/>
    <n v="54"/>
    <n v="301"/>
    <n v="66"/>
    <n v="20"/>
    <n v="12"/>
    <n v="120"/>
    <n v="1.0909090909090908"/>
    <n v="0.6"/>
    <n v="1.08"/>
  </r>
  <r>
    <n v="425"/>
    <x v="2"/>
    <s v="West"/>
    <s v="Small Market"/>
    <s v="Decaf Espresso"/>
    <s v="Espresso"/>
    <s v="Washington"/>
    <s v="Decaf"/>
    <n v="60"/>
    <n v="80"/>
    <n v="50"/>
    <n v="140"/>
    <n v="71"/>
    <n v="950"/>
    <n v="84"/>
    <n v="22"/>
    <n v="40"/>
    <n v="155"/>
    <n v="1.1071428571428572"/>
    <n v="0.8"/>
    <n v="1.1833333333333333"/>
  </r>
  <r>
    <n v="206"/>
    <x v="2"/>
    <s v="West"/>
    <s v="Small Market"/>
    <s v="Decaf Irish Cream"/>
    <s v="Coffee"/>
    <s v="Washington"/>
    <s v="Decaf"/>
    <n v="110"/>
    <n v="170"/>
    <n v="70"/>
    <n v="280"/>
    <n v="95"/>
    <n v="532"/>
    <n v="132"/>
    <n v="86"/>
    <n v="16"/>
    <n v="227"/>
    <n v="0.81071428571428572"/>
    <n v="0.22857142857142856"/>
    <n v="0.86363636363636365"/>
  </r>
  <r>
    <n v="206"/>
    <x v="2"/>
    <s v="West"/>
    <s v="Small Market"/>
    <s v="Chamomile"/>
    <s v="Herbal Tea"/>
    <s v="Washington"/>
    <s v="Decaf"/>
    <n v="100"/>
    <n v="170"/>
    <n v="120"/>
    <n v="270"/>
    <n v="123"/>
    <n v="932"/>
    <n v="186"/>
    <n v="40"/>
    <n v="115"/>
    <n v="309"/>
    <n v="1.1444444444444444"/>
    <n v="0.95833333333333337"/>
    <n v="1.23"/>
  </r>
  <r>
    <n v="360"/>
    <x v="2"/>
    <s v="West"/>
    <s v="Small Market"/>
    <s v="Lemon"/>
    <s v="Herbal Tea"/>
    <s v="Washington"/>
    <s v="Decaf"/>
    <n v="20"/>
    <n v="50"/>
    <n v="50"/>
    <n v="70"/>
    <n v="33"/>
    <n v="768"/>
    <n v="49"/>
    <n v="9"/>
    <n v="29"/>
    <n v="82"/>
    <n v="1.1714285714285715"/>
    <n v="0.57999999999999996"/>
    <n v="1.65"/>
  </r>
  <r>
    <n v="206"/>
    <x v="2"/>
    <s v="West"/>
    <s v="Small Market"/>
    <s v="Darjeeling"/>
    <s v="Tea"/>
    <s v="Washington"/>
    <s v="Regular"/>
    <n v="40"/>
    <n v="70"/>
    <n v="40"/>
    <n v="110"/>
    <n v="62"/>
    <n v="346"/>
    <n v="105"/>
    <n v="19"/>
    <n v="62"/>
    <n v="167"/>
    <n v="1.5181818181818181"/>
    <n v="1.55"/>
    <n v="1.55"/>
  </r>
  <r>
    <n v="253"/>
    <x v="2"/>
    <s v="West"/>
    <s v="Small Market"/>
    <s v="Earl Grey"/>
    <s v="Tea"/>
    <s v="Washington"/>
    <s v="Regular"/>
    <n v="30"/>
    <n v="50"/>
    <n v="30"/>
    <n v="80"/>
    <n v="52"/>
    <n v="376"/>
    <n v="77"/>
    <n v="16"/>
    <n v="38"/>
    <n v="129"/>
    <n v="1.6125"/>
    <n v="1.2666666666666666"/>
    <n v="1.7333333333333334"/>
  </r>
  <r>
    <n v="206"/>
    <x v="2"/>
    <s v="West"/>
    <s v="Small Market"/>
    <s v="Green Tea"/>
    <s v="Tea"/>
    <s v="Washington"/>
    <s v="Regular"/>
    <n v="40"/>
    <n v="60"/>
    <n v="10"/>
    <n v="100"/>
    <n v="63"/>
    <n v="506"/>
    <n v="87"/>
    <n v="57"/>
    <n v="0"/>
    <n v="150"/>
    <n v="1.5"/>
    <n v="0"/>
    <n v="1.575"/>
  </r>
  <r>
    <n v="206"/>
    <x v="2"/>
    <s v="West"/>
    <s v="Small Market"/>
    <s v="Columbian"/>
    <s v="Coffee"/>
    <s v="Washington"/>
    <s v="Regular"/>
    <n v="70"/>
    <n v="110"/>
    <n v="80"/>
    <n v="180"/>
    <n v="61"/>
    <n v="325"/>
    <n v="89"/>
    <n v="19"/>
    <n v="48"/>
    <n v="150"/>
    <n v="0.83333333333333337"/>
    <n v="0.6"/>
    <n v="0.87142857142857144"/>
  </r>
  <r>
    <n v="720"/>
    <x v="3"/>
    <s v="Central"/>
    <s v="Major Market"/>
    <s v="Amaretto"/>
    <s v="Coffee"/>
    <s v="Colorado"/>
    <s v="Regular"/>
    <n v="90"/>
    <n v="140"/>
    <n v="110"/>
    <n v="230"/>
    <n v="91"/>
    <n v="777"/>
    <n v="132"/>
    <n v="25"/>
    <n v="96"/>
    <n v="223"/>
    <n v="0.9695652173913043"/>
    <n v="0.87272727272727268"/>
    <n v="1.0111111111111111"/>
  </r>
  <r>
    <n v="970"/>
    <x v="3"/>
    <s v="Central"/>
    <s v="Major Market"/>
    <s v="Columbian"/>
    <s v="Coffee"/>
    <s v="Colorado"/>
    <s v="Regular"/>
    <n v="80"/>
    <n v="100"/>
    <n v="70"/>
    <n v="180"/>
    <n v="78"/>
    <n v="593"/>
    <n v="100"/>
    <n v="25"/>
    <n v="63"/>
    <n v="178"/>
    <n v="0.98888888888888893"/>
    <n v="0.9"/>
    <n v="0.97499999999999998"/>
  </r>
  <r>
    <n v="303"/>
    <x v="3"/>
    <s v="Central"/>
    <s v="Major Market"/>
    <s v="Darjeeling"/>
    <s v="Tea"/>
    <s v="Colorado"/>
    <s v="Regular"/>
    <n v="40"/>
    <n v="60"/>
    <n v="20"/>
    <n v="100"/>
    <n v="54"/>
    <n v="337"/>
    <n v="67"/>
    <n v="20"/>
    <n v="13"/>
    <n v="121"/>
    <n v="1.21"/>
    <n v="0.65"/>
    <n v="1.35"/>
  </r>
  <r>
    <n v="719"/>
    <x v="3"/>
    <s v="Central"/>
    <s v="Major Market"/>
    <s v="Earl Grey"/>
    <s v="Tea"/>
    <s v="Colorado"/>
    <s v="Regular"/>
    <n v="50"/>
    <n v="70"/>
    <n v="40"/>
    <n v="120"/>
    <n v="63"/>
    <n v="965"/>
    <n v="75"/>
    <n v="19"/>
    <n v="34"/>
    <n v="138"/>
    <n v="1.1499999999999999"/>
    <n v="0.85"/>
    <n v="1.26"/>
  </r>
  <r>
    <n v="303"/>
    <x v="3"/>
    <s v="Central"/>
    <s v="Major Market"/>
    <s v="Green Tea"/>
    <s v="Tea"/>
    <s v="Colorado"/>
    <s v="Regular"/>
    <n v="30"/>
    <n v="60"/>
    <n v="40"/>
    <n v="90"/>
    <n v="46"/>
    <n v="608"/>
    <n v="60"/>
    <n v="15"/>
    <n v="32"/>
    <n v="106"/>
    <n v="1.1777777777777778"/>
    <n v="0.8"/>
    <n v="1.5333333333333334"/>
  </r>
  <r>
    <n v="720"/>
    <x v="3"/>
    <s v="Central"/>
    <s v="Major Market"/>
    <s v="Caffe Mocha"/>
    <s v="Espresso"/>
    <s v="Colorado"/>
    <s v="Regular"/>
    <n v="90"/>
    <n v="140"/>
    <n v="110"/>
    <n v="230"/>
    <n v="81"/>
    <n v="460"/>
    <n v="117"/>
    <n v="22"/>
    <n v="84"/>
    <n v="198"/>
    <n v="0.86086956521739133"/>
    <n v="0.76363636363636367"/>
    <n v="0.9"/>
  </r>
  <r>
    <n v="719"/>
    <x v="3"/>
    <s v="Central"/>
    <s v="Major Market"/>
    <s v="Decaf Espresso"/>
    <s v="Espresso"/>
    <s v="Colorado"/>
    <s v="Decaf"/>
    <n v="70"/>
    <n v="130"/>
    <n v="80"/>
    <n v="200"/>
    <n v="68"/>
    <n v="559"/>
    <n v="102"/>
    <n v="22"/>
    <n v="48"/>
    <n v="170"/>
    <n v="0.85"/>
    <n v="0.6"/>
    <n v="0.97142857142857142"/>
  </r>
  <r>
    <n v="303"/>
    <x v="3"/>
    <s v="Central"/>
    <s v="Major Market"/>
    <s v="Decaf Irish Cream"/>
    <s v="Coffee"/>
    <s v="Colorado"/>
    <s v="Decaf"/>
    <n v="100"/>
    <n v="150"/>
    <n v="120"/>
    <n v="250"/>
    <n v="100"/>
    <n v="822"/>
    <n v="145"/>
    <n v="28"/>
    <n v="105"/>
    <n v="245"/>
    <n v="0.98"/>
    <n v="0.875"/>
    <n v="1"/>
  </r>
  <r>
    <n v="303"/>
    <x v="3"/>
    <s v="Central"/>
    <s v="Major Market"/>
    <s v="Chamomile"/>
    <s v="Herbal Tea"/>
    <s v="Colorado"/>
    <s v="Decaf"/>
    <n v="130"/>
    <n v="150"/>
    <n v="100"/>
    <n v="280"/>
    <n v="162"/>
    <n v="1091"/>
    <n v="163"/>
    <n v="45"/>
    <n v="94"/>
    <n v="325"/>
    <n v="1.1607142857142858"/>
    <n v="0.94"/>
    <n v="1.2461538461538462"/>
  </r>
  <r>
    <n v="719"/>
    <x v="3"/>
    <s v="Central"/>
    <s v="Major Market"/>
    <s v="Lemon"/>
    <s v="Herbal Tea"/>
    <s v="Colorado"/>
    <s v="Decaf"/>
    <n v="40"/>
    <n v="70"/>
    <n v="20"/>
    <n v="110"/>
    <n v="52"/>
    <n v="433"/>
    <n v="73"/>
    <n v="47"/>
    <n v="-4"/>
    <n v="125"/>
    <n v="1.1363636363636365"/>
    <n v="-0.2"/>
    <n v="1.3"/>
  </r>
  <r>
    <n v="719"/>
    <x v="3"/>
    <s v="Central"/>
    <s v="Major Market"/>
    <s v="Mint"/>
    <s v="Herbal Tea"/>
    <s v="Colorado"/>
    <s v="Decaf"/>
    <n v="40"/>
    <n v="70"/>
    <n v="40"/>
    <n v="110"/>
    <n v="55"/>
    <n v="336"/>
    <n v="74"/>
    <n v="18"/>
    <n v="29"/>
    <n v="129"/>
    <n v="1.1727272727272726"/>
    <n v="0.72499999999999998"/>
    <n v="1.375"/>
  </r>
  <r>
    <n v="217"/>
    <x v="3"/>
    <s v="Central"/>
    <s v="Major Market"/>
    <s v="Columbian"/>
    <s v="Coffee"/>
    <s v="Illinois"/>
    <s v="Regular"/>
    <n v="200"/>
    <n v="270"/>
    <n v="170"/>
    <n v="470"/>
    <n v="191"/>
    <n v="865"/>
    <n v="265"/>
    <n v="63"/>
    <n v="156"/>
    <n v="456"/>
    <n v="0.97021276595744677"/>
    <n v="0.91764705882352937"/>
    <n v="0.95499999999999996"/>
  </r>
  <r>
    <n v="815"/>
    <x v="3"/>
    <s v="Central"/>
    <s v="Major Market"/>
    <s v="Darjeeling"/>
    <s v="Tea"/>
    <s v="Illinois"/>
    <s v="Regular"/>
    <n v="60"/>
    <n v="110"/>
    <n v="80"/>
    <n v="170"/>
    <n v="81"/>
    <n v="460"/>
    <n v="117"/>
    <n v="22"/>
    <n v="83"/>
    <n v="198"/>
    <n v="1.1647058823529413"/>
    <n v="1.0375000000000001"/>
    <n v="1.35"/>
  </r>
  <r>
    <n v="630"/>
    <x v="3"/>
    <s v="Central"/>
    <s v="Major Market"/>
    <s v="Earl Grey"/>
    <s v="Tea"/>
    <s v="Illinois"/>
    <s v="Regular"/>
    <n v="50"/>
    <n v="90"/>
    <n v="40"/>
    <n v="140"/>
    <n v="68"/>
    <n v="559"/>
    <n v="102"/>
    <n v="22"/>
    <n v="49"/>
    <n v="170"/>
    <n v="1.2142857142857142"/>
    <n v="1.2250000000000001"/>
    <n v="1.36"/>
  </r>
  <r>
    <n v="217"/>
    <x v="3"/>
    <s v="Central"/>
    <s v="Major Market"/>
    <s v="Caffe Mocha"/>
    <s v="Espresso"/>
    <s v="Illinois"/>
    <s v="Regular"/>
    <n v="290"/>
    <n v="400"/>
    <n v="280"/>
    <n v="690"/>
    <n v="252"/>
    <n v="1316"/>
    <n v="335"/>
    <n v="83"/>
    <n v="220"/>
    <n v="587"/>
    <n v="0.85072463768115947"/>
    <n v="0.7857142857142857"/>
    <n v="0.86896551724137927"/>
  </r>
  <r>
    <n v="217"/>
    <x v="3"/>
    <s v="Central"/>
    <s v="Major Market"/>
    <s v="Decaf Espresso"/>
    <s v="Espresso"/>
    <s v="Illinois"/>
    <s v="Decaf"/>
    <n v="270"/>
    <n v="290"/>
    <n v="200"/>
    <n v="560"/>
    <n v="239"/>
    <n v="1464"/>
    <n v="239"/>
    <n v="66"/>
    <n v="149"/>
    <n v="478"/>
    <n v="0.85357142857142854"/>
    <n v="0.745"/>
    <n v="0.88518518518518519"/>
  </r>
  <r>
    <n v="309"/>
    <x v="3"/>
    <s v="Central"/>
    <s v="Major Market"/>
    <s v="Decaf Irish Cream"/>
    <s v="Coffee"/>
    <s v="Illinois"/>
    <s v="Decaf"/>
    <n v="130"/>
    <n v="180"/>
    <n v="130"/>
    <n v="310"/>
    <n v="123"/>
    <n v="611"/>
    <n v="178"/>
    <n v="39"/>
    <n v="116"/>
    <n v="301"/>
    <n v="0.97096774193548385"/>
    <n v="0.89230769230769236"/>
    <n v="0.94615384615384612"/>
  </r>
  <r>
    <n v="224"/>
    <x v="3"/>
    <s v="Central"/>
    <s v="Major Market"/>
    <s v="Chamomile"/>
    <s v="Herbal Tea"/>
    <s v="Illinois"/>
    <s v="Decaf"/>
    <n v="70"/>
    <n v="120"/>
    <n v="100"/>
    <n v="190"/>
    <n v="91"/>
    <n v="777"/>
    <n v="132"/>
    <n v="25"/>
    <n v="95"/>
    <n v="223"/>
    <n v="1.1736842105263159"/>
    <n v="0.95"/>
    <n v="1.3"/>
  </r>
  <r>
    <n v="224"/>
    <x v="3"/>
    <s v="Central"/>
    <s v="Major Market"/>
    <s v="Lemon"/>
    <s v="Herbal Tea"/>
    <s v="Illinois"/>
    <s v="Decaf"/>
    <n v="60"/>
    <n v="90"/>
    <n v="60"/>
    <n v="150"/>
    <n v="78"/>
    <n v="593"/>
    <n v="100"/>
    <n v="25"/>
    <n v="62"/>
    <n v="178"/>
    <n v="1.1866666666666668"/>
    <n v="1.0333333333333334"/>
    <n v="1.3"/>
  </r>
  <r>
    <n v="618"/>
    <x v="3"/>
    <s v="Central"/>
    <s v="Major Market"/>
    <s v="Mint"/>
    <s v="Herbal Tea"/>
    <s v="Illinois"/>
    <s v="Decaf"/>
    <n v="80"/>
    <n v="130"/>
    <n v="110"/>
    <n v="210"/>
    <n v="100"/>
    <n v="822"/>
    <n v="145"/>
    <n v="28"/>
    <n v="106"/>
    <n v="245"/>
    <n v="1.1666666666666667"/>
    <n v="0.96363636363636362"/>
    <n v="1.25"/>
  </r>
  <r>
    <n v="515"/>
    <x v="3"/>
    <s v="Central"/>
    <s v="Small Market"/>
    <s v="Amaretto"/>
    <s v="Coffee"/>
    <s v="Iowa"/>
    <s v="Regular"/>
    <n v="20"/>
    <n v="20"/>
    <n v="10"/>
    <n v="40"/>
    <n v="19"/>
    <n v="820"/>
    <n v="28"/>
    <n v="5"/>
    <n v="11"/>
    <n v="47"/>
    <n v="1.175"/>
    <n v="1.1000000000000001"/>
    <n v="0.95"/>
  </r>
  <r>
    <n v="319"/>
    <x v="3"/>
    <s v="Central"/>
    <s v="Small Market"/>
    <s v="Darjeeling"/>
    <s v="Tea"/>
    <s v="Iowa"/>
    <s v="Regular"/>
    <n v="200"/>
    <n v="220"/>
    <n v="140"/>
    <n v="420"/>
    <n v="239"/>
    <n v="1464"/>
    <n v="239"/>
    <n v="66"/>
    <n v="148"/>
    <n v="478"/>
    <n v="1.138095238095238"/>
    <n v="1.0571428571428572"/>
    <n v="1.1950000000000001"/>
  </r>
  <r>
    <n v="515"/>
    <x v="3"/>
    <s v="Central"/>
    <s v="Small Market"/>
    <s v="Earl Grey"/>
    <s v="Tea"/>
    <s v="Iowa"/>
    <s v="Regular"/>
    <n v="220"/>
    <n v="280"/>
    <n v="160"/>
    <n v="500"/>
    <n v="260"/>
    <n v="1423"/>
    <n v="318"/>
    <n v="98"/>
    <n v="186"/>
    <n v="578"/>
    <n v="1.1559999999999999"/>
    <n v="1.1625000000000001"/>
    <n v="1.1818181818181819"/>
  </r>
  <r>
    <n v="563"/>
    <x v="3"/>
    <s v="Central"/>
    <s v="Small Market"/>
    <s v="Caffe Mocha"/>
    <s v="Espresso"/>
    <s v="Iowa"/>
    <s v="Regular"/>
    <n v="10"/>
    <n v="40"/>
    <n v="30"/>
    <n v="50"/>
    <n v="17"/>
    <n v="776"/>
    <n v="26"/>
    <n v="4"/>
    <n v="10"/>
    <n v="43"/>
    <n v="0.86"/>
    <n v="0.33333333333333331"/>
    <n v="1.7"/>
  </r>
  <r>
    <n v="712"/>
    <x v="3"/>
    <s v="Central"/>
    <s v="Small Market"/>
    <s v="Decaf Espresso"/>
    <s v="Espresso"/>
    <s v="Iowa"/>
    <s v="Decaf"/>
    <n v="0"/>
    <n v="50"/>
    <n v="40"/>
    <n v="50"/>
    <n v="0"/>
    <n v="688"/>
    <n v="43"/>
    <n v="0"/>
    <n v="32"/>
    <n v="43"/>
    <n v="0.86"/>
    <n v="0.8"/>
    <m/>
  </r>
  <r>
    <n v="515"/>
    <x v="3"/>
    <s v="Central"/>
    <s v="Small Market"/>
    <s v="Columbian"/>
    <s v="Coffee"/>
    <s v="Iowa"/>
    <s v="Regular"/>
    <n v="20"/>
    <n v="40"/>
    <n v="20"/>
    <n v="60"/>
    <n v="28"/>
    <n v="964"/>
    <n v="33"/>
    <n v="8"/>
    <n v="3"/>
    <n v="61"/>
    <n v="1.0166666666666666"/>
    <n v="0.15"/>
    <n v="1.4"/>
  </r>
  <r>
    <n v="319"/>
    <x v="3"/>
    <s v="Central"/>
    <s v="Small Market"/>
    <s v="Decaf Irish Cream"/>
    <s v="Coffee"/>
    <s v="Iowa"/>
    <s v="Decaf"/>
    <n v="20"/>
    <n v="30"/>
    <n v="20"/>
    <n v="50"/>
    <n v="21"/>
    <n v="614"/>
    <n v="28"/>
    <n v="6"/>
    <n v="9"/>
    <n v="49"/>
    <n v="0.98"/>
    <n v="0.45"/>
    <n v="1.05"/>
  </r>
  <r>
    <n v="563"/>
    <x v="3"/>
    <s v="Central"/>
    <s v="Small Market"/>
    <s v="Chamomile"/>
    <s v="Herbal Tea"/>
    <s v="Iowa"/>
    <s v="Decaf"/>
    <n v="210"/>
    <n v="300"/>
    <n v="210"/>
    <n v="510"/>
    <n v="252"/>
    <n v="1316"/>
    <n v="335"/>
    <n v="83"/>
    <n v="220"/>
    <n v="587"/>
    <n v="1.1509803921568627"/>
    <n v="1.0476190476190477"/>
    <n v="1.2"/>
  </r>
  <r>
    <n v="319"/>
    <x v="3"/>
    <s v="Central"/>
    <s v="Small Market"/>
    <s v="Lemon"/>
    <s v="Herbal Tea"/>
    <s v="Iowa"/>
    <s v="Decaf"/>
    <n v="100"/>
    <n v="160"/>
    <n v="120"/>
    <n v="260"/>
    <n v="123"/>
    <n v="611"/>
    <n v="178"/>
    <n v="39"/>
    <n v="115"/>
    <n v="301"/>
    <n v="1.1576923076923078"/>
    <n v="0.95833333333333337"/>
    <n v="1.23"/>
  </r>
  <r>
    <n v="636"/>
    <x v="3"/>
    <s v="Central"/>
    <s v="Small Market"/>
    <s v="Darjeeling"/>
    <s v="Tea"/>
    <s v="Missouri"/>
    <s v="Regular"/>
    <n v="30"/>
    <n v="40"/>
    <n v="10"/>
    <n v="70"/>
    <n v="37"/>
    <n v="195"/>
    <n v="51"/>
    <n v="12"/>
    <n v="11"/>
    <n v="88"/>
    <n v="1.2571428571428571"/>
    <n v="1.1000000000000001"/>
    <n v="1.2333333333333334"/>
  </r>
  <r>
    <n v="314"/>
    <x v="3"/>
    <s v="Central"/>
    <s v="Small Market"/>
    <s v="Earl Grey"/>
    <s v="Tea"/>
    <s v="Missouri"/>
    <s v="Regular"/>
    <n v="20"/>
    <n v="30"/>
    <n v="-10"/>
    <n v="50"/>
    <n v="29"/>
    <n v="169"/>
    <n v="36"/>
    <n v="11"/>
    <n v="-9"/>
    <n v="65"/>
    <n v="1.3"/>
    <n v="0.9"/>
    <n v="1.45"/>
  </r>
  <r>
    <n v="573"/>
    <x v="3"/>
    <s v="Central"/>
    <s v="Small Market"/>
    <s v="Green Tea"/>
    <s v="Tea"/>
    <s v="Missouri"/>
    <s v="Regular"/>
    <n v="30"/>
    <n v="30"/>
    <n v="-10"/>
    <n v="60"/>
    <n v="35"/>
    <n v="197"/>
    <n v="44"/>
    <n v="13"/>
    <n v="-2"/>
    <n v="79"/>
    <n v="1.3166666666666667"/>
    <n v="0.2"/>
    <n v="1.1666666666666667"/>
  </r>
  <r>
    <n v="660"/>
    <x v="3"/>
    <s v="Central"/>
    <s v="Small Market"/>
    <s v="Caffe Mocha"/>
    <s v="Espresso"/>
    <s v="Missouri"/>
    <s v="Regular"/>
    <n v="50"/>
    <n v="80"/>
    <n v="60"/>
    <n v="130"/>
    <n v="47"/>
    <n v="821"/>
    <n v="68"/>
    <n v="13"/>
    <n v="43"/>
    <n v="115"/>
    <n v="0.88461538461538458"/>
    <n v="0.71666666666666667"/>
    <n v="0.94"/>
  </r>
  <r>
    <n v="573"/>
    <x v="3"/>
    <s v="Central"/>
    <s v="Small Market"/>
    <s v="Decaf Espresso"/>
    <s v="Espresso"/>
    <s v="Missouri"/>
    <s v="Decaf"/>
    <n v="50"/>
    <n v="80"/>
    <n v="60"/>
    <n v="130"/>
    <n v="45"/>
    <n v="777"/>
    <n v="67"/>
    <n v="12"/>
    <n v="44"/>
    <n v="112"/>
    <n v="0.86153846153846159"/>
    <n v="0.73333333333333328"/>
    <n v="0.9"/>
  </r>
  <r>
    <n v="573"/>
    <x v="3"/>
    <s v="Central"/>
    <s v="Small Market"/>
    <s v="Columbian"/>
    <s v="Coffee"/>
    <s v="Missouri"/>
    <s v="Regular"/>
    <n v="80"/>
    <n v="100"/>
    <n v="50"/>
    <n v="180"/>
    <n v="80"/>
    <n v="494"/>
    <n v="98"/>
    <n v="30"/>
    <n v="35"/>
    <n v="178"/>
    <n v="0.98888888888888893"/>
    <n v="0.7"/>
    <n v="1"/>
  </r>
  <r>
    <n v="660"/>
    <x v="3"/>
    <s v="Central"/>
    <s v="Small Market"/>
    <s v="Decaf Irish Cream"/>
    <s v="Coffee"/>
    <s v="Missouri"/>
    <s v="Decaf"/>
    <n v="80"/>
    <n v="90"/>
    <n v="50"/>
    <n v="170"/>
    <n v="76"/>
    <n v="965"/>
    <n v="91"/>
    <n v="23"/>
    <n v="47"/>
    <n v="167"/>
    <n v="0.98235294117647054"/>
    <n v="0.94"/>
    <n v="0.95"/>
  </r>
  <r>
    <n v="314"/>
    <x v="3"/>
    <s v="Central"/>
    <s v="Small Market"/>
    <s v="Chamomile"/>
    <s v="Herbal Tea"/>
    <s v="Missouri"/>
    <s v="Decaf"/>
    <n v="30"/>
    <n v="60"/>
    <n v="10"/>
    <n v="90"/>
    <n v="44"/>
    <n v="261"/>
    <n v="63"/>
    <n v="40"/>
    <n v="-6"/>
    <n v="107"/>
    <n v="1.1888888888888889"/>
    <n v="-0.6"/>
    <n v="1.4666666666666666"/>
  </r>
  <r>
    <n v="660"/>
    <x v="3"/>
    <s v="Central"/>
    <s v="Small Market"/>
    <s v="Lemon"/>
    <s v="Herbal Tea"/>
    <s v="Missouri"/>
    <s v="Decaf"/>
    <n v="70"/>
    <n v="40"/>
    <n v="10"/>
    <n v="110"/>
    <n v="93"/>
    <n v="840"/>
    <n v="40"/>
    <n v="28"/>
    <n v="-12"/>
    <n v="133"/>
    <n v="1.209090909090909"/>
    <n v="-1.2"/>
    <n v="1.3285714285714285"/>
  </r>
  <r>
    <n v="740"/>
    <x v="3"/>
    <s v="Central"/>
    <s v="Major Market"/>
    <s v="Darjeeling"/>
    <s v="Tea"/>
    <s v="Ohio"/>
    <s v="Regular"/>
    <n v="70"/>
    <n v="120"/>
    <n v="70"/>
    <n v="190"/>
    <n v="88"/>
    <n v="653"/>
    <n v="134"/>
    <n v="29"/>
    <n v="73"/>
    <n v="222"/>
    <n v="1.168421052631579"/>
    <n v="1.0428571428571429"/>
    <n v="1.2571428571428571"/>
  </r>
  <r>
    <n v="937"/>
    <x v="3"/>
    <s v="Central"/>
    <s v="Major Market"/>
    <s v="Earl Grey"/>
    <s v="Tea"/>
    <s v="Ohio"/>
    <s v="Regular"/>
    <n v="90"/>
    <n v="140"/>
    <n v="90"/>
    <n v="230"/>
    <n v="112"/>
    <n v="502"/>
    <n v="155"/>
    <n v="34"/>
    <n v="97"/>
    <n v="267"/>
    <n v="1.1608695652173913"/>
    <n v="1.0777777777777777"/>
    <n v="1.2444444444444445"/>
  </r>
  <r>
    <n v="567"/>
    <x v="3"/>
    <s v="Central"/>
    <s v="Major Market"/>
    <s v="Caffe Mocha"/>
    <s v="Espresso"/>
    <s v="Ohio"/>
    <s v="Regular"/>
    <n v="180"/>
    <n v="200"/>
    <n v="130"/>
    <n v="380"/>
    <n v="162"/>
    <n v="1091"/>
    <n v="163"/>
    <n v="45"/>
    <n v="93"/>
    <n v="325"/>
    <n v="0.85526315789473684"/>
    <n v="0.7153846153846154"/>
    <n v="0.9"/>
  </r>
  <r>
    <n v="419"/>
    <x v="3"/>
    <s v="Central"/>
    <s v="Major Market"/>
    <s v="Decaf Espresso"/>
    <s v="Espresso"/>
    <s v="Ohio"/>
    <s v="Decaf"/>
    <n v="60"/>
    <n v="80"/>
    <n v="30"/>
    <n v="140"/>
    <n v="54"/>
    <n v="337"/>
    <n v="67"/>
    <n v="20"/>
    <n v="13"/>
    <n v="121"/>
    <n v="0.86428571428571432"/>
    <n v="0.43333333333333335"/>
    <n v="0.9"/>
  </r>
  <r>
    <n v="740"/>
    <x v="3"/>
    <s v="Central"/>
    <s v="Major Market"/>
    <s v="Amaretto"/>
    <s v="Coffee"/>
    <s v="Ohio"/>
    <s v="Regular"/>
    <n v="50"/>
    <n v="80"/>
    <n v="50"/>
    <n v="130"/>
    <n v="55"/>
    <n v="336"/>
    <n v="74"/>
    <n v="18"/>
    <n v="28"/>
    <n v="129"/>
    <n v="0.99230769230769234"/>
    <n v="0.56000000000000005"/>
    <n v="1.1000000000000001"/>
  </r>
  <r>
    <n v="513"/>
    <x v="3"/>
    <s v="Central"/>
    <s v="Major Market"/>
    <s v="Columbian"/>
    <s v="Coffee"/>
    <s v="Ohio"/>
    <s v="Regular"/>
    <n v="40"/>
    <n v="70"/>
    <n v="40"/>
    <n v="110"/>
    <n v="43"/>
    <n v="363"/>
    <n v="64"/>
    <n v="13"/>
    <n v="27"/>
    <n v="107"/>
    <n v="0.97272727272727277"/>
    <n v="0.67500000000000004"/>
    <n v="1.075"/>
  </r>
  <r>
    <n v="513"/>
    <x v="3"/>
    <s v="Central"/>
    <s v="Major Market"/>
    <s v="Decaf Irish Cream"/>
    <s v="Coffee"/>
    <s v="Ohio"/>
    <s v="Decaf"/>
    <n v="50"/>
    <n v="80"/>
    <n v="20"/>
    <n v="130"/>
    <n v="52"/>
    <n v="433"/>
    <n v="73"/>
    <n v="47"/>
    <n v="-3"/>
    <n v="125"/>
    <n v="0.96153846153846156"/>
    <n v="-0.15"/>
    <n v="1.04"/>
  </r>
  <r>
    <n v="216"/>
    <x v="3"/>
    <s v="Central"/>
    <s v="Major Market"/>
    <s v="Chamomile"/>
    <s v="Herbal Tea"/>
    <s v="Ohio"/>
    <s v="Decaf"/>
    <n v="10"/>
    <n v="30"/>
    <n v="30"/>
    <n v="40"/>
    <n v="21"/>
    <n v="454"/>
    <n v="32"/>
    <n v="5"/>
    <n v="16"/>
    <n v="53"/>
    <n v="1.325"/>
    <n v="0.53333333333333333"/>
    <n v="2.1"/>
  </r>
  <r>
    <n v="614"/>
    <x v="3"/>
    <s v="Central"/>
    <s v="Major Market"/>
    <s v="Lemon"/>
    <s v="Herbal Tea"/>
    <s v="Ohio"/>
    <s v="Decaf"/>
    <n v="20"/>
    <n v="40"/>
    <n v="40"/>
    <n v="60"/>
    <n v="30"/>
    <n v="820"/>
    <n v="45"/>
    <n v="8"/>
    <n v="26"/>
    <n v="75"/>
    <n v="1.25"/>
    <n v="0.65"/>
    <n v="1.5"/>
  </r>
  <r>
    <n v="262"/>
    <x v="3"/>
    <s v="Central"/>
    <s v="Small Market"/>
    <s v="Darjeeling"/>
    <s v="Tea"/>
    <s v="Wisconsin"/>
    <s v="Regular"/>
    <n v="30"/>
    <n v="70"/>
    <n v="40"/>
    <n v="100"/>
    <n v="46"/>
    <n v="388"/>
    <n v="68"/>
    <n v="14"/>
    <n v="31"/>
    <n v="114"/>
    <n v="1.1399999999999999"/>
    <n v="0.77500000000000002"/>
    <n v="1.5333333333333334"/>
  </r>
  <r>
    <n v="414"/>
    <x v="3"/>
    <s v="Central"/>
    <s v="Small Market"/>
    <s v="Earl Grey"/>
    <s v="Tea"/>
    <s v="Wisconsin"/>
    <s v="Regular"/>
    <n v="50"/>
    <n v="80"/>
    <n v="10"/>
    <n v="130"/>
    <n v="63"/>
    <n v="521"/>
    <n v="87"/>
    <n v="57"/>
    <n v="1"/>
    <n v="150"/>
    <n v="1.1538461538461537"/>
    <n v="0.1"/>
    <n v="1.26"/>
  </r>
  <r>
    <n v="715"/>
    <x v="3"/>
    <s v="Central"/>
    <s v="Small Market"/>
    <s v="Caffe Mocha"/>
    <s v="Espresso"/>
    <s v="Wisconsin"/>
    <s v="Regular"/>
    <n v="80"/>
    <n v="90"/>
    <n v="50"/>
    <n v="170"/>
    <n v="69"/>
    <n v="965"/>
    <n v="82"/>
    <n v="21"/>
    <n v="39"/>
    <n v="151"/>
    <n v="0.88823529411764701"/>
    <n v="0.78"/>
    <n v="0.86250000000000004"/>
  </r>
  <r>
    <n v="715"/>
    <x v="3"/>
    <s v="Central"/>
    <s v="Small Market"/>
    <s v="Decaf Espresso"/>
    <s v="Espresso"/>
    <s v="Wisconsin"/>
    <s v="Decaf"/>
    <n v="50"/>
    <n v="70"/>
    <n v="50"/>
    <n v="120"/>
    <n v="45"/>
    <n v="605"/>
    <n v="58"/>
    <n v="14"/>
    <n v="32"/>
    <n v="103"/>
    <n v="0.85833333333333328"/>
    <n v="0.64"/>
    <n v="0.9"/>
  </r>
  <r>
    <n v="920"/>
    <x v="3"/>
    <s v="Central"/>
    <s v="Small Market"/>
    <s v="Amaretto"/>
    <s v="Coffee"/>
    <s v="Wisconsin"/>
    <s v="Regular"/>
    <n v="60"/>
    <n v="70"/>
    <n v="20"/>
    <n v="130"/>
    <n v="57"/>
    <n v="313"/>
    <n v="70"/>
    <n v="21"/>
    <n v="16"/>
    <n v="127"/>
    <n v="0.97692307692307689"/>
    <n v="0.8"/>
    <n v="0.95"/>
  </r>
  <r>
    <n v="715"/>
    <x v="3"/>
    <s v="Central"/>
    <s v="Small Market"/>
    <s v="Columbian"/>
    <s v="Coffee"/>
    <s v="Wisconsin"/>
    <s v="Regular"/>
    <n v="100"/>
    <n v="130"/>
    <n v="30"/>
    <n v="230"/>
    <n v="95"/>
    <n v="554"/>
    <n v="132"/>
    <n v="86"/>
    <n v="17"/>
    <n v="227"/>
    <n v="0.9869565217391304"/>
    <n v="0.56666666666666665"/>
    <n v="0.95"/>
  </r>
  <r>
    <n v="414"/>
    <x v="3"/>
    <s v="Central"/>
    <s v="Small Market"/>
    <s v="Decaf Irish Cream"/>
    <s v="Coffee"/>
    <s v="Wisconsin"/>
    <s v="Decaf"/>
    <n v="80"/>
    <n v="120"/>
    <n v="80"/>
    <n v="200"/>
    <n v="83"/>
    <n v="433"/>
    <n v="112"/>
    <n v="27"/>
    <n v="58"/>
    <n v="195"/>
    <n v="0.97499999999999998"/>
    <n v="0.72499999999999998"/>
    <n v="1.0375000000000001"/>
  </r>
  <r>
    <n v="262"/>
    <x v="3"/>
    <s v="Central"/>
    <s v="Small Market"/>
    <s v="Chamomile"/>
    <s v="Herbal Tea"/>
    <s v="Wisconsin"/>
    <s v="Decaf"/>
    <n v="40"/>
    <n v="70"/>
    <n v="50"/>
    <n v="110"/>
    <n v="49"/>
    <n v="342"/>
    <n v="84"/>
    <n v="15"/>
    <n v="46"/>
    <n v="133"/>
    <n v="1.209090909090909"/>
    <n v="0.92"/>
    <n v="1.2250000000000001"/>
  </r>
  <r>
    <n v="608"/>
    <x v="3"/>
    <s v="Central"/>
    <s v="Small Market"/>
    <s v="Lemon"/>
    <s v="Herbal Tea"/>
    <s v="Wisconsin"/>
    <s v="Decaf"/>
    <n v="40"/>
    <n v="60"/>
    <n v="50"/>
    <n v="100"/>
    <n v="49"/>
    <n v="779"/>
    <n v="72"/>
    <n v="13"/>
    <n v="47"/>
    <n v="121"/>
    <n v="1.21"/>
    <n v="0.94"/>
    <n v="1.2250000000000001"/>
  </r>
  <r>
    <n v="203"/>
    <x v="3"/>
    <s v="East"/>
    <s v="Small Market"/>
    <s v="Darjeeling"/>
    <s v="Tea"/>
    <s v="Connecticut"/>
    <s v="Regular"/>
    <n v="40"/>
    <n v="80"/>
    <n v="60"/>
    <n v="120"/>
    <n v="47"/>
    <n v="821"/>
    <n v="68"/>
    <n v="13"/>
    <n v="43"/>
    <n v="115"/>
    <n v="0.95833333333333337"/>
    <n v="0.71666666666666667"/>
    <n v="1.175"/>
  </r>
  <r>
    <n v="475"/>
    <x v="3"/>
    <s v="East"/>
    <s v="Small Market"/>
    <s v="Green Tea"/>
    <s v="Tea"/>
    <s v="Connecticut"/>
    <s v="Regular"/>
    <n v="20"/>
    <n v="40"/>
    <n v="30"/>
    <n v="60"/>
    <n v="25"/>
    <n v="775"/>
    <n v="37"/>
    <n v="7"/>
    <n v="18"/>
    <n v="62"/>
    <n v="1.0333333333333334"/>
    <n v="0.6"/>
    <n v="1.25"/>
  </r>
  <r>
    <n v="860"/>
    <x v="3"/>
    <s v="East"/>
    <s v="Small Market"/>
    <s v="Caffe Mocha"/>
    <s v="Espresso"/>
    <s v="Connecticut"/>
    <s v="Regular"/>
    <n v="60"/>
    <n v="80"/>
    <n v="10"/>
    <n v="140"/>
    <n v="63"/>
    <n v="521"/>
    <n v="87"/>
    <n v="57"/>
    <n v="0"/>
    <n v="150"/>
    <n v="1.0714285714285714"/>
    <n v="0"/>
    <n v="1.05"/>
  </r>
  <r>
    <n v="475"/>
    <x v="3"/>
    <s v="East"/>
    <s v="Small Market"/>
    <s v="Decaf Espresso"/>
    <s v="Espresso"/>
    <s v="Connecticut"/>
    <s v="Decaf"/>
    <n v="40"/>
    <n v="70"/>
    <n v="40"/>
    <n v="110"/>
    <n v="51"/>
    <n v="311"/>
    <n v="68"/>
    <n v="16"/>
    <n v="24"/>
    <n v="119"/>
    <n v="1.0818181818181818"/>
    <n v="0.6"/>
    <n v="1.2749999999999999"/>
  </r>
  <r>
    <n v="203"/>
    <x v="3"/>
    <s v="East"/>
    <s v="Small Market"/>
    <s v="Columbian"/>
    <s v="Coffee"/>
    <s v="Connecticut"/>
    <s v="Regular"/>
    <n v="110"/>
    <n v="160"/>
    <n v="110"/>
    <n v="270"/>
    <n v="116"/>
    <n v="962"/>
    <n v="176"/>
    <n v="38"/>
    <n v="107"/>
    <n v="292"/>
    <n v="1.0814814814814815"/>
    <n v="0.97272727272727277"/>
    <n v="1.0545454545454545"/>
  </r>
  <r>
    <n v="959"/>
    <x v="3"/>
    <s v="East"/>
    <s v="Small Market"/>
    <s v="Lemon"/>
    <s v="Herbal Tea"/>
    <s v="Connecticut"/>
    <s v="Decaf"/>
    <n v="60"/>
    <n v="70"/>
    <n v="30"/>
    <n v="130"/>
    <n v="80"/>
    <n v="494"/>
    <n v="98"/>
    <n v="30"/>
    <n v="34"/>
    <n v="178"/>
    <n v="1.3692307692307693"/>
    <n v="1.1333333333333333"/>
    <n v="1.3333333333333333"/>
  </r>
  <r>
    <n v="860"/>
    <x v="3"/>
    <s v="East"/>
    <s v="Small Market"/>
    <s v="Mint"/>
    <s v="Herbal Tea"/>
    <s v="Connecticut"/>
    <s v="Decaf"/>
    <n v="50"/>
    <n v="80"/>
    <n v="60"/>
    <n v="130"/>
    <n v="76"/>
    <n v="965"/>
    <n v="91"/>
    <n v="23"/>
    <n v="46"/>
    <n v="167"/>
    <n v="1.2846153846153847"/>
    <n v="0.76666666666666672"/>
    <n v="1.52"/>
  </r>
  <r>
    <n v="904"/>
    <x v="3"/>
    <s v="East"/>
    <s v="Major Market"/>
    <s v="Darjeeling"/>
    <s v="Tea"/>
    <s v="Florida"/>
    <s v="Regular"/>
    <n v="30"/>
    <n v="60"/>
    <n v="50"/>
    <n v="90"/>
    <n v="34"/>
    <n v="821"/>
    <n v="51"/>
    <n v="9"/>
    <n v="30"/>
    <n v="85"/>
    <n v="0.94444444444444442"/>
    <n v="0.6"/>
    <n v="1.1333333333333333"/>
  </r>
  <r>
    <n v="754"/>
    <x v="3"/>
    <s v="East"/>
    <s v="Major Market"/>
    <s v="Green Tea"/>
    <s v="Tea"/>
    <s v="Florida"/>
    <s v="Regular"/>
    <n v="50"/>
    <n v="80"/>
    <n v="60"/>
    <n v="130"/>
    <n v="49"/>
    <n v="779"/>
    <n v="72"/>
    <n v="13"/>
    <n v="47"/>
    <n v="121"/>
    <n v="0.93076923076923079"/>
    <n v="0.78333333333333333"/>
    <n v="0.98"/>
  </r>
  <r>
    <n v="786"/>
    <x v="3"/>
    <s v="East"/>
    <s v="Major Market"/>
    <s v="Caffe Mocha"/>
    <s v="Espresso"/>
    <s v="Florida"/>
    <s v="Regular"/>
    <n v="90"/>
    <n v="130"/>
    <n v="30"/>
    <n v="220"/>
    <n v="95"/>
    <n v="554"/>
    <n v="132"/>
    <n v="86"/>
    <n v="17"/>
    <n v="227"/>
    <n v="1.0318181818181817"/>
    <n v="0.56666666666666665"/>
    <n v="1.0555555555555556"/>
  </r>
  <r>
    <n v="904"/>
    <x v="3"/>
    <s v="East"/>
    <s v="Major Market"/>
    <s v="Decaf Espresso"/>
    <s v="Espresso"/>
    <s v="Florida"/>
    <s v="Decaf"/>
    <n v="70"/>
    <n v="120"/>
    <n v="80"/>
    <n v="190"/>
    <n v="83"/>
    <n v="433"/>
    <n v="112"/>
    <n v="27"/>
    <n v="58"/>
    <n v="195"/>
    <n v="1.0263157894736843"/>
    <n v="0.72499999999999998"/>
    <n v="1.1857142857142857"/>
  </r>
  <r>
    <n v="305"/>
    <x v="3"/>
    <s v="East"/>
    <s v="Major Market"/>
    <s v="Columbian"/>
    <s v="Coffee"/>
    <s v="Florida"/>
    <s v="Regular"/>
    <n v="80"/>
    <n v="130"/>
    <n v="90"/>
    <n v="210"/>
    <n v="88"/>
    <n v="653"/>
    <n v="134"/>
    <n v="29"/>
    <n v="73"/>
    <n v="222"/>
    <n v="1.0571428571428572"/>
    <n v="0.81111111111111112"/>
    <n v="1.1000000000000001"/>
  </r>
  <r>
    <n v="561"/>
    <x v="3"/>
    <s v="East"/>
    <s v="Major Market"/>
    <s v="Decaf Irish Cream"/>
    <s v="Coffee"/>
    <s v="Florida"/>
    <s v="Decaf"/>
    <n v="100"/>
    <n v="150"/>
    <n v="100"/>
    <n v="250"/>
    <n v="112"/>
    <n v="502"/>
    <n v="155"/>
    <n v="34"/>
    <n v="98"/>
    <n v="267"/>
    <n v="1.0680000000000001"/>
    <n v="0.98"/>
    <n v="1.1200000000000001"/>
  </r>
  <r>
    <n v="305"/>
    <x v="3"/>
    <s v="East"/>
    <s v="Major Market"/>
    <s v="Chamomile"/>
    <s v="Herbal Tea"/>
    <s v="Florida"/>
    <s v="Decaf"/>
    <n v="30"/>
    <n v="50"/>
    <n v="30"/>
    <n v="80"/>
    <n v="45"/>
    <n v="605"/>
    <n v="58"/>
    <n v="14"/>
    <n v="31"/>
    <n v="103"/>
    <n v="1.2875000000000001"/>
    <n v="1.0333333333333334"/>
    <n v="1.5"/>
  </r>
  <r>
    <n v="305"/>
    <x v="3"/>
    <s v="East"/>
    <s v="Major Market"/>
    <s v="Lemon"/>
    <s v="Herbal Tea"/>
    <s v="Florida"/>
    <s v="Decaf"/>
    <n v="40"/>
    <n v="50"/>
    <n v="20"/>
    <n v="90"/>
    <n v="57"/>
    <n v="313"/>
    <n v="70"/>
    <n v="21"/>
    <n v="15"/>
    <n v="127"/>
    <n v="1.4111111111111112"/>
    <n v="0.75"/>
    <n v="1.425"/>
  </r>
  <r>
    <n v="754"/>
    <x v="3"/>
    <s v="East"/>
    <s v="Major Market"/>
    <s v="Mint"/>
    <s v="Herbal Tea"/>
    <s v="Florida"/>
    <s v="Decaf"/>
    <n v="50"/>
    <n v="60"/>
    <n v="40"/>
    <n v="110"/>
    <n v="69"/>
    <n v="965"/>
    <n v="82"/>
    <n v="21"/>
    <n v="39"/>
    <n v="151"/>
    <n v="1.3727272727272728"/>
    <n v="0.97499999999999998"/>
    <n v="1.38"/>
  </r>
  <r>
    <n v="781"/>
    <x v="3"/>
    <s v="East"/>
    <s v="Major Market"/>
    <s v="Darjeeling"/>
    <s v="Tea"/>
    <s v="Massachusetts"/>
    <s v="Regular"/>
    <n v="30"/>
    <n v="50"/>
    <n v="40"/>
    <n v="80"/>
    <n v="30"/>
    <n v="820"/>
    <n v="45"/>
    <n v="8"/>
    <n v="26"/>
    <n v="75"/>
    <n v="0.9375"/>
    <n v="0.65"/>
    <n v="1"/>
  </r>
  <r>
    <n v="781"/>
    <x v="3"/>
    <s v="East"/>
    <s v="Major Market"/>
    <s v="Green Tea"/>
    <s v="Tea"/>
    <s v="Massachusetts"/>
    <s v="Regular"/>
    <n v="20"/>
    <n v="30"/>
    <n v="20"/>
    <n v="50"/>
    <n v="21"/>
    <n v="454"/>
    <n v="32"/>
    <n v="5"/>
    <n v="16"/>
    <n v="53"/>
    <n v="1.06"/>
    <n v="0.8"/>
    <n v="1.05"/>
  </r>
  <r>
    <n v="617"/>
    <x v="3"/>
    <s v="East"/>
    <s v="Major Market"/>
    <s v="Caffe Mocha"/>
    <s v="Espresso"/>
    <s v="Massachusetts"/>
    <s v="Regular"/>
    <n v="40"/>
    <n v="70"/>
    <n v="10"/>
    <n v="110"/>
    <n v="52"/>
    <n v="458"/>
    <n v="65"/>
    <n v="47"/>
    <n v="-12"/>
    <n v="117"/>
    <n v="1.0636363636363637"/>
    <n v="-1.2"/>
    <n v="1.3"/>
  </r>
  <r>
    <n v="351"/>
    <x v="3"/>
    <s v="East"/>
    <s v="Major Market"/>
    <s v="Regular Espresso"/>
    <s v="Espresso"/>
    <s v="Massachusetts"/>
    <s v="Regular"/>
    <n v="150"/>
    <n v="160"/>
    <n v="100"/>
    <n v="310"/>
    <n v="162"/>
    <n v="1091"/>
    <n v="163"/>
    <n v="45"/>
    <n v="94"/>
    <n v="325"/>
    <n v="1.0483870967741935"/>
    <n v="0.94"/>
    <n v="1.08"/>
  </r>
  <r>
    <n v="774"/>
    <x v="3"/>
    <s v="East"/>
    <s v="Major Market"/>
    <s v="Columbian"/>
    <s v="Coffee"/>
    <s v="Massachusetts"/>
    <s v="Regular"/>
    <n v="60"/>
    <n v="430"/>
    <n v="400"/>
    <n v="490"/>
    <n v="68"/>
    <n v="-348"/>
    <n v="451"/>
    <n v="22"/>
    <n v="397"/>
    <n v="519"/>
    <n v="1.0591836734693878"/>
    <n v="0.99250000000000005"/>
    <n v="1.1333333333333333"/>
  </r>
  <r>
    <n v="508"/>
    <x v="3"/>
    <s v="East"/>
    <s v="Major Market"/>
    <s v="Lemon"/>
    <s v="Herbal Tea"/>
    <s v="Massachusetts"/>
    <s v="Decaf"/>
    <n v="40"/>
    <n v="50"/>
    <n v="20"/>
    <n v="90"/>
    <n v="54"/>
    <n v="337"/>
    <n v="67"/>
    <n v="20"/>
    <n v="13"/>
    <n v="121"/>
    <n v="1.3444444444444446"/>
    <n v="0.65"/>
    <n v="1.35"/>
  </r>
  <r>
    <n v="603"/>
    <x v="3"/>
    <s v="East"/>
    <s v="Small Market"/>
    <s v="Darjeeling"/>
    <s v="Tea"/>
    <s v="New Hampshire"/>
    <s v="Regular"/>
    <n v="20"/>
    <n v="30"/>
    <n v="20"/>
    <n v="50"/>
    <n v="19"/>
    <n v="820"/>
    <n v="28"/>
    <n v="5"/>
    <n v="12"/>
    <n v="47"/>
    <n v="0.94"/>
    <n v="0.6"/>
    <n v="0.95"/>
  </r>
  <r>
    <n v="603"/>
    <x v="3"/>
    <s v="East"/>
    <s v="Small Market"/>
    <s v="Green Tea"/>
    <s v="Tea"/>
    <s v="New Hampshire"/>
    <s v="Regular"/>
    <n v="0"/>
    <n v="40"/>
    <n v="30"/>
    <n v="40"/>
    <n v="0"/>
    <n v="688"/>
    <n v="43"/>
    <n v="0"/>
    <n v="32"/>
    <n v="43"/>
    <n v="1.075"/>
    <n v="1.0666666666666667"/>
    <m/>
  </r>
  <r>
    <n v="603"/>
    <x v="3"/>
    <s v="East"/>
    <s v="Small Market"/>
    <s v="Caffe Mocha"/>
    <s v="Espresso"/>
    <s v="New Hampshire"/>
    <s v="Regular"/>
    <n v="40"/>
    <n v="60"/>
    <n v="10"/>
    <n v="100"/>
    <n v="44"/>
    <n v="261"/>
    <n v="63"/>
    <n v="40"/>
    <n v="-6"/>
    <n v="107"/>
    <n v="1.07"/>
    <n v="-0.6"/>
    <n v="1.1000000000000001"/>
  </r>
  <r>
    <n v="603"/>
    <x v="3"/>
    <s v="East"/>
    <s v="Small Market"/>
    <s v="Regular Espresso"/>
    <s v="Espresso"/>
    <s v="New Hampshire"/>
    <s v="Regular"/>
    <n v="20"/>
    <n v="40"/>
    <n v="0"/>
    <n v="60"/>
    <n v="29"/>
    <n v="169"/>
    <n v="36"/>
    <n v="11"/>
    <n v="-9"/>
    <n v="65"/>
    <n v="1.0833333333333333"/>
    <m/>
    <n v="1.45"/>
  </r>
  <r>
    <n v="603"/>
    <x v="3"/>
    <s v="East"/>
    <s v="Small Market"/>
    <s v="Amaretto"/>
    <s v="Coffee"/>
    <s v="New Hampshire"/>
    <s v="Regular"/>
    <n v="40"/>
    <n v="70"/>
    <n v="40"/>
    <n v="110"/>
    <n v="49"/>
    <n v="241"/>
    <n v="72"/>
    <n v="15"/>
    <n v="33"/>
    <n v="121"/>
    <n v="1.1000000000000001"/>
    <n v="0.82499999999999996"/>
    <n v="1.2250000000000001"/>
  </r>
  <r>
    <n v="603"/>
    <x v="3"/>
    <s v="East"/>
    <s v="Small Market"/>
    <s v="Columbian"/>
    <s v="Coffee"/>
    <s v="New Hampshire"/>
    <s v="Regular"/>
    <n v="40"/>
    <n v="70"/>
    <n v="40"/>
    <n v="110"/>
    <n v="50"/>
    <n v="372"/>
    <n v="75"/>
    <n v="16"/>
    <n v="27"/>
    <n v="125"/>
    <n v="1.1363636363636365"/>
    <n v="0.67500000000000004"/>
    <n v="1.25"/>
  </r>
  <r>
    <n v="603"/>
    <x v="3"/>
    <s v="East"/>
    <s v="Small Market"/>
    <s v="Lemon"/>
    <s v="Herbal Tea"/>
    <s v="New Hampshire"/>
    <s v="Decaf"/>
    <n v="20"/>
    <n v="40"/>
    <n v="10"/>
    <n v="60"/>
    <n v="35"/>
    <n v="197"/>
    <n v="44"/>
    <n v="13"/>
    <n v="-3"/>
    <n v="79"/>
    <n v="1.3166666666666667"/>
    <n v="-0.3"/>
    <n v="1.75"/>
  </r>
  <r>
    <n v="585"/>
    <x v="3"/>
    <s v="East"/>
    <s v="Major Market"/>
    <s v="Darjeeling"/>
    <s v="Tea"/>
    <s v="New York"/>
    <s v="Regular"/>
    <n v="100"/>
    <n v="160"/>
    <n v="130"/>
    <n v="260"/>
    <n v="100"/>
    <n v="822"/>
    <n v="145"/>
    <n v="28"/>
    <n v="105"/>
    <n v="245"/>
    <n v="0.94230769230769229"/>
    <n v="0.80769230769230771"/>
    <n v="1"/>
  </r>
  <r>
    <n v="631"/>
    <x v="3"/>
    <s v="East"/>
    <s v="Major Market"/>
    <s v="Earl Grey"/>
    <s v="Tea"/>
    <s v="New York"/>
    <s v="Regular"/>
    <n v="90"/>
    <n v="150"/>
    <n v="120"/>
    <n v="240"/>
    <n v="91"/>
    <n v="777"/>
    <n v="132"/>
    <n v="25"/>
    <n v="95"/>
    <n v="223"/>
    <n v="0.9291666666666667"/>
    <n v="0.79166666666666663"/>
    <n v="1.0111111111111111"/>
  </r>
  <r>
    <n v="212"/>
    <x v="3"/>
    <s v="East"/>
    <s v="Major Market"/>
    <s v="Green Tea"/>
    <s v="Tea"/>
    <s v="New York"/>
    <s v="Regular"/>
    <n v="80"/>
    <n v="130"/>
    <n v="100"/>
    <n v="210"/>
    <n v="81"/>
    <n v="460"/>
    <n v="117"/>
    <n v="22"/>
    <n v="83"/>
    <n v="198"/>
    <n v="0.94285714285714284"/>
    <n v="0.83"/>
    <n v="1.0125"/>
  </r>
  <r>
    <n v="914"/>
    <x v="3"/>
    <s v="East"/>
    <s v="Major Market"/>
    <s v="Caffe Mocha"/>
    <s v="Espresso"/>
    <s v="New York"/>
    <s v="Regular"/>
    <n v="120"/>
    <n v="-60"/>
    <n v="-190"/>
    <n v="60"/>
    <n v="125"/>
    <n v="1382"/>
    <n v="-59"/>
    <n v="113"/>
    <n v="-205"/>
    <n v="66"/>
    <n v="1.1000000000000001"/>
    <n v="1.0789473684210527"/>
    <n v="1.0416666666666667"/>
  </r>
  <r>
    <n v="516"/>
    <x v="3"/>
    <s v="East"/>
    <s v="Major Market"/>
    <s v="Regular Espresso"/>
    <s v="Espresso"/>
    <s v="New York"/>
    <s v="Regular"/>
    <n v="220"/>
    <n v="330"/>
    <n v="250"/>
    <n v="550"/>
    <n v="239"/>
    <n v="1262"/>
    <n v="325"/>
    <n v="66"/>
    <n v="235"/>
    <n v="564"/>
    <n v="1.0254545454545454"/>
    <n v="0.94"/>
    <n v="1.0863636363636364"/>
  </r>
  <r>
    <n v="631"/>
    <x v="3"/>
    <s v="East"/>
    <s v="Major Market"/>
    <s v="Columbian"/>
    <s v="Coffee"/>
    <s v="New York"/>
    <s v="Regular"/>
    <n v="270"/>
    <n v="400"/>
    <n v="280"/>
    <n v="670"/>
    <n v="284"/>
    <n v="2108"/>
    <n v="428"/>
    <n v="99"/>
    <n v="276"/>
    <n v="712"/>
    <n v="1.0626865671641792"/>
    <n v="0.98571428571428577"/>
    <n v="1.0518518518518518"/>
  </r>
  <r>
    <n v="631"/>
    <x v="3"/>
    <s v="East"/>
    <s v="Major Market"/>
    <s v="Lemon"/>
    <s v="Herbal Tea"/>
    <s v="New York"/>
    <s v="Decaf"/>
    <n v="190"/>
    <n v="300"/>
    <n v="200"/>
    <n v="490"/>
    <n v="260"/>
    <n v="1558"/>
    <n v="378"/>
    <n v="98"/>
    <n v="247"/>
    <n v="638"/>
    <n v="1.3020408163265307"/>
    <n v="1.2350000000000001"/>
    <n v="1.368421052631579"/>
  </r>
  <r>
    <n v="718"/>
    <x v="3"/>
    <s v="East"/>
    <s v="Major Market"/>
    <s v="Mint"/>
    <s v="Herbal Tea"/>
    <s v="New York"/>
    <s v="Decaf"/>
    <n v="150"/>
    <n v="-10"/>
    <n v="-70"/>
    <n v="140"/>
    <n v="209"/>
    <n v="1811"/>
    <n v="-20"/>
    <n v="64"/>
    <n v="-105"/>
    <n v="189"/>
    <n v="1.35"/>
    <n v="1.5"/>
    <n v="1.3933333333333333"/>
  </r>
  <r>
    <n v="985"/>
    <x v="3"/>
    <s v="South"/>
    <s v="Small Market"/>
    <s v="Caffe Latte"/>
    <s v="Espresso"/>
    <s v="Louisiana"/>
    <s v="Regular"/>
    <n v="50"/>
    <n v="70"/>
    <n v="0"/>
    <n v="120"/>
    <n v="63"/>
    <n v="37"/>
    <n v="87"/>
    <n v="57"/>
    <n v="1"/>
    <n v="150"/>
    <n v="1.25"/>
    <m/>
    <n v="1.26"/>
  </r>
  <r>
    <n v="225"/>
    <x v="3"/>
    <s v="South"/>
    <s v="Small Market"/>
    <s v="Caffe Mocha"/>
    <s v="Espresso"/>
    <s v="Louisiana"/>
    <s v="Regular"/>
    <n v="40"/>
    <n v="70"/>
    <n v="50"/>
    <n v="110"/>
    <n v="49"/>
    <n v="342"/>
    <n v="84"/>
    <n v="15"/>
    <n v="45"/>
    <n v="133"/>
    <n v="1.209090909090909"/>
    <n v="0.9"/>
    <n v="1.2250000000000001"/>
  </r>
  <r>
    <n v="225"/>
    <x v="3"/>
    <s v="South"/>
    <s v="Small Market"/>
    <s v="Decaf Espresso"/>
    <s v="Espresso"/>
    <s v="Louisiana"/>
    <s v="Decaf"/>
    <n v="30"/>
    <n v="60"/>
    <n v="40"/>
    <n v="90"/>
    <n v="46"/>
    <n v="388"/>
    <n v="68"/>
    <n v="14"/>
    <n v="31"/>
    <n v="114"/>
    <n v="1.2666666666666666"/>
    <n v="0.77500000000000002"/>
    <n v="1.5333333333333334"/>
  </r>
  <r>
    <n v="985"/>
    <x v="3"/>
    <s v="South"/>
    <s v="Small Market"/>
    <s v="Chamomile"/>
    <s v="Herbal Tea"/>
    <s v="Louisiana"/>
    <s v="Decaf"/>
    <n v="40"/>
    <n v="70"/>
    <n v="50"/>
    <n v="110"/>
    <n v="52"/>
    <n v="605"/>
    <n v="67"/>
    <n v="17"/>
    <n v="38"/>
    <n v="119"/>
    <n v="1.0818181818181818"/>
    <n v="0.76"/>
    <n v="1.3"/>
  </r>
  <r>
    <n v="337"/>
    <x v="3"/>
    <s v="South"/>
    <s v="Small Market"/>
    <s v="Lemon"/>
    <s v="Herbal Tea"/>
    <s v="Louisiana"/>
    <s v="Decaf"/>
    <n v="70"/>
    <n v="100"/>
    <n v="50"/>
    <n v="170"/>
    <n v="80"/>
    <n v="494"/>
    <n v="98"/>
    <n v="30"/>
    <n v="35"/>
    <n v="178"/>
    <n v="1.0470588235294118"/>
    <n v="0.7"/>
    <n v="1.1428571428571428"/>
  </r>
  <r>
    <n v="504"/>
    <x v="3"/>
    <s v="South"/>
    <s v="Small Market"/>
    <s v="Columbian"/>
    <s v="Coffee"/>
    <s v="Louisiana"/>
    <s v="Regular"/>
    <n v="40"/>
    <n v="60"/>
    <n v="50"/>
    <n v="100"/>
    <n v="35"/>
    <n v="776"/>
    <n v="51"/>
    <n v="9"/>
    <n v="30"/>
    <n v="86"/>
    <n v="0.86"/>
    <n v="0.6"/>
    <n v="0.875"/>
  </r>
  <r>
    <n v="318"/>
    <x v="3"/>
    <s v="South"/>
    <s v="Small Market"/>
    <s v="Decaf Irish Cream"/>
    <s v="Coffee"/>
    <s v="Louisiana"/>
    <s v="Decaf"/>
    <n v="60"/>
    <n v="90"/>
    <n v="70"/>
    <n v="150"/>
    <n v="49"/>
    <n v="779"/>
    <n v="72"/>
    <n v="13"/>
    <n v="48"/>
    <n v="121"/>
    <n v="0.80666666666666664"/>
    <n v="0.68571428571428572"/>
    <n v="0.81666666666666665"/>
  </r>
  <r>
    <n v="505"/>
    <x v="3"/>
    <s v="South"/>
    <s v="Small Market"/>
    <s v="Caffe Latte"/>
    <s v="Espresso"/>
    <s v="New Mexico"/>
    <s v="Regular"/>
    <n v="20"/>
    <n v="30"/>
    <n v="0"/>
    <n v="50"/>
    <n v="29"/>
    <n v="-39"/>
    <n v="36"/>
    <n v="11"/>
    <n v="-9"/>
    <n v="65"/>
    <n v="1.3"/>
    <m/>
    <n v="1.45"/>
  </r>
  <r>
    <n v="505"/>
    <x v="3"/>
    <s v="South"/>
    <s v="Small Market"/>
    <s v="Caffe Mocha"/>
    <s v="Espresso"/>
    <s v="New Mexico"/>
    <s v="Regular"/>
    <n v="30"/>
    <n v="60"/>
    <n v="10"/>
    <n v="90"/>
    <n v="44"/>
    <n v="261"/>
    <n v="63"/>
    <n v="40"/>
    <n v="-6"/>
    <n v="107"/>
    <n v="1.1888888888888889"/>
    <n v="-0.6"/>
    <n v="1.4666666666666666"/>
  </r>
  <r>
    <n v="505"/>
    <x v="3"/>
    <s v="South"/>
    <s v="Small Market"/>
    <s v="Decaf Espresso"/>
    <s v="Espresso"/>
    <s v="New Mexico"/>
    <s v="Decaf"/>
    <n v="30"/>
    <n v="40"/>
    <n v="10"/>
    <n v="70"/>
    <n v="37"/>
    <n v="195"/>
    <n v="51"/>
    <n v="12"/>
    <n v="12"/>
    <n v="88"/>
    <n v="1.2571428571428571"/>
    <n v="1.2"/>
    <n v="1.2333333333333334"/>
  </r>
  <r>
    <n v="505"/>
    <x v="3"/>
    <s v="South"/>
    <s v="Small Market"/>
    <s v="Chamomile"/>
    <s v="Herbal Tea"/>
    <s v="New Mexico"/>
    <s v="Decaf"/>
    <n v="10"/>
    <n v="30"/>
    <n v="20"/>
    <n v="40"/>
    <n v="19"/>
    <n v="820"/>
    <n v="28"/>
    <n v="5"/>
    <n v="12"/>
    <n v="47"/>
    <n v="1.175"/>
    <n v="0.6"/>
    <n v="1.9"/>
  </r>
  <r>
    <n v="505"/>
    <x v="3"/>
    <s v="South"/>
    <s v="Small Market"/>
    <s v="Lemon"/>
    <s v="Herbal Tea"/>
    <s v="New Mexico"/>
    <s v="Decaf"/>
    <n v="20"/>
    <n v="30"/>
    <n v="10"/>
    <n v="50"/>
    <n v="28"/>
    <n v="964"/>
    <n v="33"/>
    <n v="8"/>
    <n v="3"/>
    <n v="61"/>
    <n v="1.22"/>
    <n v="0.3"/>
    <n v="1.4"/>
  </r>
  <r>
    <n v="505"/>
    <x v="3"/>
    <s v="South"/>
    <s v="Small Market"/>
    <s v="Columbian"/>
    <s v="Coffee"/>
    <s v="New Mexico"/>
    <s v="Regular"/>
    <n v="60"/>
    <n v="90"/>
    <n v="50"/>
    <n v="150"/>
    <n v="50"/>
    <n v="372"/>
    <n v="75"/>
    <n v="16"/>
    <n v="27"/>
    <n v="125"/>
    <n v="0.83333333333333337"/>
    <n v="0.54"/>
    <n v="0.83333333333333337"/>
  </r>
  <r>
    <n v="505"/>
    <x v="3"/>
    <s v="South"/>
    <s v="Small Market"/>
    <s v="Decaf Irish Cream"/>
    <s v="Coffee"/>
    <s v="New Mexico"/>
    <s v="Decaf"/>
    <n v="110"/>
    <n v="50"/>
    <n v="10"/>
    <n v="160"/>
    <n v="93"/>
    <n v="840"/>
    <n v="40"/>
    <n v="28"/>
    <n v="-11"/>
    <n v="133"/>
    <n v="0.83125000000000004"/>
    <n v="-1.1000000000000001"/>
    <n v="0.84545454545454546"/>
  </r>
  <r>
    <n v="580"/>
    <x v="3"/>
    <s v="South"/>
    <s v="Small Market"/>
    <s v="Decaf Espresso"/>
    <s v="Espresso"/>
    <s v="Oklahoma"/>
    <s v="Decaf"/>
    <n v="70"/>
    <n v="120"/>
    <n v="80"/>
    <n v="190"/>
    <n v="88"/>
    <n v="653"/>
    <n v="134"/>
    <n v="29"/>
    <n v="74"/>
    <n v="222"/>
    <n v="1.168421052631579"/>
    <n v="0.92500000000000004"/>
    <n v="1.2571428571428571"/>
  </r>
  <r>
    <n v="918"/>
    <x v="3"/>
    <s v="South"/>
    <s v="Small Market"/>
    <s v="Caffe Latte"/>
    <s v="Espresso"/>
    <s v="Oklahoma"/>
    <s v="Regular"/>
    <n v="90"/>
    <n v="130"/>
    <n v="90"/>
    <n v="220"/>
    <n v="112"/>
    <n v="-120"/>
    <n v="155"/>
    <n v="34"/>
    <n v="98"/>
    <n v="267"/>
    <n v="1.2136363636363636"/>
    <n v="1.0888888888888888"/>
    <n v="1.2444444444444445"/>
  </r>
  <r>
    <n v="580"/>
    <x v="3"/>
    <s v="South"/>
    <s v="Small Market"/>
    <s v="Caffe Mocha"/>
    <s v="Espresso"/>
    <s v="Oklahoma"/>
    <s v="Regular"/>
    <n v="10"/>
    <n v="30"/>
    <n v="30"/>
    <n v="40"/>
    <n v="21"/>
    <n v="454"/>
    <n v="32"/>
    <n v="5"/>
    <n v="16"/>
    <n v="53"/>
    <n v="1.325"/>
    <n v="0.53333333333333333"/>
    <n v="2.1"/>
  </r>
  <r>
    <n v="580"/>
    <x v="3"/>
    <s v="South"/>
    <s v="Small Market"/>
    <s v="Chamomile"/>
    <s v="Herbal Tea"/>
    <s v="Oklahoma"/>
    <s v="Decaf"/>
    <n v="50"/>
    <n v="70"/>
    <n v="30"/>
    <n v="120"/>
    <n v="57"/>
    <n v="313"/>
    <n v="70"/>
    <n v="21"/>
    <n v="15"/>
    <n v="127"/>
    <n v="1.0583333333333333"/>
    <n v="0.5"/>
    <n v="1.1399999999999999"/>
  </r>
  <r>
    <n v="405"/>
    <x v="3"/>
    <s v="South"/>
    <s v="Small Market"/>
    <s v="Lemon"/>
    <s v="Herbal Tea"/>
    <s v="Oklahoma"/>
    <s v="Decaf"/>
    <n v="90"/>
    <n v="130"/>
    <n v="30"/>
    <n v="220"/>
    <n v="95"/>
    <n v="554"/>
    <n v="132"/>
    <n v="86"/>
    <n v="16"/>
    <n v="227"/>
    <n v="1.0318181818181817"/>
    <n v="0.53333333333333333"/>
    <n v="1.0555555555555556"/>
  </r>
  <r>
    <n v="405"/>
    <x v="3"/>
    <s v="South"/>
    <s v="Small Market"/>
    <s v="Columbian"/>
    <s v="Coffee"/>
    <s v="Oklahoma"/>
    <s v="Regular"/>
    <n v="50"/>
    <n v="80"/>
    <n v="60"/>
    <n v="130"/>
    <n v="46"/>
    <n v="608"/>
    <n v="60"/>
    <n v="15"/>
    <n v="33"/>
    <n v="106"/>
    <n v="0.81538461538461537"/>
    <n v="0.55000000000000004"/>
    <n v="0.92"/>
  </r>
  <r>
    <n v="405"/>
    <x v="3"/>
    <s v="South"/>
    <s v="Small Market"/>
    <s v="Decaf Irish Cream"/>
    <s v="Coffee"/>
    <s v="Oklahoma"/>
    <s v="Decaf"/>
    <n v="30"/>
    <n v="60"/>
    <n v="50"/>
    <n v="90"/>
    <n v="30"/>
    <n v="820"/>
    <n v="45"/>
    <n v="8"/>
    <n v="25"/>
    <n v="75"/>
    <n v="0.83333333333333337"/>
    <n v="0.5"/>
    <n v="1"/>
  </r>
  <r>
    <n v="956"/>
    <x v="3"/>
    <s v="South"/>
    <s v="Major Market"/>
    <s v="Decaf Espresso"/>
    <s v="Espresso"/>
    <s v="Texas"/>
    <s v="Decaf"/>
    <n v="60"/>
    <n v="110"/>
    <n v="90"/>
    <n v="170"/>
    <n v="81"/>
    <n v="460"/>
    <n v="117"/>
    <n v="22"/>
    <n v="84"/>
    <n v="198"/>
    <n v="1.1647058823529413"/>
    <n v="0.93333333333333335"/>
    <n v="1.35"/>
  </r>
  <r>
    <n v="832"/>
    <x v="3"/>
    <s v="South"/>
    <s v="Major Market"/>
    <s v="Caffe Latte"/>
    <s v="Espresso"/>
    <s v="Texas"/>
    <s v="Regular"/>
    <n v="50"/>
    <n v="90"/>
    <n v="50"/>
    <n v="140"/>
    <n v="68"/>
    <n v="9"/>
    <n v="102"/>
    <n v="22"/>
    <n v="48"/>
    <n v="170"/>
    <n v="1.2142857142857142"/>
    <n v="0.96"/>
    <n v="1.36"/>
  </r>
  <r>
    <n v="325"/>
    <x v="3"/>
    <s v="South"/>
    <s v="Major Market"/>
    <s v="Caffe Mocha"/>
    <s v="Espresso"/>
    <s v="Texas"/>
    <s v="Regular"/>
    <n v="70"/>
    <n v="120"/>
    <n v="100"/>
    <n v="190"/>
    <n v="91"/>
    <n v="777"/>
    <n v="132"/>
    <n v="25"/>
    <n v="96"/>
    <n v="223"/>
    <n v="1.1736842105263159"/>
    <n v="0.96"/>
    <n v="1.3"/>
  </r>
  <r>
    <n v="817"/>
    <x v="3"/>
    <s v="South"/>
    <s v="Major Market"/>
    <s v="Chamomile"/>
    <s v="Herbal Tea"/>
    <s v="Texas"/>
    <s v="Decaf"/>
    <n v="50"/>
    <n v="70"/>
    <n v="40"/>
    <n v="120"/>
    <n v="55"/>
    <n v="336"/>
    <n v="74"/>
    <n v="18"/>
    <n v="28"/>
    <n v="129"/>
    <n v="1.075"/>
    <n v="0.7"/>
    <n v="1.1000000000000001"/>
  </r>
  <r>
    <n v="325"/>
    <x v="3"/>
    <s v="South"/>
    <s v="Major Market"/>
    <s v="Lemon"/>
    <s v="Herbal Tea"/>
    <s v="Texas"/>
    <s v="Decaf"/>
    <n v="40"/>
    <n v="60"/>
    <n v="30"/>
    <n v="100"/>
    <n v="43"/>
    <n v="363"/>
    <n v="64"/>
    <n v="13"/>
    <n v="27"/>
    <n v="107"/>
    <n v="1.07"/>
    <n v="0.9"/>
    <n v="1.075"/>
  </r>
  <r>
    <n v="832"/>
    <x v="3"/>
    <s v="South"/>
    <s v="Major Market"/>
    <s v="Columbian"/>
    <s v="Coffee"/>
    <s v="Texas"/>
    <s v="Regular"/>
    <n v="260"/>
    <n v="310"/>
    <n v="230"/>
    <n v="570"/>
    <n v="209"/>
    <n v="969"/>
    <n v="247"/>
    <n v="64"/>
    <n v="161"/>
    <n v="456"/>
    <n v="0.8"/>
    <n v="0.7"/>
    <n v="0.80384615384615388"/>
  </r>
  <r>
    <n v="903"/>
    <x v="3"/>
    <s v="South"/>
    <s v="Major Market"/>
    <s v="Decaf Irish Cream"/>
    <s v="Coffee"/>
    <s v="Texas"/>
    <s v="Decaf"/>
    <n v="90"/>
    <n v="130"/>
    <n v="100"/>
    <n v="220"/>
    <n v="78"/>
    <n v="593"/>
    <n v="100"/>
    <n v="25"/>
    <n v="63"/>
    <n v="178"/>
    <n v="0.80909090909090908"/>
    <n v="0.63"/>
    <n v="0.8666666666666667"/>
  </r>
  <r>
    <n v="801"/>
    <x v="3"/>
    <s v="West"/>
    <s v="Small Market"/>
    <s v="Caffe Mocha"/>
    <s v="Espresso"/>
    <s v="Utah"/>
    <s v="Regular"/>
    <n v="40"/>
    <n v="70"/>
    <n v="50"/>
    <n v="110"/>
    <n v="52"/>
    <n v="605"/>
    <n v="67"/>
    <n v="17"/>
    <n v="37"/>
    <n v="119"/>
    <n v="1.0818181818181818"/>
    <n v="0.74"/>
    <n v="1.3"/>
  </r>
  <r>
    <n v="435"/>
    <x v="3"/>
    <s v="West"/>
    <s v="Small Market"/>
    <s v="Decaf Espresso"/>
    <s v="Espresso"/>
    <s v="Utah"/>
    <s v="Decaf"/>
    <n v="40"/>
    <n v="70"/>
    <n v="50"/>
    <n v="110"/>
    <n v="47"/>
    <n v="821"/>
    <n v="68"/>
    <n v="13"/>
    <n v="43"/>
    <n v="115"/>
    <n v="1.0454545454545454"/>
    <n v="0.86"/>
    <n v="1.175"/>
  </r>
  <r>
    <n v="435"/>
    <x v="3"/>
    <s v="West"/>
    <s v="Small Market"/>
    <s v="Caffe Latte"/>
    <s v="Espresso"/>
    <s v="Utah"/>
    <s v="Regular"/>
    <n v="40"/>
    <n v="60"/>
    <n v="40"/>
    <n v="100"/>
    <n v="45"/>
    <n v="777"/>
    <n v="67"/>
    <n v="12"/>
    <n v="43"/>
    <n v="112"/>
    <n v="1.1200000000000001"/>
    <n v="1.075"/>
    <n v="1.125"/>
  </r>
  <r>
    <n v="435"/>
    <x v="3"/>
    <s v="West"/>
    <s v="Small Market"/>
    <s v="Amaretto"/>
    <s v="Coffee"/>
    <s v="Utah"/>
    <s v="Regular"/>
    <n v="90"/>
    <n v="110"/>
    <n v="70"/>
    <n v="200"/>
    <n v="76"/>
    <n v="965"/>
    <n v="91"/>
    <n v="23"/>
    <n v="47"/>
    <n v="167"/>
    <n v="0.83499999999999996"/>
    <n v="0.67142857142857137"/>
    <n v="0.84444444444444444"/>
  </r>
  <r>
    <n v="435"/>
    <x v="3"/>
    <s v="West"/>
    <s v="Small Market"/>
    <s v="Columbian"/>
    <s v="Coffee"/>
    <s v="Utah"/>
    <s v="Regular"/>
    <n v="60"/>
    <n v="80"/>
    <n v="50"/>
    <n v="140"/>
    <n v="51"/>
    <n v="311"/>
    <n v="68"/>
    <n v="16"/>
    <n v="25"/>
    <n v="119"/>
    <n v="0.85"/>
    <n v="0.5"/>
    <n v="0.85"/>
  </r>
  <r>
    <n v="435"/>
    <x v="3"/>
    <s v="West"/>
    <s v="Small Market"/>
    <s v="Decaf Irish Cream"/>
    <s v="Coffee"/>
    <s v="Utah"/>
    <s v="Decaf"/>
    <n v="100"/>
    <n v="120"/>
    <n v="70"/>
    <n v="220"/>
    <n v="80"/>
    <n v="494"/>
    <n v="98"/>
    <n v="30"/>
    <n v="34"/>
    <n v="178"/>
    <n v="0.80909090909090908"/>
    <n v="0.48571428571428571"/>
    <n v="0.8"/>
  </r>
  <r>
    <n v="435"/>
    <x v="3"/>
    <s v="West"/>
    <s v="Small Market"/>
    <s v="Chamomile"/>
    <s v="Herbal Tea"/>
    <s v="Utah"/>
    <s v="Decaf"/>
    <n v="40"/>
    <n v="60"/>
    <n v="30"/>
    <n v="100"/>
    <n v="49"/>
    <n v="241"/>
    <n v="72"/>
    <n v="15"/>
    <n v="34"/>
    <n v="121"/>
    <n v="1.21"/>
    <n v="1.1333333333333333"/>
    <n v="1.2250000000000001"/>
  </r>
  <r>
    <n v="435"/>
    <x v="3"/>
    <s v="West"/>
    <s v="Small Market"/>
    <s v="Lemon"/>
    <s v="Herbal Tea"/>
    <s v="Utah"/>
    <s v="Decaf"/>
    <n v="40"/>
    <n v="70"/>
    <n v="40"/>
    <n v="110"/>
    <n v="50"/>
    <n v="372"/>
    <n v="75"/>
    <n v="16"/>
    <n v="28"/>
    <n v="125"/>
    <n v="1.1363636363636365"/>
    <n v="0.7"/>
    <n v="1.25"/>
  </r>
  <r>
    <n v="435"/>
    <x v="3"/>
    <s v="West"/>
    <s v="Small Market"/>
    <s v="Mint"/>
    <s v="Herbal Tea"/>
    <s v="Utah"/>
    <s v="Decaf"/>
    <n v="70"/>
    <n v="40"/>
    <n v="0"/>
    <n v="110"/>
    <n v="93"/>
    <n v="840"/>
    <n v="40"/>
    <n v="28"/>
    <n v="-11"/>
    <n v="133"/>
    <n v="1.209090909090909"/>
    <m/>
    <n v="1.3285714285714285"/>
  </r>
  <r>
    <n v="435"/>
    <x v="3"/>
    <s v="West"/>
    <s v="Small Market"/>
    <s v="Darjeeling"/>
    <s v="Tea"/>
    <s v="Utah"/>
    <s v="Regular"/>
    <n v="20"/>
    <n v="50"/>
    <n v="10"/>
    <n v="70"/>
    <n v="44"/>
    <n v="261"/>
    <n v="63"/>
    <n v="40"/>
    <n v="-6"/>
    <n v="107"/>
    <n v="1.5285714285714285"/>
    <n v="-0.6"/>
    <n v="2.2000000000000002"/>
  </r>
  <r>
    <n v="435"/>
    <x v="3"/>
    <s v="West"/>
    <s v="Small Market"/>
    <s v="Earl Grey"/>
    <s v="Tea"/>
    <s v="Utah"/>
    <s v="Regular"/>
    <n v="20"/>
    <n v="30"/>
    <n v="10"/>
    <n v="50"/>
    <n v="37"/>
    <n v="195"/>
    <n v="51"/>
    <n v="12"/>
    <n v="11"/>
    <n v="88"/>
    <n v="1.76"/>
    <n v="1.1000000000000001"/>
    <n v="1.85"/>
  </r>
  <r>
    <n v="435"/>
    <x v="3"/>
    <s v="West"/>
    <s v="Small Market"/>
    <s v="Green Tea"/>
    <s v="Tea"/>
    <s v="Utah"/>
    <s v="Regular"/>
    <n v="10"/>
    <n v="30"/>
    <n v="10"/>
    <n v="40"/>
    <n v="29"/>
    <n v="169"/>
    <n v="36"/>
    <n v="11"/>
    <n v="-8"/>
    <n v="65"/>
    <n v="1.625"/>
    <n v="-0.8"/>
    <n v="2.9"/>
  </r>
  <r>
    <n v="925"/>
    <x v="3"/>
    <s v="West"/>
    <s v="Major Market"/>
    <s v="Caffe Latte"/>
    <s v="Espresso"/>
    <s v="California"/>
    <s v="Regular"/>
    <n v="220"/>
    <n v="230"/>
    <n v="150"/>
    <n v="450"/>
    <n v="239"/>
    <n v="1464"/>
    <n v="239"/>
    <n v="66"/>
    <n v="148"/>
    <n v="478"/>
    <n v="1.0622222222222222"/>
    <n v="0.98666666666666669"/>
    <n v="1.0863636363636364"/>
  </r>
  <r>
    <n v="805"/>
    <x v="3"/>
    <s v="West"/>
    <s v="Major Market"/>
    <s v="Caffe Mocha"/>
    <s v="Espresso"/>
    <s v="California"/>
    <s v="Regular"/>
    <n v="120"/>
    <n v="160"/>
    <n v="30"/>
    <n v="280"/>
    <n v="125"/>
    <n v="729"/>
    <n v="173"/>
    <n v="113"/>
    <n v="26"/>
    <n v="298"/>
    <n v="1.0642857142857143"/>
    <n v="0.8666666666666667"/>
    <n v="1.0416666666666667"/>
  </r>
  <r>
    <n v="831"/>
    <x v="3"/>
    <s v="West"/>
    <s v="Major Market"/>
    <s v="Decaf Espresso"/>
    <s v="Espresso"/>
    <s v="California"/>
    <s v="Decaf"/>
    <n v="240"/>
    <n v="320"/>
    <n v="220"/>
    <n v="560"/>
    <n v="252"/>
    <n v="1316"/>
    <n v="335"/>
    <n v="83"/>
    <n v="220"/>
    <n v="587"/>
    <n v="1.0482142857142858"/>
    <n v="1"/>
    <n v="1.05"/>
  </r>
  <r>
    <n v="818"/>
    <x v="3"/>
    <s v="West"/>
    <s v="Major Market"/>
    <s v="Amaretto"/>
    <s v="Coffee"/>
    <s v="California"/>
    <s v="Regular"/>
    <n v="150"/>
    <n v="-20"/>
    <n v="-70"/>
    <n v="130"/>
    <n v="123"/>
    <n v="964"/>
    <n v="-13"/>
    <n v="39"/>
    <n v="-76"/>
    <n v="110"/>
    <n v="0.84615384615384615"/>
    <n v="1.0857142857142856"/>
    <n v="0.82"/>
  </r>
  <r>
    <n v="209"/>
    <x v="3"/>
    <s v="West"/>
    <s v="Major Market"/>
    <s v="Columbian"/>
    <s v="Coffee"/>
    <s v="California"/>
    <s v="Regular"/>
    <n v="350"/>
    <n v="540"/>
    <n v="400"/>
    <n v="890"/>
    <n v="284"/>
    <n v="2108"/>
    <n v="428"/>
    <n v="99"/>
    <n v="276"/>
    <n v="712"/>
    <n v="0.8"/>
    <n v="0.69"/>
    <n v="0.81142857142857139"/>
  </r>
  <r>
    <n v="916"/>
    <x v="3"/>
    <s v="West"/>
    <s v="Major Market"/>
    <s v="Decaf Irish Cream"/>
    <s v="Coffee"/>
    <s v="California"/>
    <s v="Decaf"/>
    <n v="240"/>
    <n v="-50"/>
    <n v="-150"/>
    <n v="190"/>
    <n v="191"/>
    <n v="1564"/>
    <n v="-32"/>
    <n v="63"/>
    <n v="-141"/>
    <n v="159"/>
    <n v="0.83684210526315794"/>
    <n v="0.94"/>
    <n v="0.79583333333333328"/>
  </r>
  <r>
    <n v="408"/>
    <x v="3"/>
    <s v="West"/>
    <s v="Major Market"/>
    <s v="Chamomile"/>
    <s v="Herbal Tea"/>
    <s v="California"/>
    <s v="Decaf"/>
    <n v="80"/>
    <n v="130"/>
    <n v="110"/>
    <n v="210"/>
    <n v="100"/>
    <n v="822"/>
    <n v="145"/>
    <n v="28"/>
    <n v="106"/>
    <n v="245"/>
    <n v="1.1666666666666667"/>
    <n v="0.96363636363636362"/>
    <n v="1.25"/>
  </r>
  <r>
    <n v="707"/>
    <x v="3"/>
    <s v="West"/>
    <s v="Major Market"/>
    <s v="Lemon"/>
    <s v="Herbal Tea"/>
    <s v="California"/>
    <s v="Decaf"/>
    <n v="170"/>
    <n v="230"/>
    <n v="170"/>
    <n v="400"/>
    <n v="209"/>
    <n v="969"/>
    <n v="247"/>
    <n v="64"/>
    <n v="162"/>
    <n v="456"/>
    <n v="1.1399999999999999"/>
    <n v="0.95294117647058818"/>
    <n v="1.2294117647058824"/>
  </r>
  <r>
    <n v="805"/>
    <x v="3"/>
    <s v="West"/>
    <s v="Major Market"/>
    <s v="Mint"/>
    <s v="Herbal Tea"/>
    <s v="California"/>
    <s v="Decaf"/>
    <n v="60"/>
    <n v="90"/>
    <n v="60"/>
    <n v="150"/>
    <n v="78"/>
    <n v="593"/>
    <n v="100"/>
    <n v="25"/>
    <n v="62"/>
    <n v="178"/>
    <n v="1.1866666666666668"/>
    <n v="1.0333333333333334"/>
    <n v="1.3"/>
  </r>
  <r>
    <n v="805"/>
    <x v="3"/>
    <s v="West"/>
    <s v="Major Market"/>
    <s v="Darjeeling"/>
    <s v="Tea"/>
    <s v="California"/>
    <s v="Regular"/>
    <n v="60"/>
    <n v="90"/>
    <n v="80"/>
    <n v="150"/>
    <n v="91"/>
    <n v="777"/>
    <n v="132"/>
    <n v="25"/>
    <n v="96"/>
    <n v="223"/>
    <n v="1.4866666666666666"/>
    <n v="1.2"/>
    <n v="1.5166666666666666"/>
  </r>
  <r>
    <n v="530"/>
    <x v="3"/>
    <s v="West"/>
    <s v="Major Market"/>
    <s v="Earl Grey"/>
    <s v="Tea"/>
    <s v="California"/>
    <s v="Regular"/>
    <n v="50"/>
    <n v="80"/>
    <n v="70"/>
    <n v="130"/>
    <n v="81"/>
    <n v="460"/>
    <n v="117"/>
    <n v="22"/>
    <n v="83"/>
    <n v="198"/>
    <n v="1.523076923076923"/>
    <n v="1.1857142857142857"/>
    <n v="1.62"/>
  </r>
  <r>
    <n v="415"/>
    <x v="3"/>
    <s v="West"/>
    <s v="Major Market"/>
    <s v="Green Tea"/>
    <s v="Tea"/>
    <s v="California"/>
    <s v="Regular"/>
    <n v="40"/>
    <n v="70"/>
    <n v="40"/>
    <n v="110"/>
    <n v="68"/>
    <n v="559"/>
    <n v="102"/>
    <n v="22"/>
    <n v="48"/>
    <n v="170"/>
    <n v="1.5454545454545454"/>
    <n v="1.2"/>
    <n v="1.7"/>
  </r>
  <r>
    <n v="775"/>
    <x v="3"/>
    <s v="West"/>
    <s v="Small Market"/>
    <s v="Caffe Latte"/>
    <s v="Espresso"/>
    <s v="Nevada"/>
    <s v="Regular"/>
    <n v="0"/>
    <n v="40"/>
    <n v="30"/>
    <n v="40"/>
    <n v="0"/>
    <n v="688"/>
    <n v="43"/>
    <n v="0"/>
    <n v="32"/>
    <n v="43"/>
    <n v="1.075"/>
    <n v="1.0666666666666667"/>
    <m/>
  </r>
  <r>
    <n v="702"/>
    <x v="3"/>
    <s v="West"/>
    <s v="Small Market"/>
    <s v="Caffe Mocha"/>
    <s v="Espresso"/>
    <s v="Nevada"/>
    <s v="Regular"/>
    <n v="10"/>
    <n v="30"/>
    <n v="20"/>
    <n v="40"/>
    <n v="19"/>
    <n v="820"/>
    <n v="28"/>
    <n v="5"/>
    <n v="11"/>
    <n v="47"/>
    <n v="1.175"/>
    <n v="0.55000000000000004"/>
    <n v="1.9"/>
  </r>
  <r>
    <n v="775"/>
    <x v="3"/>
    <s v="West"/>
    <s v="Small Market"/>
    <s v="Decaf Espresso"/>
    <s v="Espresso"/>
    <s v="Nevada"/>
    <s v="Decaf"/>
    <n v="10"/>
    <n v="30"/>
    <n v="20"/>
    <n v="40"/>
    <n v="17"/>
    <n v="776"/>
    <n v="26"/>
    <n v="4"/>
    <n v="10"/>
    <n v="43"/>
    <n v="1.075"/>
    <n v="0.5"/>
    <n v="1.7"/>
  </r>
  <r>
    <n v="775"/>
    <x v="3"/>
    <s v="West"/>
    <s v="Small Market"/>
    <s v="Columbian"/>
    <s v="Coffee"/>
    <s v="Nevada"/>
    <s v="Regular"/>
    <n v="40"/>
    <n v="50"/>
    <n v="10"/>
    <n v="90"/>
    <n v="35"/>
    <n v="197"/>
    <n v="44"/>
    <n v="13"/>
    <n v="-2"/>
    <n v="79"/>
    <n v="0.87777777777777777"/>
    <n v="-0.2"/>
    <n v="0.875"/>
  </r>
  <r>
    <n v="775"/>
    <x v="3"/>
    <s v="West"/>
    <s v="Small Market"/>
    <s v="Decaf Irish Cream"/>
    <s v="Coffee"/>
    <s v="Nevada"/>
    <s v="Decaf"/>
    <n v="30"/>
    <n v="40"/>
    <n v="20"/>
    <n v="70"/>
    <n v="28"/>
    <n v="964"/>
    <n v="33"/>
    <n v="8"/>
    <n v="4"/>
    <n v="61"/>
    <n v="0.87142857142857144"/>
    <n v="0.2"/>
    <n v="0.93333333333333335"/>
  </r>
  <r>
    <n v="775"/>
    <x v="3"/>
    <s v="West"/>
    <s v="Small Market"/>
    <s v="Chamomile"/>
    <s v="Herbal Tea"/>
    <s v="Nevada"/>
    <s v="Decaf"/>
    <n v="100"/>
    <n v="160"/>
    <n v="50"/>
    <n v="260"/>
    <n v="125"/>
    <n v="729"/>
    <n v="173"/>
    <n v="113"/>
    <n v="27"/>
    <n v="298"/>
    <n v="1.1461538461538461"/>
    <n v="0.54"/>
    <n v="1.25"/>
  </r>
  <r>
    <n v="775"/>
    <x v="3"/>
    <s v="West"/>
    <s v="Small Market"/>
    <s v="Lemon"/>
    <s v="Herbal Tea"/>
    <s v="Nevada"/>
    <s v="Decaf"/>
    <n v="160"/>
    <n v="240"/>
    <n v="160"/>
    <n v="400"/>
    <n v="191"/>
    <n v="865"/>
    <n v="265"/>
    <n v="63"/>
    <n v="156"/>
    <n v="456"/>
    <n v="1.1399999999999999"/>
    <n v="0.97499999999999998"/>
    <n v="1.1937500000000001"/>
  </r>
  <r>
    <n v="702"/>
    <x v="3"/>
    <s v="West"/>
    <s v="Small Market"/>
    <s v="Mint"/>
    <s v="Herbal Tea"/>
    <s v="Nevada"/>
    <s v="Decaf"/>
    <n v="100"/>
    <n v="160"/>
    <n v="110"/>
    <n v="260"/>
    <n v="123"/>
    <n v="611"/>
    <n v="178"/>
    <n v="39"/>
    <n v="115"/>
    <n v="301"/>
    <n v="1.1576923076923078"/>
    <n v="1.0454545454545454"/>
    <n v="1.23"/>
  </r>
  <r>
    <n v="702"/>
    <x v="3"/>
    <s v="West"/>
    <s v="Small Market"/>
    <s v="Darjeeling"/>
    <s v="Tea"/>
    <s v="Nevada"/>
    <s v="Regular"/>
    <n v="160"/>
    <n v="230"/>
    <n v="160"/>
    <n v="390"/>
    <n v="252"/>
    <n v="1316"/>
    <n v="335"/>
    <n v="83"/>
    <n v="219"/>
    <n v="587"/>
    <n v="1.5051282051282051"/>
    <n v="1.3687499999999999"/>
    <n v="1.575"/>
  </r>
  <r>
    <n v="775"/>
    <x v="3"/>
    <s v="West"/>
    <s v="Small Market"/>
    <s v="Earl Grey"/>
    <s v="Tea"/>
    <s v="Nevada"/>
    <s v="Regular"/>
    <n v="150"/>
    <n v="170"/>
    <n v="110"/>
    <n v="320"/>
    <n v="239"/>
    <n v="1464"/>
    <n v="239"/>
    <n v="66"/>
    <n v="149"/>
    <n v="478"/>
    <n v="1.4937499999999999"/>
    <n v="1.3545454545454545"/>
    <n v="1.5933333333333333"/>
  </r>
  <r>
    <n v="702"/>
    <x v="3"/>
    <s v="West"/>
    <s v="Small Market"/>
    <s v="Green Tea"/>
    <s v="Tea"/>
    <s v="Nevada"/>
    <s v="Regular"/>
    <n v="170"/>
    <n v="-170"/>
    <n v="-250"/>
    <n v="0"/>
    <n v="260"/>
    <n v="3049"/>
    <n v="-260"/>
    <n v="98"/>
    <n v="-365"/>
    <n v="26"/>
    <m/>
    <n v="1.46"/>
    <n v="1.5294117647058822"/>
  </r>
  <r>
    <n v="541"/>
    <x v="3"/>
    <s v="West"/>
    <s v="Small Market"/>
    <s v="Caffe Latte"/>
    <s v="Espresso"/>
    <s v="Oregon"/>
    <s v="Regular"/>
    <n v="50"/>
    <n v="60"/>
    <n v="20"/>
    <n v="110"/>
    <n v="54"/>
    <n v="337"/>
    <n v="67"/>
    <n v="20"/>
    <n v="13"/>
    <n v="121"/>
    <n v="1.1000000000000001"/>
    <n v="0.65"/>
    <n v="1.08"/>
  </r>
  <r>
    <n v="971"/>
    <x v="3"/>
    <s v="West"/>
    <s v="Small Market"/>
    <s v="Caffe Mocha"/>
    <s v="Espresso"/>
    <s v="Oregon"/>
    <s v="Regular"/>
    <n v="50"/>
    <n v="70"/>
    <n v="40"/>
    <n v="120"/>
    <n v="55"/>
    <n v="336"/>
    <n v="74"/>
    <n v="18"/>
    <n v="28"/>
    <n v="129"/>
    <n v="1.075"/>
    <n v="0.7"/>
    <n v="1.1000000000000001"/>
  </r>
  <r>
    <n v="503"/>
    <x v="3"/>
    <s v="West"/>
    <s v="Small Market"/>
    <s v="Decaf Espresso"/>
    <s v="Espresso"/>
    <s v="Oregon"/>
    <s v="Decaf"/>
    <n v="150"/>
    <n v="160"/>
    <n v="100"/>
    <n v="310"/>
    <n v="162"/>
    <n v="1091"/>
    <n v="163"/>
    <n v="45"/>
    <n v="93"/>
    <n v="325"/>
    <n v="1.0483870967741935"/>
    <n v="0.93"/>
    <n v="1.08"/>
  </r>
  <r>
    <n v="971"/>
    <x v="3"/>
    <s v="West"/>
    <s v="Small Market"/>
    <s v="Amaretto"/>
    <s v="Coffee"/>
    <s v="Oregon"/>
    <s v="Regular"/>
    <n v="60"/>
    <n v="90"/>
    <n v="30"/>
    <n v="150"/>
    <n v="52"/>
    <n v="433"/>
    <n v="73"/>
    <n v="47"/>
    <n v="-3"/>
    <n v="125"/>
    <n v="0.83333333333333337"/>
    <n v="-0.1"/>
    <n v="0.8666666666666667"/>
  </r>
  <r>
    <n v="503"/>
    <x v="3"/>
    <s v="West"/>
    <s v="Small Market"/>
    <s v="Columbian"/>
    <s v="Coffee"/>
    <s v="Oregon"/>
    <s v="Regular"/>
    <n v="60"/>
    <n v="80"/>
    <n v="30"/>
    <n v="140"/>
    <n v="49"/>
    <n v="399"/>
    <n v="70"/>
    <n v="16"/>
    <n v="8"/>
    <n v="119"/>
    <n v="0.85"/>
    <n v="0.26666666666666666"/>
    <n v="0.81666666666666665"/>
  </r>
  <r>
    <n v="971"/>
    <x v="3"/>
    <s v="West"/>
    <s v="Small Market"/>
    <s v="Chamomile"/>
    <s v="Herbal Tea"/>
    <s v="Oregon"/>
    <s v="Decaf"/>
    <n v="30"/>
    <n v="40"/>
    <n v="40"/>
    <n v="70"/>
    <n v="35"/>
    <n v="777"/>
    <n v="52"/>
    <n v="9"/>
    <n v="31"/>
    <n v="87"/>
    <n v="1.2428571428571429"/>
    <n v="0.77500000000000002"/>
    <n v="1.1666666666666667"/>
  </r>
  <r>
    <n v="971"/>
    <x v="3"/>
    <s v="West"/>
    <s v="Small Market"/>
    <s v="Lemon"/>
    <s v="Herbal Tea"/>
    <s v="Oregon"/>
    <s v="Decaf"/>
    <n v="30"/>
    <n v="60"/>
    <n v="40"/>
    <n v="90"/>
    <n v="46"/>
    <n v="608"/>
    <n v="60"/>
    <n v="15"/>
    <n v="32"/>
    <n v="106"/>
    <n v="1.1777777777777778"/>
    <n v="0.8"/>
    <n v="1.5333333333333334"/>
  </r>
  <r>
    <n v="503"/>
    <x v="3"/>
    <s v="West"/>
    <s v="Small Market"/>
    <s v="Darjeeling"/>
    <s v="Tea"/>
    <s v="Oregon"/>
    <s v="Regular"/>
    <n v="10"/>
    <n v="20"/>
    <n v="20"/>
    <n v="30"/>
    <n v="21"/>
    <n v="454"/>
    <n v="32"/>
    <n v="5"/>
    <n v="15"/>
    <n v="53"/>
    <n v="1.7666666666666666"/>
    <n v="0.75"/>
    <n v="2.1"/>
  </r>
  <r>
    <n v="541"/>
    <x v="3"/>
    <s v="West"/>
    <s v="Small Market"/>
    <s v="Earl Grey"/>
    <s v="Tea"/>
    <s v="Oregon"/>
    <s v="Regular"/>
    <n v="50"/>
    <n v="100"/>
    <n v="70"/>
    <n v="150"/>
    <n v="88"/>
    <n v="653"/>
    <n v="134"/>
    <n v="29"/>
    <n v="73"/>
    <n v="222"/>
    <n v="1.48"/>
    <n v="1.0428571428571429"/>
    <n v="1.76"/>
  </r>
  <r>
    <n v="971"/>
    <x v="3"/>
    <s v="West"/>
    <s v="Small Market"/>
    <s v="Green Tea"/>
    <s v="Tea"/>
    <s v="Oregon"/>
    <s v="Regular"/>
    <n v="70"/>
    <n v="110"/>
    <n v="70"/>
    <n v="180"/>
    <n v="112"/>
    <n v="502"/>
    <n v="155"/>
    <n v="34"/>
    <n v="98"/>
    <n v="267"/>
    <n v="1.4833333333333334"/>
    <n v="1.4"/>
    <n v="1.6"/>
  </r>
  <r>
    <n v="503"/>
    <x v="3"/>
    <s v="West"/>
    <s v="Small Market"/>
    <s v="Decaf Irish Cream"/>
    <s v="Coffee"/>
    <s v="Oregon"/>
    <s v="Decaf"/>
    <n v="50"/>
    <n v="80"/>
    <n v="50"/>
    <n v="130"/>
    <n v="43"/>
    <n v="363"/>
    <n v="64"/>
    <n v="13"/>
    <n v="28"/>
    <n v="107"/>
    <n v="0.82307692307692304"/>
    <n v="0.56000000000000005"/>
    <n v="0.86"/>
  </r>
  <r>
    <n v="206"/>
    <x v="3"/>
    <s v="West"/>
    <s v="Small Market"/>
    <s v="Caffe Latte"/>
    <s v="Espresso"/>
    <s v="Washington"/>
    <s v="Regular"/>
    <n v="40"/>
    <n v="50"/>
    <n v="30"/>
    <n v="90"/>
    <n v="45"/>
    <n v="605"/>
    <n v="58"/>
    <n v="14"/>
    <n v="32"/>
    <n v="103"/>
    <n v="1.1444444444444444"/>
    <n v="1.0666666666666667"/>
    <n v="1.125"/>
  </r>
  <r>
    <n v="253"/>
    <x v="3"/>
    <s v="West"/>
    <s v="Small Market"/>
    <s v="Caffe Mocha"/>
    <s v="Espresso"/>
    <s v="Washington"/>
    <s v="Regular"/>
    <n v="50"/>
    <n v="70"/>
    <n v="30"/>
    <n v="120"/>
    <n v="57"/>
    <n v="313"/>
    <n v="70"/>
    <n v="21"/>
    <n v="15"/>
    <n v="127"/>
    <n v="1.0583333333333333"/>
    <n v="0.5"/>
    <n v="1.1399999999999999"/>
  </r>
  <r>
    <n v="206"/>
    <x v="3"/>
    <s v="West"/>
    <s v="Small Market"/>
    <s v="Decaf Espresso"/>
    <s v="Espresso"/>
    <s v="Washington"/>
    <s v="Decaf"/>
    <n v="60"/>
    <n v="80"/>
    <n v="60"/>
    <n v="140"/>
    <n v="69"/>
    <n v="965"/>
    <n v="82"/>
    <n v="21"/>
    <n v="39"/>
    <n v="151"/>
    <n v="1.0785714285714285"/>
    <n v="0.65"/>
    <n v="1.1499999999999999"/>
  </r>
  <r>
    <n v="509"/>
    <x v="3"/>
    <s v="West"/>
    <s v="Small Market"/>
    <s v="Columbian"/>
    <s v="Coffee"/>
    <s v="Washington"/>
    <s v="Regular"/>
    <n v="80"/>
    <n v="130"/>
    <n v="90"/>
    <n v="210"/>
    <n v="69"/>
    <n v="340"/>
    <n v="100"/>
    <n v="22"/>
    <n v="54"/>
    <n v="169"/>
    <n v="0.80476190476190479"/>
    <n v="0.6"/>
    <n v="0.86250000000000004"/>
  </r>
  <r>
    <n v="253"/>
    <x v="3"/>
    <s v="West"/>
    <s v="Small Market"/>
    <s v="Chamomile"/>
    <s v="Herbal Tea"/>
    <s v="Washington"/>
    <s v="Decaf"/>
    <n v="90"/>
    <n v="160"/>
    <n v="110"/>
    <n v="250"/>
    <n v="116"/>
    <n v="962"/>
    <n v="176"/>
    <n v="38"/>
    <n v="106"/>
    <n v="292"/>
    <n v="1.1679999999999999"/>
    <n v="0.96363636363636362"/>
    <n v="1.288888888888889"/>
  </r>
  <r>
    <n v="509"/>
    <x v="3"/>
    <s v="West"/>
    <s v="Small Market"/>
    <s v="Lemon"/>
    <s v="Herbal Tea"/>
    <s v="Washington"/>
    <s v="Decaf"/>
    <n v="30"/>
    <n v="40"/>
    <n v="40"/>
    <n v="70"/>
    <n v="35"/>
    <n v="776"/>
    <n v="51"/>
    <n v="9"/>
    <n v="30"/>
    <n v="86"/>
    <n v="1.2285714285714286"/>
    <n v="0.75"/>
    <n v="1.1666666666666667"/>
  </r>
  <r>
    <n v="253"/>
    <x v="3"/>
    <s v="West"/>
    <s v="Small Market"/>
    <s v="Darjeeling"/>
    <s v="Tea"/>
    <s v="Washington"/>
    <s v="Regular"/>
    <n v="30"/>
    <n v="60"/>
    <n v="40"/>
    <n v="90"/>
    <n v="49"/>
    <n v="342"/>
    <n v="84"/>
    <n v="15"/>
    <n v="45"/>
    <n v="133"/>
    <n v="1.4777777777777779"/>
    <n v="1.125"/>
    <n v="1.6333333333333333"/>
  </r>
  <r>
    <n v="253"/>
    <x v="3"/>
    <s v="West"/>
    <s v="Small Market"/>
    <s v="Earl Grey"/>
    <s v="Tea"/>
    <s v="Washington"/>
    <s v="Regular"/>
    <n v="30"/>
    <n v="40"/>
    <n v="20"/>
    <n v="70"/>
    <n v="46"/>
    <n v="388"/>
    <n v="68"/>
    <n v="14"/>
    <n v="30"/>
    <n v="114"/>
    <n v="1.6285714285714286"/>
    <n v="1.5"/>
    <n v="1.5333333333333334"/>
  </r>
  <r>
    <n v="253"/>
    <x v="3"/>
    <s v="West"/>
    <s v="Small Market"/>
    <s v="Green Tea"/>
    <s v="Tea"/>
    <s v="Washington"/>
    <s v="Regular"/>
    <n v="40"/>
    <n v="60"/>
    <n v="10"/>
    <n v="100"/>
    <n v="63"/>
    <n v="521"/>
    <n v="87"/>
    <n v="57"/>
    <n v="0"/>
    <n v="150"/>
    <n v="1.5"/>
    <n v="0"/>
    <n v="1.575"/>
  </r>
  <r>
    <n v="206"/>
    <x v="3"/>
    <s v="West"/>
    <s v="Small Market"/>
    <s v="Decaf Irish Cream"/>
    <s v="Coffee"/>
    <s v="Washington"/>
    <s v="Decaf"/>
    <n v="110"/>
    <n v="170"/>
    <n v="70"/>
    <n v="280"/>
    <n v="95"/>
    <n v="554"/>
    <n v="132"/>
    <n v="86"/>
    <n v="17"/>
    <n v="227"/>
    <n v="0.81071428571428572"/>
    <n v="0.24285714285714285"/>
    <n v="0.86363636363636365"/>
  </r>
  <r>
    <n v="720"/>
    <x v="4"/>
    <s v="Central"/>
    <s v="Major Market"/>
    <s v="Amaretto"/>
    <s v="Coffee"/>
    <s v="Colorado"/>
    <s v="Regular"/>
    <n v="110"/>
    <n v="150"/>
    <n v="120"/>
    <n v="260"/>
    <n v="104"/>
    <n v="821"/>
    <n v="152"/>
    <n v="29"/>
    <n v="111"/>
    <n v="256"/>
    <n v="0.98461538461538467"/>
    <n v="0.92500000000000004"/>
    <n v="0.94545454545454544"/>
  </r>
  <r>
    <n v="303"/>
    <x v="4"/>
    <s v="Central"/>
    <s v="Major Market"/>
    <s v="Columbian"/>
    <s v="Coffee"/>
    <s v="Colorado"/>
    <s v="Regular"/>
    <n v="80"/>
    <n v="110"/>
    <n v="80"/>
    <n v="190"/>
    <n v="83"/>
    <n v="584"/>
    <n v="107"/>
    <n v="27"/>
    <n v="68"/>
    <n v="190"/>
    <n v="1"/>
    <n v="0.85"/>
    <n v="1.0375000000000001"/>
  </r>
  <r>
    <n v="720"/>
    <x v="4"/>
    <s v="Central"/>
    <s v="Major Market"/>
    <s v="Darjeeling"/>
    <s v="Tea"/>
    <s v="Colorado"/>
    <s v="Regular"/>
    <n v="40"/>
    <n v="60"/>
    <n v="20"/>
    <n v="100"/>
    <n v="53"/>
    <n v="361"/>
    <n v="65"/>
    <n v="20"/>
    <n v="12"/>
    <n v="118"/>
    <n v="1.18"/>
    <n v="0.6"/>
    <n v="1.325"/>
  </r>
  <r>
    <n v="303"/>
    <x v="4"/>
    <s v="Central"/>
    <s v="Major Market"/>
    <s v="Earl Grey"/>
    <s v="Tea"/>
    <s v="Colorado"/>
    <s v="Regular"/>
    <n v="40"/>
    <n v="60"/>
    <n v="30"/>
    <n v="100"/>
    <n v="56"/>
    <n v="992"/>
    <n v="66"/>
    <n v="17"/>
    <n v="27"/>
    <n v="122"/>
    <n v="1.22"/>
    <n v="0.9"/>
    <n v="1.4"/>
  </r>
  <r>
    <n v="719"/>
    <x v="4"/>
    <s v="Central"/>
    <s v="Major Market"/>
    <s v="Green Tea"/>
    <s v="Tea"/>
    <s v="Colorado"/>
    <s v="Regular"/>
    <n v="30"/>
    <n v="50"/>
    <n v="30"/>
    <n v="80"/>
    <n v="43"/>
    <n v="602"/>
    <n v="56"/>
    <n v="14"/>
    <n v="30"/>
    <n v="99"/>
    <n v="1.2375"/>
    <n v="1"/>
    <n v="1.4333333333333333"/>
  </r>
  <r>
    <n v="303"/>
    <x v="4"/>
    <s v="Central"/>
    <s v="Major Market"/>
    <s v="Caffe Mocha"/>
    <s v="Espresso"/>
    <s v="Colorado"/>
    <s v="Regular"/>
    <n v="90"/>
    <n v="150"/>
    <n v="120"/>
    <n v="240"/>
    <n v="86"/>
    <n v="499"/>
    <n v="124"/>
    <n v="24"/>
    <n v="88"/>
    <n v="210"/>
    <n v="0.875"/>
    <n v="0.73333333333333328"/>
    <n v="0.9555555555555556"/>
  </r>
  <r>
    <n v="303"/>
    <x v="4"/>
    <s v="Central"/>
    <s v="Major Market"/>
    <s v="Decaf Espresso"/>
    <s v="Espresso"/>
    <s v="Colorado"/>
    <s v="Decaf"/>
    <n v="70"/>
    <n v="110"/>
    <n v="60"/>
    <n v="180"/>
    <n v="64"/>
    <n v="593"/>
    <n v="96"/>
    <n v="21"/>
    <n v="44"/>
    <n v="160"/>
    <n v="0.88888888888888884"/>
    <n v="0.73333333333333328"/>
    <n v="0.91428571428571426"/>
  </r>
  <r>
    <n v="720"/>
    <x v="4"/>
    <s v="Central"/>
    <s v="Major Market"/>
    <s v="Decaf Irish Cream"/>
    <s v="Coffee"/>
    <s v="Colorado"/>
    <s v="Decaf"/>
    <n v="110"/>
    <n v="150"/>
    <n v="120"/>
    <n v="260"/>
    <n v="104"/>
    <n v="871"/>
    <n v="152"/>
    <n v="29"/>
    <n v="112"/>
    <n v="256"/>
    <n v="0.98461538461538467"/>
    <n v="0.93333333333333335"/>
    <n v="0.94545454545454544"/>
  </r>
  <r>
    <n v="970"/>
    <x v="4"/>
    <s v="Central"/>
    <s v="Major Market"/>
    <s v="Chamomile"/>
    <s v="Herbal Tea"/>
    <s v="Colorado"/>
    <s v="Decaf"/>
    <n v="120"/>
    <n v="140"/>
    <n v="90"/>
    <n v="260"/>
    <n v="149"/>
    <n v="1156"/>
    <n v="149"/>
    <n v="41"/>
    <n v="83"/>
    <n v="298"/>
    <n v="1.1461538461538461"/>
    <n v="0.92222222222222228"/>
    <n v="1.2416666666666667"/>
  </r>
  <r>
    <n v="720"/>
    <x v="4"/>
    <s v="Central"/>
    <s v="Major Market"/>
    <s v="Lemon"/>
    <s v="Herbal Tea"/>
    <s v="Colorado"/>
    <s v="Decaf"/>
    <n v="40"/>
    <n v="70"/>
    <n v="10"/>
    <n v="110"/>
    <n v="53"/>
    <n v="458"/>
    <n v="75"/>
    <n v="48"/>
    <n v="-3"/>
    <n v="128"/>
    <n v="1.1636363636363636"/>
    <n v="-0.3"/>
    <n v="1.325"/>
  </r>
  <r>
    <n v="719"/>
    <x v="4"/>
    <s v="Central"/>
    <s v="Major Market"/>
    <s v="Mint"/>
    <s v="Herbal Tea"/>
    <s v="Colorado"/>
    <s v="Decaf"/>
    <n v="40"/>
    <n v="60"/>
    <n v="30"/>
    <n v="100"/>
    <n v="52"/>
    <n v="361"/>
    <n v="71"/>
    <n v="17"/>
    <n v="26"/>
    <n v="123"/>
    <n v="1.23"/>
    <n v="0.8666666666666667"/>
    <n v="1.3"/>
  </r>
  <r>
    <n v="630"/>
    <x v="4"/>
    <s v="Central"/>
    <s v="Major Market"/>
    <s v="Columbian"/>
    <s v="Coffee"/>
    <s v="Illinois"/>
    <s v="Regular"/>
    <n v="200"/>
    <n v="280"/>
    <n v="180"/>
    <n v="480"/>
    <n v="195"/>
    <n v="956"/>
    <n v="270"/>
    <n v="64"/>
    <n v="161"/>
    <n v="465"/>
    <n v="0.96875"/>
    <n v="0.89444444444444449"/>
    <n v="0.97499999999999998"/>
  </r>
  <r>
    <n v="847"/>
    <x v="4"/>
    <s v="Central"/>
    <s v="Major Market"/>
    <s v="Darjeeling"/>
    <s v="Tea"/>
    <s v="Illinois"/>
    <s v="Regular"/>
    <n v="70"/>
    <n v="110"/>
    <n v="80"/>
    <n v="180"/>
    <n v="86"/>
    <n v="499"/>
    <n v="124"/>
    <n v="24"/>
    <n v="88"/>
    <n v="210"/>
    <n v="1.1666666666666667"/>
    <n v="1.1000000000000001"/>
    <n v="1.2285714285714286"/>
  </r>
  <r>
    <n v="815"/>
    <x v="4"/>
    <s v="Central"/>
    <s v="Major Market"/>
    <s v="Earl Grey"/>
    <s v="Tea"/>
    <s v="Illinois"/>
    <s v="Regular"/>
    <n v="50"/>
    <n v="90"/>
    <n v="50"/>
    <n v="140"/>
    <n v="64"/>
    <n v="593"/>
    <n v="96"/>
    <n v="21"/>
    <n v="44"/>
    <n v="160"/>
    <n v="1.1428571428571428"/>
    <n v="0.88"/>
    <n v="1.28"/>
  </r>
  <r>
    <n v="773"/>
    <x v="4"/>
    <s v="Central"/>
    <s v="Major Market"/>
    <s v="Caffe Mocha"/>
    <s v="Espresso"/>
    <s v="Illinois"/>
    <s v="Regular"/>
    <n v="300"/>
    <n v="420"/>
    <n v="300"/>
    <n v="720"/>
    <n v="263"/>
    <n v="1433"/>
    <n v="349"/>
    <n v="86"/>
    <n v="230"/>
    <n v="612"/>
    <n v="0.85"/>
    <n v="0.76666666666666672"/>
    <n v="0.87666666666666671"/>
  </r>
  <r>
    <n v="630"/>
    <x v="4"/>
    <s v="Central"/>
    <s v="Major Market"/>
    <s v="Decaf Espresso"/>
    <s v="Espresso"/>
    <s v="Illinois"/>
    <s v="Decaf"/>
    <n v="300"/>
    <n v="310"/>
    <n v="210"/>
    <n v="610"/>
    <n v="260"/>
    <n v="1559"/>
    <n v="261"/>
    <n v="72"/>
    <n v="165"/>
    <n v="521"/>
    <n v="0.85409836065573774"/>
    <n v="0.7857142857142857"/>
    <n v="0.8666666666666667"/>
  </r>
  <r>
    <n v="618"/>
    <x v="4"/>
    <s v="Central"/>
    <s v="Major Market"/>
    <s v="Decaf Irish Cream"/>
    <s v="Coffee"/>
    <s v="Illinois"/>
    <s v="Decaf"/>
    <n v="130"/>
    <n v="190"/>
    <n v="140"/>
    <n v="320"/>
    <n v="127"/>
    <n v="671"/>
    <n v="185"/>
    <n v="40"/>
    <n v="122"/>
    <n v="312"/>
    <n v="0.97499999999999998"/>
    <n v="0.87142857142857144"/>
    <n v="0.97692307692307689"/>
  </r>
  <r>
    <n v="773"/>
    <x v="4"/>
    <s v="Central"/>
    <s v="Major Market"/>
    <s v="Chamomile"/>
    <s v="Herbal Tea"/>
    <s v="Illinois"/>
    <s v="Decaf"/>
    <n v="80"/>
    <n v="140"/>
    <n v="120"/>
    <n v="220"/>
    <n v="104"/>
    <n v="821"/>
    <n v="152"/>
    <n v="29"/>
    <n v="112"/>
    <n v="256"/>
    <n v="1.1636363636363636"/>
    <n v="0.93333333333333335"/>
    <n v="1.3"/>
  </r>
  <r>
    <n v="217"/>
    <x v="4"/>
    <s v="Central"/>
    <s v="Major Market"/>
    <s v="Lemon"/>
    <s v="Herbal Tea"/>
    <s v="Illinois"/>
    <s v="Decaf"/>
    <n v="70"/>
    <n v="90"/>
    <n v="60"/>
    <n v="160"/>
    <n v="83"/>
    <n v="584"/>
    <n v="107"/>
    <n v="27"/>
    <n v="68"/>
    <n v="190"/>
    <n v="1.1875"/>
    <n v="1.1333333333333333"/>
    <n v="1.1857142857142857"/>
  </r>
  <r>
    <n v="773"/>
    <x v="4"/>
    <s v="Central"/>
    <s v="Major Market"/>
    <s v="Mint"/>
    <s v="Herbal Tea"/>
    <s v="Illinois"/>
    <s v="Decaf"/>
    <n v="80"/>
    <n v="140"/>
    <n v="120"/>
    <n v="220"/>
    <n v="104"/>
    <n v="871"/>
    <n v="152"/>
    <n v="29"/>
    <n v="112"/>
    <n v="256"/>
    <n v="1.1636363636363636"/>
    <n v="0.93333333333333335"/>
    <n v="1.3"/>
  </r>
  <r>
    <n v="712"/>
    <x v="4"/>
    <s v="Central"/>
    <s v="Small Market"/>
    <s v="Amaretto"/>
    <s v="Coffee"/>
    <s v="Iowa"/>
    <s v="Regular"/>
    <n v="20"/>
    <n v="30"/>
    <n v="20"/>
    <n v="50"/>
    <n v="20"/>
    <n v="829"/>
    <n v="29"/>
    <n v="5"/>
    <n v="12"/>
    <n v="49"/>
    <n v="0.98"/>
    <n v="0.6"/>
    <n v="1"/>
  </r>
  <r>
    <n v="712"/>
    <x v="4"/>
    <s v="Central"/>
    <s v="Small Market"/>
    <s v="Darjeeling"/>
    <s v="Tea"/>
    <s v="Iowa"/>
    <s v="Regular"/>
    <n v="220"/>
    <n v="230"/>
    <n v="150"/>
    <n v="450"/>
    <n v="260"/>
    <n v="1559"/>
    <n v="261"/>
    <n v="72"/>
    <n v="165"/>
    <n v="521"/>
    <n v="1.1577777777777778"/>
    <n v="1.1000000000000001"/>
    <n v="1.1818181818181819"/>
  </r>
  <r>
    <n v="563"/>
    <x v="4"/>
    <s v="Central"/>
    <s v="Small Market"/>
    <s v="Earl Grey"/>
    <s v="Tea"/>
    <s v="Iowa"/>
    <s v="Regular"/>
    <n v="220"/>
    <n v="290"/>
    <n v="170"/>
    <n v="510"/>
    <n v="265"/>
    <n v="1538"/>
    <n v="324"/>
    <n v="100"/>
    <n v="190"/>
    <n v="589"/>
    <n v="1.1549019607843136"/>
    <n v="1.1176470588235294"/>
    <n v="1.2045454545454546"/>
  </r>
  <r>
    <n v="319"/>
    <x v="4"/>
    <s v="Central"/>
    <s v="Small Market"/>
    <s v="Caffe Mocha"/>
    <s v="Espresso"/>
    <s v="Iowa"/>
    <s v="Regular"/>
    <n v="20"/>
    <n v="30"/>
    <n v="20"/>
    <n v="50"/>
    <n v="20"/>
    <n v="784"/>
    <n v="29"/>
    <n v="5"/>
    <n v="12"/>
    <n v="49"/>
    <n v="0.98"/>
    <n v="0.6"/>
    <n v="1"/>
  </r>
  <r>
    <n v="515"/>
    <x v="4"/>
    <s v="Central"/>
    <s v="Small Market"/>
    <s v="Decaf Espresso"/>
    <s v="Espresso"/>
    <s v="Iowa"/>
    <s v="Decaf"/>
    <n v="0"/>
    <n v="50"/>
    <n v="40"/>
    <n v="50"/>
    <n v="0"/>
    <n v="645"/>
    <n v="43"/>
    <n v="0"/>
    <n v="31"/>
    <n v="43"/>
    <n v="0.86"/>
    <n v="0.77500000000000002"/>
    <m/>
  </r>
  <r>
    <n v="515"/>
    <x v="4"/>
    <s v="Central"/>
    <s v="Small Market"/>
    <s v="Columbian"/>
    <s v="Coffee"/>
    <s v="Iowa"/>
    <s v="Regular"/>
    <n v="30"/>
    <n v="40"/>
    <n v="20"/>
    <n v="70"/>
    <n v="31"/>
    <n v="976"/>
    <n v="37"/>
    <n v="9"/>
    <n v="7"/>
    <n v="68"/>
    <n v="0.97142857142857142"/>
    <n v="0.35"/>
    <n v="1.0333333333333334"/>
  </r>
  <r>
    <n v="515"/>
    <x v="4"/>
    <s v="Central"/>
    <s v="Small Market"/>
    <s v="Decaf Irish Cream"/>
    <s v="Coffee"/>
    <s v="Iowa"/>
    <s v="Decaf"/>
    <n v="20"/>
    <n v="30"/>
    <n v="20"/>
    <n v="50"/>
    <n v="22"/>
    <n v="611"/>
    <n v="30"/>
    <n v="7"/>
    <n v="11"/>
    <n v="52"/>
    <n v="1.04"/>
    <n v="0.55000000000000004"/>
    <n v="1.1000000000000001"/>
  </r>
  <r>
    <n v="563"/>
    <x v="4"/>
    <s v="Central"/>
    <s v="Small Market"/>
    <s v="Chamomile"/>
    <s v="Herbal Tea"/>
    <s v="Iowa"/>
    <s v="Decaf"/>
    <n v="220"/>
    <n v="310"/>
    <n v="220"/>
    <n v="530"/>
    <n v="263"/>
    <n v="1433"/>
    <n v="349"/>
    <n v="86"/>
    <n v="231"/>
    <n v="612"/>
    <n v="1.1547169811320754"/>
    <n v="1.05"/>
    <n v="1.1954545454545455"/>
  </r>
  <r>
    <n v="515"/>
    <x v="4"/>
    <s v="Central"/>
    <s v="Small Market"/>
    <s v="Lemon"/>
    <s v="Herbal Tea"/>
    <s v="Iowa"/>
    <s v="Decaf"/>
    <n v="100"/>
    <n v="170"/>
    <n v="130"/>
    <n v="270"/>
    <n v="127"/>
    <n v="671"/>
    <n v="185"/>
    <n v="40"/>
    <n v="122"/>
    <n v="312"/>
    <n v="1.1555555555555554"/>
    <n v="0.93846153846153846"/>
    <n v="1.27"/>
  </r>
  <r>
    <n v="314"/>
    <x v="4"/>
    <s v="Central"/>
    <s v="Small Market"/>
    <s v="Darjeeling"/>
    <s v="Tea"/>
    <s v="Missouri"/>
    <s v="Regular"/>
    <n v="30"/>
    <n v="50"/>
    <n v="20"/>
    <n v="80"/>
    <n v="39"/>
    <n v="212"/>
    <n v="53"/>
    <n v="12"/>
    <n v="14"/>
    <n v="92"/>
    <n v="1.1499999999999999"/>
    <n v="0.7"/>
    <n v="1.3"/>
  </r>
  <r>
    <n v="314"/>
    <x v="4"/>
    <s v="Central"/>
    <s v="Small Market"/>
    <s v="Earl Grey"/>
    <s v="Tea"/>
    <s v="Missouri"/>
    <s v="Regular"/>
    <n v="20"/>
    <n v="40"/>
    <n v="0"/>
    <n v="60"/>
    <n v="34"/>
    <n v="182"/>
    <n v="42"/>
    <n v="12"/>
    <n v="-4"/>
    <n v="76"/>
    <n v="1.2666666666666666"/>
    <m/>
    <n v="1.7"/>
  </r>
  <r>
    <n v="573"/>
    <x v="4"/>
    <s v="Central"/>
    <s v="Small Market"/>
    <s v="Green Tea"/>
    <s v="Tea"/>
    <s v="Missouri"/>
    <s v="Regular"/>
    <n v="30"/>
    <n v="40"/>
    <n v="0"/>
    <n v="70"/>
    <n v="36"/>
    <n v="212"/>
    <n v="45"/>
    <n v="13"/>
    <n v="-2"/>
    <n v="81"/>
    <n v="1.1571428571428573"/>
    <m/>
    <n v="1.2"/>
  </r>
  <r>
    <n v="636"/>
    <x v="4"/>
    <s v="Central"/>
    <s v="Small Market"/>
    <s v="Caffe Mocha"/>
    <s v="Espresso"/>
    <s v="Missouri"/>
    <s v="Regular"/>
    <n v="50"/>
    <n v="70"/>
    <n v="50"/>
    <n v="120"/>
    <n v="44"/>
    <n v="844"/>
    <n v="65"/>
    <n v="12"/>
    <n v="41"/>
    <n v="109"/>
    <n v="0.90833333333333333"/>
    <n v="0.82"/>
    <n v="0.88"/>
  </r>
  <r>
    <n v="816"/>
    <x v="4"/>
    <s v="Central"/>
    <s v="Small Market"/>
    <s v="Decaf Espresso"/>
    <s v="Espresso"/>
    <s v="Missouri"/>
    <s v="Decaf"/>
    <n v="40"/>
    <n v="70"/>
    <n v="50"/>
    <n v="110"/>
    <n v="39"/>
    <n v="799"/>
    <n v="58"/>
    <n v="10"/>
    <n v="36"/>
    <n v="97"/>
    <n v="0.88181818181818183"/>
    <n v="0.72"/>
    <n v="0.97499999999999998"/>
  </r>
  <r>
    <n v="573"/>
    <x v="4"/>
    <s v="Central"/>
    <s v="Small Market"/>
    <s v="Columbian"/>
    <s v="Coffee"/>
    <s v="Missouri"/>
    <s v="Regular"/>
    <n v="80"/>
    <n v="100"/>
    <n v="50"/>
    <n v="180"/>
    <n v="77"/>
    <n v="529"/>
    <n v="96"/>
    <n v="29"/>
    <n v="33"/>
    <n v="173"/>
    <n v="0.96111111111111114"/>
    <n v="0.66"/>
    <n v="0.96250000000000002"/>
  </r>
  <r>
    <n v="660"/>
    <x v="4"/>
    <s v="Central"/>
    <s v="Small Market"/>
    <s v="Decaf Irish Cream"/>
    <s v="Coffee"/>
    <s v="Missouri"/>
    <s v="Decaf"/>
    <n v="70"/>
    <n v="80"/>
    <n v="40"/>
    <n v="150"/>
    <n v="68"/>
    <n v="998"/>
    <n v="80"/>
    <n v="21"/>
    <n v="38"/>
    <n v="148"/>
    <n v="0.98666666666666669"/>
    <n v="0.95"/>
    <n v="0.97142857142857142"/>
  </r>
  <r>
    <n v="417"/>
    <x v="4"/>
    <s v="Central"/>
    <s v="Small Market"/>
    <s v="Chamomile"/>
    <s v="Herbal Tea"/>
    <s v="Missouri"/>
    <s v="Decaf"/>
    <n v="30"/>
    <n v="60"/>
    <n v="10"/>
    <n v="90"/>
    <n v="43"/>
    <n v="282"/>
    <n v="61"/>
    <n v="39"/>
    <n v="-8"/>
    <n v="104"/>
    <n v="1.1555555555555554"/>
    <n v="-0.8"/>
    <n v="1.4333333333333333"/>
  </r>
  <r>
    <n v="660"/>
    <x v="4"/>
    <s v="Central"/>
    <s v="Small Market"/>
    <s v="Lemon"/>
    <s v="Herbal Tea"/>
    <s v="Missouri"/>
    <s v="Decaf"/>
    <n v="80"/>
    <n v="30"/>
    <n v="0"/>
    <n v="110"/>
    <n v="98"/>
    <n v="973"/>
    <n v="38"/>
    <n v="30"/>
    <n v="-15"/>
    <n v="136"/>
    <n v="1.2363636363636363"/>
    <m/>
    <n v="1.2250000000000001"/>
  </r>
  <r>
    <n v="234"/>
    <x v="4"/>
    <s v="Central"/>
    <s v="Major Market"/>
    <s v="Darjeeling"/>
    <s v="Tea"/>
    <s v="Ohio"/>
    <s v="Regular"/>
    <n v="80"/>
    <n v="120"/>
    <n v="70"/>
    <n v="200"/>
    <n v="94"/>
    <n v="697"/>
    <n v="141"/>
    <n v="31"/>
    <n v="79"/>
    <n v="235"/>
    <n v="1.175"/>
    <n v="1.1285714285714286"/>
    <n v="1.175"/>
  </r>
  <r>
    <n v="513"/>
    <x v="4"/>
    <s v="Central"/>
    <s v="Major Market"/>
    <s v="Earl Grey"/>
    <s v="Tea"/>
    <s v="Ohio"/>
    <s v="Regular"/>
    <n v="90"/>
    <n v="150"/>
    <n v="100"/>
    <n v="240"/>
    <n v="114"/>
    <n v="555"/>
    <n v="159"/>
    <n v="35"/>
    <n v="101"/>
    <n v="273"/>
    <n v="1.1375"/>
    <n v="1.01"/>
    <n v="1.2666666666666666"/>
  </r>
  <r>
    <n v="740"/>
    <x v="4"/>
    <s v="Central"/>
    <s v="Major Market"/>
    <s v="Caffe Mocha"/>
    <s v="Espresso"/>
    <s v="Ohio"/>
    <s v="Regular"/>
    <n v="170"/>
    <n v="180"/>
    <n v="120"/>
    <n v="350"/>
    <n v="149"/>
    <n v="1156"/>
    <n v="149"/>
    <n v="41"/>
    <n v="84"/>
    <n v="298"/>
    <n v="0.85142857142857142"/>
    <n v="0.7"/>
    <n v="0.87647058823529411"/>
  </r>
  <r>
    <n v="740"/>
    <x v="4"/>
    <s v="Central"/>
    <s v="Major Market"/>
    <s v="Decaf Espresso"/>
    <s v="Espresso"/>
    <s v="Ohio"/>
    <s v="Decaf"/>
    <n v="60"/>
    <n v="70"/>
    <n v="20"/>
    <n v="130"/>
    <n v="53"/>
    <n v="361"/>
    <n v="65"/>
    <n v="20"/>
    <n v="11"/>
    <n v="118"/>
    <n v="0.90769230769230769"/>
    <n v="0.55000000000000004"/>
    <n v="0.8833333333333333"/>
  </r>
  <r>
    <n v="330"/>
    <x v="4"/>
    <s v="Central"/>
    <s v="Major Market"/>
    <s v="Amaretto"/>
    <s v="Coffee"/>
    <s v="Ohio"/>
    <s v="Regular"/>
    <n v="50"/>
    <n v="70"/>
    <n v="40"/>
    <n v="120"/>
    <n v="52"/>
    <n v="361"/>
    <n v="71"/>
    <n v="17"/>
    <n v="27"/>
    <n v="123"/>
    <n v="1.0249999999999999"/>
    <n v="0.67500000000000004"/>
    <n v="1.04"/>
  </r>
  <r>
    <n v="513"/>
    <x v="4"/>
    <s v="Central"/>
    <s v="Major Market"/>
    <s v="Columbian"/>
    <s v="Coffee"/>
    <s v="Ohio"/>
    <s v="Regular"/>
    <n v="40"/>
    <n v="60"/>
    <n v="30"/>
    <n v="100"/>
    <n v="42"/>
    <n v="384"/>
    <n v="61"/>
    <n v="13"/>
    <n v="24"/>
    <n v="103"/>
    <n v="1.03"/>
    <n v="0.8"/>
    <n v="1.05"/>
  </r>
  <r>
    <n v="440"/>
    <x v="4"/>
    <s v="Central"/>
    <s v="Major Market"/>
    <s v="Decaf Irish Cream"/>
    <s v="Coffee"/>
    <s v="Ohio"/>
    <s v="Decaf"/>
    <n v="50"/>
    <n v="80"/>
    <n v="20"/>
    <n v="130"/>
    <n v="53"/>
    <n v="458"/>
    <n v="75"/>
    <n v="48"/>
    <n v="-2"/>
    <n v="128"/>
    <n v="0.98461538461538467"/>
    <n v="-0.1"/>
    <n v="1.06"/>
  </r>
  <r>
    <n v="419"/>
    <x v="4"/>
    <s v="Central"/>
    <s v="Major Market"/>
    <s v="Chamomile"/>
    <s v="Herbal Tea"/>
    <s v="Ohio"/>
    <s v="Decaf"/>
    <n v="10"/>
    <n v="30"/>
    <n v="30"/>
    <n v="40"/>
    <n v="20"/>
    <n v="464"/>
    <n v="29"/>
    <n v="5"/>
    <n v="12"/>
    <n v="49"/>
    <n v="1.2250000000000001"/>
    <n v="0.4"/>
    <n v="2"/>
  </r>
  <r>
    <n v="567"/>
    <x v="4"/>
    <s v="Central"/>
    <s v="Major Market"/>
    <s v="Lemon"/>
    <s v="Herbal Tea"/>
    <s v="Ohio"/>
    <s v="Decaf"/>
    <n v="20"/>
    <n v="40"/>
    <n v="40"/>
    <n v="60"/>
    <n v="29"/>
    <n v="835"/>
    <n v="42"/>
    <n v="8"/>
    <n v="23"/>
    <n v="71"/>
    <n v="1.1833333333333333"/>
    <n v="0.57499999999999996"/>
    <n v="1.45"/>
  </r>
  <r>
    <n v="920"/>
    <x v="4"/>
    <s v="Central"/>
    <s v="Small Market"/>
    <s v="Darjeeling"/>
    <s v="Tea"/>
    <s v="Wisconsin"/>
    <s v="Regular"/>
    <n v="30"/>
    <n v="60"/>
    <n v="30"/>
    <n v="90"/>
    <n v="45"/>
    <n v="410"/>
    <n v="65"/>
    <n v="14"/>
    <n v="27"/>
    <n v="110"/>
    <n v="1.2222222222222223"/>
    <n v="0.9"/>
    <n v="1.5"/>
  </r>
  <r>
    <n v="262"/>
    <x v="4"/>
    <s v="Central"/>
    <s v="Small Market"/>
    <s v="Earl Grey"/>
    <s v="Tea"/>
    <s v="Wisconsin"/>
    <s v="Regular"/>
    <n v="50"/>
    <n v="80"/>
    <n v="10"/>
    <n v="130"/>
    <n v="64"/>
    <n v="551"/>
    <n v="90"/>
    <n v="58"/>
    <n v="2"/>
    <n v="154"/>
    <n v="1.1846153846153846"/>
    <n v="0.2"/>
    <n v="1.28"/>
  </r>
  <r>
    <n v="608"/>
    <x v="4"/>
    <s v="Central"/>
    <s v="Small Market"/>
    <s v="Caffe Mocha"/>
    <s v="Espresso"/>
    <s v="Wisconsin"/>
    <s v="Regular"/>
    <n v="90"/>
    <n v="110"/>
    <n v="70"/>
    <n v="200"/>
    <n v="78"/>
    <n v="995"/>
    <n v="92"/>
    <n v="24"/>
    <n v="47"/>
    <n v="170"/>
    <n v="0.85"/>
    <n v="0.67142857142857137"/>
    <n v="0.8666666666666667"/>
  </r>
  <r>
    <n v="262"/>
    <x v="4"/>
    <s v="Central"/>
    <s v="Small Market"/>
    <s v="Decaf Espresso"/>
    <s v="Espresso"/>
    <s v="Wisconsin"/>
    <s v="Decaf"/>
    <n v="50"/>
    <n v="70"/>
    <n v="50"/>
    <n v="120"/>
    <n v="48"/>
    <n v="599"/>
    <n v="62"/>
    <n v="15"/>
    <n v="35"/>
    <n v="110"/>
    <n v="0.91666666666666663"/>
    <n v="0.7"/>
    <n v="0.96"/>
  </r>
  <r>
    <n v="262"/>
    <x v="4"/>
    <s v="Central"/>
    <s v="Small Market"/>
    <s v="Amaretto"/>
    <s v="Coffee"/>
    <s v="Wisconsin"/>
    <s v="Regular"/>
    <n v="60"/>
    <n v="70"/>
    <n v="20"/>
    <n v="130"/>
    <n v="58"/>
    <n v="338"/>
    <n v="72"/>
    <n v="22"/>
    <n v="17"/>
    <n v="130"/>
    <n v="1"/>
    <n v="0.85"/>
    <n v="0.96666666666666667"/>
  </r>
  <r>
    <n v="262"/>
    <x v="4"/>
    <s v="Central"/>
    <s v="Small Market"/>
    <s v="Columbian"/>
    <s v="Coffee"/>
    <s v="Wisconsin"/>
    <s v="Regular"/>
    <n v="90"/>
    <n v="140"/>
    <n v="40"/>
    <n v="230"/>
    <n v="92"/>
    <n v="599"/>
    <n v="129"/>
    <n v="83"/>
    <n v="17"/>
    <n v="221"/>
    <n v="0.96086956521739131"/>
    <n v="0.42499999999999999"/>
    <n v="1.0222222222222221"/>
  </r>
  <r>
    <n v="715"/>
    <x v="4"/>
    <s v="Central"/>
    <s v="Small Market"/>
    <s v="Decaf Irish Cream"/>
    <s v="Coffee"/>
    <s v="Wisconsin"/>
    <s v="Decaf"/>
    <n v="90"/>
    <n v="120"/>
    <n v="80"/>
    <n v="210"/>
    <n v="87"/>
    <n v="472"/>
    <n v="117"/>
    <n v="28"/>
    <n v="62"/>
    <n v="204"/>
    <n v="0.97142857142857142"/>
    <n v="0.77500000000000002"/>
    <n v="0.96666666666666667"/>
  </r>
  <r>
    <n v="715"/>
    <x v="4"/>
    <s v="Central"/>
    <s v="Small Market"/>
    <s v="Chamomile"/>
    <s v="Herbal Tea"/>
    <s v="Wisconsin"/>
    <s v="Decaf"/>
    <n v="40"/>
    <n v="70"/>
    <n v="50"/>
    <n v="110"/>
    <n v="48"/>
    <n v="351"/>
    <n v="82"/>
    <n v="14"/>
    <n v="45"/>
    <n v="130"/>
    <n v="1.1818181818181819"/>
    <n v="0.9"/>
    <n v="1.2"/>
  </r>
  <r>
    <n v="262"/>
    <x v="4"/>
    <s v="Central"/>
    <s v="Small Market"/>
    <s v="Lemon"/>
    <s v="Herbal Tea"/>
    <s v="Wisconsin"/>
    <s v="Decaf"/>
    <n v="40"/>
    <n v="70"/>
    <n v="60"/>
    <n v="110"/>
    <n v="53"/>
    <n v="803"/>
    <n v="77"/>
    <n v="14"/>
    <n v="51"/>
    <n v="130"/>
    <n v="1.1818181818181819"/>
    <n v="0.85"/>
    <n v="1.325"/>
  </r>
  <r>
    <n v="860"/>
    <x v="4"/>
    <s v="East"/>
    <s v="Small Market"/>
    <s v="Darjeeling"/>
    <s v="Tea"/>
    <s v="Connecticut"/>
    <s v="Regular"/>
    <n v="40"/>
    <n v="70"/>
    <n v="50"/>
    <n v="110"/>
    <n v="44"/>
    <n v="844"/>
    <n v="65"/>
    <n v="12"/>
    <n v="42"/>
    <n v="109"/>
    <n v="0.99090909090909096"/>
    <n v="0.84"/>
    <n v="1.1000000000000001"/>
  </r>
  <r>
    <n v="475"/>
    <x v="4"/>
    <s v="East"/>
    <s v="Small Market"/>
    <s v="Green Tea"/>
    <s v="Tea"/>
    <s v="Connecticut"/>
    <s v="Regular"/>
    <n v="20"/>
    <n v="40"/>
    <n v="30"/>
    <n v="60"/>
    <n v="23"/>
    <n v="787"/>
    <n v="34"/>
    <n v="6"/>
    <n v="17"/>
    <n v="57"/>
    <n v="0.95"/>
    <n v="0.56666666666666665"/>
    <n v="1.1499999999999999"/>
  </r>
  <r>
    <n v="475"/>
    <x v="4"/>
    <s v="East"/>
    <s v="Small Market"/>
    <s v="Caffe Mocha"/>
    <s v="Espresso"/>
    <s v="Connecticut"/>
    <s v="Regular"/>
    <n v="60"/>
    <n v="90"/>
    <n v="20"/>
    <n v="150"/>
    <n v="64"/>
    <n v="551"/>
    <n v="90"/>
    <n v="58"/>
    <n v="3"/>
    <n v="154"/>
    <n v="1.0266666666666666"/>
    <n v="0.15"/>
    <n v="1.0666666666666667"/>
  </r>
  <r>
    <n v="203"/>
    <x v="4"/>
    <s v="East"/>
    <s v="Small Market"/>
    <s v="Decaf Espresso"/>
    <s v="Espresso"/>
    <s v="Connecticut"/>
    <s v="Decaf"/>
    <n v="40"/>
    <n v="70"/>
    <n v="40"/>
    <n v="110"/>
    <n v="48"/>
    <n v="334"/>
    <n v="65"/>
    <n v="15"/>
    <n v="22"/>
    <n v="113"/>
    <n v="1.0272727272727273"/>
    <n v="0.55000000000000004"/>
    <n v="1.2"/>
  </r>
  <r>
    <n v="959"/>
    <x v="4"/>
    <s v="East"/>
    <s v="Small Market"/>
    <s v="Columbian"/>
    <s v="Coffee"/>
    <s v="Connecticut"/>
    <s v="Regular"/>
    <n v="100"/>
    <n v="160"/>
    <n v="110"/>
    <n v="260"/>
    <n v="110"/>
    <n v="1020"/>
    <n v="165"/>
    <n v="36"/>
    <n v="98"/>
    <n v="275"/>
    <n v="1.0576923076923077"/>
    <n v="0.89090909090909087"/>
    <n v="1.1000000000000001"/>
  </r>
  <r>
    <n v="860"/>
    <x v="4"/>
    <s v="East"/>
    <s v="Small Market"/>
    <s v="Lemon"/>
    <s v="Herbal Tea"/>
    <s v="Connecticut"/>
    <s v="Decaf"/>
    <n v="50"/>
    <n v="80"/>
    <n v="40"/>
    <n v="130"/>
    <n v="77"/>
    <n v="529"/>
    <n v="96"/>
    <n v="29"/>
    <n v="33"/>
    <n v="173"/>
    <n v="1.3307692307692307"/>
    <n v="0.82499999999999996"/>
    <n v="1.54"/>
  </r>
  <r>
    <n v="475"/>
    <x v="4"/>
    <s v="East"/>
    <s v="Small Market"/>
    <s v="Mint"/>
    <s v="Herbal Tea"/>
    <s v="Connecticut"/>
    <s v="Decaf"/>
    <n v="50"/>
    <n v="60"/>
    <n v="40"/>
    <n v="110"/>
    <n v="68"/>
    <n v="998"/>
    <n v="80"/>
    <n v="21"/>
    <n v="38"/>
    <n v="148"/>
    <n v="1.3454545454545455"/>
    <n v="0.95"/>
    <n v="1.36"/>
  </r>
  <r>
    <n v="352"/>
    <x v="4"/>
    <s v="East"/>
    <s v="Major Market"/>
    <s v="Darjeeling"/>
    <s v="Tea"/>
    <s v="Florida"/>
    <s v="Regular"/>
    <n v="30"/>
    <n v="60"/>
    <n v="40"/>
    <n v="90"/>
    <n v="36"/>
    <n v="838"/>
    <n v="53"/>
    <n v="10"/>
    <n v="32"/>
    <n v="89"/>
    <n v="0.98888888888888893"/>
    <n v="0.8"/>
    <n v="1.2"/>
  </r>
  <r>
    <n v="239"/>
    <x v="4"/>
    <s v="East"/>
    <s v="Major Market"/>
    <s v="Green Tea"/>
    <s v="Tea"/>
    <s v="Florida"/>
    <s v="Regular"/>
    <n v="50"/>
    <n v="90"/>
    <n v="70"/>
    <n v="140"/>
    <n v="53"/>
    <n v="803"/>
    <n v="77"/>
    <n v="14"/>
    <n v="52"/>
    <n v="130"/>
    <n v="0.9285714285714286"/>
    <n v="0.74285714285714288"/>
    <n v="1.06"/>
  </r>
  <r>
    <n v="786"/>
    <x v="4"/>
    <s v="East"/>
    <s v="Major Market"/>
    <s v="Caffe Mocha"/>
    <s v="Espresso"/>
    <s v="Florida"/>
    <s v="Regular"/>
    <n v="80"/>
    <n v="130"/>
    <n v="40"/>
    <n v="210"/>
    <n v="92"/>
    <n v="599"/>
    <n v="129"/>
    <n v="83"/>
    <n v="17"/>
    <n v="221"/>
    <n v="1.0523809523809524"/>
    <n v="0.42499999999999999"/>
    <n v="1.1499999999999999"/>
  </r>
  <r>
    <n v="863"/>
    <x v="4"/>
    <s v="East"/>
    <s v="Major Market"/>
    <s v="Decaf Espresso"/>
    <s v="Espresso"/>
    <s v="Florida"/>
    <s v="Decaf"/>
    <n v="80"/>
    <n v="110"/>
    <n v="70"/>
    <n v="190"/>
    <n v="87"/>
    <n v="472"/>
    <n v="117"/>
    <n v="28"/>
    <n v="62"/>
    <n v="204"/>
    <n v="1.0736842105263158"/>
    <n v="0.88571428571428568"/>
    <n v="1.0874999999999999"/>
  </r>
  <r>
    <n v="904"/>
    <x v="4"/>
    <s v="East"/>
    <s v="Major Market"/>
    <s v="Columbian"/>
    <s v="Coffee"/>
    <s v="Florida"/>
    <s v="Regular"/>
    <n v="90"/>
    <n v="130"/>
    <n v="90"/>
    <n v="220"/>
    <n v="94"/>
    <n v="697"/>
    <n v="141"/>
    <n v="31"/>
    <n v="78"/>
    <n v="235"/>
    <n v="1.0681818181818181"/>
    <n v="0.8666666666666667"/>
    <n v="1.0444444444444445"/>
  </r>
  <r>
    <n v="321"/>
    <x v="4"/>
    <s v="East"/>
    <s v="Major Market"/>
    <s v="Decaf Irish Cream"/>
    <s v="Coffee"/>
    <s v="Florida"/>
    <s v="Decaf"/>
    <n v="100"/>
    <n v="150"/>
    <n v="100"/>
    <n v="250"/>
    <n v="114"/>
    <n v="555"/>
    <n v="159"/>
    <n v="35"/>
    <n v="100"/>
    <n v="273"/>
    <n v="1.0920000000000001"/>
    <n v="1"/>
    <n v="1.1399999999999999"/>
  </r>
  <r>
    <n v="941"/>
    <x v="4"/>
    <s v="East"/>
    <s v="Major Market"/>
    <s v="Chamomile"/>
    <s v="Herbal Tea"/>
    <s v="Florida"/>
    <s v="Decaf"/>
    <n v="30"/>
    <n v="50"/>
    <n v="30"/>
    <n v="80"/>
    <n v="48"/>
    <n v="599"/>
    <n v="62"/>
    <n v="15"/>
    <n v="35"/>
    <n v="110"/>
    <n v="1.375"/>
    <n v="1.1666666666666667"/>
    <n v="1.6"/>
  </r>
  <r>
    <n v="305"/>
    <x v="4"/>
    <s v="East"/>
    <s v="Major Market"/>
    <s v="Lemon"/>
    <s v="Herbal Tea"/>
    <s v="Florida"/>
    <s v="Decaf"/>
    <n v="40"/>
    <n v="60"/>
    <n v="30"/>
    <n v="100"/>
    <n v="58"/>
    <n v="338"/>
    <n v="72"/>
    <n v="22"/>
    <n v="17"/>
    <n v="130"/>
    <n v="1.3"/>
    <n v="0.56666666666666665"/>
    <n v="1.45"/>
  </r>
  <r>
    <n v="239"/>
    <x v="4"/>
    <s v="East"/>
    <s v="Major Market"/>
    <s v="Mint"/>
    <s v="Herbal Tea"/>
    <s v="Florida"/>
    <s v="Decaf"/>
    <n v="50"/>
    <n v="80"/>
    <n v="50"/>
    <n v="130"/>
    <n v="78"/>
    <n v="995"/>
    <n v="92"/>
    <n v="24"/>
    <n v="47"/>
    <n v="170"/>
    <n v="1.3076923076923077"/>
    <n v="0.94"/>
    <n v="1.56"/>
  </r>
  <r>
    <n v="857"/>
    <x v="4"/>
    <s v="East"/>
    <s v="Major Market"/>
    <s v="Darjeeling"/>
    <s v="Tea"/>
    <s v="Massachusetts"/>
    <s v="Regular"/>
    <n v="30"/>
    <n v="40"/>
    <n v="30"/>
    <n v="70"/>
    <n v="29"/>
    <n v="835"/>
    <n v="42"/>
    <n v="8"/>
    <n v="22"/>
    <n v="71"/>
    <n v="1.0142857142857142"/>
    <n v="0.73333333333333328"/>
    <n v="0.96666666666666667"/>
  </r>
  <r>
    <n v="413"/>
    <x v="4"/>
    <s v="East"/>
    <s v="Major Market"/>
    <s v="Green Tea"/>
    <s v="Tea"/>
    <s v="Massachusetts"/>
    <s v="Regular"/>
    <n v="20"/>
    <n v="30"/>
    <n v="20"/>
    <n v="50"/>
    <n v="20"/>
    <n v="464"/>
    <n v="29"/>
    <n v="5"/>
    <n v="12"/>
    <n v="49"/>
    <n v="0.98"/>
    <n v="0.6"/>
    <n v="1"/>
  </r>
  <r>
    <n v="413"/>
    <x v="4"/>
    <s v="East"/>
    <s v="Major Market"/>
    <s v="Caffe Mocha"/>
    <s v="Espresso"/>
    <s v="Massachusetts"/>
    <s v="Regular"/>
    <n v="50"/>
    <n v="60"/>
    <n v="0"/>
    <n v="110"/>
    <n v="53"/>
    <n v="491"/>
    <n v="61"/>
    <n v="48"/>
    <n v="-16"/>
    <n v="114"/>
    <n v="1.0363636363636364"/>
    <m/>
    <n v="1.06"/>
  </r>
  <r>
    <n v="339"/>
    <x v="4"/>
    <s v="East"/>
    <s v="Major Market"/>
    <s v="Regular Espresso"/>
    <s v="Espresso"/>
    <s v="Massachusetts"/>
    <s v="Regular"/>
    <n v="140"/>
    <n v="150"/>
    <n v="100"/>
    <n v="290"/>
    <n v="149"/>
    <n v="1156"/>
    <n v="149"/>
    <n v="41"/>
    <n v="84"/>
    <n v="298"/>
    <n v="1.0275862068965518"/>
    <n v="0.84"/>
    <n v="1.0642857142857143"/>
  </r>
  <r>
    <n v="978"/>
    <x v="4"/>
    <s v="East"/>
    <s v="Major Market"/>
    <s v="Columbian"/>
    <s v="Coffee"/>
    <s v="Massachusetts"/>
    <s v="Regular"/>
    <n v="60"/>
    <n v="460"/>
    <n v="430"/>
    <n v="520"/>
    <n v="64"/>
    <n v="-663"/>
    <n v="487"/>
    <n v="21"/>
    <n v="434"/>
    <n v="551"/>
    <n v="1.0596153846153846"/>
    <n v="1.0093023255813953"/>
    <n v="1.0666666666666667"/>
  </r>
  <r>
    <n v="857"/>
    <x v="4"/>
    <s v="East"/>
    <s v="Major Market"/>
    <s v="Lemon"/>
    <s v="Herbal Tea"/>
    <s v="Massachusetts"/>
    <s v="Decaf"/>
    <n v="40"/>
    <n v="50"/>
    <n v="20"/>
    <n v="90"/>
    <n v="53"/>
    <n v="361"/>
    <n v="65"/>
    <n v="20"/>
    <n v="12"/>
    <n v="118"/>
    <n v="1.3111111111111111"/>
    <n v="0.6"/>
    <n v="1.325"/>
  </r>
  <r>
    <n v="603"/>
    <x v="4"/>
    <s v="East"/>
    <s v="Small Market"/>
    <s v="Darjeeling"/>
    <s v="Tea"/>
    <s v="New Hampshire"/>
    <s v="Regular"/>
    <n v="20"/>
    <n v="30"/>
    <n v="20"/>
    <n v="50"/>
    <n v="20"/>
    <n v="829"/>
    <n v="29"/>
    <n v="5"/>
    <n v="12"/>
    <n v="49"/>
    <n v="0.98"/>
    <n v="0.6"/>
    <n v="1"/>
  </r>
  <r>
    <n v="603"/>
    <x v="4"/>
    <s v="East"/>
    <s v="Small Market"/>
    <s v="Green Tea"/>
    <s v="Tea"/>
    <s v="New Hampshire"/>
    <s v="Regular"/>
    <n v="0"/>
    <n v="40"/>
    <n v="30"/>
    <n v="40"/>
    <n v="0"/>
    <n v="645"/>
    <n v="43"/>
    <n v="0"/>
    <n v="32"/>
    <n v="43"/>
    <n v="1.075"/>
    <n v="1.0666666666666667"/>
    <m/>
  </r>
  <r>
    <n v="603"/>
    <x v="4"/>
    <s v="East"/>
    <s v="Small Market"/>
    <s v="Caffe Mocha"/>
    <s v="Espresso"/>
    <s v="New Hampshire"/>
    <s v="Regular"/>
    <n v="40"/>
    <n v="60"/>
    <n v="10"/>
    <n v="100"/>
    <n v="43"/>
    <n v="282"/>
    <n v="61"/>
    <n v="39"/>
    <n v="-7"/>
    <n v="104"/>
    <n v="1.04"/>
    <n v="-0.7"/>
    <n v="1.075"/>
  </r>
  <r>
    <n v="603"/>
    <x v="4"/>
    <s v="East"/>
    <s v="Small Market"/>
    <s v="Regular Espresso"/>
    <s v="Espresso"/>
    <s v="New Hampshire"/>
    <s v="Regular"/>
    <n v="30"/>
    <n v="40"/>
    <n v="0"/>
    <n v="70"/>
    <n v="34"/>
    <n v="182"/>
    <n v="42"/>
    <n v="12"/>
    <n v="-3"/>
    <n v="76"/>
    <n v="1.0857142857142856"/>
    <m/>
    <n v="1.1333333333333333"/>
  </r>
  <r>
    <n v="603"/>
    <x v="4"/>
    <s v="East"/>
    <s v="Small Market"/>
    <s v="Amaretto"/>
    <s v="Coffee"/>
    <s v="New Hampshire"/>
    <s v="Regular"/>
    <n v="40"/>
    <n v="70"/>
    <n v="40"/>
    <n v="110"/>
    <n v="51"/>
    <n v="265"/>
    <n v="74"/>
    <n v="16"/>
    <n v="35"/>
    <n v="125"/>
    <n v="1.1363636363636365"/>
    <n v="0.875"/>
    <n v="1.2749999999999999"/>
  </r>
  <r>
    <n v="603"/>
    <x v="4"/>
    <s v="East"/>
    <s v="Small Market"/>
    <s v="Columbian"/>
    <s v="Coffee"/>
    <s v="New Hampshire"/>
    <s v="Regular"/>
    <n v="40"/>
    <n v="80"/>
    <n v="50"/>
    <n v="120"/>
    <n v="52"/>
    <n v="397"/>
    <n v="80"/>
    <n v="17"/>
    <n v="31"/>
    <n v="132"/>
    <n v="1.1000000000000001"/>
    <n v="0.62"/>
    <n v="1.3"/>
  </r>
  <r>
    <n v="603"/>
    <x v="4"/>
    <s v="East"/>
    <s v="Small Market"/>
    <s v="Lemon"/>
    <s v="Herbal Tea"/>
    <s v="New Hampshire"/>
    <s v="Decaf"/>
    <n v="20"/>
    <n v="40"/>
    <n v="10"/>
    <n v="60"/>
    <n v="36"/>
    <n v="212"/>
    <n v="45"/>
    <n v="13"/>
    <n v="-1"/>
    <n v="81"/>
    <n v="1.35"/>
    <n v="-0.1"/>
    <n v="1.8"/>
  </r>
  <r>
    <n v="518"/>
    <x v="4"/>
    <s v="East"/>
    <s v="Major Market"/>
    <s v="Darjeeling"/>
    <s v="Tea"/>
    <s v="New York"/>
    <s v="Regular"/>
    <n v="110"/>
    <n v="160"/>
    <n v="120"/>
    <n v="270"/>
    <n v="104"/>
    <n v="871"/>
    <n v="152"/>
    <n v="29"/>
    <n v="112"/>
    <n v="256"/>
    <n v="0.94814814814814818"/>
    <n v="0.93333333333333335"/>
    <n v="0.94545454545454544"/>
  </r>
  <r>
    <n v="716"/>
    <x v="4"/>
    <s v="East"/>
    <s v="Major Market"/>
    <s v="Earl Grey"/>
    <s v="Tea"/>
    <s v="New York"/>
    <s v="Regular"/>
    <n v="110"/>
    <n v="160"/>
    <n v="120"/>
    <n v="270"/>
    <n v="104"/>
    <n v="821"/>
    <n v="152"/>
    <n v="29"/>
    <n v="111"/>
    <n v="256"/>
    <n v="0.94814814814814818"/>
    <n v="0.92500000000000004"/>
    <n v="0.94545454545454544"/>
  </r>
  <r>
    <n v="516"/>
    <x v="4"/>
    <s v="East"/>
    <s v="Major Market"/>
    <s v="Green Tea"/>
    <s v="Tea"/>
    <s v="New York"/>
    <s v="Regular"/>
    <n v="90"/>
    <n v="130"/>
    <n v="100"/>
    <n v="220"/>
    <n v="86"/>
    <n v="499"/>
    <n v="124"/>
    <n v="24"/>
    <n v="89"/>
    <n v="210"/>
    <n v="0.95454545454545459"/>
    <n v="0.89"/>
    <n v="0.9555555555555556"/>
  </r>
  <r>
    <n v="646"/>
    <x v="4"/>
    <s v="East"/>
    <s v="Major Market"/>
    <s v="Caffe Mocha"/>
    <s v="Espresso"/>
    <s v="New York"/>
    <s v="Regular"/>
    <n v="110"/>
    <n v="-50"/>
    <n v="-180"/>
    <n v="60"/>
    <n v="121"/>
    <n v="1673"/>
    <n v="-52"/>
    <n v="109"/>
    <n v="-195"/>
    <n v="69"/>
    <n v="1.1499999999999999"/>
    <n v="1.0833333333333333"/>
    <n v="1.1000000000000001"/>
  </r>
  <r>
    <n v="212"/>
    <x v="4"/>
    <s v="East"/>
    <s v="Major Market"/>
    <s v="Regular Espresso"/>
    <s v="Espresso"/>
    <s v="New York"/>
    <s v="Regular"/>
    <n v="240"/>
    <n v="290"/>
    <n v="210"/>
    <n v="530"/>
    <n v="260"/>
    <n v="1271"/>
    <n v="283"/>
    <n v="72"/>
    <n v="187"/>
    <n v="543"/>
    <n v="1.0245283018867926"/>
    <n v="0.89047619047619042"/>
    <n v="1.0833333333333333"/>
  </r>
  <r>
    <n v="585"/>
    <x v="4"/>
    <s v="East"/>
    <s v="Major Market"/>
    <s v="Columbian"/>
    <s v="Coffee"/>
    <s v="New York"/>
    <s v="Regular"/>
    <n v="280"/>
    <n v="430"/>
    <n v="300"/>
    <n v="710"/>
    <n v="302"/>
    <n v="2250"/>
    <n v="454"/>
    <n v="105"/>
    <n v="295"/>
    <n v="756"/>
    <n v="1.0647887323943661"/>
    <n v="0.98333333333333328"/>
    <n v="1.0785714285714285"/>
  </r>
  <r>
    <n v="315"/>
    <x v="4"/>
    <s v="East"/>
    <s v="Major Market"/>
    <s v="Lemon"/>
    <s v="Herbal Tea"/>
    <s v="New York"/>
    <s v="Decaf"/>
    <n v="200"/>
    <n v="300"/>
    <n v="200"/>
    <n v="500"/>
    <n v="265"/>
    <n v="1613"/>
    <n v="386"/>
    <n v="100"/>
    <n v="252"/>
    <n v="651"/>
    <n v="1.302"/>
    <n v="1.26"/>
    <n v="1.325"/>
  </r>
  <r>
    <n v="315"/>
    <x v="4"/>
    <s v="East"/>
    <s v="Major Market"/>
    <s v="Mint"/>
    <s v="Herbal Tea"/>
    <s v="New York"/>
    <s v="Decaf"/>
    <n v="170"/>
    <n v="-20"/>
    <n v="-90"/>
    <n v="150"/>
    <n v="235"/>
    <n v="2169"/>
    <n v="-37"/>
    <n v="72"/>
    <n v="-131"/>
    <n v="198"/>
    <n v="1.32"/>
    <n v="1.4555555555555555"/>
    <n v="1.3823529411764706"/>
  </r>
  <r>
    <n v="318"/>
    <x v="4"/>
    <s v="South"/>
    <s v="Small Market"/>
    <s v="Decaf Espresso"/>
    <s v="Espresso"/>
    <s v="Louisiana"/>
    <s v="Decaf"/>
    <n v="30"/>
    <n v="60"/>
    <n v="40"/>
    <n v="90"/>
    <n v="45"/>
    <n v="410"/>
    <n v="65"/>
    <n v="14"/>
    <n v="28"/>
    <n v="110"/>
    <n v="1.2222222222222223"/>
    <n v="0.7"/>
    <n v="1.5"/>
  </r>
  <r>
    <n v="985"/>
    <x v="4"/>
    <s v="South"/>
    <s v="Small Market"/>
    <s v="Caffe Latte"/>
    <s v="Espresso"/>
    <s v="Louisiana"/>
    <s v="Regular"/>
    <n v="50"/>
    <n v="80"/>
    <n v="10"/>
    <n v="130"/>
    <n v="64"/>
    <n v="-113"/>
    <n v="90"/>
    <n v="58"/>
    <n v="3"/>
    <n v="154"/>
    <n v="1.1846153846153846"/>
    <n v="0.3"/>
    <n v="1.28"/>
  </r>
  <r>
    <n v="225"/>
    <x v="4"/>
    <s v="South"/>
    <s v="Small Market"/>
    <s v="Caffe Mocha"/>
    <s v="Espresso"/>
    <s v="Louisiana"/>
    <s v="Regular"/>
    <n v="40"/>
    <n v="70"/>
    <n v="50"/>
    <n v="110"/>
    <n v="48"/>
    <n v="351"/>
    <n v="82"/>
    <n v="14"/>
    <n v="44"/>
    <n v="130"/>
    <n v="1.1818181818181819"/>
    <n v="0.88"/>
    <n v="1.2"/>
  </r>
  <r>
    <n v="985"/>
    <x v="4"/>
    <s v="South"/>
    <s v="Small Market"/>
    <s v="Chamomile"/>
    <s v="Herbal Tea"/>
    <s v="Louisiana"/>
    <s v="Decaf"/>
    <n v="40"/>
    <n v="60"/>
    <n v="40"/>
    <n v="100"/>
    <n v="48"/>
    <n v="599"/>
    <n v="63"/>
    <n v="15"/>
    <n v="35"/>
    <n v="111"/>
    <n v="1.1100000000000001"/>
    <n v="0.875"/>
    <n v="1.2"/>
  </r>
  <r>
    <n v="337"/>
    <x v="4"/>
    <s v="South"/>
    <s v="Small Market"/>
    <s v="Lemon"/>
    <s v="Herbal Tea"/>
    <s v="Louisiana"/>
    <s v="Decaf"/>
    <n v="70"/>
    <n v="90"/>
    <n v="40"/>
    <n v="160"/>
    <n v="77"/>
    <n v="529"/>
    <n v="96"/>
    <n v="29"/>
    <n v="33"/>
    <n v="173"/>
    <n v="1.08125"/>
    <n v="0.82499999999999996"/>
    <n v="1.1000000000000001"/>
  </r>
  <r>
    <n v="318"/>
    <x v="4"/>
    <s v="South"/>
    <s v="Small Market"/>
    <s v="Columbian"/>
    <s v="Coffee"/>
    <s v="Louisiana"/>
    <s v="Regular"/>
    <n v="50"/>
    <n v="70"/>
    <n v="50"/>
    <n v="120"/>
    <n v="40"/>
    <n v="793"/>
    <n v="59"/>
    <n v="11"/>
    <n v="36"/>
    <n v="99"/>
    <n v="0.82499999999999996"/>
    <n v="0.72"/>
    <n v="0.8"/>
  </r>
  <r>
    <n v="318"/>
    <x v="4"/>
    <s v="South"/>
    <s v="Small Market"/>
    <s v="Decaf Irish Cream"/>
    <s v="Coffee"/>
    <s v="Louisiana"/>
    <s v="Decaf"/>
    <n v="60"/>
    <n v="100"/>
    <n v="80"/>
    <n v="160"/>
    <n v="53"/>
    <n v="803"/>
    <n v="77"/>
    <n v="14"/>
    <n v="52"/>
    <n v="130"/>
    <n v="0.8125"/>
    <n v="0.65"/>
    <n v="0.8833333333333333"/>
  </r>
  <r>
    <n v="505"/>
    <x v="4"/>
    <s v="South"/>
    <s v="Small Market"/>
    <s v="Decaf Espresso"/>
    <s v="Espresso"/>
    <s v="New Mexico"/>
    <s v="Decaf"/>
    <n v="30"/>
    <n v="40"/>
    <n v="10"/>
    <n v="70"/>
    <n v="39"/>
    <n v="212"/>
    <n v="53"/>
    <n v="12"/>
    <n v="14"/>
    <n v="92"/>
    <n v="1.3142857142857143"/>
    <n v="1.4"/>
    <n v="1.3"/>
  </r>
  <r>
    <n v="505"/>
    <x v="4"/>
    <s v="South"/>
    <s v="Small Market"/>
    <s v="Caffe Latte"/>
    <s v="Espresso"/>
    <s v="New Mexico"/>
    <s v="Regular"/>
    <n v="20"/>
    <n v="40"/>
    <n v="10"/>
    <n v="60"/>
    <n v="34"/>
    <n v="-104"/>
    <n v="42"/>
    <n v="12"/>
    <n v="-4"/>
    <n v="76"/>
    <n v="1.2666666666666666"/>
    <n v="-0.4"/>
    <n v="1.7"/>
  </r>
  <r>
    <n v="505"/>
    <x v="4"/>
    <s v="South"/>
    <s v="Small Market"/>
    <s v="Caffe Mocha"/>
    <s v="Espresso"/>
    <s v="New Mexico"/>
    <s v="Regular"/>
    <n v="30"/>
    <n v="50"/>
    <n v="0"/>
    <n v="80"/>
    <n v="43"/>
    <n v="282"/>
    <n v="61"/>
    <n v="39"/>
    <n v="-7"/>
    <n v="104"/>
    <n v="1.3"/>
    <m/>
    <n v="1.4333333333333333"/>
  </r>
  <r>
    <n v="505"/>
    <x v="4"/>
    <s v="South"/>
    <s v="Small Market"/>
    <s v="Chamomile"/>
    <s v="Herbal Tea"/>
    <s v="New Mexico"/>
    <s v="Decaf"/>
    <n v="10"/>
    <n v="30"/>
    <n v="20"/>
    <n v="40"/>
    <n v="20"/>
    <n v="829"/>
    <n v="29"/>
    <n v="5"/>
    <n v="12"/>
    <n v="49"/>
    <n v="1.2250000000000001"/>
    <n v="0.6"/>
    <n v="2"/>
  </r>
  <r>
    <n v="505"/>
    <x v="4"/>
    <s v="South"/>
    <s v="Small Market"/>
    <s v="Lemon"/>
    <s v="Herbal Tea"/>
    <s v="New Mexico"/>
    <s v="Decaf"/>
    <n v="20"/>
    <n v="40"/>
    <n v="20"/>
    <n v="60"/>
    <n v="31"/>
    <n v="976"/>
    <n v="37"/>
    <n v="9"/>
    <n v="7"/>
    <n v="68"/>
    <n v="1.1333333333333333"/>
    <n v="0.35"/>
    <n v="1.55"/>
  </r>
  <r>
    <n v="505"/>
    <x v="4"/>
    <s v="South"/>
    <s v="Small Market"/>
    <s v="Columbian"/>
    <s v="Coffee"/>
    <s v="New Mexico"/>
    <s v="Regular"/>
    <n v="60"/>
    <n v="100"/>
    <n v="60"/>
    <n v="160"/>
    <n v="52"/>
    <n v="397"/>
    <n v="80"/>
    <n v="17"/>
    <n v="31"/>
    <n v="132"/>
    <n v="0.82499999999999996"/>
    <n v="0.51666666666666672"/>
    <n v="0.8666666666666667"/>
  </r>
  <r>
    <n v="505"/>
    <x v="4"/>
    <s v="South"/>
    <s v="Small Market"/>
    <s v="Decaf Irish Cream"/>
    <s v="Coffee"/>
    <s v="New Mexico"/>
    <s v="Decaf"/>
    <n v="120"/>
    <n v="50"/>
    <n v="10"/>
    <n v="170"/>
    <n v="98"/>
    <n v="973"/>
    <n v="38"/>
    <n v="30"/>
    <n v="-15"/>
    <n v="136"/>
    <n v="0.8"/>
    <n v="-1.5"/>
    <n v="0.81666666666666665"/>
  </r>
  <r>
    <n v="405"/>
    <x v="4"/>
    <s v="South"/>
    <s v="Small Market"/>
    <s v="Decaf Espresso"/>
    <s v="Espresso"/>
    <s v="Oklahoma"/>
    <s v="Decaf"/>
    <n v="80"/>
    <n v="120"/>
    <n v="80"/>
    <n v="200"/>
    <n v="94"/>
    <n v="697"/>
    <n v="141"/>
    <n v="31"/>
    <n v="79"/>
    <n v="235"/>
    <n v="1.175"/>
    <n v="0.98750000000000004"/>
    <n v="1.175"/>
  </r>
  <r>
    <n v="918"/>
    <x v="4"/>
    <s v="South"/>
    <s v="Small Market"/>
    <s v="Caffe Latte"/>
    <s v="Espresso"/>
    <s v="Oklahoma"/>
    <s v="Regular"/>
    <n v="90"/>
    <n v="140"/>
    <n v="100"/>
    <n v="230"/>
    <n v="114"/>
    <n v="-387"/>
    <n v="159"/>
    <n v="35"/>
    <n v="101"/>
    <n v="273"/>
    <n v="1.1869565217391305"/>
    <n v="1.01"/>
    <n v="1.2666666666666666"/>
  </r>
  <r>
    <n v="405"/>
    <x v="4"/>
    <s v="South"/>
    <s v="Small Market"/>
    <s v="Caffe Mocha"/>
    <s v="Espresso"/>
    <s v="Oklahoma"/>
    <s v="Regular"/>
    <n v="10"/>
    <n v="30"/>
    <n v="30"/>
    <n v="40"/>
    <n v="20"/>
    <n v="464"/>
    <n v="29"/>
    <n v="5"/>
    <n v="13"/>
    <n v="49"/>
    <n v="1.2250000000000001"/>
    <n v="0.43333333333333335"/>
    <n v="2"/>
  </r>
  <r>
    <n v="918"/>
    <x v="4"/>
    <s v="South"/>
    <s v="Small Market"/>
    <s v="Chamomile"/>
    <s v="Herbal Tea"/>
    <s v="Oklahoma"/>
    <s v="Decaf"/>
    <n v="50"/>
    <n v="70"/>
    <n v="20"/>
    <n v="120"/>
    <n v="58"/>
    <n v="338"/>
    <n v="72"/>
    <n v="22"/>
    <n v="17"/>
    <n v="130"/>
    <n v="1.0833333333333333"/>
    <n v="0.85"/>
    <n v="1.1599999999999999"/>
  </r>
  <r>
    <n v="918"/>
    <x v="4"/>
    <s v="South"/>
    <s v="Small Market"/>
    <s v="Lemon"/>
    <s v="Herbal Tea"/>
    <s v="Oklahoma"/>
    <s v="Decaf"/>
    <n v="80"/>
    <n v="130"/>
    <n v="40"/>
    <n v="210"/>
    <n v="92"/>
    <n v="599"/>
    <n v="129"/>
    <n v="83"/>
    <n v="17"/>
    <n v="221"/>
    <n v="1.0523809523809524"/>
    <n v="0.42499999999999999"/>
    <n v="1.1499999999999999"/>
  </r>
  <r>
    <n v="580"/>
    <x v="4"/>
    <s v="South"/>
    <s v="Small Market"/>
    <s v="Columbian"/>
    <s v="Coffee"/>
    <s v="Oklahoma"/>
    <s v="Regular"/>
    <n v="50"/>
    <n v="70"/>
    <n v="50"/>
    <n v="120"/>
    <n v="43"/>
    <n v="602"/>
    <n v="56"/>
    <n v="14"/>
    <n v="30"/>
    <n v="99"/>
    <n v="0.82499999999999996"/>
    <n v="0.6"/>
    <n v="0.86"/>
  </r>
  <r>
    <n v="405"/>
    <x v="4"/>
    <s v="South"/>
    <s v="Small Market"/>
    <s v="Decaf Irish Cream"/>
    <s v="Coffee"/>
    <s v="Oklahoma"/>
    <s v="Decaf"/>
    <n v="30"/>
    <n v="50"/>
    <n v="40"/>
    <n v="80"/>
    <n v="29"/>
    <n v="835"/>
    <n v="42"/>
    <n v="8"/>
    <n v="22"/>
    <n v="71"/>
    <n v="0.88749999999999996"/>
    <n v="0.55000000000000004"/>
    <n v="0.96666666666666667"/>
  </r>
  <r>
    <n v="430"/>
    <x v="4"/>
    <s v="South"/>
    <s v="Major Market"/>
    <s v="Decaf Espresso"/>
    <s v="Espresso"/>
    <s v="Texas"/>
    <s v="Decaf"/>
    <n v="70"/>
    <n v="110"/>
    <n v="90"/>
    <n v="180"/>
    <n v="86"/>
    <n v="499"/>
    <n v="124"/>
    <n v="24"/>
    <n v="88"/>
    <n v="210"/>
    <n v="1.1666666666666667"/>
    <n v="0.97777777777777775"/>
    <n v="1.2285714285714286"/>
  </r>
  <r>
    <n v="254"/>
    <x v="4"/>
    <s v="South"/>
    <s v="Major Market"/>
    <s v="Caffe Latte"/>
    <s v="Espresso"/>
    <s v="Texas"/>
    <s v="Regular"/>
    <n v="50"/>
    <n v="80"/>
    <n v="50"/>
    <n v="130"/>
    <n v="64"/>
    <n v="-161"/>
    <n v="96"/>
    <n v="21"/>
    <n v="44"/>
    <n v="160"/>
    <n v="1.2307692307692308"/>
    <n v="0.88"/>
    <n v="1.28"/>
  </r>
  <r>
    <n v="254"/>
    <x v="4"/>
    <s v="South"/>
    <s v="Major Market"/>
    <s v="Caffe Mocha"/>
    <s v="Espresso"/>
    <s v="Texas"/>
    <s v="Regular"/>
    <n v="80"/>
    <n v="140"/>
    <n v="120"/>
    <n v="220"/>
    <n v="104"/>
    <n v="821"/>
    <n v="152"/>
    <n v="29"/>
    <n v="112"/>
    <n v="256"/>
    <n v="1.1636363636363636"/>
    <n v="0.93333333333333335"/>
    <n v="1.3"/>
  </r>
  <r>
    <n v="915"/>
    <x v="4"/>
    <s v="South"/>
    <s v="Major Market"/>
    <s v="Chamomile"/>
    <s v="Herbal Tea"/>
    <s v="Texas"/>
    <s v="Decaf"/>
    <n v="40"/>
    <n v="80"/>
    <n v="50"/>
    <n v="120"/>
    <n v="52"/>
    <n v="361"/>
    <n v="71"/>
    <n v="17"/>
    <n v="27"/>
    <n v="123"/>
    <n v="1.0249999999999999"/>
    <n v="0.54"/>
    <n v="1.3"/>
  </r>
  <r>
    <n v="512"/>
    <x v="4"/>
    <s v="South"/>
    <s v="Major Market"/>
    <s v="Lemon"/>
    <s v="Herbal Tea"/>
    <s v="Texas"/>
    <s v="Decaf"/>
    <n v="40"/>
    <n v="60"/>
    <n v="30"/>
    <n v="100"/>
    <n v="42"/>
    <n v="384"/>
    <n v="61"/>
    <n v="13"/>
    <n v="25"/>
    <n v="103"/>
    <n v="1.03"/>
    <n v="0.83333333333333337"/>
    <n v="1.05"/>
  </r>
  <r>
    <n v="430"/>
    <x v="4"/>
    <s v="South"/>
    <s v="Major Market"/>
    <s v="Columbian"/>
    <s v="Coffee"/>
    <s v="Texas"/>
    <s v="Regular"/>
    <n v="290"/>
    <n v="350"/>
    <n v="270"/>
    <n v="640"/>
    <n v="235"/>
    <n v="1060"/>
    <n v="277"/>
    <n v="72"/>
    <n v="183"/>
    <n v="512"/>
    <n v="0.8"/>
    <n v="0.67777777777777781"/>
    <n v="0.81034482758620685"/>
  </r>
  <r>
    <n v="956"/>
    <x v="4"/>
    <s v="South"/>
    <s v="Major Market"/>
    <s v="Decaf Irish Cream"/>
    <s v="Coffee"/>
    <s v="Texas"/>
    <s v="Decaf"/>
    <n v="100"/>
    <n v="130"/>
    <n v="100"/>
    <n v="230"/>
    <n v="83"/>
    <n v="584"/>
    <n v="107"/>
    <n v="27"/>
    <n v="68"/>
    <n v="190"/>
    <n v="0.82608695652173914"/>
    <n v="0.68"/>
    <n v="0.83"/>
  </r>
  <r>
    <n v="435"/>
    <x v="4"/>
    <s v="West"/>
    <s v="Small Market"/>
    <s v="Caffe Latte"/>
    <s v="Espresso"/>
    <s v="Utah"/>
    <s v="Regular"/>
    <n v="30"/>
    <n v="60"/>
    <n v="50"/>
    <n v="90"/>
    <n v="39"/>
    <n v="799"/>
    <n v="58"/>
    <n v="10"/>
    <n v="36"/>
    <n v="97"/>
    <n v="1.0777777777777777"/>
    <n v="0.72"/>
    <n v="1.3"/>
  </r>
  <r>
    <n v="435"/>
    <x v="4"/>
    <s v="West"/>
    <s v="Small Market"/>
    <s v="Caffe Mocha"/>
    <s v="Espresso"/>
    <s v="Utah"/>
    <s v="Regular"/>
    <n v="40"/>
    <n v="60"/>
    <n v="40"/>
    <n v="100"/>
    <n v="48"/>
    <n v="599"/>
    <n v="63"/>
    <n v="15"/>
    <n v="36"/>
    <n v="111"/>
    <n v="1.1100000000000001"/>
    <n v="0.9"/>
    <n v="1.2"/>
  </r>
  <r>
    <n v="435"/>
    <x v="4"/>
    <s v="West"/>
    <s v="Small Market"/>
    <s v="Decaf Espresso"/>
    <s v="Espresso"/>
    <s v="Utah"/>
    <s v="Decaf"/>
    <n v="40"/>
    <n v="60"/>
    <n v="40"/>
    <n v="100"/>
    <n v="44"/>
    <n v="844"/>
    <n v="65"/>
    <n v="12"/>
    <n v="42"/>
    <n v="109"/>
    <n v="1.0900000000000001"/>
    <n v="1.05"/>
    <n v="1.1000000000000001"/>
  </r>
  <r>
    <n v="435"/>
    <x v="4"/>
    <s v="West"/>
    <s v="Small Market"/>
    <s v="Amaretto"/>
    <s v="Coffee"/>
    <s v="Utah"/>
    <s v="Regular"/>
    <n v="80"/>
    <n v="100"/>
    <n v="60"/>
    <n v="180"/>
    <n v="68"/>
    <n v="998"/>
    <n v="80"/>
    <n v="21"/>
    <n v="38"/>
    <n v="148"/>
    <n v="0.82222222222222219"/>
    <n v="0.6333333333333333"/>
    <n v="0.85"/>
  </r>
  <r>
    <n v="435"/>
    <x v="4"/>
    <s v="West"/>
    <s v="Small Market"/>
    <s v="Columbian"/>
    <s v="Coffee"/>
    <s v="Utah"/>
    <s v="Regular"/>
    <n v="60"/>
    <n v="80"/>
    <n v="50"/>
    <n v="140"/>
    <n v="48"/>
    <n v="334"/>
    <n v="65"/>
    <n v="15"/>
    <n v="22"/>
    <n v="113"/>
    <n v="0.80714285714285716"/>
    <n v="0.44"/>
    <n v="0.8"/>
  </r>
  <r>
    <n v="435"/>
    <x v="4"/>
    <s v="West"/>
    <s v="Small Market"/>
    <s v="Decaf Irish Cream"/>
    <s v="Coffee"/>
    <s v="Utah"/>
    <s v="Decaf"/>
    <n v="90"/>
    <n v="120"/>
    <n v="70"/>
    <n v="210"/>
    <n v="77"/>
    <n v="529"/>
    <n v="96"/>
    <n v="29"/>
    <n v="34"/>
    <n v="173"/>
    <n v="0.82380952380952377"/>
    <n v="0.48571428571428571"/>
    <n v="0.85555555555555551"/>
  </r>
  <r>
    <n v="435"/>
    <x v="4"/>
    <s v="West"/>
    <s v="Small Market"/>
    <s v="Chamomile"/>
    <s v="Herbal Tea"/>
    <s v="Utah"/>
    <s v="Decaf"/>
    <n v="40"/>
    <n v="70"/>
    <n v="40"/>
    <n v="110"/>
    <n v="51"/>
    <n v="265"/>
    <n v="74"/>
    <n v="16"/>
    <n v="34"/>
    <n v="125"/>
    <n v="1.1363636363636365"/>
    <n v="0.85"/>
    <n v="1.2749999999999999"/>
  </r>
  <r>
    <n v="435"/>
    <x v="4"/>
    <s v="West"/>
    <s v="Small Market"/>
    <s v="Lemon"/>
    <s v="Herbal Tea"/>
    <s v="Utah"/>
    <s v="Decaf"/>
    <n v="40"/>
    <n v="70"/>
    <n v="40"/>
    <n v="110"/>
    <n v="52"/>
    <n v="397"/>
    <n v="80"/>
    <n v="17"/>
    <n v="32"/>
    <n v="132"/>
    <n v="1.2"/>
    <n v="0.8"/>
    <n v="1.3"/>
  </r>
  <r>
    <n v="435"/>
    <x v="4"/>
    <s v="West"/>
    <s v="Small Market"/>
    <s v="Mint"/>
    <s v="Herbal Tea"/>
    <s v="Utah"/>
    <s v="Decaf"/>
    <n v="80"/>
    <n v="30"/>
    <n v="-10"/>
    <n v="110"/>
    <n v="98"/>
    <n v="973"/>
    <n v="38"/>
    <n v="30"/>
    <n v="-15"/>
    <n v="136"/>
    <n v="1.2363636363636363"/>
    <n v="1.5"/>
    <n v="1.2250000000000001"/>
  </r>
  <r>
    <n v="435"/>
    <x v="4"/>
    <s v="West"/>
    <s v="Small Market"/>
    <s v="Darjeeling"/>
    <s v="Tea"/>
    <s v="Utah"/>
    <s v="Regular"/>
    <n v="20"/>
    <n v="50"/>
    <n v="10"/>
    <n v="70"/>
    <n v="43"/>
    <n v="282"/>
    <n v="61"/>
    <n v="39"/>
    <n v="-8"/>
    <n v="104"/>
    <n v="1.4857142857142858"/>
    <n v="-0.8"/>
    <n v="2.15"/>
  </r>
  <r>
    <n v="435"/>
    <x v="4"/>
    <s v="West"/>
    <s v="Small Market"/>
    <s v="Earl Grey"/>
    <s v="Tea"/>
    <s v="Utah"/>
    <s v="Regular"/>
    <n v="20"/>
    <n v="40"/>
    <n v="20"/>
    <n v="60"/>
    <n v="39"/>
    <n v="212"/>
    <n v="53"/>
    <n v="12"/>
    <n v="14"/>
    <n v="92"/>
    <n v="1.5333333333333334"/>
    <n v="0.7"/>
    <n v="1.95"/>
  </r>
  <r>
    <n v="801"/>
    <x v="4"/>
    <s v="West"/>
    <s v="Small Market"/>
    <s v="Green Tea"/>
    <s v="Tea"/>
    <s v="Utah"/>
    <s v="Regular"/>
    <n v="20"/>
    <n v="30"/>
    <n v="10"/>
    <n v="50"/>
    <n v="34"/>
    <n v="182"/>
    <n v="42"/>
    <n v="12"/>
    <n v="-3"/>
    <n v="76"/>
    <n v="1.52"/>
    <n v="-0.3"/>
    <n v="1.7"/>
  </r>
  <r>
    <n v="415"/>
    <x v="4"/>
    <s v="West"/>
    <s v="Major Market"/>
    <s v="Caffe Latte"/>
    <s v="Espresso"/>
    <s v="California"/>
    <s v="Regular"/>
    <n v="240"/>
    <n v="260"/>
    <n v="180"/>
    <n v="500"/>
    <n v="260"/>
    <n v="1559"/>
    <n v="261"/>
    <n v="72"/>
    <n v="165"/>
    <n v="521"/>
    <n v="1.042"/>
    <n v="0.91666666666666663"/>
    <n v="1.0833333333333333"/>
  </r>
  <r>
    <n v="209"/>
    <x v="4"/>
    <s v="West"/>
    <s v="Major Market"/>
    <s v="Caffe Mocha"/>
    <s v="Espresso"/>
    <s v="California"/>
    <s v="Regular"/>
    <n v="110"/>
    <n v="160"/>
    <n v="30"/>
    <n v="270"/>
    <n v="121"/>
    <n v="788"/>
    <n v="168"/>
    <n v="109"/>
    <n v="25"/>
    <n v="289"/>
    <n v="1.0703703703703704"/>
    <n v="0.83333333333333337"/>
    <n v="1.1000000000000001"/>
  </r>
  <r>
    <n v="626"/>
    <x v="4"/>
    <s v="West"/>
    <s v="Major Market"/>
    <s v="Decaf Espresso"/>
    <s v="Espresso"/>
    <s v="California"/>
    <s v="Decaf"/>
    <n v="250"/>
    <n v="330"/>
    <n v="220"/>
    <n v="580"/>
    <n v="263"/>
    <n v="1433"/>
    <n v="349"/>
    <n v="86"/>
    <n v="230"/>
    <n v="612"/>
    <n v="1.0551724137931036"/>
    <n v="1.0454545454545454"/>
    <n v="1.052"/>
  </r>
  <r>
    <n v="209"/>
    <x v="4"/>
    <s v="West"/>
    <s v="Major Market"/>
    <s v="Amaretto"/>
    <s v="Coffee"/>
    <s v="California"/>
    <s v="Regular"/>
    <n v="160"/>
    <n v="-30"/>
    <n v="-80"/>
    <n v="130"/>
    <n v="127"/>
    <n v="1215"/>
    <n v="-21"/>
    <n v="40"/>
    <n v="-84"/>
    <n v="106"/>
    <n v="0.81538461538461537"/>
    <n v="1.05"/>
    <n v="0.79374999999999996"/>
  </r>
  <r>
    <n v="650"/>
    <x v="4"/>
    <s v="West"/>
    <s v="Major Market"/>
    <s v="Columbian"/>
    <s v="Coffee"/>
    <s v="California"/>
    <s v="Regular"/>
    <n v="380"/>
    <n v="560"/>
    <n v="410"/>
    <n v="940"/>
    <n v="302"/>
    <n v="2250"/>
    <n v="454"/>
    <n v="105"/>
    <n v="295"/>
    <n v="756"/>
    <n v="0.80425531914893622"/>
    <n v="0.71951219512195119"/>
    <n v="0.79473684210526319"/>
  </r>
  <r>
    <n v="714"/>
    <x v="4"/>
    <s v="West"/>
    <s v="Major Market"/>
    <s v="Decaf Irish Cream"/>
    <s v="Coffee"/>
    <s v="California"/>
    <s v="Decaf"/>
    <n v="240"/>
    <n v="-40"/>
    <n v="-140"/>
    <n v="200"/>
    <n v="195"/>
    <n v="1952"/>
    <n v="-32"/>
    <n v="64"/>
    <n v="-142"/>
    <n v="163"/>
    <n v="0.81499999999999995"/>
    <n v="1.0142857142857142"/>
    <n v="0.8125"/>
  </r>
  <r>
    <n v="760"/>
    <x v="4"/>
    <s v="West"/>
    <s v="Major Market"/>
    <s v="Chamomile"/>
    <s v="Herbal Tea"/>
    <s v="California"/>
    <s v="Decaf"/>
    <n v="80"/>
    <n v="140"/>
    <n v="120"/>
    <n v="220"/>
    <n v="104"/>
    <n v="871"/>
    <n v="152"/>
    <n v="29"/>
    <n v="111"/>
    <n v="256"/>
    <n v="1.1636363636363636"/>
    <n v="0.92500000000000004"/>
    <n v="1.3"/>
  </r>
  <r>
    <n v="805"/>
    <x v="4"/>
    <s v="West"/>
    <s v="Major Market"/>
    <s v="Lemon"/>
    <s v="Herbal Tea"/>
    <s v="California"/>
    <s v="Decaf"/>
    <n v="200"/>
    <n v="250"/>
    <n v="180"/>
    <n v="450"/>
    <n v="235"/>
    <n v="1060"/>
    <n v="277"/>
    <n v="72"/>
    <n v="183"/>
    <n v="512"/>
    <n v="1.1377777777777778"/>
    <n v="1.0166666666666666"/>
    <n v="1.175"/>
  </r>
  <r>
    <n v="805"/>
    <x v="4"/>
    <s v="West"/>
    <s v="Major Market"/>
    <s v="Mint"/>
    <s v="Herbal Tea"/>
    <s v="California"/>
    <s v="Decaf"/>
    <n v="70"/>
    <n v="90"/>
    <n v="60"/>
    <n v="160"/>
    <n v="83"/>
    <n v="584"/>
    <n v="107"/>
    <n v="27"/>
    <n v="67"/>
    <n v="190"/>
    <n v="1.1875"/>
    <n v="1.1166666666666667"/>
    <n v="1.1857142857142857"/>
  </r>
  <r>
    <n v="310"/>
    <x v="4"/>
    <s v="West"/>
    <s v="Major Market"/>
    <s v="Darjeeling"/>
    <s v="Tea"/>
    <s v="California"/>
    <s v="Regular"/>
    <n v="60"/>
    <n v="110"/>
    <n v="100"/>
    <n v="170"/>
    <n v="104"/>
    <n v="821"/>
    <n v="152"/>
    <n v="29"/>
    <n v="111"/>
    <n v="256"/>
    <n v="1.5058823529411764"/>
    <n v="1.1100000000000001"/>
    <n v="1.7333333333333334"/>
  </r>
  <r>
    <n v="530"/>
    <x v="4"/>
    <s v="West"/>
    <s v="Major Market"/>
    <s v="Earl Grey"/>
    <s v="Tea"/>
    <s v="California"/>
    <s v="Regular"/>
    <n v="50"/>
    <n v="90"/>
    <n v="80"/>
    <n v="140"/>
    <n v="86"/>
    <n v="499"/>
    <n v="124"/>
    <n v="24"/>
    <n v="89"/>
    <n v="210"/>
    <n v="1.5"/>
    <n v="1.1125"/>
    <n v="1.72"/>
  </r>
  <r>
    <n v="714"/>
    <x v="4"/>
    <s v="West"/>
    <s v="Major Market"/>
    <s v="Green Tea"/>
    <s v="Tea"/>
    <s v="California"/>
    <s v="Regular"/>
    <n v="40"/>
    <n v="60"/>
    <n v="30"/>
    <n v="100"/>
    <n v="64"/>
    <n v="593"/>
    <n v="96"/>
    <n v="21"/>
    <n v="43"/>
    <n v="160"/>
    <n v="1.6"/>
    <n v="1.4333333333333333"/>
    <n v="1.6"/>
  </r>
  <r>
    <n v="775"/>
    <x v="4"/>
    <s v="West"/>
    <s v="Small Market"/>
    <s v="Caffe Latte"/>
    <s v="Espresso"/>
    <s v="Nevada"/>
    <s v="Regular"/>
    <n v="0"/>
    <n v="40"/>
    <n v="30"/>
    <n v="40"/>
    <n v="0"/>
    <n v="645"/>
    <n v="43"/>
    <n v="0"/>
    <n v="31"/>
    <n v="43"/>
    <n v="1.075"/>
    <n v="1.0333333333333334"/>
    <m/>
  </r>
  <r>
    <n v="775"/>
    <x v="4"/>
    <s v="West"/>
    <s v="Small Market"/>
    <s v="Caffe Mocha"/>
    <s v="Espresso"/>
    <s v="Nevada"/>
    <s v="Regular"/>
    <n v="10"/>
    <n v="30"/>
    <n v="20"/>
    <n v="40"/>
    <n v="20"/>
    <n v="829"/>
    <n v="29"/>
    <n v="5"/>
    <n v="13"/>
    <n v="49"/>
    <n v="1.2250000000000001"/>
    <n v="0.65"/>
    <n v="2"/>
  </r>
  <r>
    <n v="775"/>
    <x v="4"/>
    <s v="West"/>
    <s v="Small Market"/>
    <s v="Decaf Espresso"/>
    <s v="Espresso"/>
    <s v="Nevada"/>
    <s v="Decaf"/>
    <n v="10"/>
    <n v="30"/>
    <n v="20"/>
    <n v="40"/>
    <n v="20"/>
    <n v="784"/>
    <n v="29"/>
    <n v="5"/>
    <n v="13"/>
    <n v="49"/>
    <n v="1.2250000000000001"/>
    <n v="0.65"/>
    <n v="2"/>
  </r>
  <r>
    <n v="702"/>
    <x v="4"/>
    <s v="West"/>
    <s v="Small Market"/>
    <s v="Columbian"/>
    <s v="Coffee"/>
    <s v="Nevada"/>
    <s v="Regular"/>
    <n v="40"/>
    <n v="60"/>
    <n v="20"/>
    <n v="100"/>
    <n v="36"/>
    <n v="212"/>
    <n v="45"/>
    <n v="13"/>
    <n v="-1"/>
    <n v="81"/>
    <n v="0.81"/>
    <n v="-0.05"/>
    <n v="0.9"/>
  </r>
  <r>
    <n v="775"/>
    <x v="4"/>
    <s v="West"/>
    <s v="Small Market"/>
    <s v="Chamomile"/>
    <s v="Herbal Tea"/>
    <s v="Nevada"/>
    <s v="Decaf"/>
    <n v="100"/>
    <n v="150"/>
    <n v="40"/>
    <n v="250"/>
    <n v="121"/>
    <n v="788"/>
    <n v="168"/>
    <n v="109"/>
    <n v="25"/>
    <n v="289"/>
    <n v="1.1559999999999999"/>
    <n v="0.625"/>
    <n v="1.21"/>
  </r>
  <r>
    <n v="775"/>
    <x v="4"/>
    <s v="West"/>
    <s v="Small Market"/>
    <s v="Lemon"/>
    <s v="Herbal Tea"/>
    <s v="Nevada"/>
    <s v="Decaf"/>
    <n v="160"/>
    <n v="240"/>
    <n v="160"/>
    <n v="400"/>
    <n v="195"/>
    <n v="956"/>
    <n v="270"/>
    <n v="64"/>
    <n v="160"/>
    <n v="465"/>
    <n v="1.1625000000000001"/>
    <n v="1"/>
    <n v="1.21875"/>
  </r>
  <r>
    <n v="775"/>
    <x v="4"/>
    <s v="West"/>
    <s v="Small Market"/>
    <s v="Mint"/>
    <s v="Herbal Tea"/>
    <s v="Nevada"/>
    <s v="Decaf"/>
    <n v="100"/>
    <n v="170"/>
    <n v="120"/>
    <n v="270"/>
    <n v="127"/>
    <n v="671"/>
    <n v="185"/>
    <n v="40"/>
    <n v="121"/>
    <n v="312"/>
    <n v="1.1555555555555554"/>
    <n v="1.0083333333333333"/>
    <n v="1.27"/>
  </r>
  <r>
    <n v="702"/>
    <x v="4"/>
    <s v="West"/>
    <s v="Small Market"/>
    <s v="Darjeeling"/>
    <s v="Tea"/>
    <s v="Nevada"/>
    <s v="Regular"/>
    <n v="170"/>
    <n v="240"/>
    <n v="170"/>
    <n v="410"/>
    <n v="263"/>
    <n v="1433"/>
    <n v="349"/>
    <n v="86"/>
    <n v="231"/>
    <n v="612"/>
    <n v="1.4926829268292683"/>
    <n v="1.3588235294117648"/>
    <n v="1.5470588235294118"/>
  </r>
  <r>
    <n v="775"/>
    <x v="4"/>
    <s v="West"/>
    <s v="Small Market"/>
    <s v="Earl Grey"/>
    <s v="Tea"/>
    <s v="Nevada"/>
    <s v="Regular"/>
    <n v="170"/>
    <n v="180"/>
    <n v="120"/>
    <n v="350"/>
    <n v="260"/>
    <n v="1559"/>
    <n v="261"/>
    <n v="72"/>
    <n v="164"/>
    <n v="521"/>
    <n v="1.4885714285714287"/>
    <n v="1.3666666666666667"/>
    <n v="1.5294117647058822"/>
  </r>
  <r>
    <n v="702"/>
    <x v="4"/>
    <s v="West"/>
    <s v="Small Market"/>
    <s v="Green Tea"/>
    <s v="Tea"/>
    <s v="Nevada"/>
    <s v="Regular"/>
    <n v="170"/>
    <n v="-170"/>
    <n v="-250"/>
    <n v="0"/>
    <n v="265"/>
    <n v="3742"/>
    <n v="-265"/>
    <n v="100"/>
    <n v="-380"/>
    <n v="18"/>
    <m/>
    <n v="1.52"/>
    <n v="1.5588235294117647"/>
  </r>
  <r>
    <n v="775"/>
    <x v="4"/>
    <s v="West"/>
    <s v="Small Market"/>
    <s v="Decaf Irish Cream"/>
    <s v="Coffee"/>
    <s v="Nevada"/>
    <s v="Decaf"/>
    <n v="30"/>
    <n v="50"/>
    <n v="30"/>
    <n v="80"/>
    <n v="31"/>
    <n v="976"/>
    <n v="37"/>
    <n v="9"/>
    <n v="6"/>
    <n v="68"/>
    <n v="0.85"/>
    <n v="0.2"/>
    <n v="1.0333333333333334"/>
  </r>
  <r>
    <n v="541"/>
    <x v="4"/>
    <s v="West"/>
    <s v="Small Market"/>
    <s v="Caffe Latte"/>
    <s v="Espresso"/>
    <s v="Oregon"/>
    <s v="Regular"/>
    <n v="50"/>
    <n v="60"/>
    <n v="20"/>
    <n v="110"/>
    <n v="53"/>
    <n v="361"/>
    <n v="65"/>
    <n v="20"/>
    <n v="11"/>
    <n v="118"/>
    <n v="1.0727272727272728"/>
    <n v="0.55000000000000004"/>
    <n v="1.06"/>
  </r>
  <r>
    <n v="541"/>
    <x v="4"/>
    <s v="West"/>
    <s v="Small Market"/>
    <s v="Caffe Mocha"/>
    <s v="Espresso"/>
    <s v="Oregon"/>
    <s v="Regular"/>
    <n v="40"/>
    <n v="70"/>
    <n v="40"/>
    <n v="110"/>
    <n v="52"/>
    <n v="361"/>
    <n v="71"/>
    <n v="17"/>
    <n v="27"/>
    <n v="123"/>
    <n v="1.1181818181818182"/>
    <n v="0.67500000000000004"/>
    <n v="1.3"/>
  </r>
  <r>
    <n v="541"/>
    <x v="4"/>
    <s v="West"/>
    <s v="Small Market"/>
    <s v="Decaf Espresso"/>
    <s v="Espresso"/>
    <s v="Oregon"/>
    <s v="Decaf"/>
    <n v="140"/>
    <n v="140"/>
    <n v="90"/>
    <n v="280"/>
    <n v="149"/>
    <n v="1156"/>
    <n v="149"/>
    <n v="41"/>
    <n v="83"/>
    <n v="298"/>
    <n v="1.0642857142857143"/>
    <n v="0.92222222222222228"/>
    <n v="1.0642857142857143"/>
  </r>
  <r>
    <n v="503"/>
    <x v="4"/>
    <s v="West"/>
    <s v="Small Market"/>
    <s v="Amaretto"/>
    <s v="Coffee"/>
    <s v="Oregon"/>
    <s v="Regular"/>
    <n v="60"/>
    <n v="100"/>
    <n v="40"/>
    <n v="160"/>
    <n v="53"/>
    <n v="458"/>
    <n v="75"/>
    <n v="48"/>
    <n v="-2"/>
    <n v="128"/>
    <n v="0.8"/>
    <n v="-0.05"/>
    <n v="0.8833333333333333"/>
  </r>
  <r>
    <n v="971"/>
    <x v="4"/>
    <s v="West"/>
    <s v="Small Market"/>
    <s v="Columbian"/>
    <s v="Coffee"/>
    <s v="Oregon"/>
    <s v="Regular"/>
    <n v="60"/>
    <n v="80"/>
    <n v="30"/>
    <n v="140"/>
    <n v="48"/>
    <n v="422"/>
    <n v="68"/>
    <n v="15"/>
    <n v="8"/>
    <n v="116"/>
    <n v="0.82857142857142863"/>
    <n v="0.26666666666666666"/>
    <n v="0.8"/>
  </r>
  <r>
    <n v="503"/>
    <x v="4"/>
    <s v="West"/>
    <s v="Small Market"/>
    <s v="Chamomile"/>
    <s v="Herbal Tea"/>
    <s v="Oregon"/>
    <s v="Decaf"/>
    <n v="20"/>
    <n v="40"/>
    <n v="40"/>
    <n v="60"/>
    <n v="30"/>
    <n v="794"/>
    <n v="45"/>
    <n v="8"/>
    <n v="26"/>
    <n v="75"/>
    <n v="1.25"/>
    <n v="0.65"/>
    <n v="1.5"/>
  </r>
  <r>
    <n v="971"/>
    <x v="4"/>
    <s v="West"/>
    <s v="Small Market"/>
    <s v="Lemon"/>
    <s v="Herbal Tea"/>
    <s v="Oregon"/>
    <s v="Decaf"/>
    <n v="30"/>
    <n v="50"/>
    <n v="30"/>
    <n v="80"/>
    <n v="43"/>
    <n v="602"/>
    <n v="56"/>
    <n v="14"/>
    <n v="30"/>
    <n v="99"/>
    <n v="1.2375"/>
    <n v="1"/>
    <n v="1.4333333333333333"/>
  </r>
  <r>
    <n v="503"/>
    <x v="4"/>
    <s v="West"/>
    <s v="Small Market"/>
    <s v="Darjeeling"/>
    <s v="Tea"/>
    <s v="Oregon"/>
    <s v="Regular"/>
    <n v="10"/>
    <n v="20"/>
    <n v="20"/>
    <n v="30"/>
    <n v="20"/>
    <n v="464"/>
    <n v="29"/>
    <n v="5"/>
    <n v="12"/>
    <n v="49"/>
    <n v="1.6333333333333333"/>
    <n v="0.6"/>
    <n v="2"/>
  </r>
  <r>
    <n v="503"/>
    <x v="4"/>
    <s v="West"/>
    <s v="Small Market"/>
    <s v="Earl Grey"/>
    <s v="Tea"/>
    <s v="Oregon"/>
    <s v="Regular"/>
    <n v="60"/>
    <n v="90"/>
    <n v="50"/>
    <n v="150"/>
    <n v="94"/>
    <n v="697"/>
    <n v="141"/>
    <n v="31"/>
    <n v="79"/>
    <n v="235"/>
    <n v="1.5666666666666667"/>
    <n v="1.58"/>
    <n v="1.5666666666666667"/>
  </r>
  <r>
    <n v="971"/>
    <x v="4"/>
    <s v="West"/>
    <s v="Small Market"/>
    <s v="Green Tea"/>
    <s v="Tea"/>
    <s v="Oregon"/>
    <s v="Regular"/>
    <n v="70"/>
    <n v="110"/>
    <n v="70"/>
    <n v="180"/>
    <n v="114"/>
    <n v="555"/>
    <n v="159"/>
    <n v="35"/>
    <n v="101"/>
    <n v="273"/>
    <n v="1.5166666666666666"/>
    <n v="1.4428571428571428"/>
    <n v="1.6285714285714286"/>
  </r>
  <r>
    <n v="971"/>
    <x v="4"/>
    <s v="West"/>
    <s v="Small Market"/>
    <s v="Decaf Irish Cream"/>
    <s v="Coffee"/>
    <s v="Oregon"/>
    <s v="Decaf"/>
    <n v="50"/>
    <n v="70"/>
    <n v="40"/>
    <n v="120"/>
    <n v="42"/>
    <n v="384"/>
    <n v="61"/>
    <n v="13"/>
    <n v="25"/>
    <n v="103"/>
    <n v="0.85833333333333328"/>
    <n v="0.625"/>
    <n v="0.84"/>
  </r>
  <r>
    <n v="206"/>
    <x v="4"/>
    <s v="West"/>
    <s v="Small Market"/>
    <s v="Caffe Latte"/>
    <s v="Espresso"/>
    <s v="Washington"/>
    <s v="Regular"/>
    <n v="40"/>
    <n v="60"/>
    <n v="40"/>
    <n v="100"/>
    <n v="48"/>
    <n v="599"/>
    <n v="62"/>
    <n v="15"/>
    <n v="34"/>
    <n v="110"/>
    <n v="1.1000000000000001"/>
    <n v="0.85"/>
    <n v="1.2"/>
  </r>
  <r>
    <n v="206"/>
    <x v="4"/>
    <s v="West"/>
    <s v="Small Market"/>
    <s v="Caffe Mocha"/>
    <s v="Espresso"/>
    <s v="Washington"/>
    <s v="Regular"/>
    <n v="50"/>
    <n v="70"/>
    <n v="20"/>
    <n v="120"/>
    <n v="58"/>
    <n v="338"/>
    <n v="72"/>
    <n v="22"/>
    <n v="16"/>
    <n v="130"/>
    <n v="1.0833333333333333"/>
    <n v="0.8"/>
    <n v="1.1599999999999999"/>
  </r>
  <r>
    <n v="206"/>
    <x v="4"/>
    <s v="West"/>
    <s v="Small Market"/>
    <s v="Decaf Espresso"/>
    <s v="Espresso"/>
    <s v="Washington"/>
    <s v="Decaf"/>
    <n v="70"/>
    <n v="90"/>
    <n v="60"/>
    <n v="160"/>
    <n v="78"/>
    <n v="995"/>
    <n v="92"/>
    <n v="24"/>
    <n v="47"/>
    <n v="170"/>
    <n v="1.0625"/>
    <n v="0.78333333333333333"/>
    <n v="1.1142857142857143"/>
  </r>
  <r>
    <n v="253"/>
    <x v="4"/>
    <s v="West"/>
    <s v="Small Market"/>
    <s v="Columbian"/>
    <s v="Coffee"/>
    <s v="Washington"/>
    <s v="Regular"/>
    <n v="80"/>
    <n v="130"/>
    <n v="90"/>
    <n v="210"/>
    <n v="71"/>
    <n v="373"/>
    <n v="104"/>
    <n v="22"/>
    <n v="58"/>
    <n v="175"/>
    <n v="0.83333333333333337"/>
    <n v="0.64444444444444449"/>
    <n v="0.88749999999999996"/>
  </r>
  <r>
    <n v="206"/>
    <x v="4"/>
    <s v="West"/>
    <s v="Small Market"/>
    <s v="Chamomile"/>
    <s v="Herbal Tea"/>
    <s v="Washington"/>
    <s v="Decaf"/>
    <n v="90"/>
    <n v="150"/>
    <n v="100"/>
    <n v="240"/>
    <n v="110"/>
    <n v="1020"/>
    <n v="165"/>
    <n v="36"/>
    <n v="98"/>
    <n v="275"/>
    <n v="1.1458333333333333"/>
    <n v="0.98"/>
    <n v="1.2222222222222223"/>
  </r>
  <r>
    <n v="206"/>
    <x v="4"/>
    <s v="West"/>
    <s v="Small Market"/>
    <s v="Lemon"/>
    <s v="Herbal Tea"/>
    <s v="Washington"/>
    <s v="Decaf"/>
    <n v="30"/>
    <n v="50"/>
    <n v="50"/>
    <n v="80"/>
    <n v="40"/>
    <n v="793"/>
    <n v="59"/>
    <n v="11"/>
    <n v="36"/>
    <n v="99"/>
    <n v="1.2375"/>
    <n v="0.72"/>
    <n v="1.3333333333333333"/>
  </r>
  <r>
    <n v="509"/>
    <x v="4"/>
    <s v="West"/>
    <s v="Small Market"/>
    <s v="Darjeeling"/>
    <s v="Tea"/>
    <s v="Washington"/>
    <s v="Regular"/>
    <n v="30"/>
    <n v="50"/>
    <n v="30"/>
    <n v="80"/>
    <n v="48"/>
    <n v="351"/>
    <n v="82"/>
    <n v="14"/>
    <n v="44"/>
    <n v="130"/>
    <n v="1.625"/>
    <n v="1.4666666666666666"/>
    <n v="1.6"/>
  </r>
  <r>
    <n v="360"/>
    <x v="4"/>
    <s v="West"/>
    <s v="Small Market"/>
    <s v="Earl Grey"/>
    <s v="Tea"/>
    <s v="Washington"/>
    <s v="Regular"/>
    <n v="20"/>
    <n v="50"/>
    <n v="30"/>
    <n v="70"/>
    <n v="45"/>
    <n v="410"/>
    <n v="65"/>
    <n v="14"/>
    <n v="27"/>
    <n v="110"/>
    <n v="1.5714285714285714"/>
    <n v="0.9"/>
    <n v="2.25"/>
  </r>
  <r>
    <n v="425"/>
    <x v="4"/>
    <s v="West"/>
    <s v="Small Market"/>
    <s v="Green Tea"/>
    <s v="Tea"/>
    <s v="Washington"/>
    <s v="Regular"/>
    <n v="40"/>
    <n v="60"/>
    <n v="10"/>
    <n v="100"/>
    <n v="64"/>
    <n v="551"/>
    <n v="90"/>
    <n v="58"/>
    <n v="2"/>
    <n v="154"/>
    <n v="1.54"/>
    <n v="0.2"/>
    <n v="1.6"/>
  </r>
  <r>
    <n v="253"/>
    <x v="4"/>
    <s v="West"/>
    <s v="Small Market"/>
    <s v="Decaf Irish Cream"/>
    <s v="Coffee"/>
    <s v="Washington"/>
    <s v="Decaf"/>
    <n v="110"/>
    <n v="160"/>
    <n v="60"/>
    <n v="270"/>
    <n v="92"/>
    <n v="599"/>
    <n v="129"/>
    <n v="83"/>
    <n v="16"/>
    <n v="221"/>
    <n v="0.81851851851851853"/>
    <n v="0.26666666666666666"/>
    <n v="0.83636363636363631"/>
  </r>
  <r>
    <n v="719"/>
    <x v="5"/>
    <s v="Central"/>
    <s v="Major Market"/>
    <s v="Darjeeling"/>
    <s v="Tea"/>
    <s v="Colorado"/>
    <s v="Regular"/>
    <n v="40"/>
    <n v="60"/>
    <n v="20"/>
    <n v="100"/>
    <n v="51"/>
    <n v="396"/>
    <n v="64"/>
    <n v="19"/>
    <n v="11"/>
    <n v="115"/>
    <n v="1.1499999999999999"/>
    <n v="0.55000000000000004"/>
    <n v="1.2749999999999999"/>
  </r>
  <r>
    <n v="970"/>
    <x v="5"/>
    <s v="Central"/>
    <s v="Major Market"/>
    <s v="Earl Grey"/>
    <s v="Tea"/>
    <s v="Colorado"/>
    <s v="Regular"/>
    <n v="40"/>
    <n v="60"/>
    <n v="30"/>
    <n v="100"/>
    <n v="53"/>
    <n v="1028"/>
    <n v="64"/>
    <n v="16"/>
    <n v="27"/>
    <n v="117"/>
    <n v="1.17"/>
    <n v="0.9"/>
    <n v="1.325"/>
  </r>
  <r>
    <n v="720"/>
    <x v="5"/>
    <s v="Central"/>
    <s v="Major Market"/>
    <s v="Green Tea"/>
    <s v="Tea"/>
    <s v="Colorado"/>
    <s v="Regular"/>
    <n v="30"/>
    <n v="50"/>
    <n v="30"/>
    <n v="80"/>
    <n v="43"/>
    <n v="597"/>
    <n v="56"/>
    <n v="14"/>
    <n v="29"/>
    <n v="99"/>
    <n v="1.2375"/>
    <n v="0.96666666666666667"/>
    <n v="1.4333333333333333"/>
  </r>
  <r>
    <n v="719"/>
    <x v="5"/>
    <s v="Central"/>
    <s v="Major Market"/>
    <s v="Caffe Mocha"/>
    <s v="Espresso"/>
    <s v="Colorado"/>
    <s v="Regular"/>
    <n v="100"/>
    <n v="170"/>
    <n v="140"/>
    <n v="270"/>
    <n v="94"/>
    <n v="562"/>
    <n v="136"/>
    <n v="26"/>
    <n v="99"/>
    <n v="230"/>
    <n v="0.85185185185185186"/>
    <n v="0.70714285714285718"/>
    <n v="0.94"/>
  </r>
  <r>
    <n v="303"/>
    <x v="5"/>
    <s v="Central"/>
    <s v="Major Market"/>
    <s v="Decaf Espresso"/>
    <s v="Espresso"/>
    <s v="Colorado"/>
    <s v="Decaf"/>
    <n v="60"/>
    <n v="90"/>
    <n v="50"/>
    <n v="150"/>
    <n v="54"/>
    <n v="641"/>
    <n v="81"/>
    <n v="17"/>
    <n v="33"/>
    <n v="135"/>
    <n v="0.9"/>
    <n v="0.66"/>
    <n v="0.9"/>
  </r>
  <r>
    <n v="719"/>
    <x v="5"/>
    <s v="Central"/>
    <s v="Major Market"/>
    <s v="Amaretto"/>
    <s v="Coffee"/>
    <s v="Colorado"/>
    <s v="Regular"/>
    <n v="110"/>
    <n v="170"/>
    <n v="130"/>
    <n v="280"/>
    <n v="113"/>
    <n v="897"/>
    <n v="163"/>
    <n v="31"/>
    <n v="121"/>
    <n v="276"/>
    <n v="0.98571428571428577"/>
    <n v="0.93076923076923079"/>
    <n v="1.0272727272727273"/>
  </r>
  <r>
    <n v="970"/>
    <x v="5"/>
    <s v="Central"/>
    <s v="Major Market"/>
    <s v="Columbian"/>
    <s v="Coffee"/>
    <s v="Colorado"/>
    <s v="Regular"/>
    <n v="80"/>
    <n v="110"/>
    <n v="80"/>
    <n v="190"/>
    <n v="83"/>
    <n v="574"/>
    <n v="107"/>
    <n v="27"/>
    <n v="68"/>
    <n v="190"/>
    <n v="1"/>
    <n v="0.85"/>
    <n v="1.0375000000000001"/>
  </r>
  <r>
    <n v="719"/>
    <x v="5"/>
    <s v="Central"/>
    <s v="Major Market"/>
    <s v="Decaf Irish Cream"/>
    <s v="Coffee"/>
    <s v="Colorado"/>
    <s v="Decaf"/>
    <n v="130"/>
    <n v="180"/>
    <n v="140"/>
    <n v="310"/>
    <n v="123"/>
    <n v="947"/>
    <n v="178"/>
    <n v="34"/>
    <n v="132"/>
    <n v="301"/>
    <n v="0.97096774193548385"/>
    <n v="0.94285714285714284"/>
    <n v="0.94615384615384612"/>
  </r>
  <r>
    <n v="720"/>
    <x v="5"/>
    <s v="Central"/>
    <s v="Major Market"/>
    <s v="Chamomile"/>
    <s v="Herbal Tea"/>
    <s v="Colorado"/>
    <s v="Decaf"/>
    <n v="120"/>
    <n v="140"/>
    <n v="90"/>
    <n v="260"/>
    <n v="149"/>
    <n v="1245"/>
    <n v="149"/>
    <n v="41"/>
    <n v="83"/>
    <n v="298"/>
    <n v="1.1461538461538461"/>
    <n v="0.92222222222222228"/>
    <n v="1.2416666666666667"/>
  </r>
  <r>
    <n v="720"/>
    <x v="5"/>
    <s v="Central"/>
    <s v="Major Market"/>
    <s v="Lemon"/>
    <s v="Herbal Tea"/>
    <s v="Colorado"/>
    <s v="Decaf"/>
    <n v="30"/>
    <n v="60"/>
    <n v="10"/>
    <n v="90"/>
    <n v="44"/>
    <n v="496"/>
    <n v="63"/>
    <n v="40"/>
    <n v="-7"/>
    <n v="107"/>
    <n v="1.1888888888888889"/>
    <n v="-0.7"/>
    <n v="1.4666666666666666"/>
  </r>
  <r>
    <n v="719"/>
    <x v="5"/>
    <s v="Central"/>
    <s v="Major Market"/>
    <s v="Mint"/>
    <s v="Herbal Tea"/>
    <s v="Colorado"/>
    <s v="Decaf"/>
    <n v="40"/>
    <n v="60"/>
    <n v="30"/>
    <n v="100"/>
    <n v="50"/>
    <n v="397"/>
    <n v="68"/>
    <n v="16"/>
    <n v="24"/>
    <n v="118"/>
    <n v="1.18"/>
    <n v="0.8"/>
    <n v="1.25"/>
  </r>
  <r>
    <n v="312"/>
    <x v="5"/>
    <s v="Central"/>
    <s v="Major Market"/>
    <s v="Darjeeling"/>
    <s v="Tea"/>
    <s v="Illinois"/>
    <s v="Regular"/>
    <n v="80"/>
    <n v="120"/>
    <n v="90"/>
    <n v="200"/>
    <n v="94"/>
    <n v="562"/>
    <n v="136"/>
    <n v="26"/>
    <n v="99"/>
    <n v="230"/>
    <n v="1.1499999999999999"/>
    <n v="1.1000000000000001"/>
    <n v="1.175"/>
  </r>
  <r>
    <n v="312"/>
    <x v="5"/>
    <s v="Central"/>
    <s v="Major Market"/>
    <s v="Earl Grey"/>
    <s v="Tea"/>
    <s v="Illinois"/>
    <s v="Regular"/>
    <n v="40"/>
    <n v="70"/>
    <n v="30"/>
    <n v="110"/>
    <n v="54"/>
    <n v="641"/>
    <n v="81"/>
    <n v="17"/>
    <n v="33"/>
    <n v="135"/>
    <n v="1.2272727272727273"/>
    <n v="1.1000000000000001"/>
    <n v="1.35"/>
  </r>
  <r>
    <n v="312"/>
    <x v="5"/>
    <s v="Central"/>
    <s v="Major Market"/>
    <s v="Caffe Mocha"/>
    <s v="Espresso"/>
    <s v="Illinois"/>
    <s v="Regular"/>
    <n v="310"/>
    <n v="430"/>
    <n v="300"/>
    <n v="740"/>
    <n v="272"/>
    <n v="1616"/>
    <n v="362"/>
    <n v="89"/>
    <n v="241"/>
    <n v="634"/>
    <n v="0.85675675675675678"/>
    <n v="0.80333333333333334"/>
    <n v="0.8774193548387097"/>
  </r>
  <r>
    <n v="312"/>
    <x v="5"/>
    <s v="Central"/>
    <s v="Major Market"/>
    <s v="Decaf Espresso"/>
    <s v="Espresso"/>
    <s v="Illinois"/>
    <s v="Decaf"/>
    <n v="300"/>
    <n v="310"/>
    <n v="210"/>
    <n v="610"/>
    <n v="260"/>
    <n v="1715"/>
    <n v="261"/>
    <n v="72"/>
    <n v="164"/>
    <n v="521"/>
    <n v="0.85409836065573774"/>
    <n v="0.78095238095238095"/>
    <n v="0.8666666666666667"/>
  </r>
  <r>
    <n v="815"/>
    <x v="5"/>
    <s v="Central"/>
    <s v="Major Market"/>
    <s v="Columbian"/>
    <s v="Coffee"/>
    <s v="Illinois"/>
    <s v="Regular"/>
    <n v="210"/>
    <n v="290"/>
    <n v="190"/>
    <n v="500"/>
    <n v="200"/>
    <n v="1095"/>
    <n v="278"/>
    <n v="66"/>
    <n v="167"/>
    <n v="478"/>
    <n v="0.95599999999999996"/>
    <n v="0.87894736842105259"/>
    <n v="0.95238095238095233"/>
  </r>
  <r>
    <n v="630"/>
    <x v="5"/>
    <s v="Central"/>
    <s v="Major Market"/>
    <s v="Decaf Irish Cream"/>
    <s v="Coffee"/>
    <s v="Illinois"/>
    <s v="Decaf"/>
    <n v="140"/>
    <n v="220"/>
    <n v="160"/>
    <n v="360"/>
    <n v="141"/>
    <n v="764"/>
    <n v="204"/>
    <n v="45"/>
    <n v="135"/>
    <n v="345"/>
    <n v="0.95833333333333337"/>
    <n v="0.84375"/>
    <n v="1.0071428571428571"/>
  </r>
  <r>
    <n v="630"/>
    <x v="5"/>
    <s v="Central"/>
    <s v="Major Market"/>
    <s v="Chamomile"/>
    <s v="Herbal Tea"/>
    <s v="Illinois"/>
    <s v="Decaf"/>
    <n v="90"/>
    <n v="150"/>
    <n v="130"/>
    <n v="240"/>
    <n v="113"/>
    <n v="897"/>
    <n v="163"/>
    <n v="31"/>
    <n v="121"/>
    <n v="276"/>
    <n v="1.1499999999999999"/>
    <n v="0.93076923076923079"/>
    <n v="1.2555555555555555"/>
  </r>
  <r>
    <n v="630"/>
    <x v="5"/>
    <s v="Central"/>
    <s v="Major Market"/>
    <s v="Lemon"/>
    <s v="Herbal Tea"/>
    <s v="Illinois"/>
    <s v="Decaf"/>
    <n v="70"/>
    <n v="90"/>
    <n v="60"/>
    <n v="160"/>
    <n v="83"/>
    <n v="574"/>
    <n v="107"/>
    <n v="27"/>
    <n v="67"/>
    <n v="190"/>
    <n v="1.1875"/>
    <n v="1.1166666666666667"/>
    <n v="1.1857142857142857"/>
  </r>
  <r>
    <n v="309"/>
    <x v="5"/>
    <s v="Central"/>
    <s v="Major Market"/>
    <s v="Mint"/>
    <s v="Herbal Tea"/>
    <s v="Illinois"/>
    <s v="Decaf"/>
    <n v="100"/>
    <n v="160"/>
    <n v="140"/>
    <n v="260"/>
    <n v="123"/>
    <n v="947"/>
    <n v="178"/>
    <n v="34"/>
    <n v="133"/>
    <n v="301"/>
    <n v="1.1576923076923078"/>
    <n v="0.95"/>
    <n v="1.23"/>
  </r>
  <r>
    <n v="641"/>
    <x v="5"/>
    <s v="Central"/>
    <s v="Small Market"/>
    <s v="Darjeeling"/>
    <s v="Tea"/>
    <s v="Iowa"/>
    <s v="Regular"/>
    <n v="220"/>
    <n v="230"/>
    <n v="150"/>
    <n v="450"/>
    <n v="260"/>
    <n v="1715"/>
    <n v="261"/>
    <n v="72"/>
    <n v="164"/>
    <n v="521"/>
    <n v="1.1577777777777778"/>
    <n v="1.0933333333333333"/>
    <n v="1.1818181818181819"/>
  </r>
  <r>
    <n v="563"/>
    <x v="5"/>
    <s v="Central"/>
    <s v="Small Market"/>
    <s v="Earl Grey"/>
    <s v="Tea"/>
    <s v="Iowa"/>
    <s v="Regular"/>
    <n v="230"/>
    <n v="300"/>
    <n v="180"/>
    <n v="530"/>
    <n v="271"/>
    <n v="1714"/>
    <n v="332"/>
    <n v="102"/>
    <n v="197"/>
    <n v="603"/>
    <n v="1.1377358490566039"/>
    <n v="1.0944444444444446"/>
    <n v="1.1782608695652175"/>
  </r>
  <r>
    <n v="515"/>
    <x v="5"/>
    <s v="Central"/>
    <s v="Small Market"/>
    <s v="Caffe Mocha"/>
    <s v="Espresso"/>
    <s v="Iowa"/>
    <s v="Regular"/>
    <n v="20"/>
    <n v="40"/>
    <n v="30"/>
    <n v="60"/>
    <n v="21"/>
    <n v="798"/>
    <n v="32"/>
    <n v="5"/>
    <n v="15"/>
    <n v="53"/>
    <n v="0.8833333333333333"/>
    <n v="0.5"/>
    <n v="1.05"/>
  </r>
  <r>
    <n v="319"/>
    <x v="5"/>
    <s v="Central"/>
    <s v="Small Market"/>
    <s v="Decaf Espresso"/>
    <s v="Espresso"/>
    <s v="Iowa"/>
    <s v="Decaf"/>
    <n v="0"/>
    <n v="50"/>
    <n v="40"/>
    <n v="50"/>
    <n v="0"/>
    <n v="602"/>
    <n v="43"/>
    <n v="0"/>
    <n v="31"/>
    <n v="43"/>
    <n v="0.86"/>
    <n v="0.77500000000000002"/>
    <m/>
  </r>
  <r>
    <n v="641"/>
    <x v="5"/>
    <s v="Central"/>
    <s v="Small Market"/>
    <s v="Amaretto"/>
    <s v="Coffee"/>
    <s v="Iowa"/>
    <s v="Regular"/>
    <n v="20"/>
    <n v="40"/>
    <n v="30"/>
    <n v="60"/>
    <n v="23"/>
    <n v="843"/>
    <n v="35"/>
    <n v="6"/>
    <n v="18"/>
    <n v="58"/>
    <n v="0.96666666666666667"/>
    <n v="0.6"/>
    <n v="1.1499999999999999"/>
  </r>
  <r>
    <n v="563"/>
    <x v="5"/>
    <s v="Central"/>
    <s v="Small Market"/>
    <s v="Columbian"/>
    <s v="Coffee"/>
    <s v="Iowa"/>
    <s v="Regular"/>
    <n v="30"/>
    <n v="40"/>
    <n v="20"/>
    <n v="70"/>
    <n v="32"/>
    <n v="996"/>
    <n v="38"/>
    <n v="9"/>
    <n v="8"/>
    <n v="70"/>
    <n v="1"/>
    <n v="0.4"/>
    <n v="1.0666666666666667"/>
  </r>
  <r>
    <n v="712"/>
    <x v="5"/>
    <s v="Central"/>
    <s v="Small Market"/>
    <s v="Decaf Irish Cream"/>
    <s v="Coffee"/>
    <s v="Iowa"/>
    <s v="Decaf"/>
    <n v="20"/>
    <n v="30"/>
    <n v="20"/>
    <n v="50"/>
    <n v="22"/>
    <n v="608"/>
    <n v="30"/>
    <n v="7"/>
    <n v="11"/>
    <n v="52"/>
    <n v="1.04"/>
    <n v="0.55000000000000004"/>
    <n v="1.1000000000000001"/>
  </r>
  <r>
    <n v="641"/>
    <x v="5"/>
    <s v="Central"/>
    <s v="Small Market"/>
    <s v="Chamomile"/>
    <s v="Herbal Tea"/>
    <s v="Iowa"/>
    <s v="Decaf"/>
    <n v="230"/>
    <n v="320"/>
    <n v="230"/>
    <n v="550"/>
    <n v="272"/>
    <n v="1616"/>
    <n v="362"/>
    <n v="89"/>
    <n v="241"/>
    <n v="634"/>
    <n v="1.1527272727272728"/>
    <n v="1.0478260869565217"/>
    <n v="1.182608695652174"/>
  </r>
  <r>
    <n v="319"/>
    <x v="5"/>
    <s v="Central"/>
    <s v="Small Market"/>
    <s v="Lemon"/>
    <s v="Herbal Tea"/>
    <s v="Iowa"/>
    <s v="Decaf"/>
    <n v="120"/>
    <n v="180"/>
    <n v="140"/>
    <n v="300"/>
    <n v="141"/>
    <n v="764"/>
    <n v="204"/>
    <n v="45"/>
    <n v="136"/>
    <n v="345"/>
    <n v="1.1499999999999999"/>
    <n v="0.97142857142857142"/>
    <n v="1.175"/>
  </r>
  <r>
    <n v="636"/>
    <x v="5"/>
    <s v="Central"/>
    <s v="Small Market"/>
    <s v="Darjeeling"/>
    <s v="Tea"/>
    <s v="Missouri"/>
    <s v="Regular"/>
    <n v="30"/>
    <n v="50"/>
    <n v="20"/>
    <n v="80"/>
    <n v="41"/>
    <n v="239"/>
    <n v="55"/>
    <n v="13"/>
    <n v="14"/>
    <n v="96"/>
    <n v="1.2"/>
    <n v="0.7"/>
    <n v="1.3666666666666667"/>
  </r>
  <r>
    <n v="573"/>
    <x v="5"/>
    <s v="Central"/>
    <s v="Small Market"/>
    <s v="Earl Grey"/>
    <s v="Tea"/>
    <s v="Missouri"/>
    <s v="Regular"/>
    <n v="30"/>
    <n v="30"/>
    <n v="-10"/>
    <n v="60"/>
    <n v="35"/>
    <n v="204"/>
    <n v="43"/>
    <n v="13"/>
    <n v="-3"/>
    <n v="78"/>
    <n v="1.3"/>
    <n v="0.3"/>
    <n v="1.1666666666666667"/>
  </r>
  <r>
    <n v="573"/>
    <x v="5"/>
    <s v="Central"/>
    <s v="Small Market"/>
    <s v="Green Tea"/>
    <s v="Tea"/>
    <s v="Missouri"/>
    <s v="Regular"/>
    <n v="30"/>
    <n v="40"/>
    <n v="0"/>
    <n v="70"/>
    <n v="36"/>
    <n v="236"/>
    <n v="46"/>
    <n v="13"/>
    <n v="0"/>
    <n v="82"/>
    <n v="1.1714285714285715"/>
    <m/>
    <n v="1.2"/>
  </r>
  <r>
    <n v="660"/>
    <x v="5"/>
    <s v="Central"/>
    <s v="Small Market"/>
    <s v="Caffe Mocha"/>
    <s v="Espresso"/>
    <s v="Missouri"/>
    <s v="Regular"/>
    <n v="40"/>
    <n v="60"/>
    <n v="40"/>
    <n v="100"/>
    <n v="37"/>
    <n v="876"/>
    <n v="55"/>
    <n v="10"/>
    <n v="33"/>
    <n v="92"/>
    <n v="0.92"/>
    <n v="0.82499999999999996"/>
    <n v="0.92500000000000004"/>
  </r>
  <r>
    <n v="573"/>
    <x v="5"/>
    <s v="Central"/>
    <s v="Small Market"/>
    <s v="Decaf Espresso"/>
    <s v="Espresso"/>
    <s v="Missouri"/>
    <s v="Decaf"/>
    <n v="40"/>
    <n v="60"/>
    <n v="40"/>
    <n v="100"/>
    <n v="36"/>
    <n v="828"/>
    <n v="53"/>
    <n v="10"/>
    <n v="31"/>
    <n v="89"/>
    <n v="0.89"/>
    <n v="0.77500000000000002"/>
    <n v="0.9"/>
  </r>
  <r>
    <n v="573"/>
    <x v="5"/>
    <s v="Central"/>
    <s v="Small Market"/>
    <s v="Columbian"/>
    <s v="Coffee"/>
    <s v="Missouri"/>
    <s v="Regular"/>
    <n v="80"/>
    <n v="90"/>
    <n v="40"/>
    <n v="170"/>
    <n v="76"/>
    <n v="580"/>
    <n v="93"/>
    <n v="28"/>
    <n v="31"/>
    <n v="169"/>
    <n v="0.99411764705882355"/>
    <n v="0.77500000000000002"/>
    <n v="0.95"/>
  </r>
  <r>
    <n v="314"/>
    <x v="5"/>
    <s v="Central"/>
    <s v="Small Market"/>
    <s v="Decaf Irish Cream"/>
    <s v="Coffee"/>
    <s v="Missouri"/>
    <s v="Decaf"/>
    <n v="60"/>
    <n v="80"/>
    <n v="50"/>
    <n v="140"/>
    <n v="65"/>
    <n v="1042"/>
    <n v="77"/>
    <n v="20"/>
    <n v="35"/>
    <n v="142"/>
    <n v="1.0142857142857142"/>
    <n v="0.7"/>
    <n v="1.0833333333333333"/>
  </r>
  <r>
    <n v="660"/>
    <x v="5"/>
    <s v="Central"/>
    <s v="Small Market"/>
    <s v="Chamomile"/>
    <s v="Herbal Tea"/>
    <s v="Missouri"/>
    <s v="Decaf"/>
    <n v="40"/>
    <n v="70"/>
    <n v="20"/>
    <n v="110"/>
    <n v="52"/>
    <n v="313"/>
    <n v="73"/>
    <n v="47"/>
    <n v="-4"/>
    <n v="125"/>
    <n v="1.1363636363636365"/>
    <n v="-0.2"/>
    <n v="1.3"/>
  </r>
  <r>
    <n v="636"/>
    <x v="5"/>
    <s v="Central"/>
    <s v="Small Market"/>
    <s v="Lemon"/>
    <s v="Herbal Tea"/>
    <s v="Missouri"/>
    <s v="Decaf"/>
    <n v="90"/>
    <n v="30"/>
    <n v="0"/>
    <n v="120"/>
    <n v="116"/>
    <n v="1142"/>
    <n v="25"/>
    <n v="35"/>
    <n v="-33"/>
    <n v="141"/>
    <n v="1.175"/>
    <m/>
    <n v="1.288888888888889"/>
  </r>
  <r>
    <n v="513"/>
    <x v="5"/>
    <s v="Central"/>
    <s v="Major Market"/>
    <s v="Darjeeling"/>
    <s v="Tea"/>
    <s v="Ohio"/>
    <s v="Regular"/>
    <n v="90"/>
    <n v="150"/>
    <n v="90"/>
    <n v="240"/>
    <n v="111"/>
    <n v="767"/>
    <n v="167"/>
    <n v="36"/>
    <n v="99"/>
    <n v="278"/>
    <n v="1.1583333333333334"/>
    <n v="1.1000000000000001"/>
    <n v="1.2333333333333334"/>
  </r>
  <r>
    <n v="937"/>
    <x v="5"/>
    <s v="Central"/>
    <s v="Major Market"/>
    <s v="Earl Grey"/>
    <s v="Tea"/>
    <s v="Ohio"/>
    <s v="Regular"/>
    <n v="100"/>
    <n v="140"/>
    <n v="90"/>
    <n v="240"/>
    <n v="118"/>
    <n v="636"/>
    <n v="164"/>
    <n v="36"/>
    <n v="105"/>
    <n v="282"/>
    <n v="1.175"/>
    <n v="1.1666666666666667"/>
    <n v="1.18"/>
  </r>
  <r>
    <n v="419"/>
    <x v="5"/>
    <s v="Central"/>
    <s v="Major Market"/>
    <s v="Caffe Mocha"/>
    <s v="Espresso"/>
    <s v="Ohio"/>
    <s v="Regular"/>
    <n v="170"/>
    <n v="180"/>
    <n v="120"/>
    <n v="350"/>
    <n v="149"/>
    <n v="1245"/>
    <n v="149"/>
    <n v="41"/>
    <n v="83"/>
    <n v="298"/>
    <n v="0.85142857142857142"/>
    <n v="0.69166666666666665"/>
    <n v="0.87647058823529411"/>
  </r>
  <r>
    <n v="419"/>
    <x v="5"/>
    <s v="Central"/>
    <s v="Major Market"/>
    <s v="Decaf Espresso"/>
    <s v="Espresso"/>
    <s v="Ohio"/>
    <s v="Decaf"/>
    <n v="50"/>
    <n v="80"/>
    <n v="30"/>
    <n v="130"/>
    <n v="51"/>
    <n v="396"/>
    <n v="64"/>
    <n v="19"/>
    <n v="12"/>
    <n v="115"/>
    <n v="0.88461538461538458"/>
    <n v="0.4"/>
    <n v="1.02"/>
  </r>
  <r>
    <n v="513"/>
    <x v="5"/>
    <s v="Central"/>
    <s v="Major Market"/>
    <s v="Amaretto"/>
    <s v="Coffee"/>
    <s v="Ohio"/>
    <s v="Regular"/>
    <n v="50"/>
    <n v="70"/>
    <n v="40"/>
    <n v="120"/>
    <n v="50"/>
    <n v="397"/>
    <n v="68"/>
    <n v="16"/>
    <n v="24"/>
    <n v="118"/>
    <n v="0.98333333333333328"/>
    <n v="0.6"/>
    <n v="1"/>
  </r>
  <r>
    <n v="614"/>
    <x v="5"/>
    <s v="Central"/>
    <s v="Major Market"/>
    <s v="Columbian"/>
    <s v="Coffee"/>
    <s v="Ohio"/>
    <s v="Regular"/>
    <n v="40"/>
    <n v="50"/>
    <n v="20"/>
    <n v="90"/>
    <n v="38"/>
    <n v="414"/>
    <n v="55"/>
    <n v="12"/>
    <n v="19"/>
    <n v="93"/>
    <n v="1.0333333333333334"/>
    <n v="0.95"/>
    <n v="0.95"/>
  </r>
  <r>
    <n v="937"/>
    <x v="5"/>
    <s v="Central"/>
    <s v="Major Market"/>
    <s v="Decaf Irish Cream"/>
    <s v="Coffee"/>
    <s v="Ohio"/>
    <s v="Decaf"/>
    <n v="40"/>
    <n v="70"/>
    <n v="20"/>
    <n v="110"/>
    <n v="44"/>
    <n v="496"/>
    <n v="63"/>
    <n v="40"/>
    <n v="-6"/>
    <n v="107"/>
    <n v="0.97272727272727277"/>
    <n v="-0.3"/>
    <n v="1.1000000000000001"/>
  </r>
  <r>
    <n v="614"/>
    <x v="5"/>
    <s v="Central"/>
    <s v="Major Market"/>
    <s v="Chamomile"/>
    <s v="Herbal Tea"/>
    <s v="Ohio"/>
    <s v="Decaf"/>
    <n v="10"/>
    <n v="20"/>
    <n v="20"/>
    <n v="30"/>
    <n v="18"/>
    <n v="478"/>
    <n v="26"/>
    <n v="5"/>
    <n v="9"/>
    <n v="44"/>
    <n v="1.4666666666666666"/>
    <n v="0.45"/>
    <n v="1.8"/>
  </r>
  <r>
    <n v="513"/>
    <x v="5"/>
    <s v="Central"/>
    <s v="Major Market"/>
    <s v="Lemon"/>
    <s v="Herbal Tea"/>
    <s v="Ohio"/>
    <s v="Decaf"/>
    <n v="20"/>
    <n v="30"/>
    <n v="30"/>
    <n v="50"/>
    <n v="24"/>
    <n v="856"/>
    <n v="36"/>
    <n v="6"/>
    <n v="18"/>
    <n v="60"/>
    <n v="1.2"/>
    <n v="0.6"/>
    <n v="1.2"/>
  </r>
  <r>
    <n v="920"/>
    <x v="5"/>
    <s v="Central"/>
    <s v="Small Market"/>
    <s v="Darjeeling"/>
    <s v="Tea"/>
    <s v="Wisconsin"/>
    <s v="Regular"/>
    <n v="30"/>
    <n v="50"/>
    <n v="20"/>
    <n v="80"/>
    <n v="40"/>
    <n v="443"/>
    <n v="59"/>
    <n v="12"/>
    <n v="24"/>
    <n v="99"/>
    <n v="1.2375"/>
    <n v="1.2"/>
    <n v="1.3333333333333333"/>
  </r>
  <r>
    <n v="715"/>
    <x v="5"/>
    <s v="Central"/>
    <s v="Small Market"/>
    <s v="Earl Grey"/>
    <s v="Tea"/>
    <s v="Wisconsin"/>
    <s v="Regular"/>
    <n v="40"/>
    <n v="70"/>
    <n v="10"/>
    <n v="110"/>
    <n v="53"/>
    <n v="597"/>
    <n v="75"/>
    <n v="48"/>
    <n v="-2"/>
    <n v="128"/>
    <n v="1.1636363636363636"/>
    <n v="-0.2"/>
    <n v="1.325"/>
  </r>
  <r>
    <n v="262"/>
    <x v="5"/>
    <s v="Central"/>
    <s v="Small Market"/>
    <s v="Caffe Mocha"/>
    <s v="Espresso"/>
    <s v="Wisconsin"/>
    <s v="Regular"/>
    <n v="90"/>
    <n v="110"/>
    <n v="70"/>
    <n v="200"/>
    <n v="81"/>
    <n v="1046"/>
    <n v="96"/>
    <n v="25"/>
    <n v="50"/>
    <n v="177"/>
    <n v="0.88500000000000001"/>
    <n v="0.7142857142857143"/>
    <n v="0.9"/>
  </r>
  <r>
    <n v="262"/>
    <x v="5"/>
    <s v="Central"/>
    <s v="Small Market"/>
    <s v="Decaf Espresso"/>
    <s v="Espresso"/>
    <s v="Wisconsin"/>
    <s v="Decaf"/>
    <n v="50"/>
    <n v="70"/>
    <n v="50"/>
    <n v="120"/>
    <n v="48"/>
    <n v="593"/>
    <n v="62"/>
    <n v="15"/>
    <n v="34"/>
    <n v="110"/>
    <n v="0.91666666666666663"/>
    <n v="0.68"/>
    <n v="0.96"/>
  </r>
  <r>
    <n v="715"/>
    <x v="5"/>
    <s v="Central"/>
    <s v="Small Market"/>
    <s v="Amaretto"/>
    <s v="Coffee"/>
    <s v="Wisconsin"/>
    <s v="Regular"/>
    <n v="60"/>
    <n v="70"/>
    <n v="20"/>
    <n v="130"/>
    <n v="59"/>
    <n v="377"/>
    <n v="74"/>
    <n v="22"/>
    <n v="19"/>
    <n v="133"/>
    <n v="1.023076923076923"/>
    <n v="0.95"/>
    <n v="0.98333333333333328"/>
  </r>
  <r>
    <n v="608"/>
    <x v="5"/>
    <s v="Central"/>
    <s v="Small Market"/>
    <s v="Columbian"/>
    <s v="Coffee"/>
    <s v="Wisconsin"/>
    <s v="Regular"/>
    <n v="110"/>
    <n v="160"/>
    <n v="50"/>
    <n v="270"/>
    <n v="110"/>
    <n v="665"/>
    <n v="154"/>
    <n v="100"/>
    <n v="24"/>
    <n v="264"/>
    <n v="0.97777777777777775"/>
    <n v="0.48"/>
    <n v="1"/>
  </r>
  <r>
    <n v="920"/>
    <x v="5"/>
    <s v="Central"/>
    <s v="Small Market"/>
    <s v="Decaf Irish Cream"/>
    <s v="Coffee"/>
    <s v="Wisconsin"/>
    <s v="Decaf"/>
    <n v="90"/>
    <n v="130"/>
    <n v="90"/>
    <n v="220"/>
    <n v="91"/>
    <n v="533"/>
    <n v="121"/>
    <n v="30"/>
    <n v="63"/>
    <n v="212"/>
    <n v="0.96363636363636362"/>
    <n v="0.7"/>
    <n v="1.0111111111111111"/>
  </r>
  <r>
    <n v="715"/>
    <x v="5"/>
    <s v="Central"/>
    <s v="Small Market"/>
    <s v="Chamomile"/>
    <s v="Herbal Tea"/>
    <s v="Wisconsin"/>
    <s v="Decaf"/>
    <n v="40"/>
    <n v="70"/>
    <n v="50"/>
    <n v="110"/>
    <n v="47"/>
    <n v="371"/>
    <n v="78"/>
    <n v="14"/>
    <n v="40"/>
    <n v="125"/>
    <n v="1.1363636363636365"/>
    <n v="0.8"/>
    <n v="1.175"/>
  </r>
  <r>
    <n v="920"/>
    <x v="5"/>
    <s v="Central"/>
    <s v="Small Market"/>
    <s v="Lemon"/>
    <s v="Herbal Tea"/>
    <s v="Wisconsin"/>
    <s v="Decaf"/>
    <n v="50"/>
    <n v="70"/>
    <n v="60"/>
    <n v="120"/>
    <n v="59"/>
    <n v="842"/>
    <n v="85"/>
    <n v="16"/>
    <n v="58"/>
    <n v="144"/>
    <n v="1.2"/>
    <n v="0.96666666666666667"/>
    <n v="1.18"/>
  </r>
  <r>
    <n v="959"/>
    <x v="5"/>
    <s v="East"/>
    <s v="Small Market"/>
    <s v="Darjeeling"/>
    <s v="Tea"/>
    <s v="Connecticut"/>
    <s v="Regular"/>
    <n v="30"/>
    <n v="60"/>
    <n v="40"/>
    <n v="90"/>
    <n v="37"/>
    <n v="876"/>
    <n v="55"/>
    <n v="10"/>
    <n v="33"/>
    <n v="92"/>
    <n v="1.0222222222222221"/>
    <n v="0.82499999999999996"/>
    <n v="1.2333333333333334"/>
  </r>
  <r>
    <n v="203"/>
    <x v="5"/>
    <s v="East"/>
    <s v="Small Market"/>
    <s v="Green Tea"/>
    <s v="Tea"/>
    <s v="Connecticut"/>
    <s v="Regular"/>
    <n v="20"/>
    <n v="30"/>
    <n v="20"/>
    <n v="50"/>
    <n v="20"/>
    <n v="804"/>
    <n v="31"/>
    <n v="5"/>
    <n v="15"/>
    <n v="51"/>
    <n v="1.02"/>
    <n v="0.75"/>
    <n v="1"/>
  </r>
  <r>
    <n v="203"/>
    <x v="5"/>
    <s v="East"/>
    <s v="Small Market"/>
    <s v="Caffe Mocha"/>
    <s v="Espresso"/>
    <s v="Connecticut"/>
    <s v="Regular"/>
    <n v="50"/>
    <n v="70"/>
    <n v="10"/>
    <n v="120"/>
    <n v="53"/>
    <n v="597"/>
    <n v="75"/>
    <n v="48"/>
    <n v="-2"/>
    <n v="128"/>
    <n v="1.0666666666666667"/>
    <n v="-0.2"/>
    <n v="1.06"/>
  </r>
  <r>
    <n v="475"/>
    <x v="5"/>
    <s v="East"/>
    <s v="Small Market"/>
    <s v="Decaf Espresso"/>
    <s v="Espresso"/>
    <s v="Connecticut"/>
    <s v="Decaf"/>
    <n v="40"/>
    <n v="60"/>
    <n v="30"/>
    <n v="100"/>
    <n v="46"/>
    <n v="367"/>
    <n v="62"/>
    <n v="15"/>
    <n v="19"/>
    <n v="108"/>
    <n v="1.08"/>
    <n v="0.6333333333333333"/>
    <n v="1.1499999999999999"/>
  </r>
  <r>
    <n v="475"/>
    <x v="5"/>
    <s v="East"/>
    <s v="Small Market"/>
    <s v="Columbian"/>
    <s v="Coffee"/>
    <s v="Connecticut"/>
    <s v="Regular"/>
    <n v="80"/>
    <n v="140"/>
    <n v="100"/>
    <n v="220"/>
    <n v="92"/>
    <n v="1102"/>
    <n v="140"/>
    <n v="30"/>
    <n v="79"/>
    <n v="232"/>
    <n v="1.0545454545454545"/>
    <n v="0.79"/>
    <n v="1.1499999999999999"/>
  </r>
  <r>
    <n v="203"/>
    <x v="5"/>
    <s v="East"/>
    <s v="Small Market"/>
    <s v="Lemon"/>
    <s v="Herbal Tea"/>
    <s v="Connecticut"/>
    <s v="Decaf"/>
    <n v="50"/>
    <n v="80"/>
    <n v="40"/>
    <n v="130"/>
    <n v="76"/>
    <n v="580"/>
    <n v="93"/>
    <n v="28"/>
    <n v="32"/>
    <n v="169"/>
    <n v="1.3"/>
    <n v="0.8"/>
    <n v="1.52"/>
  </r>
  <r>
    <n v="475"/>
    <x v="5"/>
    <s v="East"/>
    <s v="Small Market"/>
    <s v="Mint"/>
    <s v="Herbal Tea"/>
    <s v="Connecticut"/>
    <s v="Decaf"/>
    <n v="40"/>
    <n v="70"/>
    <n v="50"/>
    <n v="110"/>
    <n v="65"/>
    <n v="1042"/>
    <n v="77"/>
    <n v="20"/>
    <n v="36"/>
    <n v="142"/>
    <n v="1.290909090909091"/>
    <n v="0.72"/>
    <n v="1.625"/>
  </r>
  <r>
    <n v="386"/>
    <x v="5"/>
    <s v="East"/>
    <s v="Major Market"/>
    <s v="Darjeeling"/>
    <s v="Tea"/>
    <s v="Florida"/>
    <s v="Regular"/>
    <n v="40"/>
    <n v="70"/>
    <n v="50"/>
    <n v="110"/>
    <n v="43"/>
    <n v="864"/>
    <n v="62"/>
    <n v="12"/>
    <n v="38"/>
    <n v="105"/>
    <n v="0.95454545454545459"/>
    <n v="0.76"/>
    <n v="1.075"/>
  </r>
  <r>
    <n v="407"/>
    <x v="5"/>
    <s v="East"/>
    <s v="Major Market"/>
    <s v="Green Tea"/>
    <s v="Tea"/>
    <s v="Florida"/>
    <s v="Regular"/>
    <n v="60"/>
    <n v="90"/>
    <n v="70"/>
    <n v="150"/>
    <n v="59"/>
    <n v="842"/>
    <n v="85"/>
    <n v="16"/>
    <n v="58"/>
    <n v="144"/>
    <n v="0.96"/>
    <n v="0.82857142857142863"/>
    <n v="0.98333333333333328"/>
  </r>
  <r>
    <n v="786"/>
    <x v="5"/>
    <s v="East"/>
    <s v="Major Market"/>
    <s v="Caffe Mocha"/>
    <s v="Espresso"/>
    <s v="Florida"/>
    <s v="Regular"/>
    <n v="100"/>
    <n v="150"/>
    <n v="40"/>
    <n v="250"/>
    <n v="110"/>
    <n v="665"/>
    <n v="154"/>
    <n v="100"/>
    <n v="25"/>
    <n v="264"/>
    <n v="1.056"/>
    <n v="0.625"/>
    <n v="1.1000000000000001"/>
  </r>
  <r>
    <n v="321"/>
    <x v="5"/>
    <s v="East"/>
    <s v="Major Market"/>
    <s v="Decaf Espresso"/>
    <s v="Espresso"/>
    <s v="Florida"/>
    <s v="Decaf"/>
    <n v="80"/>
    <n v="120"/>
    <n v="80"/>
    <n v="200"/>
    <n v="91"/>
    <n v="533"/>
    <n v="121"/>
    <n v="30"/>
    <n v="63"/>
    <n v="212"/>
    <n v="1.06"/>
    <n v="0.78749999999999998"/>
    <n v="1.1375"/>
  </r>
  <r>
    <n v="904"/>
    <x v="5"/>
    <s v="East"/>
    <s v="Major Market"/>
    <s v="Columbian"/>
    <s v="Coffee"/>
    <s v="Florida"/>
    <s v="Regular"/>
    <n v="100"/>
    <n v="160"/>
    <n v="110"/>
    <n v="260"/>
    <n v="111"/>
    <n v="767"/>
    <n v="167"/>
    <n v="36"/>
    <n v="99"/>
    <n v="278"/>
    <n v="1.0692307692307692"/>
    <n v="0.9"/>
    <n v="1.1100000000000001"/>
  </r>
  <r>
    <n v="850"/>
    <x v="5"/>
    <s v="East"/>
    <s v="Major Market"/>
    <s v="Decaf Irish Cream"/>
    <s v="Coffee"/>
    <s v="Florida"/>
    <s v="Decaf"/>
    <n v="110"/>
    <n v="150"/>
    <n v="100"/>
    <n v="260"/>
    <n v="118"/>
    <n v="636"/>
    <n v="164"/>
    <n v="36"/>
    <n v="105"/>
    <n v="282"/>
    <n v="1.0846153846153845"/>
    <n v="1.05"/>
    <n v="1.0727272727272728"/>
  </r>
  <r>
    <n v="941"/>
    <x v="5"/>
    <s v="East"/>
    <s v="Major Market"/>
    <s v="Chamomile"/>
    <s v="Herbal Tea"/>
    <s v="Florida"/>
    <s v="Decaf"/>
    <n v="30"/>
    <n v="50"/>
    <n v="30"/>
    <n v="80"/>
    <n v="48"/>
    <n v="593"/>
    <n v="62"/>
    <n v="15"/>
    <n v="35"/>
    <n v="110"/>
    <n v="1.375"/>
    <n v="1.1666666666666667"/>
    <n v="1.6"/>
  </r>
  <r>
    <n v="754"/>
    <x v="5"/>
    <s v="East"/>
    <s v="Major Market"/>
    <s v="Lemon"/>
    <s v="Herbal Tea"/>
    <s v="Florida"/>
    <s v="Decaf"/>
    <n v="40"/>
    <n v="60"/>
    <n v="30"/>
    <n v="100"/>
    <n v="59"/>
    <n v="377"/>
    <n v="74"/>
    <n v="22"/>
    <n v="19"/>
    <n v="133"/>
    <n v="1.33"/>
    <n v="0.6333333333333333"/>
    <n v="1.4750000000000001"/>
  </r>
  <r>
    <n v="305"/>
    <x v="5"/>
    <s v="East"/>
    <s v="Major Market"/>
    <s v="Mint"/>
    <s v="Herbal Tea"/>
    <s v="Florida"/>
    <s v="Decaf"/>
    <n v="60"/>
    <n v="70"/>
    <n v="40"/>
    <n v="130"/>
    <n v="81"/>
    <n v="1046"/>
    <n v="96"/>
    <n v="25"/>
    <n v="49"/>
    <n v="177"/>
    <n v="1.3615384615384616"/>
    <n v="1.2250000000000001"/>
    <n v="1.35"/>
  </r>
  <r>
    <n v="781"/>
    <x v="5"/>
    <s v="East"/>
    <s v="Major Market"/>
    <s v="Darjeeling"/>
    <s v="Tea"/>
    <s v="Massachusetts"/>
    <s v="Regular"/>
    <n v="20"/>
    <n v="40"/>
    <n v="30"/>
    <n v="60"/>
    <n v="24"/>
    <n v="856"/>
    <n v="36"/>
    <n v="6"/>
    <n v="19"/>
    <n v="60"/>
    <n v="1"/>
    <n v="0.6333333333333333"/>
    <n v="1.2"/>
  </r>
  <r>
    <n v="413"/>
    <x v="5"/>
    <s v="East"/>
    <s v="Major Market"/>
    <s v="Green Tea"/>
    <s v="Tea"/>
    <s v="Massachusetts"/>
    <s v="Regular"/>
    <n v="10"/>
    <n v="30"/>
    <n v="20"/>
    <n v="40"/>
    <n v="18"/>
    <n v="478"/>
    <n v="26"/>
    <n v="5"/>
    <n v="10"/>
    <n v="44"/>
    <n v="1.1000000000000001"/>
    <n v="0.5"/>
    <n v="1.8"/>
  </r>
  <r>
    <n v="351"/>
    <x v="5"/>
    <s v="East"/>
    <s v="Major Market"/>
    <s v="Caffe Mocha"/>
    <s v="Espresso"/>
    <s v="Massachusetts"/>
    <s v="Regular"/>
    <n v="40"/>
    <n v="60"/>
    <n v="10"/>
    <n v="100"/>
    <n v="44"/>
    <n v="543"/>
    <n v="67"/>
    <n v="40"/>
    <n v="-3"/>
    <n v="111"/>
    <n v="1.1100000000000001"/>
    <n v="-0.3"/>
    <n v="1.1000000000000001"/>
  </r>
  <r>
    <n v="339"/>
    <x v="5"/>
    <s v="East"/>
    <s v="Major Market"/>
    <s v="Regular Espresso"/>
    <s v="Espresso"/>
    <s v="Massachusetts"/>
    <s v="Regular"/>
    <n v="140"/>
    <n v="150"/>
    <n v="100"/>
    <n v="290"/>
    <n v="149"/>
    <n v="1245"/>
    <n v="149"/>
    <n v="41"/>
    <n v="83"/>
    <n v="298"/>
    <n v="1.0275862068965518"/>
    <n v="0.83"/>
    <n v="1.0642857142857143"/>
  </r>
  <r>
    <n v="617"/>
    <x v="5"/>
    <s v="East"/>
    <s v="Major Market"/>
    <s v="Columbian"/>
    <s v="Coffee"/>
    <s v="Massachusetts"/>
    <s v="Regular"/>
    <n v="50"/>
    <n v="560"/>
    <n v="530"/>
    <n v="610"/>
    <n v="54"/>
    <n v="-1006"/>
    <n v="595"/>
    <n v="17"/>
    <n v="547"/>
    <n v="649"/>
    <n v="1.0639344262295083"/>
    <n v="1.0320754716981133"/>
    <n v="1.08"/>
  </r>
  <r>
    <n v="781"/>
    <x v="5"/>
    <s v="East"/>
    <s v="Major Market"/>
    <s v="Lemon"/>
    <s v="Herbal Tea"/>
    <s v="Massachusetts"/>
    <s v="Decaf"/>
    <n v="30"/>
    <n v="50"/>
    <n v="20"/>
    <n v="80"/>
    <n v="51"/>
    <n v="396"/>
    <n v="64"/>
    <n v="19"/>
    <n v="12"/>
    <n v="115"/>
    <n v="1.4375"/>
    <n v="0.6"/>
    <n v="1.7"/>
  </r>
  <r>
    <n v="603"/>
    <x v="5"/>
    <s v="East"/>
    <s v="Small Market"/>
    <s v="Darjeeling"/>
    <s v="Tea"/>
    <s v="New Hampshire"/>
    <s v="Regular"/>
    <n v="20"/>
    <n v="40"/>
    <n v="30"/>
    <n v="60"/>
    <n v="23"/>
    <n v="843"/>
    <n v="35"/>
    <n v="6"/>
    <n v="17"/>
    <n v="58"/>
    <n v="0.96666666666666667"/>
    <n v="0.56666666666666665"/>
    <n v="1.1499999999999999"/>
  </r>
  <r>
    <n v="603"/>
    <x v="5"/>
    <s v="East"/>
    <s v="Small Market"/>
    <s v="Green Tea"/>
    <s v="Tea"/>
    <s v="New Hampshire"/>
    <s v="Regular"/>
    <n v="0"/>
    <n v="40"/>
    <n v="30"/>
    <n v="40"/>
    <n v="0"/>
    <n v="602"/>
    <n v="43"/>
    <n v="0"/>
    <n v="32"/>
    <n v="43"/>
    <n v="1.075"/>
    <n v="1.0666666666666667"/>
    <m/>
  </r>
  <r>
    <n v="603"/>
    <x v="5"/>
    <s v="East"/>
    <s v="Small Market"/>
    <s v="Caffe Mocha"/>
    <s v="Espresso"/>
    <s v="New Hampshire"/>
    <s v="Regular"/>
    <n v="40"/>
    <n v="80"/>
    <n v="20"/>
    <n v="120"/>
    <n v="52"/>
    <n v="313"/>
    <n v="73"/>
    <n v="47"/>
    <n v="-4"/>
    <n v="125"/>
    <n v="1.0416666666666667"/>
    <n v="-0.2"/>
    <n v="1.3"/>
  </r>
  <r>
    <n v="603"/>
    <x v="5"/>
    <s v="East"/>
    <s v="Small Market"/>
    <s v="Regular Espresso"/>
    <s v="Espresso"/>
    <s v="New Hampshire"/>
    <s v="Regular"/>
    <n v="30"/>
    <n v="40"/>
    <n v="0"/>
    <n v="70"/>
    <n v="35"/>
    <n v="204"/>
    <n v="43"/>
    <n v="13"/>
    <n v="-3"/>
    <n v="78"/>
    <n v="1.1142857142857143"/>
    <m/>
    <n v="1.1666666666666667"/>
  </r>
  <r>
    <n v="603"/>
    <x v="5"/>
    <s v="East"/>
    <s v="Small Market"/>
    <s v="Amaretto"/>
    <s v="Coffee"/>
    <s v="New Hampshire"/>
    <s v="Regular"/>
    <n v="50"/>
    <n v="80"/>
    <n v="50"/>
    <n v="130"/>
    <n v="56"/>
    <n v="302"/>
    <n v="82"/>
    <n v="17"/>
    <n v="41"/>
    <n v="138"/>
    <n v="1.0615384615384615"/>
    <n v="0.82"/>
    <n v="1.1200000000000001"/>
  </r>
  <r>
    <n v="603"/>
    <x v="5"/>
    <s v="East"/>
    <s v="Small Market"/>
    <s v="Columbian"/>
    <s v="Coffee"/>
    <s v="New Hampshire"/>
    <s v="Regular"/>
    <n v="50"/>
    <n v="90"/>
    <n v="60"/>
    <n v="140"/>
    <n v="62"/>
    <n v="436"/>
    <n v="94"/>
    <n v="20"/>
    <n v="42"/>
    <n v="156"/>
    <n v="1.1142857142857143"/>
    <n v="0.7"/>
    <n v="1.24"/>
  </r>
  <r>
    <n v="603"/>
    <x v="5"/>
    <s v="East"/>
    <s v="Small Market"/>
    <s v="Lemon"/>
    <s v="Herbal Tea"/>
    <s v="New Hampshire"/>
    <s v="Decaf"/>
    <n v="20"/>
    <n v="40"/>
    <n v="10"/>
    <n v="60"/>
    <n v="36"/>
    <n v="236"/>
    <n v="46"/>
    <n v="13"/>
    <n v="0"/>
    <n v="82"/>
    <n v="1.3666666666666667"/>
    <n v="0"/>
    <n v="1.8"/>
  </r>
  <r>
    <n v="516"/>
    <x v="5"/>
    <s v="East"/>
    <s v="Major Market"/>
    <s v="Darjeeling"/>
    <s v="Tea"/>
    <s v="New York"/>
    <s v="Regular"/>
    <n v="130"/>
    <n v="190"/>
    <n v="150"/>
    <n v="320"/>
    <n v="123"/>
    <n v="947"/>
    <n v="178"/>
    <n v="34"/>
    <n v="133"/>
    <n v="301"/>
    <n v="0.94062500000000004"/>
    <n v="0.88666666666666671"/>
    <n v="0.94615384615384612"/>
  </r>
  <r>
    <n v="845"/>
    <x v="5"/>
    <s v="East"/>
    <s v="Major Market"/>
    <s v="Earl Grey"/>
    <s v="Tea"/>
    <s v="New York"/>
    <s v="Regular"/>
    <n v="110"/>
    <n v="180"/>
    <n v="140"/>
    <n v="290"/>
    <n v="113"/>
    <n v="897"/>
    <n v="163"/>
    <n v="31"/>
    <n v="121"/>
    <n v="276"/>
    <n v="0.9517241379310345"/>
    <n v="0.86428571428571432"/>
    <n v="1.0272727272727273"/>
  </r>
  <r>
    <n v="718"/>
    <x v="5"/>
    <s v="East"/>
    <s v="Major Market"/>
    <s v="Green Tea"/>
    <s v="Tea"/>
    <s v="New York"/>
    <s v="Regular"/>
    <n v="90"/>
    <n v="150"/>
    <n v="120"/>
    <n v="240"/>
    <n v="94"/>
    <n v="562"/>
    <n v="136"/>
    <n v="26"/>
    <n v="99"/>
    <n v="230"/>
    <n v="0.95833333333333337"/>
    <n v="0.82499999999999996"/>
    <n v="1.0444444444444445"/>
  </r>
  <r>
    <n v="914"/>
    <x v="5"/>
    <s v="East"/>
    <s v="Major Market"/>
    <s v="Caffe Mocha"/>
    <s v="Espresso"/>
    <s v="New York"/>
    <s v="Regular"/>
    <n v="130"/>
    <n v="-60"/>
    <n v="-210"/>
    <n v="70"/>
    <n v="144"/>
    <n v="1979"/>
    <n v="-72"/>
    <n v="131"/>
    <n v="-236"/>
    <n v="72"/>
    <n v="1.0285714285714285"/>
    <n v="1.1238095238095238"/>
    <n v="1.1076923076923078"/>
  </r>
  <r>
    <n v="631"/>
    <x v="5"/>
    <s v="East"/>
    <s v="Major Market"/>
    <s v="Regular Espresso"/>
    <s v="Espresso"/>
    <s v="New York"/>
    <s v="Regular"/>
    <n v="240"/>
    <n v="420"/>
    <n v="340"/>
    <n v="660"/>
    <n v="260"/>
    <n v="1405"/>
    <n v="415"/>
    <n v="72"/>
    <n v="318"/>
    <n v="675"/>
    <n v="1.0227272727272727"/>
    <n v="0.93529411764705883"/>
    <n v="1.0833333333333333"/>
  </r>
  <r>
    <n v="646"/>
    <x v="5"/>
    <s v="East"/>
    <s v="Major Market"/>
    <s v="Columbian"/>
    <s v="Coffee"/>
    <s v="New York"/>
    <s v="Regular"/>
    <n v="340"/>
    <n v="500"/>
    <n v="350"/>
    <n v="840"/>
    <n v="356"/>
    <n v="2476"/>
    <n v="534"/>
    <n v="124"/>
    <n v="357"/>
    <n v="890"/>
    <n v="1.0595238095238095"/>
    <n v="1.02"/>
    <n v="1.0470588235294118"/>
  </r>
  <r>
    <n v="607"/>
    <x v="5"/>
    <s v="East"/>
    <s v="Major Market"/>
    <s v="Lemon"/>
    <s v="Herbal Tea"/>
    <s v="New York"/>
    <s v="Decaf"/>
    <n v="200"/>
    <n v="320"/>
    <n v="220"/>
    <n v="520"/>
    <n v="271"/>
    <n v="1727"/>
    <n v="398"/>
    <n v="102"/>
    <n v="263"/>
    <n v="669"/>
    <n v="1.2865384615384616"/>
    <n v="1.1954545454545455"/>
    <n v="1.355"/>
  </r>
  <r>
    <n v="716"/>
    <x v="5"/>
    <s v="East"/>
    <s v="Major Market"/>
    <s v="Mint"/>
    <s v="Herbal Tea"/>
    <s v="New York"/>
    <s v="Decaf"/>
    <n v="180"/>
    <n v="-30"/>
    <n v="-100"/>
    <n v="150"/>
    <n v="244"/>
    <n v="2636"/>
    <n v="-46"/>
    <n v="75"/>
    <n v="-143"/>
    <n v="198"/>
    <n v="1.32"/>
    <n v="1.43"/>
    <n v="1.3555555555555556"/>
  </r>
  <r>
    <n v="318"/>
    <x v="5"/>
    <s v="South"/>
    <s v="Small Market"/>
    <s v="Decaf Espresso"/>
    <s v="Espresso"/>
    <s v="Louisiana"/>
    <s v="Decaf"/>
    <n v="30"/>
    <n v="50"/>
    <n v="30"/>
    <n v="80"/>
    <n v="40"/>
    <n v="443"/>
    <n v="59"/>
    <n v="12"/>
    <n v="23"/>
    <n v="99"/>
    <n v="1.2375"/>
    <n v="0.76666666666666672"/>
    <n v="1.3333333333333333"/>
  </r>
  <r>
    <n v="318"/>
    <x v="5"/>
    <s v="South"/>
    <s v="Small Market"/>
    <s v="Caffe Latte"/>
    <s v="Espresso"/>
    <s v="Louisiana"/>
    <s v="Regular"/>
    <n v="40"/>
    <n v="70"/>
    <n v="10"/>
    <n v="110"/>
    <n v="53"/>
    <n v="-267"/>
    <n v="75"/>
    <n v="48"/>
    <n v="-3"/>
    <n v="128"/>
    <n v="1.1636363636363636"/>
    <n v="-0.3"/>
    <n v="1.325"/>
  </r>
  <r>
    <n v="225"/>
    <x v="5"/>
    <s v="South"/>
    <s v="Small Market"/>
    <s v="Caffe Mocha"/>
    <s v="Espresso"/>
    <s v="Louisiana"/>
    <s v="Regular"/>
    <n v="40"/>
    <n v="60"/>
    <n v="40"/>
    <n v="100"/>
    <n v="47"/>
    <n v="371"/>
    <n v="78"/>
    <n v="14"/>
    <n v="41"/>
    <n v="125"/>
    <n v="1.25"/>
    <n v="1.0249999999999999"/>
    <n v="1.175"/>
  </r>
  <r>
    <n v="225"/>
    <x v="5"/>
    <s v="South"/>
    <s v="Small Market"/>
    <s v="Chamomile"/>
    <s v="Herbal Tea"/>
    <s v="Louisiana"/>
    <s v="Decaf"/>
    <n v="40"/>
    <n v="60"/>
    <n v="40"/>
    <n v="100"/>
    <n v="48"/>
    <n v="593"/>
    <n v="63"/>
    <n v="15"/>
    <n v="36"/>
    <n v="111"/>
    <n v="1.1100000000000001"/>
    <n v="0.9"/>
    <n v="1.2"/>
  </r>
  <r>
    <n v="318"/>
    <x v="5"/>
    <s v="South"/>
    <s v="Small Market"/>
    <s v="Lemon"/>
    <s v="Herbal Tea"/>
    <s v="Louisiana"/>
    <s v="Decaf"/>
    <n v="70"/>
    <n v="90"/>
    <n v="40"/>
    <n v="160"/>
    <n v="76"/>
    <n v="580"/>
    <n v="93"/>
    <n v="28"/>
    <n v="32"/>
    <n v="169"/>
    <n v="1.0562499999999999"/>
    <n v="0.8"/>
    <n v="1.0857142857142856"/>
  </r>
  <r>
    <n v="337"/>
    <x v="5"/>
    <s v="South"/>
    <s v="Small Market"/>
    <s v="Columbian"/>
    <s v="Coffee"/>
    <s v="Louisiana"/>
    <s v="Regular"/>
    <n v="50"/>
    <n v="80"/>
    <n v="60"/>
    <n v="130"/>
    <n v="43"/>
    <n v="822"/>
    <n v="64"/>
    <n v="12"/>
    <n v="40"/>
    <n v="107"/>
    <n v="0.82307692307692304"/>
    <n v="0.66666666666666663"/>
    <n v="0.86"/>
  </r>
  <r>
    <n v="318"/>
    <x v="5"/>
    <s v="South"/>
    <s v="Small Market"/>
    <s v="Decaf Irish Cream"/>
    <s v="Coffee"/>
    <s v="Louisiana"/>
    <s v="Decaf"/>
    <n v="70"/>
    <n v="110"/>
    <n v="90"/>
    <n v="180"/>
    <n v="59"/>
    <n v="842"/>
    <n v="85"/>
    <n v="16"/>
    <n v="58"/>
    <n v="144"/>
    <n v="0.8"/>
    <n v="0.64444444444444449"/>
    <n v="0.84285714285714286"/>
  </r>
  <r>
    <n v="505"/>
    <x v="5"/>
    <s v="South"/>
    <s v="Small Market"/>
    <s v="Decaf Espresso"/>
    <s v="Espresso"/>
    <s v="New Mexico"/>
    <s v="Decaf"/>
    <n v="30"/>
    <n v="50"/>
    <n v="20"/>
    <n v="80"/>
    <n v="41"/>
    <n v="239"/>
    <n v="55"/>
    <n v="13"/>
    <n v="14"/>
    <n v="96"/>
    <n v="1.2"/>
    <n v="0.7"/>
    <n v="1.3666666666666667"/>
  </r>
  <r>
    <n v="505"/>
    <x v="5"/>
    <s v="South"/>
    <s v="Small Market"/>
    <s v="Caffe Latte"/>
    <s v="Espresso"/>
    <s v="New Mexico"/>
    <s v="Regular"/>
    <n v="30"/>
    <n v="30"/>
    <n v="0"/>
    <n v="60"/>
    <n v="35"/>
    <n v="-180"/>
    <n v="43"/>
    <n v="13"/>
    <n v="-3"/>
    <n v="78"/>
    <n v="1.3"/>
    <m/>
    <n v="1.1666666666666667"/>
  </r>
  <r>
    <n v="505"/>
    <x v="5"/>
    <s v="South"/>
    <s v="Small Market"/>
    <s v="Caffe Mocha"/>
    <s v="Espresso"/>
    <s v="New Mexico"/>
    <s v="Regular"/>
    <n v="40"/>
    <n v="60"/>
    <n v="0"/>
    <n v="100"/>
    <n v="52"/>
    <n v="313"/>
    <n v="73"/>
    <n v="47"/>
    <n v="-3"/>
    <n v="125"/>
    <n v="1.25"/>
    <m/>
    <n v="1.3"/>
  </r>
  <r>
    <n v="505"/>
    <x v="5"/>
    <s v="South"/>
    <s v="Small Market"/>
    <s v="Chamomile"/>
    <s v="Herbal Tea"/>
    <s v="New Mexico"/>
    <s v="Decaf"/>
    <n v="20"/>
    <n v="30"/>
    <n v="20"/>
    <n v="50"/>
    <n v="23"/>
    <n v="843"/>
    <n v="35"/>
    <n v="6"/>
    <n v="18"/>
    <n v="58"/>
    <n v="1.1599999999999999"/>
    <n v="0.9"/>
    <n v="1.1499999999999999"/>
  </r>
  <r>
    <n v="505"/>
    <x v="5"/>
    <s v="South"/>
    <s v="Small Market"/>
    <s v="Lemon"/>
    <s v="Herbal Tea"/>
    <s v="New Mexico"/>
    <s v="Decaf"/>
    <n v="30"/>
    <n v="30"/>
    <n v="10"/>
    <n v="60"/>
    <n v="32"/>
    <n v="996"/>
    <n v="38"/>
    <n v="9"/>
    <n v="8"/>
    <n v="70"/>
    <n v="1.1666666666666667"/>
    <n v="0.8"/>
    <n v="1.0666666666666667"/>
  </r>
  <r>
    <n v="505"/>
    <x v="5"/>
    <s v="South"/>
    <s v="Small Market"/>
    <s v="Columbian"/>
    <s v="Coffee"/>
    <s v="New Mexico"/>
    <s v="Regular"/>
    <n v="70"/>
    <n v="120"/>
    <n v="80"/>
    <n v="190"/>
    <n v="62"/>
    <n v="436"/>
    <n v="94"/>
    <n v="20"/>
    <n v="43"/>
    <n v="156"/>
    <n v="0.82105263157894737"/>
    <n v="0.53749999999999998"/>
    <n v="0.88571428571428568"/>
  </r>
  <r>
    <n v="505"/>
    <x v="5"/>
    <s v="South"/>
    <s v="Small Market"/>
    <s v="Decaf Irish Cream"/>
    <s v="Coffee"/>
    <s v="New Mexico"/>
    <s v="Decaf"/>
    <n v="140"/>
    <n v="30"/>
    <n v="-20"/>
    <n v="170"/>
    <n v="116"/>
    <n v="1142"/>
    <n v="25"/>
    <n v="35"/>
    <n v="-34"/>
    <n v="141"/>
    <n v="0.8294117647058824"/>
    <n v="1.7"/>
    <n v="0.82857142857142863"/>
  </r>
  <r>
    <n v="918"/>
    <x v="5"/>
    <s v="South"/>
    <s v="Small Market"/>
    <s v="Decaf Espresso"/>
    <s v="Espresso"/>
    <s v="Oklahoma"/>
    <s v="Decaf"/>
    <n v="90"/>
    <n v="140"/>
    <n v="90"/>
    <n v="230"/>
    <n v="111"/>
    <n v="767"/>
    <n v="167"/>
    <n v="36"/>
    <n v="99"/>
    <n v="278"/>
    <n v="1.2086956521739129"/>
    <n v="1.1000000000000001"/>
    <n v="1.2333333333333334"/>
  </r>
  <r>
    <n v="918"/>
    <x v="5"/>
    <s v="South"/>
    <s v="Small Market"/>
    <s v="Caffe Latte"/>
    <s v="Espresso"/>
    <s v="Oklahoma"/>
    <s v="Regular"/>
    <n v="100"/>
    <n v="140"/>
    <n v="100"/>
    <n v="240"/>
    <n v="118"/>
    <n v="-660"/>
    <n v="164"/>
    <n v="36"/>
    <n v="105"/>
    <n v="282"/>
    <n v="1.175"/>
    <n v="1.05"/>
    <n v="1.18"/>
  </r>
  <r>
    <n v="918"/>
    <x v="5"/>
    <s v="South"/>
    <s v="Small Market"/>
    <s v="Caffe Mocha"/>
    <s v="Espresso"/>
    <s v="Oklahoma"/>
    <s v="Regular"/>
    <n v="10"/>
    <n v="20"/>
    <n v="20"/>
    <n v="30"/>
    <n v="18"/>
    <n v="478"/>
    <n v="26"/>
    <n v="5"/>
    <n v="10"/>
    <n v="44"/>
    <n v="1.4666666666666666"/>
    <n v="0.5"/>
    <n v="1.8"/>
  </r>
  <r>
    <n v="918"/>
    <x v="5"/>
    <s v="South"/>
    <s v="Small Market"/>
    <s v="Chamomile"/>
    <s v="Herbal Tea"/>
    <s v="Oklahoma"/>
    <s v="Decaf"/>
    <n v="50"/>
    <n v="80"/>
    <n v="30"/>
    <n v="130"/>
    <n v="59"/>
    <n v="377"/>
    <n v="74"/>
    <n v="22"/>
    <n v="19"/>
    <n v="133"/>
    <n v="1.023076923076923"/>
    <n v="0.6333333333333333"/>
    <n v="1.18"/>
  </r>
  <r>
    <n v="580"/>
    <x v="5"/>
    <s v="South"/>
    <s v="Small Market"/>
    <s v="Lemon"/>
    <s v="Herbal Tea"/>
    <s v="Oklahoma"/>
    <s v="Decaf"/>
    <n v="100"/>
    <n v="150"/>
    <n v="40"/>
    <n v="250"/>
    <n v="110"/>
    <n v="665"/>
    <n v="154"/>
    <n v="100"/>
    <n v="25"/>
    <n v="264"/>
    <n v="1.056"/>
    <n v="0.625"/>
    <n v="1.1000000000000001"/>
  </r>
  <r>
    <n v="918"/>
    <x v="5"/>
    <s v="South"/>
    <s v="Small Market"/>
    <s v="Columbian"/>
    <s v="Coffee"/>
    <s v="Oklahoma"/>
    <s v="Regular"/>
    <n v="50"/>
    <n v="70"/>
    <n v="50"/>
    <n v="120"/>
    <n v="43"/>
    <n v="597"/>
    <n v="56"/>
    <n v="14"/>
    <n v="29"/>
    <n v="99"/>
    <n v="0.82499999999999996"/>
    <n v="0.57999999999999996"/>
    <n v="0.86"/>
  </r>
  <r>
    <n v="405"/>
    <x v="5"/>
    <s v="South"/>
    <s v="Small Market"/>
    <s v="Decaf Irish Cream"/>
    <s v="Coffee"/>
    <s v="Oklahoma"/>
    <s v="Decaf"/>
    <n v="30"/>
    <n v="40"/>
    <n v="30"/>
    <n v="70"/>
    <n v="24"/>
    <n v="856"/>
    <n v="36"/>
    <n v="6"/>
    <n v="19"/>
    <n v="60"/>
    <n v="0.8571428571428571"/>
    <n v="0.6333333333333333"/>
    <n v="0.8"/>
  </r>
  <r>
    <n v="469"/>
    <x v="5"/>
    <s v="South"/>
    <s v="Major Market"/>
    <s v="Decaf Espresso"/>
    <s v="Espresso"/>
    <s v="Texas"/>
    <s v="Decaf"/>
    <n v="80"/>
    <n v="110"/>
    <n v="90"/>
    <n v="190"/>
    <n v="94"/>
    <n v="562"/>
    <n v="136"/>
    <n v="26"/>
    <n v="99"/>
    <n v="230"/>
    <n v="1.2105263157894737"/>
    <n v="1.1000000000000001"/>
    <n v="1.175"/>
  </r>
  <r>
    <n v="936"/>
    <x v="5"/>
    <s v="South"/>
    <s v="Major Market"/>
    <s v="Caffe Latte"/>
    <s v="Espresso"/>
    <s v="Texas"/>
    <s v="Regular"/>
    <n v="40"/>
    <n v="70"/>
    <n v="40"/>
    <n v="110"/>
    <n v="54"/>
    <n v="-321"/>
    <n v="81"/>
    <n v="17"/>
    <n v="33"/>
    <n v="135"/>
    <n v="1.2272727272727273"/>
    <n v="0.82499999999999996"/>
    <n v="1.35"/>
  </r>
  <r>
    <n v="281"/>
    <x v="5"/>
    <s v="South"/>
    <s v="Major Market"/>
    <s v="Caffe Mocha"/>
    <s v="Espresso"/>
    <s v="Texas"/>
    <s v="Regular"/>
    <n v="90"/>
    <n v="140"/>
    <n v="120"/>
    <n v="230"/>
    <n v="113"/>
    <n v="897"/>
    <n v="163"/>
    <n v="31"/>
    <n v="120"/>
    <n v="276"/>
    <n v="1.2"/>
    <n v="1"/>
    <n v="1.2555555555555555"/>
  </r>
  <r>
    <n v="832"/>
    <x v="5"/>
    <s v="South"/>
    <s v="Major Market"/>
    <s v="Chamomile"/>
    <s v="Herbal Tea"/>
    <s v="Texas"/>
    <s v="Decaf"/>
    <n v="40"/>
    <n v="70"/>
    <n v="40"/>
    <n v="110"/>
    <n v="50"/>
    <n v="397"/>
    <n v="68"/>
    <n v="16"/>
    <n v="24"/>
    <n v="118"/>
    <n v="1.0727272727272728"/>
    <n v="0.6"/>
    <n v="1.25"/>
  </r>
  <r>
    <n v="409"/>
    <x v="5"/>
    <s v="South"/>
    <s v="Major Market"/>
    <s v="Lemon"/>
    <s v="Herbal Tea"/>
    <s v="Texas"/>
    <s v="Decaf"/>
    <n v="30"/>
    <n v="60"/>
    <n v="30"/>
    <n v="90"/>
    <n v="38"/>
    <n v="414"/>
    <n v="55"/>
    <n v="12"/>
    <n v="20"/>
    <n v="93"/>
    <n v="1.0333333333333334"/>
    <n v="0.66666666666666663"/>
    <n v="1.2666666666666666"/>
  </r>
  <r>
    <n v="210"/>
    <x v="5"/>
    <s v="South"/>
    <s v="Major Market"/>
    <s v="Columbian"/>
    <s v="Coffee"/>
    <s v="Texas"/>
    <s v="Regular"/>
    <n v="300"/>
    <n v="360"/>
    <n v="270"/>
    <n v="660"/>
    <n v="244"/>
    <n v="1213"/>
    <n v="288"/>
    <n v="75"/>
    <n v="192"/>
    <n v="532"/>
    <n v="0.80606060606060603"/>
    <n v="0.71111111111111114"/>
    <n v="0.81333333333333335"/>
  </r>
  <r>
    <n v="806"/>
    <x v="5"/>
    <s v="South"/>
    <s v="Major Market"/>
    <s v="Decaf Irish Cream"/>
    <s v="Coffee"/>
    <s v="Texas"/>
    <s v="Decaf"/>
    <n v="100"/>
    <n v="130"/>
    <n v="100"/>
    <n v="230"/>
    <n v="83"/>
    <n v="574"/>
    <n v="107"/>
    <n v="27"/>
    <n v="68"/>
    <n v="190"/>
    <n v="0.82608695652173914"/>
    <n v="0.68"/>
    <n v="0.83"/>
  </r>
  <r>
    <n v="435"/>
    <x v="5"/>
    <s v="West"/>
    <s v="Small Market"/>
    <s v="Caffe Latte"/>
    <s v="Espresso"/>
    <s v="Utah"/>
    <s v="Regular"/>
    <n v="30"/>
    <n v="50"/>
    <n v="40"/>
    <n v="80"/>
    <n v="36"/>
    <n v="828"/>
    <n v="53"/>
    <n v="10"/>
    <n v="31"/>
    <n v="89"/>
    <n v="1.1125"/>
    <n v="0.77500000000000002"/>
    <n v="1.2"/>
  </r>
  <r>
    <n v="435"/>
    <x v="5"/>
    <s v="West"/>
    <s v="Small Market"/>
    <s v="Caffe Mocha"/>
    <s v="Espresso"/>
    <s v="Utah"/>
    <s v="Regular"/>
    <n v="40"/>
    <n v="60"/>
    <n v="40"/>
    <n v="100"/>
    <n v="48"/>
    <n v="593"/>
    <n v="63"/>
    <n v="15"/>
    <n v="35"/>
    <n v="111"/>
    <n v="1.1100000000000001"/>
    <n v="0.875"/>
    <n v="1.2"/>
  </r>
  <r>
    <n v="435"/>
    <x v="5"/>
    <s v="West"/>
    <s v="Small Market"/>
    <s v="Decaf Espresso"/>
    <s v="Espresso"/>
    <s v="Utah"/>
    <s v="Decaf"/>
    <n v="30"/>
    <n v="50"/>
    <n v="40"/>
    <n v="80"/>
    <n v="37"/>
    <n v="876"/>
    <n v="55"/>
    <n v="10"/>
    <n v="34"/>
    <n v="92"/>
    <n v="1.1499999999999999"/>
    <n v="0.85"/>
    <n v="1.2333333333333334"/>
  </r>
  <r>
    <n v="435"/>
    <x v="5"/>
    <s v="West"/>
    <s v="Small Market"/>
    <s v="Amaretto"/>
    <s v="Coffee"/>
    <s v="Utah"/>
    <s v="Regular"/>
    <n v="80"/>
    <n v="90"/>
    <n v="60"/>
    <n v="170"/>
    <n v="65"/>
    <n v="1042"/>
    <n v="77"/>
    <n v="20"/>
    <n v="36"/>
    <n v="142"/>
    <n v="0.83529411764705885"/>
    <n v="0.6"/>
    <n v="0.8125"/>
  </r>
  <r>
    <n v="801"/>
    <x v="5"/>
    <s v="West"/>
    <s v="Small Market"/>
    <s v="Columbian"/>
    <s v="Coffee"/>
    <s v="Utah"/>
    <s v="Regular"/>
    <n v="50"/>
    <n v="80"/>
    <n v="50"/>
    <n v="130"/>
    <n v="46"/>
    <n v="367"/>
    <n v="62"/>
    <n v="15"/>
    <n v="19"/>
    <n v="108"/>
    <n v="0.83076923076923082"/>
    <n v="0.38"/>
    <n v="0.92"/>
  </r>
  <r>
    <n v="435"/>
    <x v="5"/>
    <s v="West"/>
    <s v="Small Market"/>
    <s v="Chamomile"/>
    <s v="Herbal Tea"/>
    <s v="Utah"/>
    <s v="Decaf"/>
    <n v="40"/>
    <n v="80"/>
    <n v="50"/>
    <n v="120"/>
    <n v="56"/>
    <n v="302"/>
    <n v="82"/>
    <n v="17"/>
    <n v="42"/>
    <n v="138"/>
    <n v="1.1499999999999999"/>
    <n v="0.84"/>
    <n v="1.4"/>
  </r>
  <r>
    <n v="435"/>
    <x v="5"/>
    <s v="West"/>
    <s v="Small Market"/>
    <s v="Lemon"/>
    <s v="Herbal Tea"/>
    <s v="Utah"/>
    <s v="Decaf"/>
    <n v="50"/>
    <n v="80"/>
    <n v="50"/>
    <n v="130"/>
    <n v="62"/>
    <n v="436"/>
    <n v="94"/>
    <n v="20"/>
    <n v="42"/>
    <n v="156"/>
    <n v="1.2"/>
    <n v="0.84"/>
    <n v="1.24"/>
  </r>
  <r>
    <n v="435"/>
    <x v="5"/>
    <s v="West"/>
    <s v="Small Market"/>
    <s v="Mint"/>
    <s v="Herbal Tea"/>
    <s v="Utah"/>
    <s v="Decaf"/>
    <n v="90"/>
    <n v="30"/>
    <n v="-10"/>
    <n v="120"/>
    <n v="116"/>
    <n v="1142"/>
    <n v="25"/>
    <n v="35"/>
    <n v="-33"/>
    <n v="141"/>
    <n v="1.175"/>
    <n v="3.3"/>
    <n v="1.288888888888889"/>
  </r>
  <r>
    <n v="801"/>
    <x v="5"/>
    <s v="West"/>
    <s v="Small Market"/>
    <s v="Darjeeling"/>
    <s v="Tea"/>
    <s v="Utah"/>
    <s v="Regular"/>
    <n v="30"/>
    <n v="50"/>
    <n v="0"/>
    <n v="80"/>
    <n v="52"/>
    <n v="313"/>
    <n v="73"/>
    <n v="47"/>
    <n v="-3"/>
    <n v="125"/>
    <n v="1.5625"/>
    <m/>
    <n v="1.7333333333333334"/>
  </r>
  <r>
    <n v="801"/>
    <x v="5"/>
    <s v="West"/>
    <s v="Small Market"/>
    <s v="Earl Grey"/>
    <s v="Tea"/>
    <s v="Utah"/>
    <s v="Regular"/>
    <n v="20"/>
    <n v="40"/>
    <n v="20"/>
    <n v="60"/>
    <n v="41"/>
    <n v="239"/>
    <n v="55"/>
    <n v="13"/>
    <n v="14"/>
    <n v="96"/>
    <n v="1.6"/>
    <n v="0.7"/>
    <n v="2.0499999999999998"/>
  </r>
  <r>
    <n v="435"/>
    <x v="5"/>
    <s v="West"/>
    <s v="Small Market"/>
    <s v="Green Tea"/>
    <s v="Tea"/>
    <s v="Utah"/>
    <s v="Regular"/>
    <n v="20"/>
    <n v="30"/>
    <n v="10"/>
    <n v="50"/>
    <n v="35"/>
    <n v="204"/>
    <n v="43"/>
    <n v="13"/>
    <n v="-3"/>
    <n v="78"/>
    <n v="1.56"/>
    <n v="-0.3"/>
    <n v="1.75"/>
  </r>
  <r>
    <n v="435"/>
    <x v="5"/>
    <s v="West"/>
    <s v="Small Market"/>
    <s v="Decaf Irish Cream"/>
    <s v="Coffee"/>
    <s v="Utah"/>
    <s v="Decaf"/>
    <n v="90"/>
    <n v="120"/>
    <n v="70"/>
    <n v="210"/>
    <n v="76"/>
    <n v="580"/>
    <n v="93"/>
    <n v="28"/>
    <n v="32"/>
    <n v="169"/>
    <n v="0.80476190476190479"/>
    <n v="0.45714285714285713"/>
    <n v="0.84444444444444444"/>
  </r>
  <r>
    <n v="707"/>
    <x v="5"/>
    <s v="West"/>
    <s v="Major Market"/>
    <s v="Caffe Latte"/>
    <s v="Espresso"/>
    <s v="California"/>
    <s v="Regular"/>
    <n v="240"/>
    <n v="260"/>
    <n v="180"/>
    <n v="500"/>
    <n v="260"/>
    <n v="1715"/>
    <n v="261"/>
    <n v="72"/>
    <n v="165"/>
    <n v="521"/>
    <n v="1.042"/>
    <n v="0.91666666666666663"/>
    <n v="1.0833333333333333"/>
  </r>
  <r>
    <n v="714"/>
    <x v="5"/>
    <s v="West"/>
    <s v="Major Market"/>
    <s v="Caffe Mocha"/>
    <s v="Espresso"/>
    <s v="California"/>
    <s v="Regular"/>
    <n v="130"/>
    <n v="200"/>
    <n v="50"/>
    <n v="330"/>
    <n v="144"/>
    <n v="874"/>
    <n v="201"/>
    <n v="131"/>
    <n v="36"/>
    <n v="345"/>
    <n v="1.0454545454545454"/>
    <n v="0.72"/>
    <n v="1.1076923076923078"/>
  </r>
  <r>
    <n v="562"/>
    <x v="5"/>
    <s v="West"/>
    <s v="Major Market"/>
    <s v="Decaf Espresso"/>
    <s v="Espresso"/>
    <s v="California"/>
    <s v="Decaf"/>
    <n v="260"/>
    <n v="340"/>
    <n v="230"/>
    <n v="600"/>
    <n v="272"/>
    <n v="1616"/>
    <n v="362"/>
    <n v="89"/>
    <n v="240"/>
    <n v="634"/>
    <n v="1.0566666666666666"/>
    <n v="1.0434782608695652"/>
    <n v="1.0461538461538462"/>
  </r>
  <r>
    <n v="707"/>
    <x v="5"/>
    <s v="West"/>
    <s v="Major Market"/>
    <s v="Amaretto"/>
    <s v="Coffee"/>
    <s v="California"/>
    <s v="Regular"/>
    <n v="170"/>
    <n v="-50"/>
    <n v="-110"/>
    <n v="120"/>
    <n v="141"/>
    <n v="1514"/>
    <n v="-45"/>
    <n v="45"/>
    <n v="-113"/>
    <n v="96"/>
    <n v="0.8"/>
    <n v="1.0272727272727273"/>
    <n v="0.8294117647058824"/>
  </r>
  <r>
    <n v="805"/>
    <x v="5"/>
    <s v="West"/>
    <s v="Major Market"/>
    <s v="Columbian"/>
    <s v="Coffee"/>
    <s v="California"/>
    <s v="Regular"/>
    <n v="440"/>
    <n v="670"/>
    <n v="500"/>
    <n v="1110"/>
    <n v="356"/>
    <n v="2476"/>
    <n v="534"/>
    <n v="124"/>
    <n v="357"/>
    <n v="890"/>
    <n v="0.80180180180180183"/>
    <n v="0.71399999999999997"/>
    <n v="0.80909090909090908"/>
  </r>
  <r>
    <n v="661"/>
    <x v="5"/>
    <s v="West"/>
    <s v="Major Market"/>
    <s v="Chamomile"/>
    <s v="Herbal Tea"/>
    <s v="California"/>
    <s v="Decaf"/>
    <n v="100"/>
    <n v="160"/>
    <n v="140"/>
    <n v="260"/>
    <n v="123"/>
    <n v="947"/>
    <n v="178"/>
    <n v="34"/>
    <n v="133"/>
    <n v="301"/>
    <n v="1.1576923076923078"/>
    <n v="0.95"/>
    <n v="1.23"/>
  </r>
  <r>
    <n v="661"/>
    <x v="5"/>
    <s v="West"/>
    <s v="Major Market"/>
    <s v="Lemon"/>
    <s v="Herbal Tea"/>
    <s v="California"/>
    <s v="Decaf"/>
    <n v="200"/>
    <n v="260"/>
    <n v="190"/>
    <n v="460"/>
    <n v="244"/>
    <n v="1213"/>
    <n v="288"/>
    <n v="75"/>
    <n v="192"/>
    <n v="532"/>
    <n v="1.1565217391304348"/>
    <n v="1.0105263157894737"/>
    <n v="1.22"/>
  </r>
  <r>
    <n v="408"/>
    <x v="5"/>
    <s v="West"/>
    <s v="Major Market"/>
    <s v="Mint"/>
    <s v="Herbal Tea"/>
    <s v="California"/>
    <s v="Decaf"/>
    <n v="70"/>
    <n v="90"/>
    <n v="60"/>
    <n v="160"/>
    <n v="83"/>
    <n v="574"/>
    <n v="107"/>
    <n v="27"/>
    <n v="67"/>
    <n v="190"/>
    <n v="1.1875"/>
    <n v="1.1166666666666667"/>
    <n v="1.1857142857142857"/>
  </r>
  <r>
    <n v="209"/>
    <x v="5"/>
    <s v="West"/>
    <s v="Major Market"/>
    <s v="Darjeeling"/>
    <s v="Tea"/>
    <s v="California"/>
    <s v="Regular"/>
    <n v="70"/>
    <n v="110"/>
    <n v="90"/>
    <n v="180"/>
    <n v="113"/>
    <n v="897"/>
    <n v="163"/>
    <n v="31"/>
    <n v="120"/>
    <n v="276"/>
    <n v="1.5333333333333334"/>
    <n v="1.3333333333333333"/>
    <n v="1.6142857142857143"/>
  </r>
  <r>
    <n v="415"/>
    <x v="5"/>
    <s v="West"/>
    <s v="Major Market"/>
    <s v="Earl Grey"/>
    <s v="Tea"/>
    <s v="California"/>
    <s v="Regular"/>
    <n v="60"/>
    <n v="90"/>
    <n v="80"/>
    <n v="150"/>
    <n v="94"/>
    <n v="562"/>
    <n v="136"/>
    <n v="26"/>
    <n v="98"/>
    <n v="230"/>
    <n v="1.5333333333333334"/>
    <n v="1.2250000000000001"/>
    <n v="1.5666666666666667"/>
  </r>
  <r>
    <n v="714"/>
    <x v="5"/>
    <s v="West"/>
    <s v="Major Market"/>
    <s v="Green Tea"/>
    <s v="Tea"/>
    <s v="California"/>
    <s v="Regular"/>
    <n v="30"/>
    <n v="60"/>
    <n v="30"/>
    <n v="90"/>
    <n v="54"/>
    <n v="641"/>
    <n v="81"/>
    <n v="17"/>
    <n v="32"/>
    <n v="135"/>
    <n v="1.5"/>
    <n v="1.0666666666666667"/>
    <n v="1.8"/>
  </r>
  <r>
    <n v="415"/>
    <x v="5"/>
    <s v="West"/>
    <s v="Major Market"/>
    <s v="Decaf Irish Cream"/>
    <s v="Coffee"/>
    <s v="California"/>
    <s v="Decaf"/>
    <n v="250"/>
    <n v="-40"/>
    <n v="-140"/>
    <n v="210"/>
    <n v="200"/>
    <n v="2393"/>
    <n v="-31"/>
    <n v="66"/>
    <n v="-142"/>
    <n v="169"/>
    <n v="0.80476190476190479"/>
    <n v="1.0142857142857142"/>
    <n v="0.8"/>
  </r>
  <r>
    <n v="775"/>
    <x v="5"/>
    <s v="West"/>
    <s v="Small Market"/>
    <s v="Caffe Latte"/>
    <s v="Espresso"/>
    <s v="Nevada"/>
    <s v="Regular"/>
    <n v="0"/>
    <n v="40"/>
    <n v="30"/>
    <n v="40"/>
    <n v="0"/>
    <n v="602"/>
    <n v="43"/>
    <n v="0"/>
    <n v="31"/>
    <n v="43"/>
    <n v="1.075"/>
    <n v="1.0333333333333334"/>
    <m/>
  </r>
  <r>
    <n v="775"/>
    <x v="5"/>
    <s v="West"/>
    <s v="Small Market"/>
    <s v="Caffe Mocha"/>
    <s v="Espresso"/>
    <s v="Nevada"/>
    <s v="Regular"/>
    <n v="20"/>
    <n v="30"/>
    <n v="20"/>
    <n v="50"/>
    <n v="23"/>
    <n v="843"/>
    <n v="35"/>
    <n v="6"/>
    <n v="18"/>
    <n v="58"/>
    <n v="1.1599999999999999"/>
    <n v="0.9"/>
    <n v="1.1499999999999999"/>
  </r>
  <r>
    <n v="702"/>
    <x v="5"/>
    <s v="West"/>
    <s v="Small Market"/>
    <s v="Decaf Espresso"/>
    <s v="Espresso"/>
    <s v="Nevada"/>
    <s v="Decaf"/>
    <n v="20"/>
    <n v="30"/>
    <n v="20"/>
    <n v="50"/>
    <n v="21"/>
    <n v="798"/>
    <n v="32"/>
    <n v="5"/>
    <n v="15"/>
    <n v="53"/>
    <n v="1.06"/>
    <n v="0.75"/>
    <n v="1.05"/>
  </r>
  <r>
    <n v="702"/>
    <x v="5"/>
    <s v="West"/>
    <s v="Small Market"/>
    <s v="Columbian"/>
    <s v="Coffee"/>
    <s v="Nevada"/>
    <s v="Regular"/>
    <n v="40"/>
    <n v="60"/>
    <n v="20"/>
    <n v="100"/>
    <n v="36"/>
    <n v="236"/>
    <n v="46"/>
    <n v="13"/>
    <n v="0"/>
    <n v="82"/>
    <n v="0.82"/>
    <n v="0"/>
    <n v="0.9"/>
  </r>
  <r>
    <n v="775"/>
    <x v="5"/>
    <s v="West"/>
    <s v="Small Market"/>
    <s v="Chamomile"/>
    <s v="Herbal Tea"/>
    <s v="Nevada"/>
    <s v="Decaf"/>
    <n v="120"/>
    <n v="180"/>
    <n v="50"/>
    <n v="300"/>
    <n v="144"/>
    <n v="874"/>
    <n v="201"/>
    <n v="131"/>
    <n v="37"/>
    <n v="345"/>
    <n v="1.1499999999999999"/>
    <n v="0.74"/>
    <n v="1.2"/>
  </r>
  <r>
    <n v="702"/>
    <x v="5"/>
    <s v="West"/>
    <s v="Small Market"/>
    <s v="Lemon"/>
    <s v="Herbal Tea"/>
    <s v="Nevada"/>
    <s v="Decaf"/>
    <n v="170"/>
    <n v="250"/>
    <n v="170"/>
    <n v="420"/>
    <n v="200"/>
    <n v="1095"/>
    <n v="278"/>
    <n v="66"/>
    <n v="166"/>
    <n v="478"/>
    <n v="1.138095238095238"/>
    <n v="0.97647058823529409"/>
    <n v="1.1764705882352942"/>
  </r>
  <r>
    <n v="775"/>
    <x v="5"/>
    <s v="West"/>
    <s v="Small Market"/>
    <s v="Mint"/>
    <s v="Herbal Tea"/>
    <s v="Nevada"/>
    <s v="Decaf"/>
    <n v="120"/>
    <n v="180"/>
    <n v="130"/>
    <n v="300"/>
    <n v="141"/>
    <n v="764"/>
    <n v="204"/>
    <n v="45"/>
    <n v="136"/>
    <n v="345"/>
    <n v="1.1499999999999999"/>
    <n v="1.0461538461538462"/>
    <n v="1.175"/>
  </r>
  <r>
    <n v="775"/>
    <x v="5"/>
    <s v="West"/>
    <s v="Small Market"/>
    <s v="Darjeeling"/>
    <s v="Tea"/>
    <s v="Nevada"/>
    <s v="Regular"/>
    <n v="170"/>
    <n v="260"/>
    <n v="190"/>
    <n v="430"/>
    <n v="272"/>
    <n v="1616"/>
    <n v="362"/>
    <n v="89"/>
    <n v="241"/>
    <n v="634"/>
    <n v="1.4744186046511627"/>
    <n v="1.2684210526315789"/>
    <n v="1.6"/>
  </r>
  <r>
    <n v="702"/>
    <x v="5"/>
    <s v="West"/>
    <s v="Small Market"/>
    <s v="Earl Grey"/>
    <s v="Tea"/>
    <s v="Nevada"/>
    <s v="Regular"/>
    <n v="170"/>
    <n v="180"/>
    <n v="120"/>
    <n v="350"/>
    <n v="260"/>
    <n v="1715"/>
    <n v="261"/>
    <n v="72"/>
    <n v="165"/>
    <n v="521"/>
    <n v="1.4885714285714287"/>
    <n v="1.375"/>
    <n v="1.5294117647058822"/>
  </r>
  <r>
    <n v="702"/>
    <x v="5"/>
    <s v="West"/>
    <s v="Small Market"/>
    <s v="Green Tea"/>
    <s v="Tea"/>
    <s v="Nevada"/>
    <s v="Regular"/>
    <n v="170"/>
    <n v="-170"/>
    <n v="-250"/>
    <n v="0"/>
    <n v="271"/>
    <n v="4507"/>
    <n v="-271"/>
    <n v="102"/>
    <n v="-369"/>
    <n v="37"/>
    <m/>
    <n v="1.476"/>
    <n v="1.5941176470588236"/>
  </r>
  <r>
    <n v="775"/>
    <x v="5"/>
    <s v="West"/>
    <s v="Small Market"/>
    <s v="Decaf Irish Cream"/>
    <s v="Coffee"/>
    <s v="Nevada"/>
    <s v="Decaf"/>
    <n v="40"/>
    <n v="40"/>
    <n v="20"/>
    <n v="80"/>
    <n v="32"/>
    <n v="996"/>
    <n v="38"/>
    <n v="9"/>
    <n v="8"/>
    <n v="70"/>
    <n v="0.875"/>
    <n v="0.4"/>
    <n v="0.8"/>
  </r>
  <r>
    <n v="503"/>
    <x v="5"/>
    <s v="West"/>
    <s v="Small Market"/>
    <s v="Caffe Latte"/>
    <s v="Espresso"/>
    <s v="Oregon"/>
    <s v="Regular"/>
    <n v="40"/>
    <n v="70"/>
    <n v="30"/>
    <n v="110"/>
    <n v="51"/>
    <n v="396"/>
    <n v="64"/>
    <n v="19"/>
    <n v="11"/>
    <n v="115"/>
    <n v="1.0454545454545454"/>
    <n v="0.36666666666666664"/>
    <n v="1.2749999999999999"/>
  </r>
  <r>
    <n v="503"/>
    <x v="5"/>
    <s v="West"/>
    <s v="Small Market"/>
    <s v="Caffe Mocha"/>
    <s v="Espresso"/>
    <s v="Oregon"/>
    <s v="Regular"/>
    <n v="40"/>
    <n v="70"/>
    <n v="40"/>
    <n v="110"/>
    <n v="50"/>
    <n v="397"/>
    <n v="68"/>
    <n v="16"/>
    <n v="24"/>
    <n v="118"/>
    <n v="1.0727272727272728"/>
    <n v="0.6"/>
    <n v="1.25"/>
  </r>
  <r>
    <n v="541"/>
    <x v="5"/>
    <s v="West"/>
    <s v="Small Market"/>
    <s v="Decaf Espresso"/>
    <s v="Espresso"/>
    <s v="Oregon"/>
    <s v="Decaf"/>
    <n v="140"/>
    <n v="140"/>
    <n v="90"/>
    <n v="280"/>
    <n v="149"/>
    <n v="1245"/>
    <n v="149"/>
    <n v="41"/>
    <n v="83"/>
    <n v="298"/>
    <n v="1.0642857142857143"/>
    <n v="0.92222222222222228"/>
    <n v="1.0642857142857143"/>
  </r>
  <r>
    <n v="541"/>
    <x v="5"/>
    <s v="West"/>
    <s v="Small Market"/>
    <s v="Amaretto"/>
    <s v="Coffee"/>
    <s v="Oregon"/>
    <s v="Regular"/>
    <n v="50"/>
    <n v="80"/>
    <n v="30"/>
    <n v="130"/>
    <n v="44"/>
    <n v="496"/>
    <n v="63"/>
    <n v="40"/>
    <n v="-6"/>
    <n v="107"/>
    <n v="0.82307692307692304"/>
    <n v="-0.2"/>
    <n v="0.88"/>
  </r>
  <r>
    <n v="971"/>
    <x v="5"/>
    <s v="West"/>
    <s v="Small Market"/>
    <s v="Columbian"/>
    <s v="Coffee"/>
    <s v="Oregon"/>
    <s v="Regular"/>
    <n v="50"/>
    <n v="90"/>
    <n v="40"/>
    <n v="140"/>
    <n v="47"/>
    <n v="456"/>
    <n v="65"/>
    <n v="15"/>
    <n v="4"/>
    <n v="112"/>
    <n v="0.8"/>
    <n v="0.1"/>
    <n v="0.94"/>
  </r>
  <r>
    <n v="971"/>
    <x v="5"/>
    <s v="West"/>
    <s v="Small Market"/>
    <s v="Chamomile"/>
    <s v="Herbal Tea"/>
    <s v="Oregon"/>
    <s v="Decaf"/>
    <n v="20"/>
    <n v="40"/>
    <n v="40"/>
    <n v="60"/>
    <n v="28"/>
    <n v="816"/>
    <n v="41"/>
    <n v="7"/>
    <n v="22"/>
    <n v="69"/>
    <n v="1.1499999999999999"/>
    <n v="0.55000000000000004"/>
    <n v="1.4"/>
  </r>
  <r>
    <n v="503"/>
    <x v="5"/>
    <s v="West"/>
    <s v="Small Market"/>
    <s v="Lemon"/>
    <s v="Herbal Tea"/>
    <s v="Oregon"/>
    <s v="Decaf"/>
    <n v="30"/>
    <n v="50"/>
    <n v="30"/>
    <n v="80"/>
    <n v="43"/>
    <n v="597"/>
    <n v="56"/>
    <n v="14"/>
    <n v="30"/>
    <n v="99"/>
    <n v="1.2375"/>
    <n v="1"/>
    <n v="1.4333333333333333"/>
  </r>
  <r>
    <n v="503"/>
    <x v="5"/>
    <s v="West"/>
    <s v="Small Market"/>
    <s v="Darjeeling"/>
    <s v="Tea"/>
    <s v="Oregon"/>
    <s v="Regular"/>
    <n v="10"/>
    <n v="10"/>
    <n v="10"/>
    <n v="20"/>
    <n v="18"/>
    <n v="478"/>
    <n v="26"/>
    <n v="5"/>
    <n v="9"/>
    <n v="44"/>
    <n v="2.2000000000000002"/>
    <n v="0.9"/>
    <n v="1.8"/>
  </r>
  <r>
    <n v="503"/>
    <x v="5"/>
    <s v="West"/>
    <s v="Small Market"/>
    <s v="Earl Grey"/>
    <s v="Tea"/>
    <s v="Oregon"/>
    <s v="Regular"/>
    <n v="70"/>
    <n v="110"/>
    <n v="70"/>
    <n v="180"/>
    <n v="111"/>
    <n v="767"/>
    <n v="167"/>
    <n v="36"/>
    <n v="100"/>
    <n v="278"/>
    <n v="1.5444444444444445"/>
    <n v="1.4285714285714286"/>
    <n v="1.5857142857142856"/>
  </r>
  <r>
    <n v="503"/>
    <x v="5"/>
    <s v="West"/>
    <s v="Small Market"/>
    <s v="Green Tea"/>
    <s v="Tea"/>
    <s v="Oregon"/>
    <s v="Regular"/>
    <n v="70"/>
    <n v="120"/>
    <n v="80"/>
    <n v="190"/>
    <n v="118"/>
    <n v="636"/>
    <n v="164"/>
    <n v="36"/>
    <n v="105"/>
    <n v="282"/>
    <n v="1.4842105263157894"/>
    <n v="1.3125"/>
    <n v="1.6857142857142857"/>
  </r>
  <r>
    <n v="541"/>
    <x v="5"/>
    <s v="West"/>
    <s v="Small Market"/>
    <s v="Decaf Irish Cream"/>
    <s v="Coffee"/>
    <s v="Oregon"/>
    <s v="Decaf"/>
    <n v="40"/>
    <n v="70"/>
    <n v="40"/>
    <n v="110"/>
    <n v="38"/>
    <n v="414"/>
    <n v="55"/>
    <n v="12"/>
    <n v="20"/>
    <n v="93"/>
    <n v="0.84545454545454546"/>
    <n v="0.5"/>
    <n v="0.95"/>
  </r>
  <r>
    <n v="206"/>
    <x v="5"/>
    <s v="West"/>
    <s v="Small Market"/>
    <s v="Caffe Latte"/>
    <s v="Espresso"/>
    <s v="Washington"/>
    <s v="Regular"/>
    <n v="40"/>
    <n v="60"/>
    <n v="40"/>
    <n v="100"/>
    <n v="48"/>
    <n v="593"/>
    <n v="62"/>
    <n v="15"/>
    <n v="34"/>
    <n v="110"/>
    <n v="1.1000000000000001"/>
    <n v="0.85"/>
    <n v="1.2"/>
  </r>
  <r>
    <n v="425"/>
    <x v="5"/>
    <s v="West"/>
    <s v="Small Market"/>
    <s v="Caffe Mocha"/>
    <s v="Espresso"/>
    <s v="Washington"/>
    <s v="Regular"/>
    <n v="50"/>
    <n v="70"/>
    <n v="20"/>
    <n v="120"/>
    <n v="59"/>
    <n v="377"/>
    <n v="74"/>
    <n v="22"/>
    <n v="18"/>
    <n v="133"/>
    <n v="1.1083333333333334"/>
    <n v="0.9"/>
    <n v="1.18"/>
  </r>
  <r>
    <n v="253"/>
    <x v="5"/>
    <s v="West"/>
    <s v="Small Market"/>
    <s v="Decaf Espresso"/>
    <s v="Espresso"/>
    <s v="Washington"/>
    <s v="Decaf"/>
    <n v="70"/>
    <n v="90"/>
    <n v="60"/>
    <n v="160"/>
    <n v="81"/>
    <n v="1046"/>
    <n v="96"/>
    <n v="25"/>
    <n v="49"/>
    <n v="177"/>
    <n v="1.10625"/>
    <n v="0.81666666666666665"/>
    <n v="1.1571428571428573"/>
  </r>
  <r>
    <n v="425"/>
    <x v="5"/>
    <s v="West"/>
    <s v="Small Market"/>
    <s v="Columbian"/>
    <s v="Coffee"/>
    <s v="Washington"/>
    <s v="Regular"/>
    <n v="90"/>
    <n v="150"/>
    <n v="110"/>
    <n v="240"/>
    <n v="79"/>
    <n v="425"/>
    <n v="114"/>
    <n v="25"/>
    <n v="66"/>
    <n v="193"/>
    <n v="0.8041666666666667"/>
    <n v="0.6"/>
    <n v="0.87777777777777777"/>
  </r>
  <r>
    <n v="206"/>
    <x v="5"/>
    <s v="West"/>
    <s v="Small Market"/>
    <s v="Chamomile"/>
    <s v="Herbal Tea"/>
    <s v="Washington"/>
    <s v="Decaf"/>
    <n v="70"/>
    <n v="130"/>
    <n v="90"/>
    <n v="200"/>
    <n v="92"/>
    <n v="1102"/>
    <n v="140"/>
    <n v="30"/>
    <n v="79"/>
    <n v="232"/>
    <n v="1.1599999999999999"/>
    <n v="0.87777777777777777"/>
    <n v="1.3142857142857143"/>
  </r>
  <r>
    <n v="509"/>
    <x v="5"/>
    <s v="West"/>
    <s v="Small Market"/>
    <s v="Lemon"/>
    <s v="Herbal Tea"/>
    <s v="Washington"/>
    <s v="Decaf"/>
    <n v="30"/>
    <n v="60"/>
    <n v="50"/>
    <n v="90"/>
    <n v="43"/>
    <n v="822"/>
    <n v="64"/>
    <n v="12"/>
    <n v="40"/>
    <n v="107"/>
    <n v="1.1888888888888889"/>
    <n v="0.8"/>
    <n v="1.4333333333333333"/>
  </r>
  <r>
    <n v="360"/>
    <x v="5"/>
    <s v="West"/>
    <s v="Small Market"/>
    <s v="Darjeeling"/>
    <s v="Tea"/>
    <s v="Washington"/>
    <s v="Regular"/>
    <n v="30"/>
    <n v="50"/>
    <n v="30"/>
    <n v="80"/>
    <n v="47"/>
    <n v="371"/>
    <n v="78"/>
    <n v="14"/>
    <n v="41"/>
    <n v="125"/>
    <n v="1.5625"/>
    <n v="1.3666666666666667"/>
    <n v="1.5666666666666667"/>
  </r>
  <r>
    <n v="206"/>
    <x v="5"/>
    <s v="West"/>
    <s v="Small Market"/>
    <s v="Earl Grey"/>
    <s v="Tea"/>
    <s v="Washington"/>
    <s v="Regular"/>
    <n v="20"/>
    <n v="40"/>
    <n v="20"/>
    <n v="60"/>
    <n v="40"/>
    <n v="443"/>
    <n v="59"/>
    <n v="12"/>
    <n v="24"/>
    <n v="99"/>
    <n v="1.65"/>
    <n v="1.2"/>
    <n v="2"/>
  </r>
  <r>
    <n v="360"/>
    <x v="5"/>
    <s v="West"/>
    <s v="Small Market"/>
    <s v="Green Tea"/>
    <s v="Tea"/>
    <s v="Washington"/>
    <s v="Regular"/>
    <n v="30"/>
    <n v="50"/>
    <n v="0"/>
    <n v="80"/>
    <n v="53"/>
    <n v="597"/>
    <n v="75"/>
    <n v="48"/>
    <n v="-3"/>
    <n v="128"/>
    <n v="1.6"/>
    <m/>
    <n v="1.7666666666666666"/>
  </r>
  <r>
    <n v="206"/>
    <x v="5"/>
    <s v="West"/>
    <s v="Small Market"/>
    <s v="Decaf Irish Cream"/>
    <s v="Coffee"/>
    <s v="Washington"/>
    <s v="Decaf"/>
    <n v="130"/>
    <n v="200"/>
    <n v="90"/>
    <n v="330"/>
    <n v="110"/>
    <n v="665"/>
    <n v="154"/>
    <n v="100"/>
    <n v="24"/>
    <n v="264"/>
    <n v="0.8"/>
    <n v="0.26666666666666666"/>
    <n v="0.84615384615384615"/>
  </r>
  <r>
    <n v="303"/>
    <x v="6"/>
    <s v="Central"/>
    <s v="Major Market"/>
    <s v="Chamomile"/>
    <s v="Herbal Tea"/>
    <s v="Colorado"/>
    <s v="Decaf"/>
    <n v="120"/>
    <n v="130"/>
    <n v="80"/>
    <n v="250"/>
    <n v="145"/>
    <n v="1304"/>
    <n v="146"/>
    <n v="40"/>
    <n v="81"/>
    <n v="291"/>
    <n v="1.1639999999999999"/>
    <n v="1.0125"/>
    <n v="1.2083333333333333"/>
  </r>
  <r>
    <n v="970"/>
    <x v="6"/>
    <s v="Central"/>
    <s v="Major Market"/>
    <s v="Lemon"/>
    <s v="Herbal Tea"/>
    <s v="Colorado"/>
    <s v="Decaf"/>
    <n v="30"/>
    <n v="50"/>
    <n v="0"/>
    <n v="80"/>
    <n v="39"/>
    <n v="517"/>
    <n v="56"/>
    <n v="36"/>
    <n v="-10"/>
    <n v="95"/>
    <n v="1.1875"/>
    <m/>
    <n v="1.3"/>
  </r>
  <r>
    <n v="720"/>
    <x v="6"/>
    <s v="Central"/>
    <s v="Major Market"/>
    <s v="Mint"/>
    <s v="Herbal Tea"/>
    <s v="Colorado"/>
    <s v="Decaf"/>
    <n v="40"/>
    <n v="50"/>
    <n v="20"/>
    <n v="90"/>
    <n v="47"/>
    <n v="420"/>
    <n v="63"/>
    <n v="15"/>
    <n v="21"/>
    <n v="110"/>
    <n v="1.2222222222222223"/>
    <n v="1.05"/>
    <n v="1.175"/>
  </r>
  <r>
    <n v="970"/>
    <x v="6"/>
    <s v="Central"/>
    <s v="Major Market"/>
    <s v="Darjeeling"/>
    <s v="Tea"/>
    <s v="Colorado"/>
    <s v="Regular"/>
    <n v="40"/>
    <n v="60"/>
    <n v="20"/>
    <n v="100"/>
    <n v="51"/>
    <n v="419"/>
    <n v="64"/>
    <n v="19"/>
    <n v="12"/>
    <n v="115"/>
    <n v="1.1499999999999999"/>
    <n v="0.6"/>
    <n v="1.2749999999999999"/>
  </r>
  <r>
    <n v="720"/>
    <x v="6"/>
    <s v="Central"/>
    <s v="Major Market"/>
    <s v="Earl Grey"/>
    <s v="Tea"/>
    <s v="Colorado"/>
    <s v="Regular"/>
    <n v="40"/>
    <n v="50"/>
    <n v="20"/>
    <n v="90"/>
    <n v="50"/>
    <n v="1051"/>
    <n v="59"/>
    <n v="15"/>
    <n v="23"/>
    <n v="109"/>
    <n v="1.211111111111111"/>
    <n v="1.1499999999999999"/>
    <n v="1.25"/>
  </r>
  <r>
    <n v="303"/>
    <x v="6"/>
    <s v="Central"/>
    <s v="Major Market"/>
    <s v="Green Tea"/>
    <s v="Tea"/>
    <s v="Colorado"/>
    <s v="Regular"/>
    <n v="30"/>
    <n v="50"/>
    <n v="30"/>
    <n v="80"/>
    <n v="41"/>
    <n v="592"/>
    <n v="53"/>
    <n v="13"/>
    <n v="27"/>
    <n v="94"/>
    <n v="1.175"/>
    <n v="0.9"/>
    <n v="1.3666666666666667"/>
  </r>
  <r>
    <n v="303"/>
    <x v="6"/>
    <s v="Central"/>
    <s v="Major Market"/>
    <s v="Caffe Mocha"/>
    <s v="Espresso"/>
    <s v="Colorado"/>
    <s v="Regular"/>
    <n v="100"/>
    <n v="170"/>
    <n v="140"/>
    <n v="270"/>
    <n v="94"/>
    <n v="608"/>
    <n v="136"/>
    <n v="26"/>
    <n v="98"/>
    <n v="230"/>
    <n v="0.85185185185185186"/>
    <n v="0.7"/>
    <n v="0.94"/>
  </r>
  <r>
    <n v="303"/>
    <x v="6"/>
    <s v="Central"/>
    <s v="Major Market"/>
    <s v="Decaf Espresso"/>
    <s v="Espresso"/>
    <s v="Colorado"/>
    <s v="Decaf"/>
    <n v="60"/>
    <n v="90"/>
    <n v="50"/>
    <n v="150"/>
    <n v="52"/>
    <n v="668"/>
    <n v="79"/>
    <n v="17"/>
    <n v="31"/>
    <n v="131"/>
    <n v="0.87333333333333329"/>
    <n v="0.62"/>
    <n v="0.8666666666666667"/>
  </r>
  <r>
    <n v="970"/>
    <x v="6"/>
    <s v="Central"/>
    <s v="Major Market"/>
    <s v="Decaf Irish Cream"/>
    <s v="Coffee"/>
    <s v="Colorado"/>
    <s v="Decaf"/>
    <n v="130"/>
    <n v="190"/>
    <n v="150"/>
    <n v="320"/>
    <n v="127"/>
    <n v="1007"/>
    <n v="185"/>
    <n v="35"/>
    <n v="139"/>
    <n v="312"/>
    <n v="0.97499999999999998"/>
    <n v="0.92666666666666664"/>
    <n v="0.97692307692307689"/>
  </r>
  <r>
    <n v="720"/>
    <x v="6"/>
    <s v="Central"/>
    <s v="Major Market"/>
    <s v="Amaretto"/>
    <s v="Coffee"/>
    <s v="Colorado"/>
    <s v="Regular"/>
    <n v="110"/>
    <n v="150"/>
    <n v="120"/>
    <n v="260"/>
    <n v="104"/>
    <n v="952"/>
    <n v="152"/>
    <n v="29"/>
    <n v="111"/>
    <n v="256"/>
    <n v="0.98461538461538467"/>
    <n v="0.92500000000000004"/>
    <n v="0.94545454545454544"/>
  </r>
  <r>
    <n v="970"/>
    <x v="6"/>
    <s v="Central"/>
    <s v="Major Market"/>
    <s v="Columbian"/>
    <s v="Coffee"/>
    <s v="Colorado"/>
    <s v="Regular"/>
    <n v="90"/>
    <n v="110"/>
    <n v="80"/>
    <n v="200"/>
    <n v="87"/>
    <n v="564"/>
    <n v="112"/>
    <n v="28"/>
    <n v="71"/>
    <n v="199"/>
    <n v="0.995"/>
    <n v="0.88749999999999996"/>
    <n v="0.96666666666666667"/>
  </r>
  <r>
    <n v="312"/>
    <x v="6"/>
    <s v="Central"/>
    <s v="Major Market"/>
    <s v="Chamomile"/>
    <s v="Herbal Tea"/>
    <s v="Illinois"/>
    <s v="Decaf"/>
    <n v="80"/>
    <n v="140"/>
    <n v="120"/>
    <n v="220"/>
    <n v="104"/>
    <n v="952"/>
    <n v="152"/>
    <n v="29"/>
    <n v="111"/>
    <n v="256"/>
    <n v="1.1636363636363636"/>
    <n v="0.92500000000000004"/>
    <n v="1.3"/>
  </r>
  <r>
    <n v="312"/>
    <x v="6"/>
    <s v="Central"/>
    <s v="Major Market"/>
    <s v="Lemon"/>
    <s v="Herbal Tea"/>
    <s v="Illinois"/>
    <s v="Decaf"/>
    <n v="70"/>
    <n v="100"/>
    <n v="70"/>
    <n v="170"/>
    <n v="87"/>
    <n v="564"/>
    <n v="112"/>
    <n v="28"/>
    <n v="72"/>
    <n v="199"/>
    <n v="1.1705882352941177"/>
    <n v="1.0285714285714285"/>
    <n v="1.2428571428571429"/>
  </r>
  <r>
    <n v="815"/>
    <x v="6"/>
    <s v="Central"/>
    <s v="Major Market"/>
    <s v="Mint"/>
    <s v="Herbal Tea"/>
    <s v="Illinois"/>
    <s v="Decaf"/>
    <n v="100"/>
    <n v="170"/>
    <n v="150"/>
    <n v="270"/>
    <n v="127"/>
    <n v="1007"/>
    <n v="185"/>
    <n v="35"/>
    <n v="139"/>
    <n v="312"/>
    <n v="1.1555555555555554"/>
    <n v="0.92666666666666664"/>
    <n v="1.27"/>
  </r>
  <r>
    <n v="815"/>
    <x v="6"/>
    <s v="Central"/>
    <s v="Major Market"/>
    <s v="Darjeeling"/>
    <s v="Tea"/>
    <s v="Illinois"/>
    <s v="Regular"/>
    <n v="80"/>
    <n v="120"/>
    <n v="90"/>
    <n v="200"/>
    <n v="94"/>
    <n v="608"/>
    <n v="136"/>
    <n v="26"/>
    <n v="99"/>
    <n v="230"/>
    <n v="1.1499999999999999"/>
    <n v="1.1000000000000001"/>
    <n v="1.175"/>
  </r>
  <r>
    <n v="815"/>
    <x v="6"/>
    <s v="Central"/>
    <s v="Major Market"/>
    <s v="Earl Grey"/>
    <s v="Tea"/>
    <s v="Illinois"/>
    <s v="Regular"/>
    <n v="40"/>
    <n v="70"/>
    <n v="30"/>
    <n v="110"/>
    <n v="52"/>
    <n v="668"/>
    <n v="79"/>
    <n v="17"/>
    <n v="31"/>
    <n v="131"/>
    <n v="1.1909090909090909"/>
    <n v="1.0333333333333334"/>
    <n v="1.3"/>
  </r>
  <r>
    <n v="224"/>
    <x v="6"/>
    <s v="Central"/>
    <s v="Major Market"/>
    <s v="Caffe Mocha"/>
    <s v="Espresso"/>
    <s v="Illinois"/>
    <s v="Regular"/>
    <n v="330"/>
    <n v="470"/>
    <n v="340"/>
    <n v="800"/>
    <n v="291"/>
    <n v="1742"/>
    <n v="387"/>
    <n v="96"/>
    <n v="259"/>
    <n v="678"/>
    <n v="0.84750000000000003"/>
    <n v="0.7617647058823529"/>
    <n v="0.88181818181818183"/>
  </r>
  <r>
    <n v="312"/>
    <x v="6"/>
    <s v="Central"/>
    <s v="Major Market"/>
    <s v="Decaf Espresso"/>
    <s v="Espresso"/>
    <s v="Illinois"/>
    <s v="Decaf"/>
    <n v="300"/>
    <n v="320"/>
    <n v="220"/>
    <n v="620"/>
    <n v="266"/>
    <n v="1819"/>
    <n v="266"/>
    <n v="74"/>
    <n v="168"/>
    <n v="532"/>
    <n v="0.85806451612903223"/>
    <n v="0.76363636363636367"/>
    <n v="0.88666666666666671"/>
  </r>
  <r>
    <n v="217"/>
    <x v="6"/>
    <s v="Central"/>
    <s v="Major Market"/>
    <s v="Decaf Irish Cream"/>
    <s v="Coffee"/>
    <s v="Illinois"/>
    <s v="Decaf"/>
    <n v="160"/>
    <n v="230"/>
    <n v="170"/>
    <n v="390"/>
    <n v="154"/>
    <n v="833"/>
    <n v="222"/>
    <n v="49"/>
    <n v="150"/>
    <n v="376"/>
    <n v="0.96410256410256412"/>
    <n v="0.88235294117647056"/>
    <n v="0.96250000000000002"/>
  </r>
  <r>
    <n v="312"/>
    <x v="6"/>
    <s v="Central"/>
    <s v="Major Market"/>
    <s v="Columbian"/>
    <s v="Coffee"/>
    <s v="Illinois"/>
    <s v="Regular"/>
    <n v="250"/>
    <n v="340"/>
    <n v="230"/>
    <n v="590"/>
    <n v="238"/>
    <n v="1190"/>
    <n v="329"/>
    <n v="78"/>
    <n v="208"/>
    <n v="567"/>
    <n v="0.96101694915254232"/>
    <n v="0.90434782608695652"/>
    <n v="0.95199999999999996"/>
  </r>
  <r>
    <n v="319"/>
    <x v="6"/>
    <s v="Central"/>
    <s v="Small Market"/>
    <s v="Chamomile"/>
    <s v="Herbal Tea"/>
    <s v="Iowa"/>
    <s v="Decaf"/>
    <n v="250"/>
    <n v="340"/>
    <n v="240"/>
    <n v="590"/>
    <n v="291"/>
    <n v="1742"/>
    <n v="387"/>
    <n v="96"/>
    <n v="258"/>
    <n v="678"/>
    <n v="1.1491525423728814"/>
    <n v="1.075"/>
    <n v="1.1639999999999999"/>
  </r>
  <r>
    <n v="319"/>
    <x v="6"/>
    <s v="Central"/>
    <s v="Small Market"/>
    <s v="Lemon"/>
    <s v="Herbal Tea"/>
    <s v="Iowa"/>
    <s v="Decaf"/>
    <n v="130"/>
    <n v="200"/>
    <n v="150"/>
    <n v="330"/>
    <n v="154"/>
    <n v="833"/>
    <n v="222"/>
    <n v="49"/>
    <n v="150"/>
    <n v="376"/>
    <n v="1.1393939393939394"/>
    <n v="1"/>
    <n v="1.1846153846153846"/>
  </r>
  <r>
    <n v="515"/>
    <x v="6"/>
    <s v="Central"/>
    <s v="Small Market"/>
    <s v="Darjeeling"/>
    <s v="Tea"/>
    <s v="Iowa"/>
    <s v="Regular"/>
    <n v="220"/>
    <n v="240"/>
    <n v="150"/>
    <n v="460"/>
    <n v="266"/>
    <n v="1819"/>
    <n v="266"/>
    <n v="74"/>
    <n v="167"/>
    <n v="532"/>
    <n v="1.1565217391304348"/>
    <n v="1.1133333333333333"/>
    <n v="1.209090909090909"/>
  </r>
  <r>
    <n v="319"/>
    <x v="6"/>
    <s v="Central"/>
    <s v="Small Market"/>
    <s v="Earl Grey"/>
    <s v="Tea"/>
    <s v="Iowa"/>
    <s v="Regular"/>
    <n v="230"/>
    <n v="290"/>
    <n v="170"/>
    <n v="520"/>
    <n v="270"/>
    <n v="1834"/>
    <n v="332"/>
    <n v="102"/>
    <n v="197"/>
    <n v="602"/>
    <n v="1.1576923076923078"/>
    <n v="1.1588235294117648"/>
    <n v="1.173913043478261"/>
  </r>
  <r>
    <n v="641"/>
    <x v="6"/>
    <s v="Central"/>
    <s v="Small Market"/>
    <s v="Caffe Mocha"/>
    <s v="Espresso"/>
    <s v="Iowa"/>
    <s v="Regular"/>
    <n v="20"/>
    <n v="30"/>
    <n v="20"/>
    <n v="50"/>
    <n v="20"/>
    <n v="808"/>
    <n v="29"/>
    <n v="5"/>
    <n v="13"/>
    <n v="49"/>
    <n v="0.98"/>
    <n v="0.65"/>
    <n v="1"/>
  </r>
  <r>
    <n v="641"/>
    <x v="6"/>
    <s v="Central"/>
    <s v="Small Market"/>
    <s v="Decaf Espresso"/>
    <s v="Espresso"/>
    <s v="Iowa"/>
    <s v="Decaf"/>
    <n v="0"/>
    <n v="50"/>
    <n v="40"/>
    <n v="50"/>
    <n v="0"/>
    <n v="559"/>
    <n v="43"/>
    <n v="0"/>
    <n v="31"/>
    <n v="43"/>
    <n v="0.86"/>
    <n v="0.77500000000000002"/>
    <m/>
  </r>
  <r>
    <n v="712"/>
    <x v="6"/>
    <s v="Central"/>
    <s v="Small Market"/>
    <s v="Decaf Irish Cream"/>
    <s v="Coffee"/>
    <s v="Iowa"/>
    <s v="Decaf"/>
    <n v="20"/>
    <n v="30"/>
    <n v="20"/>
    <n v="50"/>
    <n v="23"/>
    <n v="605"/>
    <n v="31"/>
    <n v="7"/>
    <n v="12"/>
    <n v="54"/>
    <n v="1.08"/>
    <n v="0.6"/>
    <n v="1.1499999999999999"/>
  </r>
  <r>
    <n v="319"/>
    <x v="6"/>
    <s v="Central"/>
    <s v="Small Market"/>
    <s v="Amaretto"/>
    <s v="Coffee"/>
    <s v="Iowa"/>
    <s v="Regular"/>
    <n v="20"/>
    <n v="40"/>
    <n v="30"/>
    <n v="60"/>
    <n v="25"/>
    <n v="854"/>
    <n v="36"/>
    <n v="7"/>
    <n v="17"/>
    <n v="61"/>
    <n v="1.0166666666666666"/>
    <n v="0.56666666666666665"/>
    <n v="1.25"/>
  </r>
  <r>
    <n v="712"/>
    <x v="6"/>
    <s v="Central"/>
    <s v="Small Market"/>
    <s v="Columbian"/>
    <s v="Coffee"/>
    <s v="Iowa"/>
    <s v="Regular"/>
    <n v="30"/>
    <n v="40"/>
    <n v="20"/>
    <n v="70"/>
    <n v="34"/>
    <n v="1010"/>
    <n v="41"/>
    <n v="10"/>
    <n v="9"/>
    <n v="75"/>
    <n v="1.0714285714285714"/>
    <n v="0.45"/>
    <n v="1.1333333333333333"/>
  </r>
  <r>
    <n v="816"/>
    <x v="6"/>
    <s v="Central"/>
    <s v="Small Market"/>
    <s v="Chamomile"/>
    <s v="Herbal Tea"/>
    <s v="Missouri"/>
    <s v="Decaf"/>
    <n v="50"/>
    <n v="70"/>
    <n v="10"/>
    <n v="120"/>
    <n v="59"/>
    <n v="338"/>
    <n v="82"/>
    <n v="53"/>
    <n v="-1"/>
    <n v="141"/>
    <n v="1.175"/>
    <n v="-0.1"/>
    <n v="1.18"/>
  </r>
  <r>
    <n v="417"/>
    <x v="6"/>
    <s v="Central"/>
    <s v="Small Market"/>
    <s v="Lemon"/>
    <s v="Herbal Tea"/>
    <s v="Missouri"/>
    <s v="Decaf"/>
    <n v="100"/>
    <n v="40"/>
    <n v="0"/>
    <n v="140"/>
    <n v="120"/>
    <n v="1334"/>
    <n v="49"/>
    <n v="37"/>
    <n v="-12"/>
    <n v="169"/>
    <n v="1.2071428571428571"/>
    <m/>
    <n v="1.2"/>
  </r>
  <r>
    <n v="636"/>
    <x v="6"/>
    <s v="Central"/>
    <s v="Small Market"/>
    <s v="Darjeeling"/>
    <s v="Tea"/>
    <s v="Missouri"/>
    <s v="Regular"/>
    <n v="30"/>
    <n v="60"/>
    <n v="30"/>
    <n v="90"/>
    <n v="44"/>
    <n v="258"/>
    <n v="59"/>
    <n v="14"/>
    <n v="17"/>
    <n v="103"/>
    <n v="1.1444444444444444"/>
    <n v="0.56666666666666665"/>
    <n v="1.4666666666666666"/>
  </r>
  <r>
    <n v="816"/>
    <x v="6"/>
    <s v="Central"/>
    <s v="Small Market"/>
    <s v="Earl Grey"/>
    <s v="Tea"/>
    <s v="Missouri"/>
    <s v="Regular"/>
    <n v="30"/>
    <n v="40"/>
    <n v="0"/>
    <n v="70"/>
    <n v="40"/>
    <n v="219"/>
    <n v="49"/>
    <n v="15"/>
    <n v="1"/>
    <n v="89"/>
    <n v="1.2714285714285714"/>
    <m/>
    <n v="1.3333333333333333"/>
  </r>
  <r>
    <n v="816"/>
    <x v="6"/>
    <s v="Central"/>
    <s v="Small Market"/>
    <s v="Green Tea"/>
    <s v="Tea"/>
    <s v="Missouri"/>
    <s v="Regular"/>
    <n v="30"/>
    <n v="40"/>
    <n v="0"/>
    <n v="70"/>
    <n v="36"/>
    <n v="252"/>
    <n v="46"/>
    <n v="13"/>
    <n v="0"/>
    <n v="82"/>
    <n v="1.1714285714285715"/>
    <m/>
    <n v="1.2"/>
  </r>
  <r>
    <n v="573"/>
    <x v="6"/>
    <s v="Central"/>
    <s v="Small Market"/>
    <s v="Caffe Mocha"/>
    <s v="Espresso"/>
    <s v="Missouri"/>
    <s v="Regular"/>
    <n v="40"/>
    <n v="60"/>
    <n v="40"/>
    <n v="100"/>
    <n v="35"/>
    <n v="894"/>
    <n v="52"/>
    <n v="9"/>
    <n v="32"/>
    <n v="87"/>
    <n v="0.87"/>
    <n v="0.8"/>
    <n v="0.875"/>
  </r>
  <r>
    <n v="314"/>
    <x v="6"/>
    <s v="Central"/>
    <s v="Small Market"/>
    <s v="Decaf Espresso"/>
    <s v="Espresso"/>
    <s v="Missouri"/>
    <s v="Decaf"/>
    <n v="40"/>
    <n v="70"/>
    <n v="50"/>
    <n v="110"/>
    <n v="39"/>
    <n v="845"/>
    <n v="57"/>
    <n v="10"/>
    <n v="35"/>
    <n v="96"/>
    <n v="0.87272727272727268"/>
    <n v="0.7"/>
    <n v="0.97499999999999998"/>
  </r>
  <r>
    <n v="314"/>
    <x v="6"/>
    <s v="Central"/>
    <s v="Small Market"/>
    <s v="Decaf Irish Cream"/>
    <s v="Coffee"/>
    <s v="Missouri"/>
    <s v="Decaf"/>
    <n v="60"/>
    <n v="70"/>
    <n v="40"/>
    <n v="130"/>
    <n v="60"/>
    <n v="1070"/>
    <n v="72"/>
    <n v="18"/>
    <n v="32"/>
    <n v="132"/>
    <n v="1.0153846153846153"/>
    <n v="0.8"/>
    <n v="1"/>
  </r>
  <r>
    <n v="636"/>
    <x v="6"/>
    <s v="Central"/>
    <s v="Small Market"/>
    <s v="Columbian"/>
    <s v="Coffee"/>
    <s v="Missouri"/>
    <s v="Regular"/>
    <n v="80"/>
    <n v="90"/>
    <n v="40"/>
    <n v="170"/>
    <n v="76"/>
    <n v="613"/>
    <n v="93"/>
    <n v="28"/>
    <n v="31"/>
    <n v="169"/>
    <n v="0.99411764705882355"/>
    <n v="0.77500000000000002"/>
    <n v="0.95"/>
  </r>
  <r>
    <n v="740"/>
    <x v="6"/>
    <s v="Central"/>
    <s v="Major Market"/>
    <s v="Chamomile"/>
    <s v="Herbal Tea"/>
    <s v="Ohio"/>
    <s v="Decaf"/>
    <n v="10"/>
    <n v="20"/>
    <n v="20"/>
    <n v="30"/>
    <n v="18"/>
    <n v="486"/>
    <n v="26"/>
    <n v="5"/>
    <n v="9"/>
    <n v="44"/>
    <n v="1.4666666666666666"/>
    <n v="0.45"/>
    <n v="1.8"/>
  </r>
  <r>
    <n v="614"/>
    <x v="6"/>
    <s v="Central"/>
    <s v="Major Market"/>
    <s v="Lemon"/>
    <s v="Herbal Tea"/>
    <s v="Ohio"/>
    <s v="Decaf"/>
    <n v="10"/>
    <n v="40"/>
    <n v="40"/>
    <n v="50"/>
    <n v="23"/>
    <n v="868"/>
    <n v="34"/>
    <n v="6"/>
    <n v="16"/>
    <n v="57"/>
    <n v="1.1399999999999999"/>
    <n v="0.4"/>
    <n v="2.2999999999999998"/>
  </r>
  <r>
    <n v="740"/>
    <x v="6"/>
    <s v="Central"/>
    <s v="Major Market"/>
    <s v="Darjeeling"/>
    <s v="Tea"/>
    <s v="Ohio"/>
    <s v="Regular"/>
    <n v="90"/>
    <n v="160"/>
    <n v="100"/>
    <n v="250"/>
    <n v="114"/>
    <n v="822"/>
    <n v="172"/>
    <n v="37"/>
    <n v="104"/>
    <n v="286"/>
    <n v="1.1439999999999999"/>
    <n v="1.04"/>
    <n v="1.2666666666666666"/>
  </r>
  <r>
    <n v="513"/>
    <x v="6"/>
    <s v="Central"/>
    <s v="Major Market"/>
    <s v="Earl Grey"/>
    <s v="Tea"/>
    <s v="Ohio"/>
    <s v="Regular"/>
    <n v="120"/>
    <n v="170"/>
    <n v="110"/>
    <n v="290"/>
    <n v="141"/>
    <n v="692"/>
    <n v="195"/>
    <n v="43"/>
    <n v="128"/>
    <n v="336"/>
    <n v="1.1586206896551725"/>
    <n v="1.1636363636363636"/>
    <n v="1.175"/>
  </r>
  <r>
    <n v="216"/>
    <x v="6"/>
    <s v="Central"/>
    <s v="Major Market"/>
    <s v="Caffe Mocha"/>
    <s v="Espresso"/>
    <s v="Ohio"/>
    <s v="Regular"/>
    <n v="160"/>
    <n v="180"/>
    <n v="120"/>
    <n v="340"/>
    <n v="145"/>
    <n v="1304"/>
    <n v="146"/>
    <n v="40"/>
    <n v="81"/>
    <n v="291"/>
    <n v="0.85588235294117643"/>
    <n v="0.67500000000000004"/>
    <n v="0.90625"/>
  </r>
  <r>
    <n v="513"/>
    <x v="6"/>
    <s v="Central"/>
    <s v="Major Market"/>
    <s v="Decaf Espresso"/>
    <s v="Espresso"/>
    <s v="Ohio"/>
    <s v="Decaf"/>
    <n v="50"/>
    <n v="80"/>
    <n v="30"/>
    <n v="130"/>
    <n v="51"/>
    <n v="419"/>
    <n v="64"/>
    <n v="19"/>
    <n v="11"/>
    <n v="115"/>
    <n v="0.88461538461538458"/>
    <n v="0.36666666666666664"/>
    <n v="1.02"/>
  </r>
  <r>
    <n v="614"/>
    <x v="6"/>
    <s v="Central"/>
    <s v="Major Market"/>
    <s v="Amaretto"/>
    <s v="Coffee"/>
    <s v="Ohio"/>
    <s v="Regular"/>
    <n v="40"/>
    <n v="70"/>
    <n v="40"/>
    <n v="110"/>
    <n v="47"/>
    <n v="420"/>
    <n v="63"/>
    <n v="15"/>
    <n v="20"/>
    <n v="110"/>
    <n v="1"/>
    <n v="0.5"/>
    <n v="1.175"/>
  </r>
  <r>
    <n v="513"/>
    <x v="6"/>
    <s v="Central"/>
    <s v="Major Market"/>
    <s v="Columbian"/>
    <s v="Coffee"/>
    <s v="Ohio"/>
    <s v="Regular"/>
    <n v="30"/>
    <n v="50"/>
    <n v="30"/>
    <n v="80"/>
    <n v="34"/>
    <n v="432"/>
    <n v="51"/>
    <n v="10"/>
    <n v="18"/>
    <n v="85"/>
    <n v="1.0625"/>
    <n v="0.6"/>
    <n v="1.1333333333333333"/>
  </r>
  <r>
    <n v="330"/>
    <x v="6"/>
    <s v="Central"/>
    <s v="Major Market"/>
    <s v="Decaf Irish Cream"/>
    <s v="Coffee"/>
    <s v="Ohio"/>
    <s v="Decaf"/>
    <n v="40"/>
    <n v="50"/>
    <n v="0"/>
    <n v="90"/>
    <n v="39"/>
    <n v="517"/>
    <n v="56"/>
    <n v="36"/>
    <n v="-9"/>
    <n v="95"/>
    <n v="1.0555555555555556"/>
    <m/>
    <n v="0.97499999999999998"/>
  </r>
  <r>
    <n v="920"/>
    <x v="6"/>
    <s v="Central"/>
    <s v="Small Market"/>
    <s v="Chamomile"/>
    <s v="Herbal Tea"/>
    <s v="Wisconsin"/>
    <s v="Decaf"/>
    <n v="30"/>
    <n v="60"/>
    <n v="40"/>
    <n v="90"/>
    <n v="39"/>
    <n v="380"/>
    <n v="65"/>
    <n v="12"/>
    <n v="29"/>
    <n v="104"/>
    <n v="1.1555555555555554"/>
    <n v="0.72499999999999998"/>
    <n v="1.3"/>
  </r>
  <r>
    <n v="262"/>
    <x v="6"/>
    <s v="Central"/>
    <s v="Small Market"/>
    <s v="Lemon"/>
    <s v="Herbal Tea"/>
    <s v="Wisconsin"/>
    <s v="Decaf"/>
    <n v="50"/>
    <n v="70"/>
    <n v="60"/>
    <n v="120"/>
    <n v="59"/>
    <n v="870"/>
    <n v="85"/>
    <n v="16"/>
    <n v="58"/>
    <n v="144"/>
    <n v="1.2"/>
    <n v="0.96666666666666667"/>
    <n v="1.18"/>
  </r>
  <r>
    <n v="920"/>
    <x v="6"/>
    <s v="Central"/>
    <s v="Small Market"/>
    <s v="Darjeeling"/>
    <s v="Tea"/>
    <s v="Wisconsin"/>
    <s v="Regular"/>
    <n v="30"/>
    <n v="40"/>
    <n v="10"/>
    <n v="70"/>
    <n v="36"/>
    <n v="462"/>
    <n v="54"/>
    <n v="11"/>
    <n v="21"/>
    <n v="90"/>
    <n v="1.2857142857142858"/>
    <n v="2.1"/>
    <n v="1.2"/>
  </r>
  <r>
    <n v="608"/>
    <x v="6"/>
    <s v="Central"/>
    <s v="Small Market"/>
    <s v="Earl Grey"/>
    <s v="Tea"/>
    <s v="Wisconsin"/>
    <s v="Regular"/>
    <n v="40"/>
    <n v="50"/>
    <n v="0"/>
    <n v="90"/>
    <n v="47"/>
    <n v="622"/>
    <n v="66"/>
    <n v="42"/>
    <n v="-6"/>
    <n v="113"/>
    <n v="1.2555555555555555"/>
    <m/>
    <n v="1.175"/>
  </r>
  <r>
    <n v="608"/>
    <x v="6"/>
    <s v="Central"/>
    <s v="Small Market"/>
    <s v="Caffe Mocha"/>
    <s v="Espresso"/>
    <s v="Wisconsin"/>
    <s v="Regular"/>
    <n v="90"/>
    <n v="130"/>
    <n v="90"/>
    <n v="220"/>
    <n v="86"/>
    <n v="1081"/>
    <n v="103"/>
    <n v="26"/>
    <n v="56"/>
    <n v="189"/>
    <n v="0.85909090909090913"/>
    <n v="0.62222222222222223"/>
    <n v="0.9555555555555556"/>
  </r>
  <r>
    <n v="920"/>
    <x v="6"/>
    <s v="Central"/>
    <s v="Small Market"/>
    <s v="Decaf Espresso"/>
    <s v="Espresso"/>
    <s v="Wisconsin"/>
    <s v="Decaf"/>
    <n v="50"/>
    <n v="80"/>
    <n v="60"/>
    <n v="130"/>
    <n v="50"/>
    <n v="587"/>
    <n v="65"/>
    <n v="16"/>
    <n v="36"/>
    <n v="115"/>
    <n v="0.88461538461538458"/>
    <n v="0.6"/>
    <n v="1"/>
  </r>
  <r>
    <n v="920"/>
    <x v="6"/>
    <s v="Central"/>
    <s v="Small Market"/>
    <s v="Amaretto"/>
    <s v="Coffee"/>
    <s v="Wisconsin"/>
    <s v="Regular"/>
    <n v="60"/>
    <n v="70"/>
    <n v="20"/>
    <n v="130"/>
    <n v="59"/>
    <n v="403"/>
    <n v="74"/>
    <n v="22"/>
    <n v="18"/>
    <n v="133"/>
    <n v="1.023076923076923"/>
    <n v="0.9"/>
    <n v="0.98333333333333328"/>
  </r>
  <r>
    <n v="262"/>
    <x v="6"/>
    <s v="Central"/>
    <s v="Small Market"/>
    <s v="Columbian"/>
    <s v="Coffee"/>
    <s v="Wisconsin"/>
    <s v="Regular"/>
    <n v="130"/>
    <n v="180"/>
    <n v="60"/>
    <n v="310"/>
    <n v="124"/>
    <n v="717"/>
    <n v="173"/>
    <n v="112"/>
    <n v="32"/>
    <n v="297"/>
    <n v="0.95806451612903221"/>
    <n v="0.53333333333333333"/>
    <n v="0.9538461538461539"/>
  </r>
  <r>
    <n v="920"/>
    <x v="6"/>
    <s v="Central"/>
    <s v="Small Market"/>
    <s v="Decaf Irish Cream"/>
    <s v="Coffee"/>
    <s v="Wisconsin"/>
    <s v="Decaf"/>
    <n v="100"/>
    <n v="130"/>
    <n v="80"/>
    <n v="230"/>
    <n v="97"/>
    <n v="575"/>
    <n v="130"/>
    <n v="32"/>
    <n v="71"/>
    <n v="227"/>
    <n v="0.9869565217391304"/>
    <n v="0.88749999999999996"/>
    <n v="0.97"/>
  </r>
  <r>
    <n v="203"/>
    <x v="6"/>
    <s v="East"/>
    <s v="Small Market"/>
    <s v="Darjeeling"/>
    <s v="Tea"/>
    <s v="Connecticut"/>
    <s v="Regular"/>
    <n v="30"/>
    <n v="60"/>
    <n v="50"/>
    <n v="90"/>
    <n v="35"/>
    <n v="894"/>
    <n v="52"/>
    <n v="9"/>
    <n v="32"/>
    <n v="87"/>
    <n v="0.96666666666666667"/>
    <n v="0.64"/>
    <n v="1.1666666666666667"/>
  </r>
  <r>
    <n v="860"/>
    <x v="6"/>
    <s v="East"/>
    <s v="Small Market"/>
    <s v="Green Tea"/>
    <s v="Tea"/>
    <s v="Connecticut"/>
    <s v="Regular"/>
    <n v="20"/>
    <n v="30"/>
    <n v="20"/>
    <n v="50"/>
    <n v="20"/>
    <n v="814"/>
    <n v="31"/>
    <n v="5"/>
    <n v="15"/>
    <n v="51"/>
    <n v="1.02"/>
    <n v="0.75"/>
    <n v="1"/>
  </r>
  <r>
    <n v="959"/>
    <x v="6"/>
    <s v="East"/>
    <s v="Small Market"/>
    <s v="Lemon"/>
    <s v="Herbal Tea"/>
    <s v="Connecticut"/>
    <s v="Decaf"/>
    <n v="50"/>
    <n v="80"/>
    <n v="40"/>
    <n v="130"/>
    <n v="76"/>
    <n v="613"/>
    <n v="93"/>
    <n v="28"/>
    <n v="32"/>
    <n v="169"/>
    <n v="1.3"/>
    <n v="0.8"/>
    <n v="1.52"/>
  </r>
  <r>
    <n v="959"/>
    <x v="6"/>
    <s v="East"/>
    <s v="Small Market"/>
    <s v="Mint"/>
    <s v="Herbal Tea"/>
    <s v="Connecticut"/>
    <s v="Decaf"/>
    <n v="40"/>
    <n v="60"/>
    <n v="40"/>
    <n v="100"/>
    <n v="60"/>
    <n v="1070"/>
    <n v="72"/>
    <n v="18"/>
    <n v="33"/>
    <n v="132"/>
    <n v="1.32"/>
    <n v="0.82499999999999996"/>
    <n v="1.5"/>
  </r>
  <r>
    <n v="860"/>
    <x v="6"/>
    <s v="East"/>
    <s v="Small Market"/>
    <s v="Caffe Mocha"/>
    <s v="Espresso"/>
    <s v="Connecticut"/>
    <s v="Regular"/>
    <n v="40"/>
    <n v="70"/>
    <n v="20"/>
    <n v="110"/>
    <n v="47"/>
    <n v="622"/>
    <n v="66"/>
    <n v="42"/>
    <n v="-5"/>
    <n v="113"/>
    <n v="1.0272727272727273"/>
    <n v="-0.25"/>
    <n v="1.175"/>
  </r>
  <r>
    <n v="203"/>
    <x v="6"/>
    <s v="East"/>
    <s v="Small Market"/>
    <s v="Decaf Espresso"/>
    <s v="Espresso"/>
    <s v="Connecticut"/>
    <s v="Decaf"/>
    <n v="40"/>
    <n v="50"/>
    <n v="20"/>
    <n v="90"/>
    <n v="43"/>
    <n v="388"/>
    <n v="57"/>
    <n v="14"/>
    <n v="16"/>
    <n v="100"/>
    <n v="1.1111111111111112"/>
    <n v="0.8"/>
    <n v="1.075"/>
  </r>
  <r>
    <n v="203"/>
    <x v="6"/>
    <s v="East"/>
    <s v="Small Market"/>
    <s v="Columbian"/>
    <s v="Coffee"/>
    <s v="Connecticut"/>
    <s v="Regular"/>
    <n v="80"/>
    <n v="130"/>
    <n v="90"/>
    <n v="210"/>
    <n v="90"/>
    <n v="1148"/>
    <n v="135"/>
    <n v="29"/>
    <n v="75"/>
    <n v="225"/>
    <n v="1.0714285714285714"/>
    <n v="0.83333333333333337"/>
    <n v="1.125"/>
  </r>
  <r>
    <n v="386"/>
    <x v="6"/>
    <s v="East"/>
    <s v="Major Market"/>
    <s v="Darjeeling"/>
    <s v="Tea"/>
    <s v="Florida"/>
    <s v="Regular"/>
    <n v="40"/>
    <n v="70"/>
    <n v="50"/>
    <n v="110"/>
    <n v="45"/>
    <n v="885"/>
    <n v="65"/>
    <n v="12"/>
    <n v="41"/>
    <n v="110"/>
    <n v="1"/>
    <n v="0.82"/>
    <n v="1.125"/>
  </r>
  <r>
    <n v="954"/>
    <x v="6"/>
    <s v="East"/>
    <s v="Major Market"/>
    <s v="Green Tea"/>
    <s v="Tea"/>
    <s v="Florida"/>
    <s v="Regular"/>
    <n v="60"/>
    <n v="90"/>
    <n v="70"/>
    <n v="150"/>
    <n v="59"/>
    <n v="870"/>
    <n v="85"/>
    <n v="16"/>
    <n v="58"/>
    <n v="144"/>
    <n v="0.96"/>
    <n v="0.82857142857142863"/>
    <n v="0.98333333333333328"/>
  </r>
  <r>
    <n v="863"/>
    <x v="6"/>
    <s v="East"/>
    <s v="Major Market"/>
    <s v="Chamomile"/>
    <s v="Herbal Tea"/>
    <s v="Florida"/>
    <s v="Decaf"/>
    <n v="30"/>
    <n v="50"/>
    <n v="30"/>
    <n v="80"/>
    <n v="50"/>
    <n v="587"/>
    <n v="65"/>
    <n v="16"/>
    <n v="36"/>
    <n v="115"/>
    <n v="1.4375"/>
    <n v="1.2"/>
    <n v="1.6666666666666667"/>
  </r>
  <r>
    <n v="904"/>
    <x v="6"/>
    <s v="East"/>
    <s v="Major Market"/>
    <s v="Lemon"/>
    <s v="Herbal Tea"/>
    <s v="Florida"/>
    <s v="Decaf"/>
    <n v="40"/>
    <n v="60"/>
    <n v="30"/>
    <n v="100"/>
    <n v="59"/>
    <n v="403"/>
    <n v="74"/>
    <n v="22"/>
    <n v="19"/>
    <n v="133"/>
    <n v="1.33"/>
    <n v="0.6333333333333333"/>
    <n v="1.4750000000000001"/>
  </r>
  <r>
    <n v="904"/>
    <x v="6"/>
    <s v="East"/>
    <s v="Major Market"/>
    <s v="Mint"/>
    <s v="Herbal Tea"/>
    <s v="Florida"/>
    <s v="Decaf"/>
    <n v="60"/>
    <n v="80"/>
    <n v="50"/>
    <n v="140"/>
    <n v="86"/>
    <n v="1081"/>
    <n v="103"/>
    <n v="26"/>
    <n v="55"/>
    <n v="189"/>
    <n v="1.35"/>
    <n v="1.1000000000000001"/>
    <n v="1.4333333333333333"/>
  </r>
  <r>
    <n v="386"/>
    <x v="6"/>
    <s v="East"/>
    <s v="Major Market"/>
    <s v="Caffe Mocha"/>
    <s v="Espresso"/>
    <s v="Florida"/>
    <s v="Regular"/>
    <n v="110"/>
    <n v="180"/>
    <n v="60"/>
    <n v="290"/>
    <n v="124"/>
    <n v="717"/>
    <n v="173"/>
    <n v="112"/>
    <n v="32"/>
    <n v="297"/>
    <n v="1.0241379310344827"/>
    <n v="0.53333333333333333"/>
    <n v="1.1272727272727272"/>
  </r>
  <r>
    <n v="863"/>
    <x v="6"/>
    <s v="East"/>
    <s v="Major Market"/>
    <s v="Decaf Espresso"/>
    <s v="Espresso"/>
    <s v="Florida"/>
    <s v="Decaf"/>
    <n v="90"/>
    <n v="130"/>
    <n v="80"/>
    <n v="220"/>
    <n v="97"/>
    <n v="575"/>
    <n v="130"/>
    <n v="32"/>
    <n v="71"/>
    <n v="227"/>
    <n v="1.0318181818181817"/>
    <n v="0.88749999999999996"/>
    <n v="1.0777777777777777"/>
  </r>
  <r>
    <n v="904"/>
    <x v="6"/>
    <s v="East"/>
    <s v="Major Market"/>
    <s v="Columbian"/>
    <s v="Coffee"/>
    <s v="Florida"/>
    <s v="Regular"/>
    <n v="100"/>
    <n v="170"/>
    <n v="120"/>
    <n v="270"/>
    <n v="114"/>
    <n v="822"/>
    <n v="172"/>
    <n v="37"/>
    <n v="104"/>
    <n v="286"/>
    <n v="1.0592592592592593"/>
    <n v="0.8666666666666667"/>
    <n v="1.1399999999999999"/>
  </r>
  <r>
    <n v="727"/>
    <x v="6"/>
    <s v="East"/>
    <s v="Major Market"/>
    <s v="Decaf Irish Cream"/>
    <s v="Coffee"/>
    <s v="Florida"/>
    <s v="Decaf"/>
    <n v="130"/>
    <n v="180"/>
    <n v="130"/>
    <n v="310"/>
    <n v="141"/>
    <n v="692"/>
    <n v="195"/>
    <n v="43"/>
    <n v="129"/>
    <n v="336"/>
    <n v="1.0838709677419356"/>
    <n v="0.99230769230769234"/>
    <n v="1.0846153846153845"/>
  </r>
  <r>
    <n v="413"/>
    <x v="6"/>
    <s v="East"/>
    <s v="Major Market"/>
    <s v="Darjeeling"/>
    <s v="Tea"/>
    <s v="Massachusetts"/>
    <s v="Regular"/>
    <n v="20"/>
    <n v="40"/>
    <n v="30"/>
    <n v="60"/>
    <n v="23"/>
    <n v="868"/>
    <n v="34"/>
    <n v="6"/>
    <n v="16"/>
    <n v="57"/>
    <n v="0.95"/>
    <n v="0.53333333333333333"/>
    <n v="1.1499999999999999"/>
  </r>
  <r>
    <n v="339"/>
    <x v="6"/>
    <s v="East"/>
    <s v="Major Market"/>
    <s v="Green Tea"/>
    <s v="Tea"/>
    <s v="Massachusetts"/>
    <s v="Regular"/>
    <n v="10"/>
    <n v="30"/>
    <n v="20"/>
    <n v="40"/>
    <n v="18"/>
    <n v="486"/>
    <n v="26"/>
    <n v="5"/>
    <n v="9"/>
    <n v="44"/>
    <n v="1.1000000000000001"/>
    <n v="0.45"/>
    <n v="1.8"/>
  </r>
  <r>
    <n v="978"/>
    <x v="6"/>
    <s v="East"/>
    <s v="Major Market"/>
    <s v="Lemon"/>
    <s v="Herbal Tea"/>
    <s v="Massachusetts"/>
    <s v="Decaf"/>
    <n v="30"/>
    <n v="50"/>
    <n v="20"/>
    <n v="80"/>
    <n v="51"/>
    <n v="419"/>
    <n v="64"/>
    <n v="19"/>
    <n v="11"/>
    <n v="115"/>
    <n v="1.4375"/>
    <n v="0.55000000000000004"/>
    <n v="1.7"/>
  </r>
  <r>
    <n v="978"/>
    <x v="6"/>
    <s v="East"/>
    <s v="Major Market"/>
    <s v="Caffe Mocha"/>
    <s v="Espresso"/>
    <s v="Massachusetts"/>
    <s v="Regular"/>
    <n v="30"/>
    <n v="70"/>
    <n v="20"/>
    <n v="100"/>
    <n v="39"/>
    <n v="560"/>
    <n v="72"/>
    <n v="36"/>
    <n v="7"/>
    <n v="111"/>
    <n v="1.1100000000000001"/>
    <n v="0.35"/>
    <n v="1.3"/>
  </r>
  <r>
    <n v="617"/>
    <x v="6"/>
    <s v="East"/>
    <s v="Major Market"/>
    <s v="Regular Espresso"/>
    <s v="Espresso"/>
    <s v="Massachusetts"/>
    <s v="Regular"/>
    <n v="130"/>
    <n v="150"/>
    <n v="100"/>
    <n v="280"/>
    <n v="145"/>
    <n v="1304"/>
    <n v="146"/>
    <n v="40"/>
    <n v="81"/>
    <n v="291"/>
    <n v="1.0392857142857144"/>
    <n v="0.81"/>
    <n v="1.1153846153846154"/>
  </r>
  <r>
    <n v="508"/>
    <x v="6"/>
    <s v="East"/>
    <s v="Major Market"/>
    <s v="Columbian"/>
    <s v="Coffee"/>
    <s v="Massachusetts"/>
    <s v="Regular"/>
    <n v="40"/>
    <n v="590"/>
    <n v="560"/>
    <n v="630"/>
    <n v="52"/>
    <n v="-1493"/>
    <n v="613"/>
    <n v="17"/>
    <n v="564"/>
    <n v="665"/>
    <n v="1.0555555555555556"/>
    <n v="1.0071428571428571"/>
    <n v="1.3"/>
  </r>
  <r>
    <n v="603"/>
    <x v="6"/>
    <s v="East"/>
    <s v="Small Market"/>
    <s v="Darjeeling"/>
    <s v="Tea"/>
    <s v="New Hampshire"/>
    <s v="Regular"/>
    <n v="20"/>
    <n v="40"/>
    <n v="30"/>
    <n v="60"/>
    <n v="25"/>
    <n v="854"/>
    <n v="36"/>
    <n v="7"/>
    <n v="17"/>
    <n v="61"/>
    <n v="1.0166666666666666"/>
    <n v="0.56666666666666665"/>
    <n v="1.25"/>
  </r>
  <r>
    <n v="603"/>
    <x v="6"/>
    <s v="East"/>
    <s v="Small Market"/>
    <s v="Green Tea"/>
    <s v="Tea"/>
    <s v="New Hampshire"/>
    <s v="Regular"/>
    <n v="0"/>
    <n v="40"/>
    <n v="30"/>
    <n v="40"/>
    <n v="0"/>
    <n v="559"/>
    <n v="43"/>
    <n v="0"/>
    <n v="31"/>
    <n v="43"/>
    <n v="1.075"/>
    <n v="1.0333333333333334"/>
    <m/>
  </r>
  <r>
    <n v="603"/>
    <x v="6"/>
    <s v="East"/>
    <s v="Small Market"/>
    <s v="Lemon"/>
    <s v="Herbal Tea"/>
    <s v="New Hampshire"/>
    <s v="Decaf"/>
    <n v="20"/>
    <n v="40"/>
    <n v="10"/>
    <n v="60"/>
    <n v="36"/>
    <n v="252"/>
    <n v="46"/>
    <n v="13"/>
    <n v="0"/>
    <n v="82"/>
    <n v="1.3666666666666667"/>
    <n v="0"/>
    <n v="1.8"/>
  </r>
  <r>
    <n v="603"/>
    <x v="6"/>
    <s v="East"/>
    <s v="Small Market"/>
    <s v="Caffe Mocha"/>
    <s v="Espresso"/>
    <s v="New Hampshire"/>
    <s v="Regular"/>
    <n v="50"/>
    <n v="80"/>
    <n v="10"/>
    <n v="130"/>
    <n v="59"/>
    <n v="338"/>
    <n v="82"/>
    <n v="53"/>
    <n v="-1"/>
    <n v="141"/>
    <n v="1.0846153846153845"/>
    <n v="-0.1"/>
    <n v="1.18"/>
  </r>
  <r>
    <n v="603"/>
    <x v="6"/>
    <s v="East"/>
    <s v="Small Market"/>
    <s v="Regular Espresso"/>
    <s v="Espresso"/>
    <s v="New Hampshire"/>
    <s v="Regular"/>
    <n v="30"/>
    <n v="50"/>
    <n v="10"/>
    <n v="80"/>
    <n v="40"/>
    <n v="219"/>
    <n v="49"/>
    <n v="15"/>
    <n v="0"/>
    <n v="89"/>
    <n v="1.1125"/>
    <n v="0"/>
    <n v="1.3333333333333333"/>
  </r>
  <r>
    <n v="603"/>
    <x v="6"/>
    <s v="East"/>
    <s v="Small Market"/>
    <s v="Amaretto"/>
    <s v="Coffee"/>
    <s v="New Hampshire"/>
    <s v="Regular"/>
    <n v="50"/>
    <n v="90"/>
    <n v="70"/>
    <n v="140"/>
    <n v="61"/>
    <n v="329"/>
    <n v="90"/>
    <n v="19"/>
    <n v="49"/>
    <n v="151"/>
    <n v="1.0785714285714285"/>
    <n v="0.7"/>
    <n v="1.22"/>
  </r>
  <r>
    <n v="603"/>
    <x v="6"/>
    <s v="East"/>
    <s v="Small Market"/>
    <s v="Columbian"/>
    <s v="Coffee"/>
    <s v="New Hampshire"/>
    <s v="Regular"/>
    <n v="60"/>
    <n v="90"/>
    <n v="60"/>
    <n v="150"/>
    <n v="64"/>
    <n v="467"/>
    <n v="96"/>
    <n v="21"/>
    <n v="43"/>
    <n v="160"/>
    <n v="1.0666666666666667"/>
    <n v="0.71666666666666667"/>
    <n v="1.0666666666666667"/>
  </r>
  <r>
    <n v="212"/>
    <x v="6"/>
    <s v="East"/>
    <s v="Major Market"/>
    <s v="Darjeeling"/>
    <s v="Tea"/>
    <s v="New York"/>
    <s v="Regular"/>
    <n v="130"/>
    <n v="200"/>
    <n v="160"/>
    <n v="330"/>
    <n v="127"/>
    <n v="1007"/>
    <n v="185"/>
    <n v="35"/>
    <n v="138"/>
    <n v="312"/>
    <n v="0.94545454545454544"/>
    <n v="0.86250000000000004"/>
    <n v="0.97692307692307689"/>
  </r>
  <r>
    <n v="518"/>
    <x v="6"/>
    <s v="East"/>
    <s v="Major Market"/>
    <s v="Earl Grey"/>
    <s v="Tea"/>
    <s v="New York"/>
    <s v="Regular"/>
    <n v="110"/>
    <n v="160"/>
    <n v="120"/>
    <n v="270"/>
    <n v="104"/>
    <n v="952"/>
    <n v="152"/>
    <n v="29"/>
    <n v="111"/>
    <n v="256"/>
    <n v="0.94814814814814818"/>
    <n v="0.92500000000000004"/>
    <n v="0.94545454545454544"/>
  </r>
  <r>
    <n v="315"/>
    <x v="6"/>
    <s v="East"/>
    <s v="Major Market"/>
    <s v="Green Tea"/>
    <s v="Tea"/>
    <s v="New York"/>
    <s v="Regular"/>
    <n v="90"/>
    <n v="150"/>
    <n v="120"/>
    <n v="240"/>
    <n v="94"/>
    <n v="608"/>
    <n v="136"/>
    <n v="26"/>
    <n v="98"/>
    <n v="230"/>
    <n v="0.95833333333333337"/>
    <n v="0.81666666666666665"/>
    <n v="1.0444444444444445"/>
  </r>
  <r>
    <n v="516"/>
    <x v="6"/>
    <s v="East"/>
    <s v="Major Market"/>
    <s v="Lemon"/>
    <s v="Herbal Tea"/>
    <s v="New York"/>
    <s v="Decaf"/>
    <n v="200"/>
    <n v="410"/>
    <n v="310"/>
    <n v="610"/>
    <n v="270"/>
    <n v="1781"/>
    <n v="523"/>
    <n v="102"/>
    <n v="388"/>
    <n v="793"/>
    <n v="1.3"/>
    <n v="1.2516129032258065"/>
    <n v="1.35"/>
  </r>
  <r>
    <n v="716"/>
    <x v="6"/>
    <s v="East"/>
    <s v="Major Market"/>
    <s v="Mint"/>
    <s v="Herbal Tea"/>
    <s v="New York"/>
    <s v="Decaf"/>
    <n v="190"/>
    <n v="-40"/>
    <n v="-110"/>
    <n v="150"/>
    <n v="260"/>
    <n v="3076"/>
    <n v="-62"/>
    <n v="80"/>
    <n v="-164"/>
    <n v="198"/>
    <n v="1.32"/>
    <n v="1.490909090909091"/>
    <n v="1.368421052631579"/>
  </r>
  <r>
    <n v="585"/>
    <x v="6"/>
    <s v="East"/>
    <s v="Major Market"/>
    <s v="Regular Espresso"/>
    <s v="Espresso"/>
    <s v="New York"/>
    <s v="Regular"/>
    <n v="250"/>
    <n v="280"/>
    <n v="190"/>
    <n v="530"/>
    <n v="266"/>
    <n v="1355"/>
    <n v="280"/>
    <n v="74"/>
    <n v="182"/>
    <n v="546"/>
    <n v="1.030188679245283"/>
    <n v="0.95789473684210524"/>
    <n v="1.0640000000000001"/>
  </r>
  <r>
    <n v="347"/>
    <x v="6"/>
    <s v="East"/>
    <s v="Major Market"/>
    <s v="Caffe Mocha"/>
    <s v="Espresso"/>
    <s v="New York"/>
    <s v="Regular"/>
    <n v="150"/>
    <n v="-80"/>
    <n v="-240"/>
    <n v="70"/>
    <n v="162"/>
    <n v="2321"/>
    <n v="-85"/>
    <n v="147"/>
    <n v="-266"/>
    <n v="77"/>
    <n v="1.1000000000000001"/>
    <n v="1.1083333333333334"/>
    <n v="1.08"/>
  </r>
  <r>
    <n v="845"/>
    <x v="6"/>
    <s v="East"/>
    <s v="Major Market"/>
    <s v="Columbian"/>
    <s v="Coffee"/>
    <s v="New York"/>
    <s v="Regular"/>
    <n v="340"/>
    <n v="520"/>
    <n v="370"/>
    <n v="860"/>
    <n v="364"/>
    <n v="2654"/>
    <n v="548"/>
    <n v="127"/>
    <n v="370"/>
    <n v="912"/>
    <n v="1.0604651162790697"/>
    <n v="1"/>
    <n v="1.0705882352941176"/>
  </r>
  <r>
    <n v="318"/>
    <x v="6"/>
    <s v="South"/>
    <s v="Small Market"/>
    <s v="Decaf Irish Cream"/>
    <s v="Coffee"/>
    <s v="Louisiana"/>
    <s v="Decaf"/>
    <n v="70"/>
    <n v="110"/>
    <n v="90"/>
    <n v="180"/>
    <n v="59"/>
    <n v="870"/>
    <n v="85"/>
    <n v="16"/>
    <n v="58"/>
    <n v="144"/>
    <n v="0.8"/>
    <n v="0.64444444444444449"/>
    <n v="0.84285714285714286"/>
  </r>
  <r>
    <n v="318"/>
    <x v="6"/>
    <s v="South"/>
    <s v="Small Market"/>
    <s v="Columbian"/>
    <s v="Coffee"/>
    <s v="Louisiana"/>
    <s v="Regular"/>
    <n v="50"/>
    <n v="70"/>
    <n v="50"/>
    <n v="120"/>
    <n v="40"/>
    <n v="843"/>
    <n v="59"/>
    <n v="11"/>
    <n v="36"/>
    <n v="99"/>
    <n v="0.82499999999999996"/>
    <n v="0.72"/>
    <n v="0.8"/>
  </r>
  <r>
    <n v="318"/>
    <x v="6"/>
    <s v="South"/>
    <s v="Small Market"/>
    <s v="Chamomile"/>
    <s v="Herbal Tea"/>
    <s v="Louisiana"/>
    <s v="Decaf"/>
    <n v="40"/>
    <n v="60"/>
    <n v="40"/>
    <n v="100"/>
    <n v="46"/>
    <n v="587"/>
    <n v="60"/>
    <n v="15"/>
    <n v="32"/>
    <n v="106"/>
    <n v="1.06"/>
    <n v="0.8"/>
    <n v="1.1499999999999999"/>
  </r>
  <r>
    <n v="318"/>
    <x v="6"/>
    <s v="South"/>
    <s v="Small Market"/>
    <s v="Lemon"/>
    <s v="Herbal Tea"/>
    <s v="Louisiana"/>
    <s v="Decaf"/>
    <n v="70"/>
    <n v="90"/>
    <n v="40"/>
    <n v="160"/>
    <n v="76"/>
    <n v="613"/>
    <n v="93"/>
    <n v="28"/>
    <n v="31"/>
    <n v="169"/>
    <n v="1.0562499999999999"/>
    <n v="0.77500000000000002"/>
    <n v="1.0857142857142856"/>
  </r>
  <r>
    <n v="985"/>
    <x v="6"/>
    <s v="South"/>
    <s v="Small Market"/>
    <s v="Caffe Latte"/>
    <s v="Espresso"/>
    <s v="Louisiana"/>
    <s v="Regular"/>
    <n v="40"/>
    <n v="50"/>
    <n v="0"/>
    <n v="90"/>
    <n v="47"/>
    <n v="-395"/>
    <n v="66"/>
    <n v="42"/>
    <n v="-6"/>
    <n v="113"/>
    <n v="1.2555555555555555"/>
    <m/>
    <n v="1.175"/>
  </r>
  <r>
    <n v="225"/>
    <x v="6"/>
    <s v="South"/>
    <s v="Small Market"/>
    <s v="Caffe Mocha"/>
    <s v="Espresso"/>
    <s v="Louisiana"/>
    <s v="Regular"/>
    <n v="30"/>
    <n v="50"/>
    <n v="30"/>
    <n v="80"/>
    <n v="39"/>
    <n v="380"/>
    <n v="65"/>
    <n v="12"/>
    <n v="30"/>
    <n v="104"/>
    <n v="1.3"/>
    <n v="1"/>
    <n v="1.3"/>
  </r>
  <r>
    <n v="225"/>
    <x v="6"/>
    <s v="South"/>
    <s v="Small Market"/>
    <s v="Decaf Espresso"/>
    <s v="Espresso"/>
    <s v="Louisiana"/>
    <s v="Decaf"/>
    <n v="30"/>
    <n v="40"/>
    <n v="20"/>
    <n v="70"/>
    <n v="36"/>
    <n v="462"/>
    <n v="54"/>
    <n v="11"/>
    <n v="21"/>
    <n v="90"/>
    <n v="1.2857142857142858"/>
    <n v="1.05"/>
    <n v="1.2"/>
  </r>
  <r>
    <n v="505"/>
    <x v="6"/>
    <s v="South"/>
    <s v="Small Market"/>
    <s v="Decaf Irish Cream"/>
    <s v="Coffee"/>
    <s v="New Mexico"/>
    <s v="Decaf"/>
    <n v="150"/>
    <n v="60"/>
    <n v="10"/>
    <n v="210"/>
    <n v="120"/>
    <n v="1334"/>
    <n v="49"/>
    <n v="37"/>
    <n v="-11"/>
    <n v="169"/>
    <n v="0.80476190476190479"/>
    <n v="-1.1000000000000001"/>
    <n v="0.8"/>
  </r>
  <r>
    <n v="505"/>
    <x v="6"/>
    <s v="South"/>
    <s v="Small Market"/>
    <s v="Columbian"/>
    <s v="Coffee"/>
    <s v="New Mexico"/>
    <s v="Regular"/>
    <n v="80"/>
    <n v="120"/>
    <n v="70"/>
    <n v="200"/>
    <n v="64"/>
    <n v="467"/>
    <n v="96"/>
    <n v="21"/>
    <n v="44"/>
    <n v="160"/>
    <n v="0.8"/>
    <n v="0.62857142857142856"/>
    <n v="0.8"/>
  </r>
  <r>
    <n v="505"/>
    <x v="6"/>
    <s v="South"/>
    <s v="Small Market"/>
    <s v="Chamomile"/>
    <s v="Herbal Tea"/>
    <s v="New Mexico"/>
    <s v="Decaf"/>
    <n v="20"/>
    <n v="30"/>
    <n v="20"/>
    <n v="50"/>
    <n v="25"/>
    <n v="854"/>
    <n v="36"/>
    <n v="7"/>
    <n v="17"/>
    <n v="61"/>
    <n v="1.22"/>
    <n v="0.85"/>
    <n v="1.25"/>
  </r>
  <r>
    <n v="505"/>
    <x v="6"/>
    <s v="South"/>
    <s v="Small Market"/>
    <s v="Lemon"/>
    <s v="Herbal Tea"/>
    <s v="New Mexico"/>
    <s v="Decaf"/>
    <n v="30"/>
    <n v="40"/>
    <n v="20"/>
    <n v="70"/>
    <n v="34"/>
    <n v="1010"/>
    <n v="41"/>
    <n v="10"/>
    <n v="10"/>
    <n v="75"/>
    <n v="1.0714285714285714"/>
    <n v="0.5"/>
    <n v="1.1333333333333333"/>
  </r>
  <r>
    <n v="505"/>
    <x v="6"/>
    <s v="South"/>
    <s v="Small Market"/>
    <s v="Caffe Latte"/>
    <s v="Espresso"/>
    <s v="New Mexico"/>
    <s v="Regular"/>
    <n v="30"/>
    <n v="40"/>
    <n v="10"/>
    <n v="70"/>
    <n v="40"/>
    <n v="-258"/>
    <n v="49"/>
    <n v="15"/>
    <n v="1"/>
    <n v="89"/>
    <n v="1.2714285714285714"/>
    <n v="0.1"/>
    <n v="1.3333333333333333"/>
  </r>
  <r>
    <n v="505"/>
    <x v="6"/>
    <s v="South"/>
    <s v="Small Market"/>
    <s v="Caffe Mocha"/>
    <s v="Espresso"/>
    <s v="New Mexico"/>
    <s v="Regular"/>
    <n v="50"/>
    <n v="70"/>
    <n v="0"/>
    <n v="120"/>
    <n v="59"/>
    <n v="338"/>
    <n v="82"/>
    <n v="53"/>
    <n v="-1"/>
    <n v="141"/>
    <n v="1.175"/>
    <m/>
    <n v="1.18"/>
  </r>
  <r>
    <n v="505"/>
    <x v="6"/>
    <s v="South"/>
    <s v="Small Market"/>
    <s v="Decaf Espresso"/>
    <s v="Espresso"/>
    <s v="New Mexico"/>
    <s v="Decaf"/>
    <n v="30"/>
    <n v="50"/>
    <n v="20"/>
    <n v="80"/>
    <n v="44"/>
    <n v="258"/>
    <n v="59"/>
    <n v="14"/>
    <n v="18"/>
    <n v="103"/>
    <n v="1.2875000000000001"/>
    <n v="0.9"/>
    <n v="1.4666666666666666"/>
  </r>
  <r>
    <n v="405"/>
    <x v="6"/>
    <s v="South"/>
    <s v="Small Market"/>
    <s v="Decaf Irish Cream"/>
    <s v="Coffee"/>
    <s v="Oklahoma"/>
    <s v="Decaf"/>
    <n v="20"/>
    <n v="50"/>
    <n v="40"/>
    <n v="70"/>
    <n v="23"/>
    <n v="868"/>
    <n v="34"/>
    <n v="6"/>
    <n v="16"/>
    <n v="57"/>
    <n v="0.81428571428571428"/>
    <n v="0.4"/>
    <n v="1.1499999999999999"/>
  </r>
  <r>
    <n v="580"/>
    <x v="6"/>
    <s v="South"/>
    <s v="Small Market"/>
    <s v="Columbian"/>
    <s v="Coffee"/>
    <s v="Oklahoma"/>
    <s v="Regular"/>
    <n v="50"/>
    <n v="60"/>
    <n v="40"/>
    <n v="110"/>
    <n v="41"/>
    <n v="592"/>
    <n v="53"/>
    <n v="13"/>
    <n v="28"/>
    <n v="94"/>
    <n v="0.8545454545454545"/>
    <n v="0.7"/>
    <n v="0.82"/>
  </r>
  <r>
    <n v="405"/>
    <x v="6"/>
    <s v="South"/>
    <s v="Small Market"/>
    <s v="Lemon"/>
    <s v="Herbal Tea"/>
    <s v="Oklahoma"/>
    <s v="Decaf"/>
    <n v="110"/>
    <n v="180"/>
    <n v="60"/>
    <n v="290"/>
    <n v="124"/>
    <n v="717"/>
    <n v="173"/>
    <n v="112"/>
    <n v="32"/>
    <n v="297"/>
    <n v="1.0241379310344827"/>
    <n v="0.53333333333333333"/>
    <n v="1.1272727272727272"/>
  </r>
  <r>
    <n v="405"/>
    <x v="6"/>
    <s v="South"/>
    <s v="Small Market"/>
    <s v="Chamomile"/>
    <s v="Herbal Tea"/>
    <s v="Oklahoma"/>
    <s v="Decaf"/>
    <n v="50"/>
    <n v="80"/>
    <n v="30"/>
    <n v="130"/>
    <n v="59"/>
    <n v="403"/>
    <n v="74"/>
    <n v="22"/>
    <n v="19"/>
    <n v="133"/>
    <n v="1.023076923076923"/>
    <n v="0.6333333333333333"/>
    <n v="1.18"/>
  </r>
  <r>
    <n v="580"/>
    <x v="6"/>
    <s v="South"/>
    <s v="Small Market"/>
    <s v="Caffe Latte"/>
    <s v="Espresso"/>
    <s v="Oklahoma"/>
    <s v="Regular"/>
    <n v="120"/>
    <n v="160"/>
    <n v="110"/>
    <n v="280"/>
    <n v="141"/>
    <n v="-942"/>
    <n v="195"/>
    <n v="43"/>
    <n v="128"/>
    <n v="336"/>
    <n v="1.2"/>
    <n v="1.1636363636363636"/>
    <n v="1.175"/>
  </r>
  <r>
    <n v="918"/>
    <x v="6"/>
    <s v="South"/>
    <s v="Small Market"/>
    <s v="Caffe Mocha"/>
    <s v="Espresso"/>
    <s v="Oklahoma"/>
    <s v="Regular"/>
    <n v="10"/>
    <n v="20"/>
    <n v="20"/>
    <n v="30"/>
    <n v="18"/>
    <n v="486"/>
    <n v="26"/>
    <n v="5"/>
    <n v="9"/>
    <n v="44"/>
    <n v="1.4666666666666666"/>
    <n v="0.45"/>
    <n v="1.8"/>
  </r>
  <r>
    <n v="580"/>
    <x v="6"/>
    <s v="South"/>
    <s v="Small Market"/>
    <s v="Decaf Espresso"/>
    <s v="Espresso"/>
    <s v="Oklahoma"/>
    <s v="Decaf"/>
    <n v="90"/>
    <n v="150"/>
    <n v="100"/>
    <n v="240"/>
    <n v="114"/>
    <n v="822"/>
    <n v="172"/>
    <n v="37"/>
    <n v="103"/>
    <n v="286"/>
    <n v="1.1916666666666667"/>
    <n v="1.03"/>
    <n v="1.2666666666666666"/>
  </r>
  <r>
    <n v="325"/>
    <x v="6"/>
    <s v="South"/>
    <s v="Major Market"/>
    <s v="Decaf Irish Cream"/>
    <s v="Coffee"/>
    <s v="Texas"/>
    <s v="Decaf"/>
    <n v="100"/>
    <n v="140"/>
    <n v="110"/>
    <n v="240"/>
    <n v="87"/>
    <n v="564"/>
    <n v="112"/>
    <n v="28"/>
    <n v="71"/>
    <n v="199"/>
    <n v="0.82916666666666672"/>
    <n v="0.6454545454545455"/>
    <n v="0.87"/>
  </r>
  <r>
    <n v="430"/>
    <x v="6"/>
    <s v="South"/>
    <s v="Major Market"/>
    <s v="Columbian"/>
    <s v="Coffee"/>
    <s v="Texas"/>
    <s v="Regular"/>
    <n v="320"/>
    <n v="380"/>
    <n v="290"/>
    <n v="700"/>
    <n v="260"/>
    <n v="1319"/>
    <n v="307"/>
    <n v="80"/>
    <n v="206"/>
    <n v="567"/>
    <n v="0.81"/>
    <n v="0.71034482758620687"/>
    <n v="0.8125"/>
  </r>
  <r>
    <n v="281"/>
    <x v="6"/>
    <s v="South"/>
    <s v="Major Market"/>
    <s v="Lemon"/>
    <s v="Herbal Tea"/>
    <s v="Texas"/>
    <s v="Decaf"/>
    <n v="30"/>
    <n v="50"/>
    <n v="30"/>
    <n v="80"/>
    <n v="34"/>
    <n v="432"/>
    <n v="51"/>
    <n v="10"/>
    <n v="19"/>
    <n v="85"/>
    <n v="1.0625"/>
    <n v="0.6333333333333333"/>
    <n v="1.1333333333333333"/>
  </r>
  <r>
    <n v="903"/>
    <x v="6"/>
    <s v="South"/>
    <s v="Major Market"/>
    <s v="Chamomile"/>
    <s v="Herbal Tea"/>
    <s v="Texas"/>
    <s v="Decaf"/>
    <n v="40"/>
    <n v="60"/>
    <n v="30"/>
    <n v="100"/>
    <n v="47"/>
    <n v="420"/>
    <n v="63"/>
    <n v="15"/>
    <n v="20"/>
    <n v="110"/>
    <n v="1.1000000000000001"/>
    <n v="0.66666666666666663"/>
    <n v="1.175"/>
  </r>
  <r>
    <n v="281"/>
    <x v="6"/>
    <s v="South"/>
    <s v="Major Market"/>
    <s v="Caffe Latte"/>
    <s v="Espresso"/>
    <s v="Texas"/>
    <s v="Regular"/>
    <n v="40"/>
    <n v="70"/>
    <n v="40"/>
    <n v="110"/>
    <n v="52"/>
    <n v="-456"/>
    <n v="79"/>
    <n v="17"/>
    <n v="30"/>
    <n v="131"/>
    <n v="1.1909090909090909"/>
    <n v="0.75"/>
    <n v="1.3"/>
  </r>
  <r>
    <n v="210"/>
    <x v="6"/>
    <s v="South"/>
    <s v="Major Market"/>
    <s v="Caffe Mocha"/>
    <s v="Espresso"/>
    <s v="Texas"/>
    <s v="Regular"/>
    <n v="80"/>
    <n v="140"/>
    <n v="120"/>
    <n v="220"/>
    <n v="104"/>
    <n v="952"/>
    <n v="152"/>
    <n v="29"/>
    <n v="112"/>
    <n v="256"/>
    <n v="1.1636363636363636"/>
    <n v="0.93333333333333335"/>
    <n v="1.3"/>
  </r>
  <r>
    <n v="832"/>
    <x v="6"/>
    <s v="South"/>
    <s v="Major Market"/>
    <s v="Decaf Espresso"/>
    <s v="Espresso"/>
    <s v="Texas"/>
    <s v="Decaf"/>
    <n v="80"/>
    <n v="110"/>
    <n v="90"/>
    <n v="190"/>
    <n v="94"/>
    <n v="608"/>
    <n v="136"/>
    <n v="26"/>
    <n v="98"/>
    <n v="230"/>
    <n v="1.2105263157894737"/>
    <n v="1.0888888888888888"/>
    <n v="1.175"/>
  </r>
  <r>
    <n v="435"/>
    <x v="6"/>
    <s v="West"/>
    <s v="Small Market"/>
    <s v="Amaretto"/>
    <s v="Coffee"/>
    <s v="Utah"/>
    <s v="Regular"/>
    <n v="70"/>
    <n v="90"/>
    <n v="60"/>
    <n v="160"/>
    <n v="60"/>
    <n v="1070"/>
    <n v="72"/>
    <n v="18"/>
    <n v="32"/>
    <n v="132"/>
    <n v="0.82499999999999996"/>
    <n v="0.53333333333333333"/>
    <n v="0.8571428571428571"/>
  </r>
  <r>
    <n v="801"/>
    <x v="6"/>
    <s v="West"/>
    <s v="Small Market"/>
    <s v="Columbian"/>
    <s v="Coffee"/>
    <s v="Utah"/>
    <s v="Regular"/>
    <n v="50"/>
    <n v="70"/>
    <n v="40"/>
    <n v="120"/>
    <n v="43"/>
    <n v="388"/>
    <n v="57"/>
    <n v="14"/>
    <n v="16"/>
    <n v="100"/>
    <n v="0.83333333333333337"/>
    <n v="0.4"/>
    <n v="0.86"/>
  </r>
  <r>
    <n v="435"/>
    <x v="6"/>
    <s v="West"/>
    <s v="Small Market"/>
    <s v="Chamomile"/>
    <s v="Herbal Tea"/>
    <s v="Utah"/>
    <s v="Decaf"/>
    <n v="50"/>
    <n v="80"/>
    <n v="60"/>
    <n v="130"/>
    <n v="61"/>
    <n v="329"/>
    <n v="90"/>
    <n v="19"/>
    <n v="48"/>
    <n v="151"/>
    <n v="1.1615384615384616"/>
    <n v="0.8"/>
    <n v="1.22"/>
  </r>
  <r>
    <n v="435"/>
    <x v="6"/>
    <s v="West"/>
    <s v="Small Market"/>
    <s v="Lemon"/>
    <s v="Herbal Tea"/>
    <s v="Utah"/>
    <s v="Decaf"/>
    <n v="50"/>
    <n v="90"/>
    <n v="60"/>
    <n v="140"/>
    <n v="64"/>
    <n v="467"/>
    <n v="96"/>
    <n v="21"/>
    <n v="44"/>
    <n v="160"/>
    <n v="1.1428571428571428"/>
    <n v="0.73333333333333328"/>
    <n v="1.28"/>
  </r>
  <r>
    <n v="801"/>
    <x v="6"/>
    <s v="West"/>
    <s v="Small Market"/>
    <s v="Mint"/>
    <s v="Herbal Tea"/>
    <s v="Utah"/>
    <s v="Decaf"/>
    <n v="100"/>
    <n v="40"/>
    <n v="-10"/>
    <n v="140"/>
    <n v="120"/>
    <n v="1334"/>
    <n v="49"/>
    <n v="37"/>
    <n v="-12"/>
    <n v="169"/>
    <n v="1.2071428571428571"/>
    <n v="1.2"/>
    <n v="1.2"/>
  </r>
  <r>
    <n v="435"/>
    <x v="6"/>
    <s v="West"/>
    <s v="Small Market"/>
    <s v="Darjeeling"/>
    <s v="Tea"/>
    <s v="Utah"/>
    <s v="Regular"/>
    <n v="30"/>
    <n v="60"/>
    <n v="10"/>
    <n v="90"/>
    <n v="59"/>
    <n v="338"/>
    <n v="82"/>
    <n v="53"/>
    <n v="0"/>
    <n v="141"/>
    <n v="1.5666666666666667"/>
    <n v="0"/>
    <n v="1.9666666666666666"/>
  </r>
  <r>
    <n v="435"/>
    <x v="6"/>
    <s v="West"/>
    <s v="Small Market"/>
    <s v="Earl Grey"/>
    <s v="Tea"/>
    <s v="Utah"/>
    <s v="Regular"/>
    <n v="20"/>
    <n v="50"/>
    <n v="30"/>
    <n v="70"/>
    <n v="44"/>
    <n v="258"/>
    <n v="59"/>
    <n v="14"/>
    <n v="17"/>
    <n v="103"/>
    <n v="1.4714285714285715"/>
    <n v="0.56666666666666665"/>
    <n v="2.2000000000000002"/>
  </r>
  <r>
    <n v="435"/>
    <x v="6"/>
    <s v="West"/>
    <s v="Small Market"/>
    <s v="Green Tea"/>
    <s v="Tea"/>
    <s v="Utah"/>
    <s v="Regular"/>
    <n v="20"/>
    <n v="40"/>
    <n v="20"/>
    <n v="60"/>
    <n v="40"/>
    <n v="219"/>
    <n v="49"/>
    <n v="15"/>
    <n v="1"/>
    <n v="89"/>
    <n v="1.4833333333333334"/>
    <n v="0.05"/>
    <n v="2"/>
  </r>
  <r>
    <n v="435"/>
    <x v="6"/>
    <s v="West"/>
    <s v="Small Market"/>
    <s v="Decaf Irish Cream"/>
    <s v="Coffee"/>
    <s v="Utah"/>
    <s v="Decaf"/>
    <n v="90"/>
    <n v="120"/>
    <n v="70"/>
    <n v="210"/>
    <n v="76"/>
    <n v="613"/>
    <n v="93"/>
    <n v="28"/>
    <n v="31"/>
    <n v="169"/>
    <n v="0.80476190476190479"/>
    <n v="0.44285714285714284"/>
    <n v="0.84444444444444444"/>
  </r>
  <r>
    <n v="801"/>
    <x v="6"/>
    <s v="West"/>
    <s v="Small Market"/>
    <s v="Caffe Latte"/>
    <s v="Espresso"/>
    <s v="Utah"/>
    <s v="Regular"/>
    <n v="30"/>
    <n v="60"/>
    <n v="50"/>
    <n v="90"/>
    <n v="39"/>
    <n v="845"/>
    <n v="57"/>
    <n v="10"/>
    <n v="36"/>
    <n v="96"/>
    <n v="1.0666666666666667"/>
    <n v="0.72"/>
    <n v="1.3"/>
  </r>
  <r>
    <n v="801"/>
    <x v="6"/>
    <s v="West"/>
    <s v="Small Market"/>
    <s v="Caffe Mocha"/>
    <s v="Espresso"/>
    <s v="Utah"/>
    <s v="Regular"/>
    <n v="40"/>
    <n v="60"/>
    <n v="40"/>
    <n v="100"/>
    <n v="46"/>
    <n v="587"/>
    <n v="60"/>
    <n v="15"/>
    <n v="32"/>
    <n v="106"/>
    <n v="1.06"/>
    <n v="0.8"/>
    <n v="1.1499999999999999"/>
  </r>
  <r>
    <n v="801"/>
    <x v="6"/>
    <s v="West"/>
    <s v="Small Market"/>
    <s v="Decaf Espresso"/>
    <s v="Espresso"/>
    <s v="Utah"/>
    <s v="Decaf"/>
    <n v="30"/>
    <n v="50"/>
    <n v="40"/>
    <n v="80"/>
    <n v="35"/>
    <n v="894"/>
    <n v="52"/>
    <n v="9"/>
    <n v="31"/>
    <n v="87"/>
    <n v="1.0874999999999999"/>
    <n v="0.77500000000000002"/>
    <n v="1.1666666666666667"/>
  </r>
  <r>
    <n v="209"/>
    <x v="6"/>
    <s v="West"/>
    <s v="Major Market"/>
    <s v="Amaretto"/>
    <s v="Coffee"/>
    <s v="California"/>
    <s v="Regular"/>
    <n v="190"/>
    <n v="-90"/>
    <n v="-150"/>
    <n v="100"/>
    <n v="154"/>
    <n v="1832"/>
    <n v="-67"/>
    <n v="49"/>
    <n v="-138"/>
    <n v="87"/>
    <n v="0.87"/>
    <n v="0.92"/>
    <n v="0.81052631578947365"/>
  </r>
  <r>
    <n v="707"/>
    <x v="6"/>
    <s v="West"/>
    <s v="Major Market"/>
    <s v="Columbian"/>
    <s v="Coffee"/>
    <s v="California"/>
    <s v="Regular"/>
    <n v="450"/>
    <n v="690"/>
    <n v="530"/>
    <n v="1140"/>
    <n v="364"/>
    <n v="2654"/>
    <n v="548"/>
    <n v="127"/>
    <n v="370"/>
    <n v="912"/>
    <n v="0.8"/>
    <n v="0.69811320754716977"/>
    <n v="0.80888888888888888"/>
  </r>
  <r>
    <n v="805"/>
    <x v="6"/>
    <s v="West"/>
    <s v="Major Market"/>
    <s v="Chamomile"/>
    <s v="Herbal Tea"/>
    <s v="California"/>
    <s v="Decaf"/>
    <n v="100"/>
    <n v="170"/>
    <n v="150"/>
    <n v="270"/>
    <n v="127"/>
    <n v="1007"/>
    <n v="185"/>
    <n v="35"/>
    <n v="139"/>
    <n v="312"/>
    <n v="1.1555555555555554"/>
    <n v="0.92666666666666664"/>
    <n v="1.27"/>
  </r>
  <r>
    <n v="650"/>
    <x v="6"/>
    <s v="West"/>
    <s v="Major Market"/>
    <s v="Lemon"/>
    <s v="Herbal Tea"/>
    <s v="California"/>
    <s v="Decaf"/>
    <n v="220"/>
    <n v="270"/>
    <n v="200"/>
    <n v="490"/>
    <n v="260"/>
    <n v="1319"/>
    <n v="307"/>
    <n v="80"/>
    <n v="205"/>
    <n v="567"/>
    <n v="1.1571428571428573"/>
    <n v="1.0249999999999999"/>
    <n v="1.1818181818181819"/>
  </r>
  <r>
    <n v="831"/>
    <x v="6"/>
    <s v="West"/>
    <s v="Major Market"/>
    <s v="Mint"/>
    <s v="Herbal Tea"/>
    <s v="California"/>
    <s v="Decaf"/>
    <n v="70"/>
    <n v="100"/>
    <n v="70"/>
    <n v="170"/>
    <n v="87"/>
    <n v="564"/>
    <n v="112"/>
    <n v="28"/>
    <n v="72"/>
    <n v="199"/>
    <n v="1.1705882352941177"/>
    <n v="1.0285714285714285"/>
    <n v="1.2428571428571429"/>
  </r>
  <r>
    <n v="562"/>
    <x v="6"/>
    <s v="West"/>
    <s v="Major Market"/>
    <s v="Darjeeling"/>
    <s v="Tea"/>
    <s v="California"/>
    <s v="Regular"/>
    <n v="60"/>
    <n v="110"/>
    <n v="100"/>
    <n v="170"/>
    <n v="104"/>
    <n v="952"/>
    <n v="152"/>
    <n v="29"/>
    <n v="112"/>
    <n v="256"/>
    <n v="1.5058823529411764"/>
    <n v="1.1200000000000001"/>
    <n v="1.7333333333333334"/>
  </r>
  <r>
    <n v="831"/>
    <x v="6"/>
    <s v="West"/>
    <s v="Major Market"/>
    <s v="Earl Grey"/>
    <s v="Tea"/>
    <s v="California"/>
    <s v="Regular"/>
    <n v="60"/>
    <n v="90"/>
    <n v="80"/>
    <n v="150"/>
    <n v="94"/>
    <n v="608"/>
    <n v="136"/>
    <n v="26"/>
    <n v="98"/>
    <n v="230"/>
    <n v="1.5333333333333334"/>
    <n v="1.2250000000000001"/>
    <n v="1.5666666666666667"/>
  </r>
  <r>
    <n v="415"/>
    <x v="6"/>
    <s v="West"/>
    <s v="Major Market"/>
    <s v="Green Tea"/>
    <s v="Tea"/>
    <s v="California"/>
    <s v="Regular"/>
    <n v="30"/>
    <n v="50"/>
    <n v="20"/>
    <n v="80"/>
    <n v="52"/>
    <n v="668"/>
    <n v="79"/>
    <n v="17"/>
    <n v="30"/>
    <n v="131"/>
    <n v="1.6375"/>
    <n v="1.5"/>
    <n v="1.7333333333333334"/>
  </r>
  <r>
    <n v="707"/>
    <x v="6"/>
    <s v="West"/>
    <s v="Major Market"/>
    <s v="Decaf Irish Cream"/>
    <s v="Coffee"/>
    <s v="California"/>
    <s v="Decaf"/>
    <n v="290"/>
    <n v="-40"/>
    <n v="-150"/>
    <n v="250"/>
    <n v="238"/>
    <n v="2797"/>
    <n v="-36"/>
    <n v="78"/>
    <n v="-157"/>
    <n v="202"/>
    <n v="0.80800000000000005"/>
    <n v="1.0466666666666666"/>
    <n v="0.82068965517241377"/>
  </r>
  <r>
    <n v="818"/>
    <x v="6"/>
    <s v="West"/>
    <s v="Major Market"/>
    <s v="Caffe Latte"/>
    <s v="Espresso"/>
    <s v="California"/>
    <s v="Regular"/>
    <n v="250"/>
    <n v="260"/>
    <n v="170"/>
    <n v="510"/>
    <n v="266"/>
    <n v="1819"/>
    <n v="266"/>
    <n v="74"/>
    <n v="167"/>
    <n v="532"/>
    <n v="1.0431372549019609"/>
    <n v="0.98235294117647054"/>
    <n v="1.0640000000000001"/>
  </r>
  <r>
    <n v="562"/>
    <x v="6"/>
    <s v="West"/>
    <s v="Major Market"/>
    <s v="Caffe Mocha"/>
    <s v="Espresso"/>
    <s v="California"/>
    <s v="Regular"/>
    <n v="150"/>
    <n v="220"/>
    <n v="60"/>
    <n v="370"/>
    <n v="162"/>
    <n v="943"/>
    <n v="225"/>
    <n v="147"/>
    <n v="45"/>
    <n v="387"/>
    <n v="1.0459459459459459"/>
    <n v="0.75"/>
    <n v="1.08"/>
  </r>
  <r>
    <n v="650"/>
    <x v="6"/>
    <s v="West"/>
    <s v="Major Market"/>
    <s v="Decaf Espresso"/>
    <s v="Espresso"/>
    <s v="California"/>
    <s v="Decaf"/>
    <n v="270"/>
    <n v="380"/>
    <n v="260"/>
    <n v="650"/>
    <n v="291"/>
    <n v="1742"/>
    <n v="387"/>
    <n v="96"/>
    <n v="259"/>
    <n v="678"/>
    <n v="1.043076923076923"/>
    <n v="0.99615384615384617"/>
    <n v="1.0777777777777777"/>
  </r>
  <r>
    <n v="775"/>
    <x v="6"/>
    <s v="West"/>
    <s v="Small Market"/>
    <s v="Columbian"/>
    <s v="Coffee"/>
    <s v="Nevada"/>
    <s v="Regular"/>
    <n v="40"/>
    <n v="60"/>
    <n v="20"/>
    <n v="100"/>
    <n v="36"/>
    <n v="252"/>
    <n v="46"/>
    <n v="13"/>
    <n v="-1"/>
    <n v="82"/>
    <n v="0.82"/>
    <n v="-0.05"/>
    <n v="0.9"/>
  </r>
  <r>
    <n v="775"/>
    <x v="6"/>
    <s v="West"/>
    <s v="Small Market"/>
    <s v="Chamomile"/>
    <s v="Herbal Tea"/>
    <s v="Nevada"/>
    <s v="Decaf"/>
    <n v="130"/>
    <n v="210"/>
    <n v="70"/>
    <n v="340"/>
    <n v="162"/>
    <n v="943"/>
    <n v="225"/>
    <n v="147"/>
    <n v="45"/>
    <n v="387"/>
    <n v="1.138235294117647"/>
    <n v="0.6428571428571429"/>
    <n v="1.2461538461538462"/>
  </r>
  <r>
    <n v="775"/>
    <x v="6"/>
    <s v="West"/>
    <s v="Small Market"/>
    <s v="Lemon"/>
    <s v="Herbal Tea"/>
    <s v="Nevada"/>
    <s v="Decaf"/>
    <n v="200"/>
    <n v="290"/>
    <n v="200"/>
    <n v="490"/>
    <n v="238"/>
    <n v="1190"/>
    <n v="329"/>
    <n v="78"/>
    <n v="208"/>
    <n v="567"/>
    <n v="1.1571428571428573"/>
    <n v="1.04"/>
    <n v="1.19"/>
  </r>
  <r>
    <n v="775"/>
    <x v="6"/>
    <s v="West"/>
    <s v="Small Market"/>
    <s v="Mint"/>
    <s v="Herbal Tea"/>
    <s v="Nevada"/>
    <s v="Decaf"/>
    <n v="130"/>
    <n v="200"/>
    <n v="150"/>
    <n v="330"/>
    <n v="154"/>
    <n v="833"/>
    <n v="222"/>
    <n v="49"/>
    <n v="150"/>
    <n v="376"/>
    <n v="1.1393939393939394"/>
    <n v="1"/>
    <n v="1.1846153846153846"/>
  </r>
  <r>
    <n v="702"/>
    <x v="6"/>
    <s v="West"/>
    <s v="Small Market"/>
    <s v="Darjeeling"/>
    <s v="Tea"/>
    <s v="Nevada"/>
    <s v="Regular"/>
    <n v="190"/>
    <n v="270"/>
    <n v="190"/>
    <n v="460"/>
    <n v="291"/>
    <n v="1742"/>
    <n v="387"/>
    <n v="96"/>
    <n v="258"/>
    <n v="678"/>
    <n v="1.4739130434782608"/>
    <n v="1.3578947368421053"/>
    <n v="1.5315789473684212"/>
  </r>
  <r>
    <n v="775"/>
    <x v="6"/>
    <s v="West"/>
    <s v="Small Market"/>
    <s v="Earl Grey"/>
    <s v="Tea"/>
    <s v="Nevada"/>
    <s v="Regular"/>
    <n v="170"/>
    <n v="190"/>
    <n v="130"/>
    <n v="360"/>
    <n v="266"/>
    <n v="1819"/>
    <n v="266"/>
    <n v="74"/>
    <n v="168"/>
    <n v="532"/>
    <n v="1.4777777777777779"/>
    <n v="1.2923076923076924"/>
    <n v="1.5647058823529412"/>
  </r>
  <r>
    <n v="702"/>
    <x v="6"/>
    <s v="West"/>
    <s v="Small Market"/>
    <s v="Green Tea"/>
    <s v="Tea"/>
    <s v="Nevada"/>
    <s v="Regular"/>
    <n v="170"/>
    <n v="-170"/>
    <n v="-250"/>
    <n v="0"/>
    <n v="270"/>
    <n v="5230"/>
    <n v="-270"/>
    <n v="102"/>
    <n v="-378"/>
    <n v="27"/>
    <m/>
    <n v="1.512"/>
    <n v="1.588235294117647"/>
  </r>
  <r>
    <n v="775"/>
    <x v="6"/>
    <s v="West"/>
    <s v="Small Market"/>
    <s v="Decaf Irish Cream"/>
    <s v="Coffee"/>
    <s v="Nevada"/>
    <s v="Decaf"/>
    <n v="40"/>
    <n v="50"/>
    <n v="30"/>
    <n v="90"/>
    <n v="34"/>
    <n v="1010"/>
    <n v="41"/>
    <n v="10"/>
    <n v="9"/>
    <n v="75"/>
    <n v="0.83333333333333337"/>
    <n v="0.3"/>
    <n v="0.85"/>
  </r>
  <r>
    <n v="702"/>
    <x v="6"/>
    <s v="West"/>
    <s v="Small Market"/>
    <s v="Caffe Latte"/>
    <s v="Espresso"/>
    <s v="Nevada"/>
    <s v="Regular"/>
    <n v="0"/>
    <n v="40"/>
    <n v="30"/>
    <n v="40"/>
    <n v="0"/>
    <n v="559"/>
    <n v="43"/>
    <n v="0"/>
    <n v="32"/>
    <n v="43"/>
    <n v="1.075"/>
    <n v="1.0666666666666667"/>
    <m/>
  </r>
  <r>
    <n v="775"/>
    <x v="6"/>
    <s v="West"/>
    <s v="Small Market"/>
    <s v="Caffe Mocha"/>
    <s v="Espresso"/>
    <s v="Nevada"/>
    <s v="Regular"/>
    <n v="20"/>
    <n v="30"/>
    <n v="20"/>
    <n v="50"/>
    <n v="25"/>
    <n v="854"/>
    <n v="36"/>
    <n v="7"/>
    <n v="17"/>
    <n v="61"/>
    <n v="1.22"/>
    <n v="0.85"/>
    <n v="1.25"/>
  </r>
  <r>
    <n v="702"/>
    <x v="6"/>
    <s v="West"/>
    <s v="Small Market"/>
    <s v="Decaf Espresso"/>
    <s v="Espresso"/>
    <s v="Nevada"/>
    <s v="Decaf"/>
    <n v="10"/>
    <n v="30"/>
    <n v="20"/>
    <n v="40"/>
    <n v="20"/>
    <n v="808"/>
    <n v="29"/>
    <n v="5"/>
    <n v="12"/>
    <n v="49"/>
    <n v="1.2250000000000001"/>
    <n v="0.6"/>
    <n v="2"/>
  </r>
  <r>
    <n v="971"/>
    <x v="6"/>
    <s v="West"/>
    <s v="Small Market"/>
    <s v="Amaretto"/>
    <s v="Coffee"/>
    <s v="Oregon"/>
    <s v="Regular"/>
    <n v="40"/>
    <n v="70"/>
    <n v="20"/>
    <n v="110"/>
    <n v="39"/>
    <n v="517"/>
    <n v="56"/>
    <n v="36"/>
    <n v="-10"/>
    <n v="95"/>
    <n v="0.86363636363636365"/>
    <n v="-0.5"/>
    <n v="0.97499999999999998"/>
  </r>
  <r>
    <n v="971"/>
    <x v="6"/>
    <s v="West"/>
    <s v="Small Market"/>
    <s v="Columbian"/>
    <s v="Coffee"/>
    <s v="Oregon"/>
    <s v="Regular"/>
    <n v="40"/>
    <n v="70"/>
    <n v="20"/>
    <n v="110"/>
    <n v="39"/>
    <n v="478"/>
    <n v="55"/>
    <n v="12"/>
    <n v="0"/>
    <n v="94"/>
    <n v="0.8545454545454545"/>
    <n v="0"/>
    <n v="0.97499999999999998"/>
  </r>
  <r>
    <n v="503"/>
    <x v="6"/>
    <s v="West"/>
    <s v="Small Market"/>
    <s v="Chamomile"/>
    <s v="Herbal Tea"/>
    <s v="Oregon"/>
    <s v="Decaf"/>
    <n v="20"/>
    <n v="40"/>
    <n v="40"/>
    <n v="60"/>
    <n v="30"/>
    <n v="829"/>
    <n v="44"/>
    <n v="8"/>
    <n v="24"/>
    <n v="74"/>
    <n v="1.2333333333333334"/>
    <n v="0.6"/>
    <n v="1.5"/>
  </r>
  <r>
    <n v="503"/>
    <x v="6"/>
    <s v="West"/>
    <s v="Small Market"/>
    <s v="Lemon"/>
    <s v="Herbal Tea"/>
    <s v="Oregon"/>
    <s v="Decaf"/>
    <n v="30"/>
    <n v="50"/>
    <n v="30"/>
    <n v="80"/>
    <n v="41"/>
    <n v="592"/>
    <n v="53"/>
    <n v="13"/>
    <n v="27"/>
    <n v="94"/>
    <n v="1.175"/>
    <n v="0.9"/>
    <n v="1.3666666666666667"/>
  </r>
  <r>
    <n v="541"/>
    <x v="6"/>
    <s v="West"/>
    <s v="Small Market"/>
    <s v="Darjeeling"/>
    <s v="Tea"/>
    <s v="Oregon"/>
    <s v="Regular"/>
    <n v="10"/>
    <n v="10"/>
    <n v="10"/>
    <n v="20"/>
    <n v="18"/>
    <n v="486"/>
    <n v="26"/>
    <n v="5"/>
    <n v="9"/>
    <n v="44"/>
    <n v="2.2000000000000002"/>
    <n v="0.9"/>
    <n v="1.8"/>
  </r>
  <r>
    <n v="503"/>
    <x v="6"/>
    <s v="West"/>
    <s v="Small Market"/>
    <s v="Earl Grey"/>
    <s v="Tea"/>
    <s v="Oregon"/>
    <s v="Regular"/>
    <n v="70"/>
    <n v="120"/>
    <n v="80"/>
    <n v="190"/>
    <n v="114"/>
    <n v="822"/>
    <n v="172"/>
    <n v="37"/>
    <n v="104"/>
    <n v="286"/>
    <n v="1.5052631578947369"/>
    <n v="1.3"/>
    <n v="1.6285714285714286"/>
  </r>
  <r>
    <n v="503"/>
    <x v="6"/>
    <s v="West"/>
    <s v="Small Market"/>
    <s v="Green Tea"/>
    <s v="Tea"/>
    <s v="Oregon"/>
    <s v="Regular"/>
    <n v="90"/>
    <n v="130"/>
    <n v="90"/>
    <n v="220"/>
    <n v="141"/>
    <n v="692"/>
    <n v="195"/>
    <n v="43"/>
    <n v="129"/>
    <n v="336"/>
    <n v="1.5272727272727273"/>
    <n v="1.4333333333333333"/>
    <n v="1.5666666666666667"/>
  </r>
  <r>
    <n v="503"/>
    <x v="6"/>
    <s v="West"/>
    <s v="Small Market"/>
    <s v="Decaf Irish Cream"/>
    <s v="Coffee"/>
    <s v="Oregon"/>
    <s v="Decaf"/>
    <n v="40"/>
    <n v="60"/>
    <n v="40"/>
    <n v="100"/>
    <n v="34"/>
    <n v="432"/>
    <n v="51"/>
    <n v="10"/>
    <n v="18"/>
    <n v="85"/>
    <n v="0.85"/>
    <n v="0.45"/>
    <n v="0.85"/>
  </r>
  <r>
    <n v="971"/>
    <x v="6"/>
    <s v="West"/>
    <s v="Small Market"/>
    <s v="Caffe Latte"/>
    <s v="Espresso"/>
    <s v="Oregon"/>
    <s v="Regular"/>
    <n v="40"/>
    <n v="70"/>
    <n v="30"/>
    <n v="110"/>
    <n v="51"/>
    <n v="419"/>
    <n v="64"/>
    <n v="19"/>
    <n v="12"/>
    <n v="115"/>
    <n v="1.0454545454545454"/>
    <n v="0.4"/>
    <n v="1.2749999999999999"/>
  </r>
  <r>
    <n v="503"/>
    <x v="6"/>
    <s v="West"/>
    <s v="Small Market"/>
    <s v="Caffe Mocha"/>
    <s v="Espresso"/>
    <s v="Oregon"/>
    <s v="Regular"/>
    <n v="40"/>
    <n v="60"/>
    <n v="30"/>
    <n v="100"/>
    <n v="47"/>
    <n v="420"/>
    <n v="63"/>
    <n v="15"/>
    <n v="20"/>
    <n v="110"/>
    <n v="1.1000000000000001"/>
    <n v="0.66666666666666663"/>
    <n v="1.175"/>
  </r>
  <r>
    <n v="541"/>
    <x v="6"/>
    <s v="West"/>
    <s v="Small Market"/>
    <s v="Decaf Espresso"/>
    <s v="Espresso"/>
    <s v="Oregon"/>
    <s v="Decaf"/>
    <n v="130"/>
    <n v="140"/>
    <n v="90"/>
    <n v="270"/>
    <n v="145"/>
    <n v="1304"/>
    <n v="146"/>
    <n v="40"/>
    <n v="81"/>
    <n v="291"/>
    <n v="1.0777777777777777"/>
    <n v="0.9"/>
    <n v="1.1153846153846154"/>
  </r>
  <r>
    <n v="425"/>
    <x v="6"/>
    <s v="West"/>
    <s v="Small Market"/>
    <s v="Chamomile"/>
    <s v="Herbal Tea"/>
    <s v="Washington"/>
    <s v="Decaf"/>
    <n v="70"/>
    <n v="120"/>
    <n v="80"/>
    <n v="190"/>
    <n v="90"/>
    <n v="1148"/>
    <n v="135"/>
    <n v="29"/>
    <n v="75"/>
    <n v="225"/>
    <n v="1.1842105263157894"/>
    <n v="0.9375"/>
    <n v="1.2857142857142858"/>
  </r>
  <r>
    <n v="509"/>
    <x v="6"/>
    <s v="West"/>
    <s v="Small Market"/>
    <s v="Lemon"/>
    <s v="Herbal Tea"/>
    <s v="Washington"/>
    <s v="Decaf"/>
    <n v="30"/>
    <n v="50"/>
    <n v="50"/>
    <n v="80"/>
    <n v="40"/>
    <n v="843"/>
    <n v="59"/>
    <n v="11"/>
    <n v="37"/>
    <n v="99"/>
    <n v="1.2375"/>
    <n v="0.74"/>
    <n v="1.3333333333333333"/>
  </r>
  <r>
    <n v="509"/>
    <x v="6"/>
    <s v="West"/>
    <s v="Small Market"/>
    <s v="Darjeeling"/>
    <s v="Tea"/>
    <s v="Washington"/>
    <s v="Regular"/>
    <n v="20"/>
    <n v="50"/>
    <n v="30"/>
    <n v="70"/>
    <n v="39"/>
    <n v="380"/>
    <n v="65"/>
    <n v="12"/>
    <n v="29"/>
    <n v="104"/>
    <n v="1.4857142857142858"/>
    <n v="0.96666666666666667"/>
    <n v="1.95"/>
  </r>
  <r>
    <n v="509"/>
    <x v="6"/>
    <s v="West"/>
    <s v="Small Market"/>
    <s v="Earl Grey"/>
    <s v="Tea"/>
    <s v="Washington"/>
    <s v="Regular"/>
    <n v="20"/>
    <n v="40"/>
    <n v="30"/>
    <n v="60"/>
    <n v="36"/>
    <n v="462"/>
    <n v="54"/>
    <n v="11"/>
    <n v="20"/>
    <n v="90"/>
    <n v="1.5"/>
    <n v="0.66666666666666663"/>
    <n v="1.8"/>
  </r>
  <r>
    <n v="253"/>
    <x v="6"/>
    <s v="West"/>
    <s v="Small Market"/>
    <s v="Green Tea"/>
    <s v="Tea"/>
    <s v="Washington"/>
    <s v="Regular"/>
    <n v="30"/>
    <n v="40"/>
    <n v="0"/>
    <n v="70"/>
    <n v="47"/>
    <n v="622"/>
    <n v="66"/>
    <n v="42"/>
    <n v="-5"/>
    <n v="113"/>
    <n v="1.6142857142857143"/>
    <m/>
    <n v="1.5666666666666667"/>
  </r>
  <r>
    <n v="425"/>
    <x v="6"/>
    <s v="West"/>
    <s v="Small Market"/>
    <s v="Columbian"/>
    <s v="Coffee"/>
    <s v="Washington"/>
    <s v="Regular"/>
    <n v="100"/>
    <n v="160"/>
    <n v="120"/>
    <n v="260"/>
    <n v="86"/>
    <n v="463"/>
    <n v="125"/>
    <n v="27"/>
    <n v="75"/>
    <n v="211"/>
    <n v="0.81153846153846154"/>
    <n v="0.625"/>
    <n v="0.86"/>
  </r>
  <r>
    <n v="360"/>
    <x v="6"/>
    <s v="West"/>
    <s v="Small Market"/>
    <s v="Decaf Irish Cream"/>
    <s v="Coffee"/>
    <s v="Washington"/>
    <s v="Decaf"/>
    <n v="150"/>
    <n v="220"/>
    <n v="100"/>
    <n v="370"/>
    <n v="124"/>
    <n v="717"/>
    <n v="173"/>
    <n v="112"/>
    <n v="31"/>
    <n v="297"/>
    <n v="0.80270270270270272"/>
    <n v="0.31"/>
    <n v="0.82666666666666666"/>
  </r>
  <r>
    <n v="206"/>
    <x v="6"/>
    <s v="West"/>
    <s v="Small Market"/>
    <s v="Caffe Latte"/>
    <s v="Espresso"/>
    <s v="Washington"/>
    <s v="Regular"/>
    <n v="40"/>
    <n v="70"/>
    <n v="50"/>
    <n v="110"/>
    <n v="50"/>
    <n v="587"/>
    <n v="65"/>
    <n v="16"/>
    <n v="36"/>
    <n v="115"/>
    <n v="1.0454545454545454"/>
    <n v="0.72"/>
    <n v="1.25"/>
  </r>
  <r>
    <n v="206"/>
    <x v="6"/>
    <s v="West"/>
    <s v="Small Market"/>
    <s v="Caffe Mocha"/>
    <s v="Espresso"/>
    <s v="Washington"/>
    <s v="Regular"/>
    <n v="50"/>
    <n v="70"/>
    <n v="20"/>
    <n v="120"/>
    <n v="59"/>
    <n v="403"/>
    <n v="74"/>
    <n v="22"/>
    <n v="18"/>
    <n v="133"/>
    <n v="1.1083333333333334"/>
    <n v="0.9"/>
    <n v="1.18"/>
  </r>
  <r>
    <n v="253"/>
    <x v="6"/>
    <s v="West"/>
    <s v="Small Market"/>
    <s v="Decaf Espresso"/>
    <s v="Espresso"/>
    <s v="Washington"/>
    <s v="Decaf"/>
    <n v="80"/>
    <n v="100"/>
    <n v="70"/>
    <n v="180"/>
    <n v="86"/>
    <n v="1081"/>
    <n v="103"/>
    <n v="26"/>
    <n v="56"/>
    <n v="189"/>
    <n v="1.05"/>
    <n v="0.8"/>
    <n v="1.075"/>
  </r>
  <r>
    <n v="303"/>
    <x v="7"/>
    <s v="Central"/>
    <s v="Major Market"/>
    <s v="Chamomile"/>
    <s v="Herbal Tea"/>
    <s v="Colorado"/>
    <s v="Decaf"/>
    <n v="120"/>
    <n v="130"/>
    <n v="80"/>
    <n v="250"/>
    <n v="145"/>
    <n v="1292"/>
    <n v="146"/>
    <n v="40"/>
    <n v="82"/>
    <n v="291"/>
    <n v="1.1639999999999999"/>
    <n v="1.0249999999999999"/>
    <n v="1.2083333333333333"/>
  </r>
  <r>
    <n v="970"/>
    <x v="7"/>
    <s v="Central"/>
    <s v="Major Market"/>
    <s v="Lemon"/>
    <s v="Herbal Tea"/>
    <s v="Colorado"/>
    <s v="Decaf"/>
    <n v="30"/>
    <n v="40"/>
    <n v="0"/>
    <n v="70"/>
    <n v="37"/>
    <n v="513"/>
    <n v="52"/>
    <n v="33"/>
    <n v="-10"/>
    <n v="89"/>
    <n v="1.2714285714285714"/>
    <m/>
    <n v="1.2333333333333334"/>
  </r>
  <r>
    <n v="303"/>
    <x v="7"/>
    <s v="Central"/>
    <s v="Major Market"/>
    <s v="Mint"/>
    <s v="Herbal Tea"/>
    <s v="Colorado"/>
    <s v="Decaf"/>
    <n v="30"/>
    <n v="60"/>
    <n v="30"/>
    <n v="90"/>
    <n v="46"/>
    <n v="415"/>
    <n v="62"/>
    <n v="15"/>
    <n v="20"/>
    <n v="108"/>
    <n v="1.2"/>
    <n v="0.66666666666666663"/>
    <n v="1.5333333333333334"/>
  </r>
  <r>
    <n v="720"/>
    <x v="7"/>
    <s v="Central"/>
    <s v="Major Market"/>
    <s v="Darjeeling"/>
    <s v="Tea"/>
    <s v="Colorado"/>
    <s v="Regular"/>
    <n v="40"/>
    <n v="50"/>
    <n v="10"/>
    <n v="90"/>
    <n v="49"/>
    <n v="414"/>
    <n v="60"/>
    <n v="18"/>
    <n v="9"/>
    <n v="109"/>
    <n v="1.211111111111111"/>
    <n v="0.9"/>
    <n v="1.2250000000000001"/>
  </r>
  <r>
    <n v="970"/>
    <x v="7"/>
    <s v="Central"/>
    <s v="Major Market"/>
    <s v="Earl Grey"/>
    <s v="Tea"/>
    <s v="Colorado"/>
    <s v="Regular"/>
    <n v="30"/>
    <n v="50"/>
    <n v="20"/>
    <n v="80"/>
    <n v="41"/>
    <n v="1046"/>
    <n v="50"/>
    <n v="12"/>
    <n v="16"/>
    <n v="91"/>
    <n v="1.1375"/>
    <n v="0.8"/>
    <n v="1.3666666666666667"/>
  </r>
  <r>
    <n v="719"/>
    <x v="7"/>
    <s v="Central"/>
    <s v="Major Market"/>
    <s v="Green Tea"/>
    <s v="Tea"/>
    <s v="Colorado"/>
    <s v="Regular"/>
    <n v="50"/>
    <n v="80"/>
    <n v="50"/>
    <n v="130"/>
    <n v="68"/>
    <n v="587"/>
    <n v="87"/>
    <n v="22"/>
    <n v="53"/>
    <n v="155"/>
    <n v="1.1923076923076923"/>
    <n v="1.06"/>
    <n v="1.36"/>
  </r>
  <r>
    <n v="720"/>
    <x v="7"/>
    <s v="Central"/>
    <s v="Major Market"/>
    <s v="Caffe Mocha"/>
    <s v="Espresso"/>
    <s v="Colorado"/>
    <s v="Regular"/>
    <n v="110"/>
    <n v="170"/>
    <n v="130"/>
    <n v="280"/>
    <n v="100"/>
    <n v="598"/>
    <n v="145"/>
    <n v="28"/>
    <n v="105"/>
    <n v="245"/>
    <n v="0.875"/>
    <n v="0.80769230769230771"/>
    <n v="0.90909090909090906"/>
  </r>
  <r>
    <n v="719"/>
    <x v="7"/>
    <s v="Central"/>
    <s v="Major Market"/>
    <s v="Decaf Espresso"/>
    <s v="Espresso"/>
    <s v="Colorado"/>
    <s v="Decaf"/>
    <n v="60"/>
    <n v="90"/>
    <n v="50"/>
    <n v="150"/>
    <n v="52"/>
    <n v="662"/>
    <n v="79"/>
    <n v="17"/>
    <n v="30"/>
    <n v="131"/>
    <n v="0.87333333333333329"/>
    <n v="0.6"/>
    <n v="0.8666666666666667"/>
  </r>
  <r>
    <n v="719"/>
    <x v="7"/>
    <s v="Central"/>
    <s v="Major Market"/>
    <s v="Decaf Irish Cream"/>
    <s v="Coffee"/>
    <s v="Colorado"/>
    <s v="Decaf"/>
    <n v="130"/>
    <n v="200"/>
    <n v="160"/>
    <n v="330"/>
    <n v="132"/>
    <n v="994"/>
    <n v="191"/>
    <n v="36"/>
    <n v="144"/>
    <n v="323"/>
    <n v="0.97878787878787876"/>
    <n v="0.9"/>
    <n v="1.0153846153846153"/>
  </r>
  <r>
    <n v="720"/>
    <x v="7"/>
    <s v="Central"/>
    <s v="Major Market"/>
    <s v="Amaretto"/>
    <s v="Coffee"/>
    <s v="Colorado"/>
    <s v="Regular"/>
    <n v="130"/>
    <n v="180"/>
    <n v="140"/>
    <n v="310"/>
    <n v="123"/>
    <n v="941"/>
    <n v="178"/>
    <n v="34"/>
    <n v="133"/>
    <n v="301"/>
    <n v="0.97096774193548385"/>
    <n v="0.95"/>
    <n v="0.94615384615384612"/>
  </r>
  <r>
    <n v="719"/>
    <x v="7"/>
    <s v="Central"/>
    <s v="Major Market"/>
    <s v="Columbian"/>
    <s v="Coffee"/>
    <s v="Colorado"/>
    <s v="Regular"/>
    <n v="50"/>
    <n v="70"/>
    <n v="50"/>
    <n v="120"/>
    <n v="52"/>
    <n v="554"/>
    <n v="68"/>
    <n v="17"/>
    <n v="39"/>
    <n v="120"/>
    <n v="1"/>
    <n v="0.78"/>
    <n v="1.04"/>
  </r>
  <r>
    <n v="630"/>
    <x v="7"/>
    <s v="Central"/>
    <s v="Major Market"/>
    <s v="Chamomile"/>
    <s v="Herbal Tea"/>
    <s v="Illinois"/>
    <s v="Decaf"/>
    <n v="100"/>
    <n v="160"/>
    <n v="140"/>
    <n v="260"/>
    <n v="123"/>
    <n v="941"/>
    <n v="178"/>
    <n v="34"/>
    <n v="132"/>
    <n v="301"/>
    <n v="1.1576923076923078"/>
    <n v="0.94285714285714284"/>
    <n v="1.23"/>
  </r>
  <r>
    <n v="847"/>
    <x v="7"/>
    <s v="Central"/>
    <s v="Major Market"/>
    <s v="Lemon"/>
    <s v="Herbal Tea"/>
    <s v="Illinois"/>
    <s v="Decaf"/>
    <n v="40"/>
    <n v="60"/>
    <n v="40"/>
    <n v="100"/>
    <n v="52"/>
    <n v="554"/>
    <n v="68"/>
    <n v="17"/>
    <n v="39"/>
    <n v="120"/>
    <n v="1.2"/>
    <n v="0.97499999999999998"/>
    <n v="1.3"/>
  </r>
  <r>
    <n v="309"/>
    <x v="7"/>
    <s v="Central"/>
    <s v="Major Market"/>
    <s v="Mint"/>
    <s v="Herbal Tea"/>
    <s v="Illinois"/>
    <s v="Decaf"/>
    <n v="110"/>
    <n v="170"/>
    <n v="140"/>
    <n v="280"/>
    <n v="132"/>
    <n v="994"/>
    <n v="191"/>
    <n v="36"/>
    <n v="143"/>
    <n v="323"/>
    <n v="1.1535714285714285"/>
    <n v="1.0214285714285714"/>
    <n v="1.2"/>
  </r>
  <r>
    <n v="217"/>
    <x v="7"/>
    <s v="Central"/>
    <s v="Major Market"/>
    <s v="Darjeeling"/>
    <s v="Tea"/>
    <s v="Illinois"/>
    <s v="Regular"/>
    <n v="80"/>
    <n v="130"/>
    <n v="100"/>
    <n v="210"/>
    <n v="100"/>
    <n v="598"/>
    <n v="145"/>
    <n v="28"/>
    <n v="105"/>
    <n v="245"/>
    <n v="1.1666666666666667"/>
    <n v="1.05"/>
    <n v="1.25"/>
  </r>
  <r>
    <n v="618"/>
    <x v="7"/>
    <s v="Central"/>
    <s v="Major Market"/>
    <s v="Earl Grey"/>
    <s v="Tea"/>
    <s v="Illinois"/>
    <s v="Regular"/>
    <n v="40"/>
    <n v="70"/>
    <n v="30"/>
    <n v="110"/>
    <n v="52"/>
    <n v="662"/>
    <n v="79"/>
    <n v="17"/>
    <n v="30"/>
    <n v="131"/>
    <n v="1.1909090909090909"/>
    <n v="1"/>
    <n v="1.3"/>
  </r>
  <r>
    <n v="630"/>
    <x v="7"/>
    <s v="Central"/>
    <s v="Major Market"/>
    <s v="Caffe Mocha"/>
    <s v="Espresso"/>
    <s v="Illinois"/>
    <s v="Regular"/>
    <n v="340"/>
    <n v="470"/>
    <n v="340"/>
    <n v="810"/>
    <n v="295"/>
    <n v="1714"/>
    <n v="392"/>
    <n v="97"/>
    <n v="262"/>
    <n v="687"/>
    <n v="0.8481481481481481"/>
    <n v="0.77058823529411768"/>
    <n v="0.86764705882352944"/>
  </r>
  <r>
    <n v="847"/>
    <x v="7"/>
    <s v="Central"/>
    <s v="Major Market"/>
    <s v="Decaf Espresso"/>
    <s v="Espresso"/>
    <s v="Illinois"/>
    <s v="Decaf"/>
    <n v="300"/>
    <n v="320"/>
    <n v="220"/>
    <n v="620"/>
    <n v="266"/>
    <n v="1797"/>
    <n v="266"/>
    <n v="74"/>
    <n v="167"/>
    <n v="532"/>
    <n v="0.85806451612903223"/>
    <n v="0.75909090909090904"/>
    <n v="0.88666666666666671"/>
  </r>
  <r>
    <n v="630"/>
    <x v="7"/>
    <s v="Central"/>
    <s v="Major Market"/>
    <s v="Decaf Irish Cream"/>
    <s v="Coffee"/>
    <s v="Illinois"/>
    <s v="Decaf"/>
    <n v="160"/>
    <n v="230"/>
    <n v="170"/>
    <n v="390"/>
    <n v="154"/>
    <n v="817"/>
    <n v="222"/>
    <n v="49"/>
    <n v="150"/>
    <n v="376"/>
    <n v="0.96410256410256412"/>
    <n v="0.88235294117647056"/>
    <n v="0.96250000000000002"/>
  </r>
  <r>
    <n v="847"/>
    <x v="7"/>
    <s v="Central"/>
    <s v="Major Market"/>
    <s v="Columbian"/>
    <s v="Coffee"/>
    <s v="Illinois"/>
    <s v="Regular"/>
    <n v="200"/>
    <n v="290"/>
    <n v="190"/>
    <n v="490"/>
    <n v="196"/>
    <n v="1167"/>
    <n v="271"/>
    <n v="64"/>
    <n v="163"/>
    <n v="467"/>
    <n v="0.95306122448979591"/>
    <n v="0.85789473684210527"/>
    <n v="0.98"/>
  </r>
  <r>
    <n v="712"/>
    <x v="7"/>
    <s v="Central"/>
    <s v="Small Market"/>
    <s v="Chamomile"/>
    <s v="Herbal Tea"/>
    <s v="Iowa"/>
    <s v="Decaf"/>
    <n v="250"/>
    <n v="350"/>
    <n v="250"/>
    <n v="600"/>
    <n v="295"/>
    <n v="1714"/>
    <n v="392"/>
    <n v="97"/>
    <n v="262"/>
    <n v="687"/>
    <n v="1.145"/>
    <n v="1.048"/>
    <n v="1.18"/>
  </r>
  <r>
    <n v="712"/>
    <x v="7"/>
    <s v="Central"/>
    <s v="Small Market"/>
    <s v="Lemon"/>
    <s v="Herbal Tea"/>
    <s v="Iowa"/>
    <s v="Decaf"/>
    <n v="130"/>
    <n v="200"/>
    <n v="150"/>
    <n v="330"/>
    <n v="154"/>
    <n v="817"/>
    <n v="222"/>
    <n v="49"/>
    <n v="151"/>
    <n v="376"/>
    <n v="1.1393939393939394"/>
    <n v="1.0066666666666666"/>
    <n v="1.1846153846153846"/>
  </r>
  <r>
    <n v="515"/>
    <x v="7"/>
    <s v="Central"/>
    <s v="Small Market"/>
    <s v="Darjeeling"/>
    <s v="Tea"/>
    <s v="Iowa"/>
    <s v="Regular"/>
    <n v="220"/>
    <n v="240"/>
    <n v="150"/>
    <n v="460"/>
    <n v="266"/>
    <n v="1797"/>
    <n v="266"/>
    <n v="74"/>
    <n v="167"/>
    <n v="532"/>
    <n v="1.1565217391304348"/>
    <n v="1.1133333333333333"/>
    <n v="1.209090909090909"/>
  </r>
  <r>
    <n v="515"/>
    <x v="7"/>
    <s v="Central"/>
    <s v="Small Market"/>
    <s v="Earl Grey"/>
    <s v="Tea"/>
    <s v="Iowa"/>
    <s v="Regular"/>
    <n v="240"/>
    <n v="310"/>
    <n v="180"/>
    <n v="550"/>
    <n v="284"/>
    <n v="1809"/>
    <n v="348"/>
    <n v="107"/>
    <n v="207"/>
    <n v="632"/>
    <n v="1.1490909090909092"/>
    <n v="1.1499999999999999"/>
    <n v="1.1833333333333333"/>
  </r>
  <r>
    <n v="712"/>
    <x v="7"/>
    <s v="Central"/>
    <s v="Small Market"/>
    <s v="Caffe Mocha"/>
    <s v="Espresso"/>
    <s v="Iowa"/>
    <s v="Regular"/>
    <n v="20"/>
    <n v="40"/>
    <n v="30"/>
    <n v="60"/>
    <n v="23"/>
    <n v="806"/>
    <n v="35"/>
    <n v="6"/>
    <n v="18"/>
    <n v="58"/>
    <n v="0.96666666666666667"/>
    <n v="0.6"/>
    <n v="1.1499999999999999"/>
  </r>
  <r>
    <n v="515"/>
    <x v="7"/>
    <s v="Central"/>
    <s v="Small Market"/>
    <s v="Decaf Espresso"/>
    <s v="Espresso"/>
    <s v="Iowa"/>
    <s v="Decaf"/>
    <n v="0"/>
    <n v="50"/>
    <n v="40"/>
    <n v="50"/>
    <n v="0"/>
    <n v="516"/>
    <n v="43"/>
    <n v="0"/>
    <n v="31"/>
    <n v="43"/>
    <n v="0.86"/>
    <n v="0.77500000000000002"/>
    <m/>
  </r>
  <r>
    <n v="563"/>
    <x v="7"/>
    <s v="Central"/>
    <s v="Small Market"/>
    <s v="Columbian"/>
    <s v="Coffee"/>
    <s v="Iowa"/>
    <s v="Regular"/>
    <n v="40"/>
    <n v="50"/>
    <n v="20"/>
    <n v="90"/>
    <n v="41"/>
    <n v="1007"/>
    <n v="49"/>
    <n v="12"/>
    <n v="15"/>
    <n v="90"/>
    <n v="1"/>
    <n v="0.75"/>
    <n v="1.0249999999999999"/>
  </r>
  <r>
    <n v="641"/>
    <x v="7"/>
    <s v="Central"/>
    <s v="Small Market"/>
    <s v="Decaf Irish Cream"/>
    <s v="Coffee"/>
    <s v="Iowa"/>
    <s v="Decaf"/>
    <n v="10"/>
    <n v="20"/>
    <n v="10"/>
    <n v="30"/>
    <n v="14"/>
    <n v="602"/>
    <n v="18"/>
    <n v="4"/>
    <n v="1"/>
    <n v="32"/>
    <n v="1.0666666666666667"/>
    <n v="0.1"/>
    <n v="1.4"/>
  </r>
  <r>
    <n v="641"/>
    <x v="7"/>
    <s v="Central"/>
    <s v="Small Market"/>
    <s v="Amaretto"/>
    <s v="Coffee"/>
    <s v="Iowa"/>
    <s v="Regular"/>
    <n v="20"/>
    <n v="40"/>
    <n v="30"/>
    <n v="60"/>
    <n v="25"/>
    <n v="851"/>
    <n v="38"/>
    <n v="7"/>
    <n v="19"/>
    <n v="63"/>
    <n v="1.05"/>
    <n v="0.6333333333333333"/>
    <n v="1.25"/>
  </r>
  <r>
    <n v="314"/>
    <x v="7"/>
    <s v="Central"/>
    <s v="Small Market"/>
    <s v="Chamomile"/>
    <s v="Herbal Tea"/>
    <s v="Missouri"/>
    <s v="Decaf"/>
    <n v="50"/>
    <n v="80"/>
    <n v="20"/>
    <n v="130"/>
    <n v="63"/>
    <n v="332"/>
    <n v="88"/>
    <n v="57"/>
    <n v="2"/>
    <n v="151"/>
    <n v="1.1615384615384616"/>
    <n v="0.1"/>
    <n v="1.26"/>
  </r>
  <r>
    <n v="573"/>
    <x v="7"/>
    <s v="Central"/>
    <s v="Small Market"/>
    <s v="Lemon"/>
    <s v="Herbal Tea"/>
    <s v="Missouri"/>
    <s v="Decaf"/>
    <n v="100"/>
    <n v="20"/>
    <n v="-20"/>
    <n v="120"/>
    <n v="120"/>
    <n v="1439"/>
    <n v="19"/>
    <n v="37"/>
    <n v="-41"/>
    <n v="139"/>
    <n v="1.1583333333333334"/>
    <n v="2.0499999999999998"/>
    <n v="1.2"/>
  </r>
  <r>
    <n v="816"/>
    <x v="7"/>
    <s v="Central"/>
    <s v="Small Market"/>
    <s v="Darjeeling"/>
    <s v="Tea"/>
    <s v="Missouri"/>
    <s v="Regular"/>
    <n v="30"/>
    <n v="60"/>
    <n v="30"/>
    <n v="90"/>
    <n v="45"/>
    <n v="253"/>
    <n v="60"/>
    <n v="14"/>
    <n v="19"/>
    <n v="105"/>
    <n v="1.1666666666666667"/>
    <n v="0.6333333333333333"/>
    <n v="1.5"/>
  </r>
  <r>
    <n v="660"/>
    <x v="7"/>
    <s v="Central"/>
    <s v="Small Market"/>
    <s v="Earl Grey"/>
    <s v="Tea"/>
    <s v="Missouri"/>
    <s v="Regular"/>
    <n v="20"/>
    <n v="30"/>
    <n v="-10"/>
    <n v="50"/>
    <n v="29"/>
    <n v="215"/>
    <n v="36"/>
    <n v="11"/>
    <n v="-9"/>
    <n v="65"/>
    <n v="1.3"/>
    <n v="0.9"/>
    <n v="1.45"/>
  </r>
  <r>
    <n v="417"/>
    <x v="7"/>
    <s v="Central"/>
    <s v="Small Market"/>
    <s v="Green Tea"/>
    <s v="Tea"/>
    <s v="Missouri"/>
    <s v="Regular"/>
    <n v="30"/>
    <n v="40"/>
    <n v="0"/>
    <n v="70"/>
    <n v="38"/>
    <n v="248"/>
    <n v="48"/>
    <n v="14"/>
    <n v="1"/>
    <n v="86"/>
    <n v="1.2285714285714286"/>
    <m/>
    <n v="1.2666666666666666"/>
  </r>
  <r>
    <n v="314"/>
    <x v="7"/>
    <s v="Central"/>
    <s v="Small Market"/>
    <s v="Caffe Mocha"/>
    <s v="Espresso"/>
    <s v="Missouri"/>
    <s v="Regular"/>
    <n v="30"/>
    <n v="60"/>
    <n v="40"/>
    <n v="90"/>
    <n v="34"/>
    <n v="890"/>
    <n v="49"/>
    <n v="9"/>
    <n v="29"/>
    <n v="83"/>
    <n v="0.92222222222222228"/>
    <n v="0.72499999999999998"/>
    <n v="1.1333333333333333"/>
  </r>
  <r>
    <n v="417"/>
    <x v="7"/>
    <s v="Central"/>
    <s v="Small Market"/>
    <s v="Decaf Espresso"/>
    <s v="Espresso"/>
    <s v="Missouri"/>
    <s v="Decaf"/>
    <n v="30"/>
    <n v="60"/>
    <n v="50"/>
    <n v="90"/>
    <n v="32"/>
    <n v="841"/>
    <n v="48"/>
    <n v="8"/>
    <n v="28"/>
    <n v="80"/>
    <n v="0.88888888888888884"/>
    <n v="0.56000000000000005"/>
    <n v="1.0666666666666667"/>
  </r>
  <r>
    <n v="417"/>
    <x v="7"/>
    <s v="Central"/>
    <s v="Small Market"/>
    <s v="Columbian"/>
    <s v="Coffee"/>
    <s v="Missouri"/>
    <s v="Regular"/>
    <n v="70"/>
    <n v="90"/>
    <n v="40"/>
    <n v="160"/>
    <n v="72"/>
    <n v="606"/>
    <n v="88"/>
    <n v="27"/>
    <n v="27"/>
    <n v="160"/>
    <n v="1"/>
    <n v="0.67500000000000004"/>
    <n v="1.0285714285714285"/>
  </r>
  <r>
    <n v="816"/>
    <x v="7"/>
    <s v="Central"/>
    <s v="Small Market"/>
    <s v="Decaf Irish Cream"/>
    <s v="Coffee"/>
    <s v="Missouri"/>
    <s v="Decaf"/>
    <n v="50"/>
    <n v="60"/>
    <n v="30"/>
    <n v="110"/>
    <n v="50"/>
    <n v="1064"/>
    <n v="60"/>
    <n v="15"/>
    <n v="24"/>
    <n v="110"/>
    <n v="1"/>
    <n v="0.8"/>
    <n v="1"/>
  </r>
  <r>
    <n v="567"/>
    <x v="7"/>
    <s v="Central"/>
    <s v="Major Market"/>
    <s v="Chamomile"/>
    <s v="Herbal Tea"/>
    <s v="Ohio"/>
    <s v="Decaf"/>
    <n v="10"/>
    <n v="20"/>
    <n v="20"/>
    <n v="30"/>
    <n v="16"/>
    <n v="484"/>
    <n v="25"/>
    <n v="4"/>
    <n v="9"/>
    <n v="41"/>
    <n v="1.3666666666666667"/>
    <n v="0.45"/>
    <n v="1.6"/>
  </r>
  <r>
    <n v="330"/>
    <x v="7"/>
    <s v="Central"/>
    <s v="Major Market"/>
    <s v="Lemon"/>
    <s v="Herbal Tea"/>
    <s v="Ohio"/>
    <s v="Decaf"/>
    <n v="10"/>
    <n v="30"/>
    <n v="30"/>
    <n v="40"/>
    <n v="22"/>
    <n v="865"/>
    <n v="33"/>
    <n v="6"/>
    <n v="16"/>
    <n v="55"/>
    <n v="1.375"/>
    <n v="0.53333333333333333"/>
    <n v="2.2000000000000002"/>
  </r>
  <r>
    <n v="234"/>
    <x v="7"/>
    <s v="Central"/>
    <s v="Major Market"/>
    <s v="Darjeeling"/>
    <s v="Tea"/>
    <s v="Ohio"/>
    <s v="Regular"/>
    <n v="90"/>
    <n v="160"/>
    <n v="100"/>
    <n v="250"/>
    <n v="114"/>
    <n v="810"/>
    <n v="172"/>
    <n v="37"/>
    <n v="103"/>
    <n v="286"/>
    <n v="1.1439999999999999"/>
    <n v="1.03"/>
    <n v="1.2666666666666666"/>
  </r>
  <r>
    <n v="330"/>
    <x v="7"/>
    <s v="Central"/>
    <s v="Major Market"/>
    <s v="Earl Grey"/>
    <s v="Tea"/>
    <s v="Ohio"/>
    <s v="Regular"/>
    <n v="90"/>
    <n v="150"/>
    <n v="100"/>
    <n v="240"/>
    <n v="116"/>
    <n v="678"/>
    <n v="161"/>
    <n v="35"/>
    <n v="103"/>
    <n v="277"/>
    <n v="1.1541666666666666"/>
    <n v="1.03"/>
    <n v="1.288888888888889"/>
  </r>
  <r>
    <n v="513"/>
    <x v="7"/>
    <s v="Central"/>
    <s v="Major Market"/>
    <s v="Caffe Mocha"/>
    <s v="Espresso"/>
    <s v="Ohio"/>
    <s v="Regular"/>
    <n v="160"/>
    <n v="180"/>
    <n v="120"/>
    <n v="340"/>
    <n v="145"/>
    <n v="1292"/>
    <n v="146"/>
    <n v="40"/>
    <n v="81"/>
    <n v="291"/>
    <n v="0.85588235294117643"/>
    <n v="0.67500000000000004"/>
    <n v="0.90625"/>
  </r>
  <r>
    <n v="937"/>
    <x v="7"/>
    <s v="Central"/>
    <s v="Major Market"/>
    <s v="Decaf Espresso"/>
    <s v="Espresso"/>
    <s v="Ohio"/>
    <s v="Decaf"/>
    <n v="50"/>
    <n v="70"/>
    <n v="20"/>
    <n v="120"/>
    <n v="49"/>
    <n v="414"/>
    <n v="60"/>
    <n v="18"/>
    <n v="8"/>
    <n v="109"/>
    <n v="0.90833333333333333"/>
    <n v="0.4"/>
    <n v="0.98"/>
  </r>
  <r>
    <n v="234"/>
    <x v="7"/>
    <s v="Central"/>
    <s v="Major Market"/>
    <s v="Amaretto"/>
    <s v="Coffee"/>
    <s v="Ohio"/>
    <s v="Regular"/>
    <n v="40"/>
    <n v="70"/>
    <n v="40"/>
    <n v="110"/>
    <n v="46"/>
    <n v="415"/>
    <n v="62"/>
    <n v="15"/>
    <n v="19"/>
    <n v="108"/>
    <n v="0.98181818181818181"/>
    <n v="0.47499999999999998"/>
    <n v="1.1499999999999999"/>
  </r>
  <r>
    <n v="234"/>
    <x v="7"/>
    <s v="Central"/>
    <s v="Major Market"/>
    <s v="Columbian"/>
    <s v="Coffee"/>
    <s v="Ohio"/>
    <s v="Regular"/>
    <n v="30"/>
    <n v="50"/>
    <n v="30"/>
    <n v="80"/>
    <n v="34"/>
    <n v="428"/>
    <n v="51"/>
    <n v="10"/>
    <n v="19"/>
    <n v="85"/>
    <n v="1.0625"/>
    <n v="0.6333333333333333"/>
    <n v="1.1333333333333333"/>
  </r>
  <r>
    <n v="614"/>
    <x v="7"/>
    <s v="Central"/>
    <s v="Major Market"/>
    <s v="Decaf Irish Cream"/>
    <s v="Coffee"/>
    <s v="Ohio"/>
    <s v="Decaf"/>
    <n v="30"/>
    <n v="60"/>
    <n v="10"/>
    <n v="90"/>
    <n v="37"/>
    <n v="513"/>
    <n v="52"/>
    <n v="33"/>
    <n v="-11"/>
    <n v="89"/>
    <n v="0.98888888888888893"/>
    <n v="-1.1000000000000001"/>
    <n v="1.2333333333333334"/>
  </r>
  <r>
    <n v="715"/>
    <x v="7"/>
    <s v="Central"/>
    <s v="Small Market"/>
    <s v="Chamomile"/>
    <s v="Herbal Tea"/>
    <s v="Wisconsin"/>
    <s v="Decaf"/>
    <n v="40"/>
    <n v="70"/>
    <n v="50"/>
    <n v="110"/>
    <n v="47"/>
    <n v="366"/>
    <n v="79"/>
    <n v="14"/>
    <n v="41"/>
    <n v="126"/>
    <n v="1.1454545454545455"/>
    <n v="0.82"/>
    <n v="1.175"/>
  </r>
  <r>
    <n v="262"/>
    <x v="7"/>
    <s v="Central"/>
    <s v="Small Market"/>
    <s v="Lemon"/>
    <s v="Herbal Tea"/>
    <s v="Wisconsin"/>
    <s v="Decaf"/>
    <n v="50"/>
    <n v="80"/>
    <n v="70"/>
    <n v="130"/>
    <n v="63"/>
    <n v="864"/>
    <n v="91"/>
    <n v="17"/>
    <n v="63"/>
    <n v="154"/>
    <n v="1.1846153846153846"/>
    <n v="0.9"/>
    <n v="1.26"/>
  </r>
  <r>
    <n v="920"/>
    <x v="7"/>
    <s v="Central"/>
    <s v="Small Market"/>
    <s v="Darjeeling"/>
    <s v="Tea"/>
    <s v="Wisconsin"/>
    <s v="Regular"/>
    <n v="30"/>
    <n v="40"/>
    <n v="10"/>
    <n v="70"/>
    <n v="36"/>
    <n v="458"/>
    <n v="54"/>
    <n v="11"/>
    <n v="20"/>
    <n v="90"/>
    <n v="1.2857142857142858"/>
    <n v="2"/>
    <n v="1.2"/>
  </r>
  <r>
    <n v="715"/>
    <x v="7"/>
    <s v="Central"/>
    <s v="Small Market"/>
    <s v="Earl Grey"/>
    <s v="Tea"/>
    <s v="Wisconsin"/>
    <s v="Regular"/>
    <n v="30"/>
    <n v="60"/>
    <n v="10"/>
    <n v="90"/>
    <n v="44"/>
    <n v="617"/>
    <n v="61"/>
    <n v="39"/>
    <n v="-7"/>
    <n v="105"/>
    <n v="1.1666666666666667"/>
    <n v="-0.7"/>
    <n v="1.4666666666666666"/>
  </r>
  <r>
    <n v="920"/>
    <x v="7"/>
    <s v="Central"/>
    <s v="Small Market"/>
    <s v="Caffe Mocha"/>
    <s v="Espresso"/>
    <s v="Wisconsin"/>
    <s v="Regular"/>
    <n v="110"/>
    <n v="150"/>
    <n v="100"/>
    <n v="260"/>
    <n v="103"/>
    <n v="1073"/>
    <n v="123"/>
    <n v="31"/>
    <n v="70"/>
    <n v="226"/>
    <n v="0.86923076923076925"/>
    <n v="0.7"/>
    <n v="0.9363636363636364"/>
  </r>
  <r>
    <n v="262"/>
    <x v="7"/>
    <s v="Central"/>
    <s v="Small Market"/>
    <s v="Decaf Espresso"/>
    <s v="Espresso"/>
    <s v="Wisconsin"/>
    <s v="Decaf"/>
    <n v="30"/>
    <n v="50"/>
    <n v="30"/>
    <n v="80"/>
    <n v="30"/>
    <n v="581"/>
    <n v="39"/>
    <n v="9"/>
    <n v="18"/>
    <n v="69"/>
    <n v="0.86250000000000004"/>
    <n v="0.6"/>
    <n v="1"/>
  </r>
  <r>
    <n v="715"/>
    <x v="7"/>
    <s v="Central"/>
    <s v="Small Market"/>
    <s v="Amaretto"/>
    <s v="Coffee"/>
    <s v="Wisconsin"/>
    <s v="Regular"/>
    <n v="60"/>
    <n v="80"/>
    <n v="30"/>
    <n v="140"/>
    <n v="63"/>
    <n v="397"/>
    <n v="77"/>
    <n v="23"/>
    <n v="21"/>
    <n v="140"/>
    <n v="1"/>
    <n v="0.7"/>
    <n v="1.05"/>
  </r>
  <r>
    <n v="608"/>
    <x v="7"/>
    <s v="Central"/>
    <s v="Small Market"/>
    <s v="Columbian"/>
    <s v="Coffee"/>
    <s v="Wisconsin"/>
    <s v="Regular"/>
    <n v="140"/>
    <n v="190"/>
    <n v="60"/>
    <n v="330"/>
    <n v="133"/>
    <n v="705"/>
    <n v="184"/>
    <n v="120"/>
    <n v="35"/>
    <n v="317"/>
    <n v="0.96060606060606057"/>
    <n v="0.58333333333333337"/>
    <n v="0.95"/>
  </r>
  <r>
    <n v="414"/>
    <x v="7"/>
    <s v="Central"/>
    <s v="Small Market"/>
    <s v="Decaf Irish Cream"/>
    <s v="Coffee"/>
    <s v="Wisconsin"/>
    <s v="Decaf"/>
    <n v="100"/>
    <n v="140"/>
    <n v="90"/>
    <n v="240"/>
    <n v="99"/>
    <n v="565"/>
    <n v="132"/>
    <n v="32"/>
    <n v="73"/>
    <n v="231"/>
    <n v="0.96250000000000002"/>
    <n v="0.81111111111111112"/>
    <n v="0.99"/>
  </r>
  <r>
    <n v="203"/>
    <x v="7"/>
    <s v="East"/>
    <s v="Small Market"/>
    <s v="Darjeeling"/>
    <s v="Tea"/>
    <s v="Connecticut"/>
    <s v="Regular"/>
    <n v="30"/>
    <n v="50"/>
    <n v="40"/>
    <n v="80"/>
    <n v="34"/>
    <n v="890"/>
    <n v="49"/>
    <n v="9"/>
    <n v="28"/>
    <n v="83"/>
    <n v="1.0375000000000001"/>
    <n v="0.7"/>
    <n v="1.1333333333333333"/>
  </r>
  <r>
    <n v="959"/>
    <x v="7"/>
    <s v="East"/>
    <s v="Small Market"/>
    <s v="Green Tea"/>
    <s v="Tea"/>
    <s v="Connecticut"/>
    <s v="Regular"/>
    <n v="20"/>
    <n v="30"/>
    <n v="20"/>
    <n v="50"/>
    <n v="19"/>
    <n v="811"/>
    <n v="28"/>
    <n v="5"/>
    <n v="12"/>
    <n v="47"/>
    <n v="0.94"/>
    <n v="0.6"/>
    <n v="0.95"/>
  </r>
  <r>
    <n v="860"/>
    <x v="7"/>
    <s v="East"/>
    <s v="Small Market"/>
    <s v="Lemon"/>
    <s v="Herbal Tea"/>
    <s v="Connecticut"/>
    <s v="Decaf"/>
    <n v="50"/>
    <n v="70"/>
    <n v="30"/>
    <n v="120"/>
    <n v="72"/>
    <n v="606"/>
    <n v="88"/>
    <n v="27"/>
    <n v="28"/>
    <n v="160"/>
    <n v="1.3333333333333333"/>
    <n v="0.93333333333333335"/>
    <n v="1.44"/>
  </r>
  <r>
    <n v="959"/>
    <x v="7"/>
    <s v="East"/>
    <s v="Small Market"/>
    <s v="Mint"/>
    <s v="Herbal Tea"/>
    <s v="Connecticut"/>
    <s v="Decaf"/>
    <n v="30"/>
    <n v="50"/>
    <n v="30"/>
    <n v="80"/>
    <n v="50"/>
    <n v="1064"/>
    <n v="60"/>
    <n v="15"/>
    <n v="24"/>
    <n v="110"/>
    <n v="1.375"/>
    <n v="0.8"/>
    <n v="1.6666666666666667"/>
  </r>
  <r>
    <n v="860"/>
    <x v="7"/>
    <s v="East"/>
    <s v="Small Market"/>
    <s v="Caffe Mocha"/>
    <s v="Espresso"/>
    <s v="Connecticut"/>
    <s v="Regular"/>
    <n v="40"/>
    <n v="60"/>
    <n v="10"/>
    <n v="100"/>
    <n v="44"/>
    <n v="617"/>
    <n v="61"/>
    <n v="39"/>
    <n v="-8"/>
    <n v="105"/>
    <n v="1.05"/>
    <n v="-0.8"/>
    <n v="1.1000000000000001"/>
  </r>
  <r>
    <n v="203"/>
    <x v="7"/>
    <s v="East"/>
    <s v="Small Market"/>
    <s v="Decaf Espresso"/>
    <s v="Espresso"/>
    <s v="Connecticut"/>
    <s v="Decaf"/>
    <n v="40"/>
    <n v="50"/>
    <n v="20"/>
    <n v="90"/>
    <n v="42"/>
    <n v="384"/>
    <n v="56"/>
    <n v="13"/>
    <n v="16"/>
    <n v="98"/>
    <n v="1.0888888888888888"/>
    <n v="0.8"/>
    <n v="1.05"/>
  </r>
  <r>
    <n v="475"/>
    <x v="7"/>
    <s v="East"/>
    <s v="Small Market"/>
    <s v="Columbian"/>
    <s v="Coffee"/>
    <s v="Connecticut"/>
    <s v="Regular"/>
    <n v="80"/>
    <n v="130"/>
    <n v="90"/>
    <n v="210"/>
    <n v="90"/>
    <n v="1139"/>
    <n v="135"/>
    <n v="29"/>
    <n v="75"/>
    <n v="225"/>
    <n v="1.0714285714285714"/>
    <n v="0.83333333333333337"/>
    <n v="1.125"/>
  </r>
  <r>
    <n v="941"/>
    <x v="7"/>
    <s v="East"/>
    <s v="Major Market"/>
    <s v="Darjeeling"/>
    <s v="Tea"/>
    <s v="Florida"/>
    <s v="Regular"/>
    <n v="40"/>
    <n v="80"/>
    <n v="60"/>
    <n v="120"/>
    <n v="46"/>
    <n v="880"/>
    <n v="68"/>
    <n v="12"/>
    <n v="44"/>
    <n v="114"/>
    <n v="0.95"/>
    <n v="0.73333333333333328"/>
    <n v="1.1499999999999999"/>
  </r>
  <r>
    <n v="904"/>
    <x v="7"/>
    <s v="East"/>
    <s v="Major Market"/>
    <s v="Green Tea"/>
    <s v="Tea"/>
    <s v="Florida"/>
    <s v="Regular"/>
    <n v="60"/>
    <n v="100"/>
    <n v="80"/>
    <n v="160"/>
    <n v="63"/>
    <n v="864"/>
    <n v="91"/>
    <n v="17"/>
    <n v="63"/>
    <n v="154"/>
    <n v="0.96250000000000002"/>
    <n v="0.78749999999999998"/>
    <n v="1.05"/>
  </r>
  <r>
    <n v="813"/>
    <x v="7"/>
    <s v="East"/>
    <s v="Major Market"/>
    <s v="Chamomile"/>
    <s v="Herbal Tea"/>
    <s v="Florida"/>
    <s v="Decaf"/>
    <n v="20"/>
    <n v="30"/>
    <n v="20"/>
    <n v="50"/>
    <n v="30"/>
    <n v="581"/>
    <n v="39"/>
    <n v="9"/>
    <n v="18"/>
    <n v="69"/>
    <n v="1.38"/>
    <n v="0.9"/>
    <n v="1.5"/>
  </r>
  <r>
    <n v="305"/>
    <x v="7"/>
    <s v="East"/>
    <s v="Major Market"/>
    <s v="Lemon"/>
    <s v="Herbal Tea"/>
    <s v="Florida"/>
    <s v="Decaf"/>
    <n v="40"/>
    <n v="60"/>
    <n v="30"/>
    <n v="100"/>
    <n v="63"/>
    <n v="397"/>
    <n v="77"/>
    <n v="23"/>
    <n v="20"/>
    <n v="140"/>
    <n v="1.4"/>
    <n v="0.66666666666666663"/>
    <n v="1.575"/>
  </r>
  <r>
    <n v="305"/>
    <x v="7"/>
    <s v="East"/>
    <s v="Major Market"/>
    <s v="Mint"/>
    <s v="Herbal Tea"/>
    <s v="Florida"/>
    <s v="Decaf"/>
    <n v="70"/>
    <n v="100"/>
    <n v="70"/>
    <n v="170"/>
    <n v="103"/>
    <n v="1073"/>
    <n v="123"/>
    <n v="31"/>
    <n v="70"/>
    <n v="226"/>
    <n v="1.3294117647058823"/>
    <n v="1"/>
    <n v="1.4714285714285715"/>
  </r>
  <r>
    <n v="941"/>
    <x v="7"/>
    <s v="East"/>
    <s v="Major Market"/>
    <s v="Caffe Mocha"/>
    <s v="Espresso"/>
    <s v="Florida"/>
    <s v="Regular"/>
    <n v="120"/>
    <n v="190"/>
    <n v="60"/>
    <n v="310"/>
    <n v="133"/>
    <n v="705"/>
    <n v="184"/>
    <n v="120"/>
    <n v="35"/>
    <n v="317"/>
    <n v="1.0225806451612902"/>
    <n v="0.58333333333333337"/>
    <n v="1.1083333333333334"/>
  </r>
  <r>
    <n v="850"/>
    <x v="7"/>
    <s v="East"/>
    <s v="Major Market"/>
    <s v="Decaf Espresso"/>
    <s v="Espresso"/>
    <s v="Florida"/>
    <s v="Decaf"/>
    <n v="90"/>
    <n v="130"/>
    <n v="80"/>
    <n v="220"/>
    <n v="99"/>
    <n v="565"/>
    <n v="132"/>
    <n v="32"/>
    <n v="73"/>
    <n v="231"/>
    <n v="1.05"/>
    <n v="0.91249999999999998"/>
    <n v="1.1000000000000001"/>
  </r>
  <r>
    <n v="850"/>
    <x v="7"/>
    <s v="East"/>
    <s v="Major Market"/>
    <s v="Columbian"/>
    <s v="Coffee"/>
    <s v="Florida"/>
    <s v="Regular"/>
    <n v="100"/>
    <n v="170"/>
    <n v="120"/>
    <n v="270"/>
    <n v="114"/>
    <n v="810"/>
    <n v="172"/>
    <n v="37"/>
    <n v="104"/>
    <n v="286"/>
    <n v="1.0592592592592593"/>
    <n v="0.8666666666666667"/>
    <n v="1.1399999999999999"/>
  </r>
  <r>
    <n v="321"/>
    <x v="7"/>
    <s v="East"/>
    <s v="Major Market"/>
    <s v="Decaf Irish Cream"/>
    <s v="Coffee"/>
    <s v="Florida"/>
    <s v="Decaf"/>
    <n v="110"/>
    <n v="150"/>
    <n v="100"/>
    <n v="260"/>
    <n v="116"/>
    <n v="678"/>
    <n v="161"/>
    <n v="35"/>
    <n v="102"/>
    <n v="277"/>
    <n v="1.0653846153846154"/>
    <n v="1.02"/>
    <n v="1.0545454545454545"/>
  </r>
  <r>
    <n v="508"/>
    <x v="7"/>
    <s v="East"/>
    <s v="Major Market"/>
    <s v="Darjeeling"/>
    <s v="Tea"/>
    <s v="Massachusetts"/>
    <s v="Regular"/>
    <n v="20"/>
    <n v="30"/>
    <n v="20"/>
    <n v="50"/>
    <n v="22"/>
    <n v="865"/>
    <n v="33"/>
    <n v="6"/>
    <n v="16"/>
    <n v="55"/>
    <n v="1.1000000000000001"/>
    <n v="0.8"/>
    <n v="1.1000000000000001"/>
  </r>
  <r>
    <n v="508"/>
    <x v="7"/>
    <s v="East"/>
    <s v="Major Market"/>
    <s v="Green Tea"/>
    <s v="Tea"/>
    <s v="Massachusetts"/>
    <s v="Regular"/>
    <n v="10"/>
    <n v="30"/>
    <n v="20"/>
    <n v="40"/>
    <n v="16"/>
    <n v="484"/>
    <n v="25"/>
    <n v="4"/>
    <n v="9"/>
    <n v="41"/>
    <n v="1.0249999999999999"/>
    <n v="0.45"/>
    <n v="1.6"/>
  </r>
  <r>
    <n v="339"/>
    <x v="7"/>
    <s v="East"/>
    <s v="Major Market"/>
    <s v="Lemon"/>
    <s v="Herbal Tea"/>
    <s v="Massachusetts"/>
    <s v="Decaf"/>
    <n v="30"/>
    <n v="50"/>
    <n v="20"/>
    <n v="80"/>
    <n v="49"/>
    <n v="414"/>
    <n v="60"/>
    <n v="18"/>
    <n v="9"/>
    <n v="109"/>
    <n v="1.3625"/>
    <n v="0.45"/>
    <n v="1.6333333333333333"/>
  </r>
  <r>
    <n v="339"/>
    <x v="7"/>
    <s v="East"/>
    <s v="Major Market"/>
    <s v="Caffe Mocha"/>
    <s v="Espresso"/>
    <s v="Massachusetts"/>
    <s v="Regular"/>
    <n v="30"/>
    <n v="70"/>
    <n v="20"/>
    <n v="100"/>
    <n v="37"/>
    <n v="540"/>
    <n v="68"/>
    <n v="33"/>
    <n v="6"/>
    <n v="105"/>
    <n v="1.05"/>
    <n v="0.3"/>
    <n v="1.2333333333333334"/>
  </r>
  <r>
    <n v="413"/>
    <x v="7"/>
    <s v="East"/>
    <s v="Major Market"/>
    <s v="Regular Espresso"/>
    <s v="Espresso"/>
    <s v="Massachusetts"/>
    <s v="Regular"/>
    <n v="130"/>
    <n v="150"/>
    <n v="100"/>
    <n v="280"/>
    <n v="145"/>
    <n v="1292"/>
    <n v="146"/>
    <n v="40"/>
    <n v="82"/>
    <n v="291"/>
    <n v="1.0392857142857144"/>
    <n v="0.82"/>
    <n v="1.1153846153846154"/>
  </r>
  <r>
    <n v="508"/>
    <x v="7"/>
    <s v="East"/>
    <s v="Major Market"/>
    <s v="Columbian"/>
    <s v="Coffee"/>
    <s v="Massachusetts"/>
    <s v="Regular"/>
    <n v="40"/>
    <n v="590"/>
    <n v="560"/>
    <n v="630"/>
    <n v="52"/>
    <n v="-2033"/>
    <n v="612"/>
    <n v="17"/>
    <n v="563"/>
    <n v="664"/>
    <n v="1.053968253968254"/>
    <n v="1.0053571428571428"/>
    <n v="1.3"/>
  </r>
  <r>
    <n v="603"/>
    <x v="7"/>
    <s v="East"/>
    <s v="Small Market"/>
    <s v="Darjeeling"/>
    <s v="Tea"/>
    <s v="New Hampshire"/>
    <s v="Regular"/>
    <n v="20"/>
    <n v="40"/>
    <n v="30"/>
    <n v="60"/>
    <n v="25"/>
    <n v="851"/>
    <n v="38"/>
    <n v="7"/>
    <n v="20"/>
    <n v="63"/>
    <n v="1.05"/>
    <n v="0.66666666666666663"/>
    <n v="1.25"/>
  </r>
  <r>
    <n v="603"/>
    <x v="7"/>
    <s v="East"/>
    <s v="Small Market"/>
    <s v="Green Tea"/>
    <s v="Tea"/>
    <s v="New Hampshire"/>
    <s v="Regular"/>
    <n v="0"/>
    <n v="40"/>
    <n v="30"/>
    <n v="40"/>
    <n v="0"/>
    <n v="516"/>
    <n v="43"/>
    <n v="0"/>
    <n v="31"/>
    <n v="43"/>
    <n v="1.075"/>
    <n v="1.0333333333333334"/>
    <m/>
  </r>
  <r>
    <n v="603"/>
    <x v="7"/>
    <s v="East"/>
    <s v="Small Market"/>
    <s v="Lemon"/>
    <s v="Herbal Tea"/>
    <s v="New Hampshire"/>
    <s v="Decaf"/>
    <n v="20"/>
    <n v="40"/>
    <n v="10"/>
    <n v="60"/>
    <n v="38"/>
    <n v="248"/>
    <n v="48"/>
    <n v="14"/>
    <n v="1"/>
    <n v="86"/>
    <n v="1.4333333333333333"/>
    <n v="0.1"/>
    <n v="1.9"/>
  </r>
  <r>
    <n v="603"/>
    <x v="7"/>
    <s v="East"/>
    <s v="Small Market"/>
    <s v="Caffe Mocha"/>
    <s v="Espresso"/>
    <s v="New Hampshire"/>
    <s v="Regular"/>
    <n v="60"/>
    <n v="80"/>
    <n v="10"/>
    <n v="140"/>
    <n v="63"/>
    <n v="332"/>
    <n v="88"/>
    <n v="57"/>
    <n v="1"/>
    <n v="151"/>
    <n v="1.0785714285714285"/>
    <n v="0.1"/>
    <n v="1.05"/>
  </r>
  <r>
    <n v="603"/>
    <x v="7"/>
    <s v="East"/>
    <s v="Small Market"/>
    <s v="Regular Espresso"/>
    <s v="Espresso"/>
    <s v="New Hampshire"/>
    <s v="Regular"/>
    <n v="20"/>
    <n v="40"/>
    <n v="0"/>
    <n v="60"/>
    <n v="29"/>
    <n v="215"/>
    <n v="36"/>
    <n v="11"/>
    <n v="-9"/>
    <n v="65"/>
    <n v="1.0833333333333333"/>
    <m/>
    <n v="1.45"/>
  </r>
  <r>
    <n v="603"/>
    <x v="7"/>
    <s v="East"/>
    <s v="Small Market"/>
    <s v="Amaretto"/>
    <s v="Coffee"/>
    <s v="New Hampshire"/>
    <s v="Regular"/>
    <n v="50"/>
    <n v="90"/>
    <n v="70"/>
    <n v="140"/>
    <n v="61"/>
    <n v="322"/>
    <n v="90"/>
    <n v="19"/>
    <n v="48"/>
    <n v="151"/>
    <n v="1.0785714285714285"/>
    <n v="0.68571428571428572"/>
    <n v="1.22"/>
  </r>
  <r>
    <n v="603"/>
    <x v="7"/>
    <s v="East"/>
    <s v="Small Market"/>
    <s v="Columbian"/>
    <s v="Coffee"/>
    <s v="New Hampshire"/>
    <s v="Regular"/>
    <n v="60"/>
    <n v="90"/>
    <n v="60"/>
    <n v="150"/>
    <n v="64"/>
    <n v="460"/>
    <n v="96"/>
    <n v="21"/>
    <n v="44"/>
    <n v="160"/>
    <n v="1.0666666666666667"/>
    <n v="0.73333333333333328"/>
    <n v="1.0666666666666667"/>
  </r>
  <r>
    <n v="631"/>
    <x v="7"/>
    <s v="East"/>
    <s v="Major Market"/>
    <s v="Darjeeling"/>
    <s v="Tea"/>
    <s v="New York"/>
    <s v="Regular"/>
    <n v="130"/>
    <n v="210"/>
    <n v="170"/>
    <n v="340"/>
    <n v="132"/>
    <n v="994"/>
    <n v="191"/>
    <n v="36"/>
    <n v="144"/>
    <n v="323"/>
    <n v="0.95"/>
    <n v="0.84705882352941175"/>
    <n v="1.0153846153846153"/>
  </r>
  <r>
    <n v="914"/>
    <x v="7"/>
    <s v="East"/>
    <s v="Major Market"/>
    <s v="Earl Grey"/>
    <s v="Tea"/>
    <s v="New York"/>
    <s v="Regular"/>
    <n v="130"/>
    <n v="190"/>
    <n v="150"/>
    <n v="320"/>
    <n v="123"/>
    <n v="941"/>
    <n v="178"/>
    <n v="34"/>
    <n v="133"/>
    <n v="301"/>
    <n v="0.94062500000000004"/>
    <n v="0.88666666666666671"/>
    <n v="0.94615384615384612"/>
  </r>
  <r>
    <n v="646"/>
    <x v="7"/>
    <s v="East"/>
    <s v="Major Market"/>
    <s v="Green Tea"/>
    <s v="Tea"/>
    <s v="New York"/>
    <s v="Regular"/>
    <n v="100"/>
    <n v="160"/>
    <n v="130"/>
    <n v="260"/>
    <n v="100"/>
    <n v="598"/>
    <n v="145"/>
    <n v="28"/>
    <n v="105"/>
    <n v="245"/>
    <n v="0.94230769230769229"/>
    <n v="0.80769230769230771"/>
    <n v="1"/>
  </r>
  <r>
    <n v="646"/>
    <x v="7"/>
    <s v="East"/>
    <s v="Major Market"/>
    <s v="Lemon"/>
    <s v="Herbal Tea"/>
    <s v="New York"/>
    <s v="Decaf"/>
    <n v="210"/>
    <n v="290"/>
    <n v="180"/>
    <n v="500"/>
    <n v="284"/>
    <n v="1565"/>
    <n v="369"/>
    <n v="107"/>
    <n v="229"/>
    <n v="653"/>
    <n v="1.306"/>
    <n v="1.2722222222222221"/>
    <n v="1.3523809523809525"/>
  </r>
  <r>
    <n v="718"/>
    <x v="7"/>
    <s v="East"/>
    <s v="Major Market"/>
    <s v="Mint"/>
    <s v="Herbal Tea"/>
    <s v="New York"/>
    <s v="Decaf"/>
    <n v="230"/>
    <n v="-140"/>
    <n v="-230"/>
    <n v="90"/>
    <n v="311"/>
    <n v="3422"/>
    <n v="-187"/>
    <n v="96"/>
    <n v="-304"/>
    <n v="124"/>
    <n v="1.3777777777777778"/>
    <n v="1.3217391304347825"/>
    <n v="1.3521739130434782"/>
  </r>
  <r>
    <n v="646"/>
    <x v="7"/>
    <s v="East"/>
    <s v="Major Market"/>
    <s v="Regular Espresso"/>
    <s v="Espresso"/>
    <s v="New York"/>
    <s v="Regular"/>
    <n v="250"/>
    <n v="280"/>
    <n v="190"/>
    <n v="530"/>
    <n v="266"/>
    <n v="1319"/>
    <n v="277"/>
    <n v="74"/>
    <n v="179"/>
    <n v="543"/>
    <n v="1.0245283018867926"/>
    <n v="0.94210526315789478"/>
    <n v="1.0640000000000001"/>
  </r>
  <r>
    <n v="518"/>
    <x v="7"/>
    <s v="East"/>
    <s v="Major Market"/>
    <s v="Caffe Mocha"/>
    <s v="Espresso"/>
    <s v="New York"/>
    <s v="Regular"/>
    <n v="160"/>
    <n v="-90"/>
    <n v="-260"/>
    <n v="70"/>
    <n v="173"/>
    <n v="2615"/>
    <n v="-95"/>
    <n v="156"/>
    <n v="-284"/>
    <n v="78"/>
    <n v="1.1142857142857143"/>
    <n v="1.0923076923076922"/>
    <n v="1.08125"/>
  </r>
  <r>
    <n v="845"/>
    <x v="7"/>
    <s v="East"/>
    <s v="Major Market"/>
    <s v="Columbian"/>
    <s v="Coffee"/>
    <s v="New York"/>
    <s v="Regular"/>
    <n v="340"/>
    <n v="520"/>
    <n v="370"/>
    <n v="860"/>
    <n v="364"/>
    <n v="2617"/>
    <n v="546"/>
    <n v="127"/>
    <n v="368"/>
    <n v="910"/>
    <n v="1.058139534883721"/>
    <n v="0.99459459459459465"/>
    <n v="1.0705882352941176"/>
  </r>
  <r>
    <n v="504"/>
    <x v="7"/>
    <s v="South"/>
    <s v="Small Market"/>
    <s v="Decaf Irish Cream"/>
    <s v="Coffee"/>
    <s v="Louisiana"/>
    <s v="Decaf"/>
    <n v="70"/>
    <n v="120"/>
    <n v="100"/>
    <n v="190"/>
    <n v="63"/>
    <n v="864"/>
    <n v="91"/>
    <n v="17"/>
    <n v="63"/>
    <n v="154"/>
    <n v="0.81052631578947365"/>
    <n v="0.63"/>
    <n v="0.9"/>
  </r>
  <r>
    <n v="504"/>
    <x v="7"/>
    <s v="South"/>
    <s v="Small Market"/>
    <s v="Columbian"/>
    <s v="Coffee"/>
    <s v="Louisiana"/>
    <s v="Regular"/>
    <n v="60"/>
    <n v="80"/>
    <n v="60"/>
    <n v="140"/>
    <n v="48"/>
    <n v="839"/>
    <n v="70"/>
    <n v="13"/>
    <n v="46"/>
    <n v="118"/>
    <n v="0.84285714285714286"/>
    <n v="0.76666666666666672"/>
    <n v="0.8"/>
  </r>
  <r>
    <n v="504"/>
    <x v="7"/>
    <s v="South"/>
    <s v="Small Market"/>
    <s v="Chamomile"/>
    <s v="Herbal Tea"/>
    <s v="Louisiana"/>
    <s v="Decaf"/>
    <n v="70"/>
    <n v="100"/>
    <n v="70"/>
    <n v="170"/>
    <n v="77"/>
    <n v="581"/>
    <n v="99"/>
    <n v="25"/>
    <n v="61"/>
    <n v="176"/>
    <n v="1.0352941176470589"/>
    <n v="0.87142857142857144"/>
    <n v="1.1000000000000001"/>
  </r>
  <r>
    <n v="985"/>
    <x v="7"/>
    <s v="South"/>
    <s v="Small Market"/>
    <s v="Lemon"/>
    <s v="Herbal Tea"/>
    <s v="Louisiana"/>
    <s v="Decaf"/>
    <n v="60"/>
    <n v="90"/>
    <n v="40"/>
    <n v="150"/>
    <n v="72"/>
    <n v="606"/>
    <n v="88"/>
    <n v="27"/>
    <n v="28"/>
    <n v="160"/>
    <n v="1.0666666666666667"/>
    <n v="0.7"/>
    <n v="1.2"/>
  </r>
  <r>
    <n v="985"/>
    <x v="7"/>
    <s v="South"/>
    <s v="Small Market"/>
    <s v="Caffe Latte"/>
    <s v="Espresso"/>
    <s v="Louisiana"/>
    <s v="Regular"/>
    <n v="30"/>
    <n v="60"/>
    <n v="10"/>
    <n v="90"/>
    <n v="44"/>
    <n v="-508"/>
    <n v="61"/>
    <n v="39"/>
    <n v="-7"/>
    <n v="105"/>
    <n v="1.1666666666666667"/>
    <n v="-0.7"/>
    <n v="1.4666666666666666"/>
  </r>
  <r>
    <n v="337"/>
    <x v="7"/>
    <s v="South"/>
    <s v="Small Market"/>
    <s v="Caffe Mocha"/>
    <s v="Espresso"/>
    <s v="Louisiana"/>
    <s v="Regular"/>
    <n v="40"/>
    <n v="60"/>
    <n v="40"/>
    <n v="100"/>
    <n v="47"/>
    <n v="366"/>
    <n v="79"/>
    <n v="14"/>
    <n v="41"/>
    <n v="126"/>
    <n v="1.26"/>
    <n v="1.0249999999999999"/>
    <n v="1.175"/>
  </r>
  <r>
    <n v="504"/>
    <x v="7"/>
    <s v="South"/>
    <s v="Small Market"/>
    <s v="Decaf Espresso"/>
    <s v="Espresso"/>
    <s v="Louisiana"/>
    <s v="Decaf"/>
    <n v="30"/>
    <n v="40"/>
    <n v="20"/>
    <n v="70"/>
    <n v="36"/>
    <n v="458"/>
    <n v="54"/>
    <n v="11"/>
    <n v="21"/>
    <n v="90"/>
    <n v="1.2857142857142858"/>
    <n v="1.05"/>
    <n v="1.2"/>
  </r>
  <r>
    <n v="505"/>
    <x v="7"/>
    <s v="South"/>
    <s v="Small Market"/>
    <s v="Decaf Irish Cream"/>
    <s v="Coffee"/>
    <s v="New Mexico"/>
    <s v="Decaf"/>
    <n v="150"/>
    <n v="20"/>
    <n v="-30"/>
    <n v="170"/>
    <n v="120"/>
    <n v="1439"/>
    <n v="19"/>
    <n v="37"/>
    <n v="-42"/>
    <n v="139"/>
    <n v="0.81764705882352939"/>
    <n v="1.4"/>
    <n v="0.8"/>
  </r>
  <r>
    <n v="505"/>
    <x v="7"/>
    <s v="South"/>
    <s v="Small Market"/>
    <s v="Columbian"/>
    <s v="Coffee"/>
    <s v="New Mexico"/>
    <s v="Regular"/>
    <n v="80"/>
    <n v="120"/>
    <n v="70"/>
    <n v="200"/>
    <n v="64"/>
    <n v="460"/>
    <n v="96"/>
    <n v="21"/>
    <n v="44"/>
    <n v="160"/>
    <n v="0.8"/>
    <n v="0.62857142857142856"/>
    <n v="0.8"/>
  </r>
  <r>
    <n v="505"/>
    <x v="7"/>
    <s v="South"/>
    <s v="Small Market"/>
    <s v="Chamomile"/>
    <s v="Herbal Tea"/>
    <s v="New Mexico"/>
    <s v="Decaf"/>
    <n v="20"/>
    <n v="40"/>
    <n v="30"/>
    <n v="60"/>
    <n v="25"/>
    <n v="851"/>
    <n v="38"/>
    <n v="7"/>
    <n v="19"/>
    <n v="63"/>
    <n v="1.05"/>
    <n v="0.6333333333333333"/>
    <n v="1.25"/>
  </r>
  <r>
    <n v="505"/>
    <x v="7"/>
    <s v="South"/>
    <s v="Small Market"/>
    <s v="Lemon"/>
    <s v="Herbal Tea"/>
    <s v="New Mexico"/>
    <s v="Decaf"/>
    <n v="30"/>
    <n v="50"/>
    <n v="20"/>
    <n v="80"/>
    <n v="41"/>
    <n v="1007"/>
    <n v="49"/>
    <n v="12"/>
    <n v="15"/>
    <n v="90"/>
    <n v="1.125"/>
    <n v="0.75"/>
    <n v="1.3666666666666667"/>
  </r>
  <r>
    <n v="505"/>
    <x v="7"/>
    <s v="South"/>
    <s v="Small Market"/>
    <s v="Caffe Latte"/>
    <s v="Espresso"/>
    <s v="New Mexico"/>
    <s v="Regular"/>
    <n v="20"/>
    <n v="30"/>
    <n v="0"/>
    <n v="50"/>
    <n v="29"/>
    <n v="-347"/>
    <n v="36"/>
    <n v="11"/>
    <n v="-8"/>
    <n v="65"/>
    <n v="1.3"/>
    <m/>
    <n v="1.45"/>
  </r>
  <r>
    <n v="505"/>
    <x v="7"/>
    <s v="South"/>
    <s v="Small Market"/>
    <s v="Caffe Mocha"/>
    <s v="Espresso"/>
    <s v="New Mexico"/>
    <s v="Regular"/>
    <n v="50"/>
    <n v="70"/>
    <n v="0"/>
    <n v="120"/>
    <n v="63"/>
    <n v="332"/>
    <n v="88"/>
    <n v="57"/>
    <n v="2"/>
    <n v="151"/>
    <n v="1.2583333333333333"/>
    <m/>
    <n v="1.26"/>
  </r>
  <r>
    <n v="505"/>
    <x v="7"/>
    <s v="South"/>
    <s v="Small Market"/>
    <s v="Decaf Espresso"/>
    <s v="Espresso"/>
    <s v="New Mexico"/>
    <s v="Decaf"/>
    <n v="30"/>
    <n v="60"/>
    <n v="30"/>
    <n v="90"/>
    <n v="45"/>
    <n v="253"/>
    <n v="60"/>
    <n v="14"/>
    <n v="18"/>
    <n v="105"/>
    <n v="1.1666666666666667"/>
    <n v="0.6"/>
    <n v="1.5"/>
  </r>
  <r>
    <n v="405"/>
    <x v="7"/>
    <s v="South"/>
    <s v="Small Market"/>
    <s v="Decaf Irish Cream"/>
    <s v="Coffee"/>
    <s v="Oklahoma"/>
    <s v="Decaf"/>
    <n v="20"/>
    <n v="40"/>
    <n v="30"/>
    <n v="60"/>
    <n v="22"/>
    <n v="865"/>
    <n v="33"/>
    <n v="6"/>
    <n v="16"/>
    <n v="55"/>
    <n v="0.91666666666666663"/>
    <n v="0.53333333333333333"/>
    <n v="1.1000000000000001"/>
  </r>
  <r>
    <n v="405"/>
    <x v="7"/>
    <s v="South"/>
    <s v="Small Market"/>
    <s v="Columbian"/>
    <s v="Coffee"/>
    <s v="Oklahoma"/>
    <s v="Regular"/>
    <n v="80"/>
    <n v="110"/>
    <n v="80"/>
    <n v="190"/>
    <n v="68"/>
    <n v="587"/>
    <n v="87"/>
    <n v="22"/>
    <n v="53"/>
    <n v="155"/>
    <n v="0.81578947368421051"/>
    <n v="0.66249999999999998"/>
    <n v="0.85"/>
  </r>
  <r>
    <n v="580"/>
    <x v="7"/>
    <s v="South"/>
    <s v="Small Market"/>
    <s v="Lemon"/>
    <s v="Herbal Tea"/>
    <s v="Oklahoma"/>
    <s v="Decaf"/>
    <n v="120"/>
    <n v="190"/>
    <n v="60"/>
    <n v="310"/>
    <n v="133"/>
    <n v="705"/>
    <n v="184"/>
    <n v="120"/>
    <n v="34"/>
    <n v="317"/>
    <n v="1.0225806451612902"/>
    <n v="0.56666666666666665"/>
    <n v="1.1083333333333334"/>
  </r>
  <r>
    <n v="580"/>
    <x v="7"/>
    <s v="South"/>
    <s v="Small Market"/>
    <s v="Chamomile"/>
    <s v="Herbal Tea"/>
    <s v="Oklahoma"/>
    <s v="Decaf"/>
    <n v="60"/>
    <n v="70"/>
    <n v="20"/>
    <n v="130"/>
    <n v="63"/>
    <n v="397"/>
    <n v="77"/>
    <n v="23"/>
    <n v="20"/>
    <n v="140"/>
    <n v="1.0769230769230769"/>
    <n v="1"/>
    <n v="1.05"/>
  </r>
  <r>
    <n v="918"/>
    <x v="7"/>
    <s v="South"/>
    <s v="Small Market"/>
    <s v="Caffe Latte"/>
    <s v="Espresso"/>
    <s v="Oklahoma"/>
    <s v="Regular"/>
    <n v="90"/>
    <n v="140"/>
    <n v="100"/>
    <n v="230"/>
    <n v="116"/>
    <n v="-1278"/>
    <n v="161"/>
    <n v="35"/>
    <n v="102"/>
    <n v="277"/>
    <n v="1.2043478260869565"/>
    <n v="1.02"/>
    <n v="1.288888888888889"/>
  </r>
  <r>
    <n v="918"/>
    <x v="7"/>
    <s v="South"/>
    <s v="Small Market"/>
    <s v="Caffe Mocha"/>
    <s v="Espresso"/>
    <s v="Oklahoma"/>
    <s v="Regular"/>
    <n v="10"/>
    <n v="20"/>
    <n v="20"/>
    <n v="30"/>
    <n v="16"/>
    <n v="484"/>
    <n v="25"/>
    <n v="4"/>
    <n v="10"/>
    <n v="41"/>
    <n v="1.3666666666666667"/>
    <n v="0.5"/>
    <n v="1.6"/>
  </r>
  <r>
    <n v="405"/>
    <x v="7"/>
    <s v="South"/>
    <s v="Small Market"/>
    <s v="Decaf Espresso"/>
    <s v="Espresso"/>
    <s v="Oklahoma"/>
    <s v="Decaf"/>
    <n v="90"/>
    <n v="150"/>
    <n v="100"/>
    <n v="240"/>
    <n v="114"/>
    <n v="810"/>
    <n v="172"/>
    <n v="37"/>
    <n v="103"/>
    <n v="286"/>
    <n v="1.1916666666666667"/>
    <n v="1.03"/>
    <n v="1.2666666666666666"/>
  </r>
  <r>
    <n v="682"/>
    <x v="7"/>
    <s v="South"/>
    <s v="Major Market"/>
    <s v="Decaf Irish Cream"/>
    <s v="Coffee"/>
    <s v="Texas"/>
    <s v="Decaf"/>
    <n v="60"/>
    <n v="90"/>
    <n v="70"/>
    <n v="150"/>
    <n v="52"/>
    <n v="554"/>
    <n v="68"/>
    <n v="17"/>
    <n v="39"/>
    <n v="120"/>
    <n v="0.8"/>
    <n v="0.55714285714285716"/>
    <n v="0.8666666666666667"/>
  </r>
  <r>
    <n v="979"/>
    <x v="7"/>
    <s v="South"/>
    <s v="Major Market"/>
    <s v="Columbian"/>
    <s v="Coffee"/>
    <s v="Texas"/>
    <s v="Regular"/>
    <n v="390"/>
    <n v="450"/>
    <n v="340"/>
    <n v="840"/>
    <n v="311"/>
    <n v="1296"/>
    <n v="367"/>
    <n v="96"/>
    <n v="250"/>
    <n v="678"/>
    <n v="0.80714285714285716"/>
    <n v="0.73529411764705888"/>
    <n v="0.79743589743589749"/>
  </r>
  <r>
    <n v="281"/>
    <x v="7"/>
    <s v="South"/>
    <s v="Major Market"/>
    <s v="Lemon"/>
    <s v="Herbal Tea"/>
    <s v="Texas"/>
    <s v="Decaf"/>
    <n v="30"/>
    <n v="50"/>
    <n v="30"/>
    <n v="80"/>
    <n v="34"/>
    <n v="428"/>
    <n v="51"/>
    <n v="10"/>
    <n v="19"/>
    <n v="85"/>
    <n v="1.0625"/>
    <n v="0.6333333333333333"/>
    <n v="1.1333333333333333"/>
  </r>
  <r>
    <n v="430"/>
    <x v="7"/>
    <s v="South"/>
    <s v="Major Market"/>
    <s v="Chamomile"/>
    <s v="Herbal Tea"/>
    <s v="Texas"/>
    <s v="Decaf"/>
    <n v="40"/>
    <n v="60"/>
    <n v="30"/>
    <n v="100"/>
    <n v="46"/>
    <n v="415"/>
    <n v="62"/>
    <n v="15"/>
    <n v="19"/>
    <n v="108"/>
    <n v="1.08"/>
    <n v="0.6333333333333333"/>
    <n v="1.1499999999999999"/>
  </r>
  <r>
    <n v="430"/>
    <x v="7"/>
    <s v="South"/>
    <s v="Major Market"/>
    <s v="Caffe Latte"/>
    <s v="Espresso"/>
    <s v="Texas"/>
    <s v="Regular"/>
    <n v="40"/>
    <n v="70"/>
    <n v="40"/>
    <n v="110"/>
    <n v="52"/>
    <n v="-587"/>
    <n v="79"/>
    <n v="17"/>
    <n v="30"/>
    <n v="131"/>
    <n v="1.1909090909090909"/>
    <n v="0.75"/>
    <n v="1.3"/>
  </r>
  <r>
    <n v="682"/>
    <x v="7"/>
    <s v="South"/>
    <s v="Major Market"/>
    <s v="Caffe Mocha"/>
    <s v="Espresso"/>
    <s v="Texas"/>
    <s v="Regular"/>
    <n v="100"/>
    <n v="150"/>
    <n v="120"/>
    <n v="250"/>
    <n v="123"/>
    <n v="941"/>
    <n v="178"/>
    <n v="34"/>
    <n v="133"/>
    <n v="301"/>
    <n v="1.204"/>
    <n v="1.1083333333333334"/>
    <n v="1.23"/>
  </r>
  <r>
    <n v="512"/>
    <x v="7"/>
    <s v="South"/>
    <s v="Major Market"/>
    <s v="Decaf Espresso"/>
    <s v="Espresso"/>
    <s v="Texas"/>
    <s v="Decaf"/>
    <n v="80"/>
    <n v="130"/>
    <n v="110"/>
    <n v="210"/>
    <n v="100"/>
    <n v="598"/>
    <n v="145"/>
    <n v="28"/>
    <n v="105"/>
    <n v="245"/>
    <n v="1.1666666666666667"/>
    <n v="0.95454545454545459"/>
    <n v="1.25"/>
  </r>
  <r>
    <n v="801"/>
    <x v="7"/>
    <s v="West"/>
    <s v="Small Market"/>
    <s v="Amaretto"/>
    <s v="Coffee"/>
    <s v="Utah"/>
    <s v="Regular"/>
    <n v="60"/>
    <n v="70"/>
    <n v="40"/>
    <n v="130"/>
    <n v="50"/>
    <n v="1064"/>
    <n v="60"/>
    <n v="15"/>
    <n v="24"/>
    <n v="110"/>
    <n v="0.84615384615384615"/>
    <n v="0.6"/>
    <n v="0.83333333333333337"/>
  </r>
  <r>
    <n v="435"/>
    <x v="7"/>
    <s v="West"/>
    <s v="Small Market"/>
    <s v="Columbian"/>
    <s v="Coffee"/>
    <s v="Utah"/>
    <s v="Regular"/>
    <n v="50"/>
    <n v="70"/>
    <n v="40"/>
    <n v="120"/>
    <n v="42"/>
    <n v="384"/>
    <n v="56"/>
    <n v="13"/>
    <n v="15"/>
    <n v="98"/>
    <n v="0.81666666666666665"/>
    <n v="0.375"/>
    <n v="0.84"/>
  </r>
  <r>
    <n v="801"/>
    <x v="7"/>
    <s v="West"/>
    <s v="Small Market"/>
    <s v="Chamomile"/>
    <s v="Herbal Tea"/>
    <s v="Utah"/>
    <s v="Decaf"/>
    <n v="50"/>
    <n v="80"/>
    <n v="60"/>
    <n v="130"/>
    <n v="61"/>
    <n v="322"/>
    <n v="90"/>
    <n v="19"/>
    <n v="49"/>
    <n v="151"/>
    <n v="1.1615384615384616"/>
    <n v="0.81666666666666665"/>
    <n v="1.22"/>
  </r>
  <r>
    <n v="435"/>
    <x v="7"/>
    <s v="West"/>
    <s v="Small Market"/>
    <s v="Lemon"/>
    <s v="Herbal Tea"/>
    <s v="Utah"/>
    <s v="Decaf"/>
    <n v="50"/>
    <n v="90"/>
    <n v="60"/>
    <n v="140"/>
    <n v="64"/>
    <n v="460"/>
    <n v="96"/>
    <n v="21"/>
    <n v="44"/>
    <n v="160"/>
    <n v="1.1428571428571428"/>
    <n v="0.73333333333333328"/>
    <n v="1.28"/>
  </r>
  <r>
    <n v="801"/>
    <x v="7"/>
    <s v="West"/>
    <s v="Small Market"/>
    <s v="Mint"/>
    <s v="Herbal Tea"/>
    <s v="Utah"/>
    <s v="Decaf"/>
    <n v="100"/>
    <n v="20"/>
    <n v="-30"/>
    <n v="120"/>
    <n v="120"/>
    <n v="1439"/>
    <n v="19"/>
    <n v="37"/>
    <n v="-41"/>
    <n v="139"/>
    <n v="1.1583333333333334"/>
    <n v="1.3666666666666667"/>
    <n v="1.2"/>
  </r>
  <r>
    <n v="801"/>
    <x v="7"/>
    <s v="West"/>
    <s v="Small Market"/>
    <s v="Darjeeling"/>
    <s v="Tea"/>
    <s v="Utah"/>
    <s v="Regular"/>
    <n v="40"/>
    <n v="60"/>
    <n v="10"/>
    <n v="100"/>
    <n v="63"/>
    <n v="332"/>
    <n v="88"/>
    <n v="57"/>
    <n v="2"/>
    <n v="151"/>
    <n v="1.51"/>
    <n v="0.2"/>
    <n v="1.575"/>
  </r>
  <r>
    <n v="435"/>
    <x v="7"/>
    <s v="West"/>
    <s v="Small Market"/>
    <s v="Earl Grey"/>
    <s v="Tea"/>
    <s v="Utah"/>
    <s v="Regular"/>
    <n v="20"/>
    <n v="50"/>
    <n v="30"/>
    <n v="70"/>
    <n v="45"/>
    <n v="253"/>
    <n v="60"/>
    <n v="14"/>
    <n v="19"/>
    <n v="105"/>
    <n v="1.5"/>
    <n v="0.6333333333333333"/>
    <n v="2.25"/>
  </r>
  <r>
    <n v="435"/>
    <x v="7"/>
    <s v="West"/>
    <s v="Small Market"/>
    <s v="Green Tea"/>
    <s v="Tea"/>
    <s v="Utah"/>
    <s v="Regular"/>
    <n v="10"/>
    <n v="30"/>
    <n v="10"/>
    <n v="40"/>
    <n v="29"/>
    <n v="215"/>
    <n v="36"/>
    <n v="11"/>
    <n v="-9"/>
    <n v="65"/>
    <n v="1.625"/>
    <n v="-0.9"/>
    <n v="2.9"/>
  </r>
  <r>
    <n v="435"/>
    <x v="7"/>
    <s v="West"/>
    <s v="Small Market"/>
    <s v="Decaf Irish Cream"/>
    <s v="Coffee"/>
    <s v="Utah"/>
    <s v="Decaf"/>
    <n v="90"/>
    <n v="110"/>
    <n v="60"/>
    <n v="200"/>
    <n v="72"/>
    <n v="606"/>
    <n v="88"/>
    <n v="27"/>
    <n v="27"/>
    <n v="160"/>
    <n v="0.8"/>
    <n v="0.45"/>
    <n v="0.8"/>
  </r>
  <r>
    <n v="801"/>
    <x v="7"/>
    <s v="West"/>
    <s v="Small Market"/>
    <s v="Caffe Latte"/>
    <s v="Espresso"/>
    <s v="Utah"/>
    <s v="Regular"/>
    <n v="30"/>
    <n v="40"/>
    <n v="30"/>
    <n v="70"/>
    <n v="32"/>
    <n v="841"/>
    <n v="48"/>
    <n v="8"/>
    <n v="28"/>
    <n v="80"/>
    <n v="1.1428571428571428"/>
    <n v="0.93333333333333335"/>
    <n v="1.0666666666666667"/>
  </r>
  <r>
    <n v="801"/>
    <x v="7"/>
    <s v="West"/>
    <s v="Small Market"/>
    <s v="Caffe Mocha"/>
    <s v="Espresso"/>
    <s v="Utah"/>
    <s v="Regular"/>
    <n v="70"/>
    <n v="90"/>
    <n v="60"/>
    <n v="160"/>
    <n v="77"/>
    <n v="581"/>
    <n v="99"/>
    <n v="25"/>
    <n v="62"/>
    <n v="176"/>
    <n v="1.1000000000000001"/>
    <n v="1.0333333333333334"/>
    <n v="1.1000000000000001"/>
  </r>
  <r>
    <n v="435"/>
    <x v="7"/>
    <s v="West"/>
    <s v="Small Market"/>
    <s v="Decaf Espresso"/>
    <s v="Espresso"/>
    <s v="Utah"/>
    <s v="Decaf"/>
    <n v="30"/>
    <n v="40"/>
    <n v="30"/>
    <n v="70"/>
    <n v="34"/>
    <n v="890"/>
    <n v="49"/>
    <n v="9"/>
    <n v="28"/>
    <n v="83"/>
    <n v="1.1857142857142857"/>
    <n v="0.93333333333333335"/>
    <n v="1.1333333333333333"/>
  </r>
  <r>
    <n v="562"/>
    <x v="7"/>
    <s v="West"/>
    <s v="Major Market"/>
    <s v="Amaretto"/>
    <s v="Coffee"/>
    <s v="California"/>
    <s v="Regular"/>
    <n v="190"/>
    <n v="-90"/>
    <n v="-150"/>
    <n v="100"/>
    <n v="154"/>
    <n v="2105"/>
    <n v="-67"/>
    <n v="49"/>
    <n v="-139"/>
    <n v="87"/>
    <n v="0.87"/>
    <n v="0.92666666666666664"/>
    <n v="0.81052631578947365"/>
  </r>
  <r>
    <n v="650"/>
    <x v="7"/>
    <s v="West"/>
    <s v="Major Market"/>
    <s v="Columbian"/>
    <s v="Coffee"/>
    <s v="California"/>
    <s v="Regular"/>
    <n v="450"/>
    <n v="680"/>
    <n v="520"/>
    <n v="1130"/>
    <n v="364"/>
    <n v="2617"/>
    <n v="546"/>
    <n v="127"/>
    <n v="368"/>
    <n v="910"/>
    <n v="0.80530973451327437"/>
    <n v="0.70769230769230773"/>
    <n v="0.80888888888888888"/>
  </r>
  <r>
    <n v="831"/>
    <x v="7"/>
    <s v="West"/>
    <s v="Major Market"/>
    <s v="Chamomile"/>
    <s v="Herbal Tea"/>
    <s v="California"/>
    <s v="Decaf"/>
    <n v="110"/>
    <n v="170"/>
    <n v="140"/>
    <n v="280"/>
    <n v="132"/>
    <n v="994"/>
    <n v="191"/>
    <n v="36"/>
    <n v="143"/>
    <n v="323"/>
    <n v="1.1535714285714285"/>
    <n v="1.0214285714285714"/>
    <n v="1.2"/>
  </r>
  <r>
    <n v="916"/>
    <x v="7"/>
    <s v="West"/>
    <s v="Major Market"/>
    <s v="Lemon"/>
    <s v="Herbal Tea"/>
    <s v="California"/>
    <s v="Decaf"/>
    <n v="260"/>
    <n v="330"/>
    <n v="240"/>
    <n v="590"/>
    <n v="311"/>
    <n v="1296"/>
    <n v="367"/>
    <n v="96"/>
    <n v="249"/>
    <n v="678"/>
    <n v="1.1491525423728814"/>
    <n v="1.0375000000000001"/>
    <n v="1.1961538461538461"/>
  </r>
  <r>
    <n v="310"/>
    <x v="7"/>
    <s v="West"/>
    <s v="Major Market"/>
    <s v="Mint"/>
    <s v="Herbal Tea"/>
    <s v="California"/>
    <s v="Decaf"/>
    <n v="40"/>
    <n v="60"/>
    <n v="40"/>
    <n v="100"/>
    <n v="52"/>
    <n v="554"/>
    <n v="68"/>
    <n v="17"/>
    <n v="38"/>
    <n v="120"/>
    <n v="1.2"/>
    <n v="0.95"/>
    <n v="1.3"/>
  </r>
  <r>
    <n v="760"/>
    <x v="7"/>
    <s v="West"/>
    <s v="Major Market"/>
    <s v="Darjeeling"/>
    <s v="Tea"/>
    <s v="California"/>
    <s v="Regular"/>
    <n v="80"/>
    <n v="120"/>
    <n v="100"/>
    <n v="200"/>
    <n v="123"/>
    <n v="941"/>
    <n v="178"/>
    <n v="34"/>
    <n v="133"/>
    <n v="301"/>
    <n v="1.5049999999999999"/>
    <n v="1.33"/>
    <n v="1.5375000000000001"/>
  </r>
  <r>
    <n v="310"/>
    <x v="7"/>
    <s v="West"/>
    <s v="Major Market"/>
    <s v="Earl Grey"/>
    <s v="Tea"/>
    <s v="California"/>
    <s v="Regular"/>
    <n v="60"/>
    <n v="100"/>
    <n v="90"/>
    <n v="160"/>
    <n v="100"/>
    <n v="598"/>
    <n v="145"/>
    <n v="28"/>
    <n v="105"/>
    <n v="245"/>
    <n v="1.53125"/>
    <n v="1.1666666666666667"/>
    <n v="1.6666666666666667"/>
  </r>
  <r>
    <n v="818"/>
    <x v="7"/>
    <s v="West"/>
    <s v="Major Market"/>
    <s v="Green Tea"/>
    <s v="Tea"/>
    <s v="California"/>
    <s v="Regular"/>
    <n v="30"/>
    <n v="50"/>
    <n v="20"/>
    <n v="80"/>
    <n v="52"/>
    <n v="662"/>
    <n v="79"/>
    <n v="17"/>
    <n v="30"/>
    <n v="131"/>
    <n v="1.6375"/>
    <n v="1.5"/>
    <n v="1.7333333333333334"/>
  </r>
  <r>
    <n v="626"/>
    <x v="7"/>
    <s v="West"/>
    <s v="Major Market"/>
    <s v="Decaf Irish Cream"/>
    <s v="Coffee"/>
    <s v="California"/>
    <s v="Decaf"/>
    <n v="240"/>
    <n v="-40"/>
    <n v="-140"/>
    <n v="200"/>
    <n v="196"/>
    <n v="3139"/>
    <n v="-30"/>
    <n v="64"/>
    <n v="-137"/>
    <n v="166"/>
    <n v="0.83"/>
    <n v="0.97857142857142854"/>
    <n v="0.81666666666666665"/>
  </r>
  <r>
    <n v="916"/>
    <x v="7"/>
    <s v="West"/>
    <s v="Major Market"/>
    <s v="Caffe Latte"/>
    <s v="Espresso"/>
    <s v="California"/>
    <s v="Regular"/>
    <n v="250"/>
    <n v="260"/>
    <n v="170"/>
    <n v="510"/>
    <n v="266"/>
    <n v="1797"/>
    <n v="266"/>
    <n v="74"/>
    <n v="167"/>
    <n v="532"/>
    <n v="1.0431372549019609"/>
    <n v="0.98235294117647054"/>
    <n v="1.0640000000000001"/>
  </r>
  <r>
    <n v="530"/>
    <x v="7"/>
    <s v="West"/>
    <s v="Major Market"/>
    <s v="Caffe Mocha"/>
    <s v="Espresso"/>
    <s v="California"/>
    <s v="Regular"/>
    <n v="160"/>
    <n v="230"/>
    <n v="60"/>
    <n v="390"/>
    <n v="173"/>
    <n v="927"/>
    <n v="239"/>
    <n v="156"/>
    <n v="50"/>
    <n v="412"/>
    <n v="1.0564102564102564"/>
    <n v="0.83333333333333337"/>
    <n v="1.08125"/>
  </r>
  <r>
    <n v="707"/>
    <x v="7"/>
    <s v="West"/>
    <s v="Major Market"/>
    <s v="Decaf Espresso"/>
    <s v="Espresso"/>
    <s v="California"/>
    <s v="Decaf"/>
    <n v="280"/>
    <n v="370"/>
    <n v="250"/>
    <n v="650"/>
    <n v="295"/>
    <n v="1714"/>
    <n v="392"/>
    <n v="97"/>
    <n v="262"/>
    <n v="687"/>
    <n v="1.0569230769230769"/>
    <n v="1.048"/>
    <n v="1.0535714285714286"/>
  </r>
  <r>
    <n v="702"/>
    <x v="7"/>
    <s v="West"/>
    <s v="Small Market"/>
    <s v="Columbian"/>
    <s v="Coffee"/>
    <s v="Nevada"/>
    <s v="Regular"/>
    <n v="40"/>
    <n v="60"/>
    <n v="20"/>
    <n v="100"/>
    <n v="38"/>
    <n v="248"/>
    <n v="48"/>
    <n v="14"/>
    <n v="1"/>
    <n v="86"/>
    <n v="0.86"/>
    <n v="0.05"/>
    <n v="0.95"/>
  </r>
  <r>
    <n v="775"/>
    <x v="7"/>
    <s v="West"/>
    <s v="Small Market"/>
    <s v="Chamomile"/>
    <s v="Herbal Tea"/>
    <s v="Nevada"/>
    <s v="Decaf"/>
    <n v="140"/>
    <n v="220"/>
    <n v="70"/>
    <n v="360"/>
    <n v="173"/>
    <n v="927"/>
    <n v="239"/>
    <n v="156"/>
    <n v="49"/>
    <n v="412"/>
    <n v="1.1444444444444444"/>
    <n v="0.7"/>
    <n v="1.2357142857142858"/>
  </r>
  <r>
    <n v="775"/>
    <x v="7"/>
    <s v="West"/>
    <s v="Small Market"/>
    <s v="Lemon"/>
    <s v="Herbal Tea"/>
    <s v="Nevada"/>
    <s v="Decaf"/>
    <n v="160"/>
    <n v="250"/>
    <n v="170"/>
    <n v="410"/>
    <n v="196"/>
    <n v="1167"/>
    <n v="271"/>
    <n v="64"/>
    <n v="163"/>
    <n v="467"/>
    <n v="1.1390243902439023"/>
    <n v="0.95882352941176474"/>
    <n v="1.2250000000000001"/>
  </r>
  <r>
    <n v="702"/>
    <x v="7"/>
    <s v="West"/>
    <s v="Small Market"/>
    <s v="Mint"/>
    <s v="Herbal Tea"/>
    <s v="Nevada"/>
    <s v="Decaf"/>
    <n v="130"/>
    <n v="200"/>
    <n v="150"/>
    <n v="330"/>
    <n v="154"/>
    <n v="817"/>
    <n v="222"/>
    <n v="49"/>
    <n v="150"/>
    <n v="376"/>
    <n v="1.1393939393939394"/>
    <n v="1"/>
    <n v="1.1846153846153846"/>
  </r>
  <r>
    <n v="702"/>
    <x v="7"/>
    <s v="West"/>
    <s v="Small Market"/>
    <s v="Darjeeling"/>
    <s v="Tea"/>
    <s v="Nevada"/>
    <s v="Regular"/>
    <n v="190"/>
    <n v="270"/>
    <n v="190"/>
    <n v="460"/>
    <n v="295"/>
    <n v="1714"/>
    <n v="392"/>
    <n v="97"/>
    <n v="262"/>
    <n v="687"/>
    <n v="1.4934782608695651"/>
    <n v="1.3789473684210527"/>
    <n v="1.5526315789473684"/>
  </r>
  <r>
    <n v="775"/>
    <x v="7"/>
    <s v="West"/>
    <s v="Small Market"/>
    <s v="Earl Grey"/>
    <s v="Tea"/>
    <s v="Nevada"/>
    <s v="Regular"/>
    <n v="170"/>
    <n v="190"/>
    <n v="130"/>
    <n v="360"/>
    <n v="266"/>
    <n v="1797"/>
    <n v="266"/>
    <n v="74"/>
    <n v="167"/>
    <n v="532"/>
    <n v="1.4777777777777779"/>
    <n v="1.2846153846153847"/>
    <n v="1.5647058823529412"/>
  </r>
  <r>
    <n v="775"/>
    <x v="7"/>
    <s v="West"/>
    <s v="Small Market"/>
    <s v="Green Tea"/>
    <s v="Tea"/>
    <s v="Nevada"/>
    <s v="Regular"/>
    <n v="180"/>
    <n v="-180"/>
    <n v="-260"/>
    <n v="0"/>
    <n v="284"/>
    <n v="5807"/>
    <n v="-284"/>
    <n v="107"/>
    <n v="-404"/>
    <n v="21"/>
    <m/>
    <n v="1.5538461538461539"/>
    <n v="1.5777777777777777"/>
  </r>
  <r>
    <n v="702"/>
    <x v="7"/>
    <s v="West"/>
    <s v="Small Market"/>
    <s v="Decaf Irish Cream"/>
    <s v="Coffee"/>
    <s v="Nevada"/>
    <s v="Decaf"/>
    <n v="50"/>
    <n v="60"/>
    <n v="30"/>
    <n v="110"/>
    <n v="41"/>
    <n v="1007"/>
    <n v="49"/>
    <n v="12"/>
    <n v="16"/>
    <n v="90"/>
    <n v="0.81818181818181823"/>
    <n v="0.53333333333333333"/>
    <n v="0.82"/>
  </r>
  <r>
    <n v="702"/>
    <x v="7"/>
    <s v="West"/>
    <s v="Small Market"/>
    <s v="Caffe Latte"/>
    <s v="Espresso"/>
    <s v="Nevada"/>
    <s v="Regular"/>
    <n v="0"/>
    <n v="40"/>
    <n v="30"/>
    <n v="40"/>
    <n v="0"/>
    <n v="516"/>
    <n v="43"/>
    <n v="0"/>
    <n v="32"/>
    <n v="43"/>
    <n v="1.075"/>
    <n v="1.0666666666666667"/>
    <m/>
  </r>
  <r>
    <n v="775"/>
    <x v="7"/>
    <s v="West"/>
    <s v="Small Market"/>
    <s v="Caffe Mocha"/>
    <s v="Espresso"/>
    <s v="Nevada"/>
    <s v="Regular"/>
    <n v="20"/>
    <n v="40"/>
    <n v="30"/>
    <n v="60"/>
    <n v="25"/>
    <n v="851"/>
    <n v="38"/>
    <n v="7"/>
    <n v="19"/>
    <n v="63"/>
    <n v="1.05"/>
    <n v="0.6333333333333333"/>
    <n v="1.25"/>
  </r>
  <r>
    <n v="702"/>
    <x v="7"/>
    <s v="West"/>
    <s v="Small Market"/>
    <s v="Decaf Espresso"/>
    <s v="Espresso"/>
    <s v="Nevada"/>
    <s v="Decaf"/>
    <n v="20"/>
    <n v="30"/>
    <n v="20"/>
    <n v="50"/>
    <n v="23"/>
    <n v="806"/>
    <n v="35"/>
    <n v="6"/>
    <n v="17"/>
    <n v="58"/>
    <n v="1.1599999999999999"/>
    <n v="0.85"/>
    <n v="1.1499999999999999"/>
  </r>
  <r>
    <n v="541"/>
    <x v="7"/>
    <s v="West"/>
    <s v="Small Market"/>
    <s v="Amaretto"/>
    <s v="Coffee"/>
    <s v="Oregon"/>
    <s v="Regular"/>
    <n v="40"/>
    <n v="70"/>
    <n v="20"/>
    <n v="110"/>
    <n v="37"/>
    <n v="513"/>
    <n v="52"/>
    <n v="33"/>
    <n v="-11"/>
    <n v="89"/>
    <n v="0.80909090909090908"/>
    <n v="-0.55000000000000004"/>
    <n v="0.92500000000000004"/>
  </r>
  <r>
    <n v="971"/>
    <x v="7"/>
    <s v="West"/>
    <s v="Small Market"/>
    <s v="Columbian"/>
    <s v="Coffee"/>
    <s v="Oregon"/>
    <s v="Regular"/>
    <n v="50"/>
    <n v="90"/>
    <n v="40"/>
    <n v="140"/>
    <n v="47"/>
    <n v="474"/>
    <n v="67"/>
    <n v="15"/>
    <n v="8"/>
    <n v="114"/>
    <n v="0.81428571428571428"/>
    <n v="0.2"/>
    <n v="0.94"/>
  </r>
  <r>
    <n v="971"/>
    <x v="7"/>
    <s v="West"/>
    <s v="Small Market"/>
    <s v="Chamomile"/>
    <s v="Herbal Tea"/>
    <s v="Oregon"/>
    <s v="Decaf"/>
    <n v="20"/>
    <n v="30"/>
    <n v="30"/>
    <n v="50"/>
    <n v="25"/>
    <n v="826"/>
    <n v="37"/>
    <n v="7"/>
    <n v="19"/>
    <n v="62"/>
    <n v="1.24"/>
    <n v="0.6333333333333333"/>
    <n v="1.25"/>
  </r>
  <r>
    <n v="541"/>
    <x v="7"/>
    <s v="West"/>
    <s v="Small Market"/>
    <s v="Lemon"/>
    <s v="Herbal Tea"/>
    <s v="Oregon"/>
    <s v="Decaf"/>
    <n v="50"/>
    <n v="80"/>
    <n v="60"/>
    <n v="130"/>
    <n v="68"/>
    <n v="587"/>
    <n v="87"/>
    <n v="22"/>
    <n v="53"/>
    <n v="155"/>
    <n v="1.1923076923076923"/>
    <n v="0.8833333333333333"/>
    <n v="1.36"/>
  </r>
  <r>
    <n v="503"/>
    <x v="7"/>
    <s v="West"/>
    <s v="Small Market"/>
    <s v="Darjeeling"/>
    <s v="Tea"/>
    <s v="Oregon"/>
    <s v="Regular"/>
    <n v="10"/>
    <n v="10"/>
    <n v="10"/>
    <n v="20"/>
    <n v="16"/>
    <n v="484"/>
    <n v="25"/>
    <n v="4"/>
    <n v="9"/>
    <n v="41"/>
    <n v="2.0499999999999998"/>
    <n v="0.9"/>
    <n v="1.6"/>
  </r>
  <r>
    <n v="971"/>
    <x v="7"/>
    <s v="West"/>
    <s v="Small Market"/>
    <s v="Earl Grey"/>
    <s v="Tea"/>
    <s v="Oregon"/>
    <s v="Regular"/>
    <n v="70"/>
    <n v="120"/>
    <n v="80"/>
    <n v="190"/>
    <n v="114"/>
    <n v="810"/>
    <n v="172"/>
    <n v="37"/>
    <n v="104"/>
    <n v="286"/>
    <n v="1.5052631578947369"/>
    <n v="1.3"/>
    <n v="1.6285714285714286"/>
  </r>
  <r>
    <n v="541"/>
    <x v="7"/>
    <s v="West"/>
    <s v="Small Market"/>
    <s v="Green Tea"/>
    <s v="Tea"/>
    <s v="Oregon"/>
    <s v="Regular"/>
    <n v="70"/>
    <n v="110"/>
    <n v="70"/>
    <n v="180"/>
    <n v="116"/>
    <n v="678"/>
    <n v="161"/>
    <n v="35"/>
    <n v="102"/>
    <n v="277"/>
    <n v="1.538888888888889"/>
    <n v="1.4571428571428571"/>
    <n v="1.6571428571428573"/>
  </r>
  <r>
    <n v="541"/>
    <x v="7"/>
    <s v="West"/>
    <s v="Small Market"/>
    <s v="Decaf Irish Cream"/>
    <s v="Coffee"/>
    <s v="Oregon"/>
    <s v="Decaf"/>
    <n v="40"/>
    <n v="60"/>
    <n v="40"/>
    <n v="100"/>
    <n v="34"/>
    <n v="428"/>
    <n v="51"/>
    <n v="10"/>
    <n v="19"/>
    <n v="85"/>
    <n v="0.85"/>
    <n v="0.47499999999999998"/>
    <n v="0.85"/>
  </r>
  <r>
    <n v="971"/>
    <x v="7"/>
    <s v="West"/>
    <s v="Small Market"/>
    <s v="Caffe Latte"/>
    <s v="Espresso"/>
    <s v="Oregon"/>
    <s v="Regular"/>
    <n v="40"/>
    <n v="60"/>
    <n v="20"/>
    <n v="100"/>
    <n v="49"/>
    <n v="414"/>
    <n v="60"/>
    <n v="18"/>
    <n v="9"/>
    <n v="109"/>
    <n v="1.0900000000000001"/>
    <n v="0.45"/>
    <n v="1.2250000000000001"/>
  </r>
  <r>
    <n v="503"/>
    <x v="7"/>
    <s v="West"/>
    <s v="Small Market"/>
    <s v="Caffe Mocha"/>
    <s v="Espresso"/>
    <s v="Oregon"/>
    <s v="Regular"/>
    <n v="40"/>
    <n v="60"/>
    <n v="30"/>
    <n v="100"/>
    <n v="46"/>
    <n v="415"/>
    <n v="62"/>
    <n v="15"/>
    <n v="19"/>
    <n v="108"/>
    <n v="1.08"/>
    <n v="0.6333333333333333"/>
    <n v="1.1499999999999999"/>
  </r>
  <r>
    <n v="503"/>
    <x v="7"/>
    <s v="West"/>
    <s v="Small Market"/>
    <s v="Decaf Espresso"/>
    <s v="Espresso"/>
    <s v="Oregon"/>
    <s v="Decaf"/>
    <n v="130"/>
    <n v="140"/>
    <n v="90"/>
    <n v="270"/>
    <n v="145"/>
    <n v="1292"/>
    <n v="146"/>
    <n v="40"/>
    <n v="81"/>
    <n v="291"/>
    <n v="1.0777777777777777"/>
    <n v="0.9"/>
    <n v="1.1153846153846154"/>
  </r>
  <r>
    <n v="360"/>
    <x v="7"/>
    <s v="West"/>
    <s v="Small Market"/>
    <s v="Chamomile"/>
    <s v="Herbal Tea"/>
    <s v="Washington"/>
    <s v="Decaf"/>
    <n v="70"/>
    <n v="120"/>
    <n v="80"/>
    <n v="190"/>
    <n v="90"/>
    <n v="1139"/>
    <n v="135"/>
    <n v="29"/>
    <n v="75"/>
    <n v="225"/>
    <n v="1.1842105263157894"/>
    <n v="0.9375"/>
    <n v="1.2857142857142858"/>
  </r>
  <r>
    <n v="253"/>
    <x v="7"/>
    <s v="West"/>
    <s v="Small Market"/>
    <s v="Lemon"/>
    <s v="Herbal Tea"/>
    <s v="Washington"/>
    <s v="Decaf"/>
    <n v="40"/>
    <n v="60"/>
    <n v="50"/>
    <n v="100"/>
    <n v="48"/>
    <n v="839"/>
    <n v="70"/>
    <n v="13"/>
    <n v="45"/>
    <n v="118"/>
    <n v="1.18"/>
    <n v="0.9"/>
    <n v="1.2"/>
  </r>
  <r>
    <n v="253"/>
    <x v="7"/>
    <s v="West"/>
    <s v="Small Market"/>
    <s v="Darjeeling"/>
    <s v="Tea"/>
    <s v="Washington"/>
    <s v="Regular"/>
    <n v="30"/>
    <n v="50"/>
    <n v="30"/>
    <n v="80"/>
    <n v="47"/>
    <n v="366"/>
    <n v="79"/>
    <n v="14"/>
    <n v="42"/>
    <n v="126"/>
    <n v="1.575"/>
    <n v="1.4"/>
    <n v="1.5666666666666667"/>
  </r>
  <r>
    <n v="206"/>
    <x v="7"/>
    <s v="West"/>
    <s v="Small Market"/>
    <s v="Earl Grey"/>
    <s v="Tea"/>
    <s v="Washington"/>
    <s v="Regular"/>
    <n v="20"/>
    <n v="40"/>
    <n v="30"/>
    <n v="60"/>
    <n v="36"/>
    <n v="458"/>
    <n v="54"/>
    <n v="11"/>
    <n v="20"/>
    <n v="90"/>
    <n v="1.5"/>
    <n v="0.66666666666666663"/>
    <n v="1.8"/>
  </r>
  <r>
    <n v="206"/>
    <x v="7"/>
    <s v="West"/>
    <s v="Small Market"/>
    <s v="Green Tea"/>
    <s v="Tea"/>
    <s v="Washington"/>
    <s v="Regular"/>
    <n v="20"/>
    <n v="50"/>
    <n v="10"/>
    <n v="70"/>
    <n v="44"/>
    <n v="617"/>
    <n v="61"/>
    <n v="39"/>
    <n v="-8"/>
    <n v="105"/>
    <n v="1.5"/>
    <n v="-0.8"/>
    <n v="2.2000000000000002"/>
  </r>
  <r>
    <n v="509"/>
    <x v="7"/>
    <s v="West"/>
    <s v="Small Market"/>
    <s v="Columbian"/>
    <s v="Coffee"/>
    <s v="Washington"/>
    <s v="Regular"/>
    <n v="100"/>
    <n v="160"/>
    <n v="120"/>
    <n v="260"/>
    <n v="86"/>
    <n v="454"/>
    <n v="125"/>
    <n v="27"/>
    <n v="76"/>
    <n v="211"/>
    <n v="0.81153846153846154"/>
    <n v="0.6333333333333333"/>
    <n v="0.86"/>
  </r>
  <r>
    <n v="206"/>
    <x v="7"/>
    <s v="West"/>
    <s v="Small Market"/>
    <s v="Decaf Irish Cream"/>
    <s v="Coffee"/>
    <s v="Washington"/>
    <s v="Decaf"/>
    <n v="160"/>
    <n v="230"/>
    <n v="100"/>
    <n v="390"/>
    <n v="133"/>
    <n v="705"/>
    <n v="184"/>
    <n v="120"/>
    <n v="34"/>
    <n v="317"/>
    <n v="0.81282051282051282"/>
    <n v="0.34"/>
    <n v="0.83125000000000004"/>
  </r>
  <r>
    <n v="206"/>
    <x v="7"/>
    <s v="West"/>
    <s v="Small Market"/>
    <s v="Caffe Latte"/>
    <s v="Espresso"/>
    <s v="Washington"/>
    <s v="Regular"/>
    <n v="20"/>
    <n v="40"/>
    <n v="30"/>
    <n v="60"/>
    <n v="30"/>
    <n v="581"/>
    <n v="39"/>
    <n v="9"/>
    <n v="17"/>
    <n v="69"/>
    <n v="1.1499999999999999"/>
    <n v="0.56666666666666665"/>
    <n v="1.5"/>
  </r>
  <r>
    <n v="425"/>
    <x v="7"/>
    <s v="West"/>
    <s v="Small Market"/>
    <s v="Caffe Mocha"/>
    <s v="Espresso"/>
    <s v="Washington"/>
    <s v="Regular"/>
    <n v="60"/>
    <n v="70"/>
    <n v="20"/>
    <n v="130"/>
    <n v="63"/>
    <n v="397"/>
    <n v="77"/>
    <n v="23"/>
    <n v="20"/>
    <n v="140"/>
    <n v="1.0769230769230769"/>
    <n v="1"/>
    <n v="1.05"/>
  </r>
  <r>
    <n v="206"/>
    <x v="7"/>
    <s v="West"/>
    <s v="Small Market"/>
    <s v="Decaf Espresso"/>
    <s v="Espresso"/>
    <s v="Washington"/>
    <s v="Decaf"/>
    <n v="90"/>
    <n v="120"/>
    <n v="90"/>
    <n v="210"/>
    <n v="103"/>
    <n v="1073"/>
    <n v="123"/>
    <n v="31"/>
    <n v="71"/>
    <n v="226"/>
    <n v="1.0761904761904761"/>
    <n v="0.78888888888888886"/>
    <n v="1.1444444444444444"/>
  </r>
  <r>
    <n v="970"/>
    <x v="8"/>
    <s v="Central"/>
    <s v="Major Market"/>
    <s v="Chamomile"/>
    <s v="Herbal Tea"/>
    <s v="Colorado"/>
    <s v="Decaf"/>
    <n v="130"/>
    <n v="140"/>
    <n v="90"/>
    <n v="270"/>
    <n v="155"/>
    <n v="1280"/>
    <n v="155"/>
    <n v="43"/>
    <n v="87"/>
    <n v="310"/>
    <n v="1.1481481481481481"/>
    <n v="0.96666666666666667"/>
    <n v="1.1923076923076923"/>
  </r>
  <r>
    <n v="970"/>
    <x v="8"/>
    <s v="Central"/>
    <s v="Major Market"/>
    <s v="Lemon"/>
    <s v="Herbal Tea"/>
    <s v="Colorado"/>
    <s v="Decaf"/>
    <n v="40"/>
    <n v="70"/>
    <n v="20"/>
    <n v="110"/>
    <n v="52"/>
    <n v="509"/>
    <n v="74"/>
    <n v="47"/>
    <n v="-2"/>
    <n v="126"/>
    <n v="1.1454545454545455"/>
    <n v="-0.1"/>
    <n v="1.3"/>
  </r>
  <r>
    <n v="720"/>
    <x v="8"/>
    <s v="Central"/>
    <s v="Major Market"/>
    <s v="Mint"/>
    <s v="Herbal Tea"/>
    <s v="Colorado"/>
    <s v="Decaf"/>
    <n v="40"/>
    <n v="70"/>
    <n v="40"/>
    <n v="110"/>
    <n v="53"/>
    <n v="410"/>
    <n v="72"/>
    <n v="17"/>
    <n v="27"/>
    <n v="125"/>
    <n v="1.1363636363636365"/>
    <n v="0.67500000000000004"/>
    <n v="1.325"/>
  </r>
  <r>
    <n v="970"/>
    <x v="8"/>
    <s v="Central"/>
    <s v="Major Market"/>
    <s v="Darjeeling"/>
    <s v="Tea"/>
    <s v="Colorado"/>
    <s v="Regular"/>
    <n v="30"/>
    <n v="50"/>
    <n v="10"/>
    <n v="80"/>
    <n v="45"/>
    <n v="409"/>
    <n v="57"/>
    <n v="17"/>
    <n v="7"/>
    <n v="102"/>
    <n v="1.2749999999999999"/>
    <n v="0.7"/>
    <n v="1.5"/>
  </r>
  <r>
    <n v="720"/>
    <x v="8"/>
    <s v="Central"/>
    <s v="Major Market"/>
    <s v="Earl Grey"/>
    <s v="Tea"/>
    <s v="Colorado"/>
    <s v="Regular"/>
    <n v="40"/>
    <n v="50"/>
    <n v="20"/>
    <n v="90"/>
    <n v="51"/>
    <n v="1042"/>
    <n v="62"/>
    <n v="15"/>
    <n v="25"/>
    <n v="113"/>
    <n v="1.2555555555555555"/>
    <n v="1.25"/>
    <n v="1.2749999999999999"/>
  </r>
  <r>
    <n v="970"/>
    <x v="8"/>
    <s v="Central"/>
    <s v="Major Market"/>
    <s v="Green Tea"/>
    <s v="Tea"/>
    <s v="Colorado"/>
    <s v="Regular"/>
    <n v="50"/>
    <n v="70"/>
    <n v="50"/>
    <n v="120"/>
    <n v="61"/>
    <n v="579"/>
    <n v="79"/>
    <n v="20"/>
    <n v="47"/>
    <n v="140"/>
    <n v="1.1666666666666667"/>
    <n v="0.94"/>
    <n v="1.22"/>
  </r>
  <r>
    <n v="303"/>
    <x v="8"/>
    <s v="Central"/>
    <s v="Major Market"/>
    <s v="Caffe Mocha"/>
    <s v="Espresso"/>
    <s v="Colorado"/>
    <s v="Regular"/>
    <n v="90"/>
    <n v="140"/>
    <n v="110"/>
    <n v="230"/>
    <n v="81"/>
    <n v="588"/>
    <n v="118"/>
    <n v="22"/>
    <n v="84"/>
    <n v="199"/>
    <n v="0.86521739130434783"/>
    <n v="0.76363636363636367"/>
    <n v="0.9"/>
  </r>
  <r>
    <n v="303"/>
    <x v="8"/>
    <s v="Central"/>
    <s v="Major Market"/>
    <s v="Decaf Espresso"/>
    <s v="Espresso"/>
    <s v="Colorado"/>
    <s v="Decaf"/>
    <n v="60"/>
    <n v="110"/>
    <n v="60"/>
    <n v="170"/>
    <n v="60"/>
    <n v="656"/>
    <n v="90"/>
    <n v="19"/>
    <n v="39"/>
    <n v="150"/>
    <n v="0.88235294117647056"/>
    <n v="0.65"/>
    <n v="1"/>
  </r>
  <r>
    <n v="970"/>
    <x v="8"/>
    <s v="Central"/>
    <s v="Major Market"/>
    <s v="Amaretto"/>
    <s v="Coffee"/>
    <s v="Colorado"/>
    <s v="Regular"/>
    <n v="130"/>
    <n v="180"/>
    <n v="140"/>
    <n v="310"/>
    <n v="123"/>
    <n v="928"/>
    <n v="179"/>
    <n v="34"/>
    <n v="134"/>
    <n v="302"/>
    <n v="0.97419354838709682"/>
    <n v="0.95714285714285718"/>
    <n v="0.94615384615384612"/>
  </r>
  <r>
    <n v="970"/>
    <x v="8"/>
    <s v="Central"/>
    <s v="Major Market"/>
    <s v="Columbian"/>
    <s v="Coffee"/>
    <s v="Colorado"/>
    <s v="Regular"/>
    <n v="60"/>
    <n v="70"/>
    <n v="50"/>
    <n v="130"/>
    <n v="58"/>
    <n v="548"/>
    <n v="74"/>
    <n v="19"/>
    <n v="42"/>
    <n v="132"/>
    <n v="1.0153846153846153"/>
    <n v="0.84"/>
    <n v="0.96666666666666667"/>
  </r>
  <r>
    <n v="970"/>
    <x v="8"/>
    <s v="Central"/>
    <s v="Major Market"/>
    <s v="Decaf Irish Cream"/>
    <s v="Coffee"/>
    <s v="Colorado"/>
    <s v="Decaf"/>
    <n v="100"/>
    <n v="150"/>
    <n v="120"/>
    <n v="250"/>
    <n v="100"/>
    <n v="981"/>
    <n v="145"/>
    <n v="28"/>
    <n v="106"/>
    <n v="245"/>
    <n v="0.98"/>
    <n v="0.8833333333333333"/>
    <n v="1"/>
  </r>
  <r>
    <n v="708"/>
    <x v="8"/>
    <s v="Central"/>
    <s v="Major Market"/>
    <s v="Chamomile"/>
    <s v="Herbal Tea"/>
    <s v="Illinois"/>
    <s v="Decaf"/>
    <n v="100"/>
    <n v="160"/>
    <n v="140"/>
    <n v="260"/>
    <n v="123"/>
    <n v="928"/>
    <n v="179"/>
    <n v="34"/>
    <n v="133"/>
    <n v="302"/>
    <n v="1.1615384615384616"/>
    <n v="0.95"/>
    <n v="1.23"/>
  </r>
  <r>
    <n v="630"/>
    <x v="8"/>
    <s v="Central"/>
    <s v="Major Market"/>
    <s v="Lemon"/>
    <s v="Herbal Tea"/>
    <s v="Illinois"/>
    <s v="Decaf"/>
    <n v="40"/>
    <n v="70"/>
    <n v="50"/>
    <n v="110"/>
    <n v="58"/>
    <n v="548"/>
    <n v="74"/>
    <n v="19"/>
    <n v="43"/>
    <n v="132"/>
    <n v="1.2"/>
    <n v="0.86"/>
    <n v="1.45"/>
  </r>
  <r>
    <n v="773"/>
    <x v="8"/>
    <s v="Central"/>
    <s v="Major Market"/>
    <s v="Mint"/>
    <s v="Herbal Tea"/>
    <s v="Illinois"/>
    <s v="Decaf"/>
    <n v="80"/>
    <n v="130"/>
    <n v="110"/>
    <n v="210"/>
    <n v="100"/>
    <n v="981"/>
    <n v="145"/>
    <n v="28"/>
    <n v="106"/>
    <n v="245"/>
    <n v="1.1666666666666667"/>
    <n v="0.96363636363636362"/>
    <n v="1.25"/>
  </r>
  <r>
    <n v="815"/>
    <x v="8"/>
    <s v="Central"/>
    <s v="Major Market"/>
    <s v="Darjeeling"/>
    <s v="Tea"/>
    <s v="Illinois"/>
    <s v="Regular"/>
    <n v="60"/>
    <n v="110"/>
    <n v="80"/>
    <n v="170"/>
    <n v="81"/>
    <n v="588"/>
    <n v="118"/>
    <n v="22"/>
    <n v="84"/>
    <n v="199"/>
    <n v="1.1705882352941177"/>
    <n v="1.05"/>
    <n v="1.35"/>
  </r>
  <r>
    <n v="773"/>
    <x v="8"/>
    <s v="Central"/>
    <s v="Major Market"/>
    <s v="Earl Grey"/>
    <s v="Tea"/>
    <s v="Illinois"/>
    <s v="Regular"/>
    <n v="50"/>
    <n v="80"/>
    <n v="40"/>
    <n v="130"/>
    <n v="60"/>
    <n v="656"/>
    <n v="90"/>
    <n v="19"/>
    <n v="40"/>
    <n v="150"/>
    <n v="1.1538461538461537"/>
    <n v="1"/>
    <n v="1.2"/>
  </r>
  <r>
    <n v="618"/>
    <x v="8"/>
    <s v="Central"/>
    <s v="Major Market"/>
    <s v="Caffe Mocha"/>
    <s v="Espresso"/>
    <s v="Illinois"/>
    <s v="Regular"/>
    <n v="290"/>
    <n v="400"/>
    <n v="280"/>
    <n v="690"/>
    <n v="253"/>
    <n v="1686"/>
    <n v="336"/>
    <n v="83"/>
    <n v="220"/>
    <n v="589"/>
    <n v="0.8536231884057971"/>
    <n v="0.7857142857142857"/>
    <n v="0.87241379310344824"/>
  </r>
  <r>
    <n v="312"/>
    <x v="8"/>
    <s v="Central"/>
    <s v="Major Market"/>
    <s v="Decaf Espresso"/>
    <s v="Espresso"/>
    <s v="Illinois"/>
    <s v="Decaf"/>
    <n v="280"/>
    <n v="300"/>
    <n v="210"/>
    <n v="580"/>
    <n v="249"/>
    <n v="1775"/>
    <n v="249"/>
    <n v="69"/>
    <n v="155"/>
    <n v="498"/>
    <n v="0.85862068965517246"/>
    <n v="0.73809523809523814"/>
    <n v="0.88928571428571423"/>
  </r>
  <r>
    <n v="309"/>
    <x v="8"/>
    <s v="Central"/>
    <s v="Major Market"/>
    <s v="Columbian"/>
    <s v="Coffee"/>
    <s v="Illinois"/>
    <s v="Regular"/>
    <n v="170"/>
    <n v="230"/>
    <n v="140"/>
    <n v="400"/>
    <n v="162"/>
    <n v="1148"/>
    <n v="225"/>
    <n v="53"/>
    <n v="129"/>
    <n v="387"/>
    <n v="0.96750000000000003"/>
    <n v="0.92142857142857137"/>
    <n v="0.95294117647058818"/>
  </r>
  <r>
    <n v="708"/>
    <x v="8"/>
    <s v="Central"/>
    <s v="Major Market"/>
    <s v="Decaf Irish Cream"/>
    <s v="Coffee"/>
    <s v="Illinois"/>
    <s v="Decaf"/>
    <n v="120"/>
    <n v="190"/>
    <n v="140"/>
    <n v="310"/>
    <n v="122"/>
    <n v="801"/>
    <n v="176"/>
    <n v="39"/>
    <n v="115"/>
    <n v="298"/>
    <n v="0.96129032258064517"/>
    <n v="0.8214285714285714"/>
    <n v="1.0166666666666666"/>
  </r>
  <r>
    <n v="712"/>
    <x v="8"/>
    <s v="Central"/>
    <s v="Small Market"/>
    <s v="Chamomile"/>
    <s v="Herbal Tea"/>
    <s v="Iowa"/>
    <s v="Decaf"/>
    <n v="210"/>
    <n v="300"/>
    <n v="210"/>
    <n v="510"/>
    <n v="253"/>
    <n v="1686"/>
    <n v="336"/>
    <n v="83"/>
    <n v="220"/>
    <n v="589"/>
    <n v="1.1549019607843136"/>
    <n v="1.0476190476190477"/>
    <n v="1.2047619047619047"/>
  </r>
  <r>
    <n v="563"/>
    <x v="8"/>
    <s v="Central"/>
    <s v="Small Market"/>
    <s v="Lemon"/>
    <s v="Herbal Tea"/>
    <s v="Iowa"/>
    <s v="Decaf"/>
    <n v="100"/>
    <n v="160"/>
    <n v="120"/>
    <n v="260"/>
    <n v="122"/>
    <n v="801"/>
    <n v="176"/>
    <n v="39"/>
    <n v="115"/>
    <n v="298"/>
    <n v="1.1461538461538461"/>
    <n v="0.95833333333333337"/>
    <n v="1.22"/>
  </r>
  <r>
    <n v="641"/>
    <x v="8"/>
    <s v="Central"/>
    <s v="Small Market"/>
    <s v="Darjeeling"/>
    <s v="Tea"/>
    <s v="Iowa"/>
    <s v="Regular"/>
    <n v="210"/>
    <n v="220"/>
    <n v="140"/>
    <n v="430"/>
    <n v="249"/>
    <n v="1775"/>
    <n v="249"/>
    <n v="69"/>
    <n v="155"/>
    <n v="498"/>
    <n v="1.1581395348837209"/>
    <n v="1.1071428571428572"/>
    <n v="1.1857142857142857"/>
  </r>
  <r>
    <n v="712"/>
    <x v="8"/>
    <s v="Central"/>
    <s v="Small Market"/>
    <s v="Earl Grey"/>
    <s v="Tea"/>
    <s v="Iowa"/>
    <s v="Regular"/>
    <n v="250"/>
    <n v="340"/>
    <n v="210"/>
    <n v="590"/>
    <n v="302"/>
    <n v="1783"/>
    <n v="370"/>
    <n v="114"/>
    <n v="223"/>
    <n v="672"/>
    <n v="1.1389830508474577"/>
    <n v="1.0619047619047619"/>
    <n v="1.208"/>
  </r>
  <r>
    <n v="515"/>
    <x v="8"/>
    <s v="Central"/>
    <s v="Small Market"/>
    <s v="Caffe Mocha"/>
    <s v="Espresso"/>
    <s v="Iowa"/>
    <s v="Regular"/>
    <n v="20"/>
    <n v="40"/>
    <n v="30"/>
    <n v="60"/>
    <n v="23"/>
    <n v="803"/>
    <n v="35"/>
    <n v="6"/>
    <n v="18"/>
    <n v="58"/>
    <n v="0.96666666666666667"/>
    <n v="0.6"/>
    <n v="1.1499999999999999"/>
  </r>
  <r>
    <n v="319"/>
    <x v="8"/>
    <s v="Central"/>
    <s v="Small Market"/>
    <s v="Decaf Espresso"/>
    <s v="Espresso"/>
    <s v="Iowa"/>
    <s v="Decaf"/>
    <n v="0"/>
    <n v="50"/>
    <n v="40"/>
    <n v="50"/>
    <n v="0"/>
    <n v="473"/>
    <n v="43"/>
    <n v="0"/>
    <n v="32"/>
    <n v="43"/>
    <n v="0.86"/>
    <n v="0.8"/>
    <m/>
  </r>
  <r>
    <n v="319"/>
    <x v="8"/>
    <s v="Central"/>
    <s v="Small Market"/>
    <s v="Amaretto"/>
    <s v="Coffee"/>
    <s v="Iowa"/>
    <s v="Regular"/>
    <n v="20"/>
    <n v="30"/>
    <n v="20"/>
    <n v="50"/>
    <n v="19"/>
    <n v="848"/>
    <n v="29"/>
    <n v="5"/>
    <n v="13"/>
    <n v="48"/>
    <n v="0.96"/>
    <n v="0.65"/>
    <n v="0.95"/>
  </r>
  <r>
    <n v="319"/>
    <x v="8"/>
    <s v="Central"/>
    <s v="Small Market"/>
    <s v="Columbian"/>
    <s v="Coffee"/>
    <s v="Iowa"/>
    <s v="Regular"/>
    <n v="30"/>
    <n v="40"/>
    <n v="20"/>
    <n v="70"/>
    <n v="33"/>
    <n v="1003"/>
    <n v="39"/>
    <n v="10"/>
    <n v="7"/>
    <n v="72"/>
    <n v="1.0285714285714285"/>
    <n v="0.35"/>
    <n v="1.1000000000000001"/>
  </r>
  <r>
    <n v="563"/>
    <x v="8"/>
    <s v="Central"/>
    <s v="Small Market"/>
    <s v="Decaf Irish Cream"/>
    <s v="Coffee"/>
    <s v="Iowa"/>
    <s v="Decaf"/>
    <n v="10"/>
    <n v="20"/>
    <n v="10"/>
    <n v="30"/>
    <n v="15"/>
    <n v="600"/>
    <n v="20"/>
    <n v="4"/>
    <n v="3"/>
    <n v="35"/>
    <n v="1.1666666666666667"/>
    <n v="0.3"/>
    <n v="1.5"/>
  </r>
  <r>
    <n v="636"/>
    <x v="8"/>
    <s v="Central"/>
    <s v="Small Market"/>
    <s v="Chamomile"/>
    <s v="Herbal Tea"/>
    <s v="Missouri"/>
    <s v="Decaf"/>
    <n v="30"/>
    <n v="60"/>
    <n v="10"/>
    <n v="90"/>
    <n v="44"/>
    <n v="325"/>
    <n v="62"/>
    <n v="40"/>
    <n v="-7"/>
    <n v="106"/>
    <n v="1.1777777777777778"/>
    <n v="-0.7"/>
    <n v="1.4666666666666666"/>
  </r>
  <r>
    <n v="660"/>
    <x v="8"/>
    <s v="Central"/>
    <s v="Small Market"/>
    <s v="Lemon"/>
    <s v="Herbal Tea"/>
    <s v="Missouri"/>
    <s v="Decaf"/>
    <n v="80"/>
    <n v="20"/>
    <n v="-10"/>
    <n v="100"/>
    <n v="104"/>
    <n v="1574"/>
    <n v="11"/>
    <n v="32"/>
    <n v="-44"/>
    <n v="115"/>
    <n v="1.1499999999999999"/>
    <n v="4.4000000000000004"/>
    <n v="1.3"/>
  </r>
  <r>
    <n v="314"/>
    <x v="8"/>
    <s v="Central"/>
    <s v="Small Market"/>
    <s v="Darjeeling"/>
    <s v="Tea"/>
    <s v="Missouri"/>
    <s v="Regular"/>
    <n v="30"/>
    <n v="50"/>
    <n v="20"/>
    <n v="80"/>
    <n v="39"/>
    <n v="248"/>
    <n v="52"/>
    <n v="12"/>
    <n v="13"/>
    <n v="91"/>
    <n v="1.1375"/>
    <n v="0.65"/>
    <n v="1.3"/>
  </r>
  <r>
    <n v="314"/>
    <x v="8"/>
    <s v="Central"/>
    <s v="Small Market"/>
    <s v="Earl Grey"/>
    <s v="Tea"/>
    <s v="Missouri"/>
    <s v="Regular"/>
    <n v="20"/>
    <n v="20"/>
    <n v="-10"/>
    <n v="40"/>
    <n v="24"/>
    <n v="212"/>
    <n v="30"/>
    <n v="9"/>
    <n v="-12"/>
    <n v="54"/>
    <n v="1.35"/>
    <n v="1.2"/>
    <n v="1.2"/>
  </r>
  <r>
    <n v="573"/>
    <x v="8"/>
    <s v="Central"/>
    <s v="Small Market"/>
    <s v="Green Tea"/>
    <s v="Tea"/>
    <s v="Missouri"/>
    <s v="Regular"/>
    <n v="30"/>
    <n v="50"/>
    <n v="10"/>
    <n v="80"/>
    <n v="40"/>
    <n v="244"/>
    <n v="51"/>
    <n v="15"/>
    <n v="2"/>
    <n v="91"/>
    <n v="1.1375"/>
    <n v="0.2"/>
    <n v="1.3333333333333333"/>
  </r>
  <r>
    <n v="816"/>
    <x v="8"/>
    <s v="Central"/>
    <s v="Small Market"/>
    <s v="Caffe Mocha"/>
    <s v="Espresso"/>
    <s v="Missouri"/>
    <s v="Regular"/>
    <n v="50"/>
    <n v="70"/>
    <n v="50"/>
    <n v="120"/>
    <n v="44"/>
    <n v="886"/>
    <n v="64"/>
    <n v="12"/>
    <n v="41"/>
    <n v="108"/>
    <n v="0.9"/>
    <n v="0.82"/>
    <n v="0.88"/>
  </r>
  <r>
    <n v="417"/>
    <x v="8"/>
    <s v="Central"/>
    <s v="Small Market"/>
    <s v="Decaf Espresso"/>
    <s v="Espresso"/>
    <s v="Missouri"/>
    <s v="Decaf"/>
    <n v="30"/>
    <n v="60"/>
    <n v="50"/>
    <n v="90"/>
    <n v="32"/>
    <n v="837"/>
    <n v="47"/>
    <n v="8"/>
    <n v="27"/>
    <n v="79"/>
    <n v="0.87777777777777777"/>
    <n v="0.54"/>
    <n v="1.0666666666666667"/>
  </r>
  <r>
    <n v="314"/>
    <x v="8"/>
    <s v="Central"/>
    <s v="Small Market"/>
    <s v="Columbian"/>
    <s v="Coffee"/>
    <s v="Missouri"/>
    <s v="Regular"/>
    <n v="70"/>
    <n v="80"/>
    <n v="30"/>
    <n v="150"/>
    <n v="67"/>
    <n v="599"/>
    <n v="83"/>
    <n v="25"/>
    <n v="25"/>
    <n v="150"/>
    <n v="1"/>
    <n v="0.83333333333333337"/>
    <n v="0.95714285714285718"/>
  </r>
  <r>
    <n v="314"/>
    <x v="8"/>
    <s v="Central"/>
    <s v="Small Market"/>
    <s v="Decaf Irish Cream"/>
    <s v="Coffee"/>
    <s v="Missouri"/>
    <s v="Decaf"/>
    <n v="60"/>
    <n v="80"/>
    <n v="50"/>
    <n v="140"/>
    <n v="62"/>
    <n v="1059"/>
    <n v="74"/>
    <n v="19"/>
    <n v="34"/>
    <n v="136"/>
    <n v="0.97142857142857142"/>
    <n v="0.68"/>
    <n v="1.0333333333333334"/>
  </r>
  <r>
    <n v="937"/>
    <x v="8"/>
    <s v="Central"/>
    <s v="Major Market"/>
    <s v="Chamomile"/>
    <s v="Herbal Tea"/>
    <s v="Ohio"/>
    <s v="Decaf"/>
    <n v="10"/>
    <n v="30"/>
    <n v="30"/>
    <n v="40"/>
    <n v="20"/>
    <n v="482"/>
    <n v="30"/>
    <n v="5"/>
    <n v="14"/>
    <n v="50"/>
    <n v="1.25"/>
    <n v="0.46666666666666667"/>
    <n v="2"/>
  </r>
  <r>
    <n v="419"/>
    <x v="8"/>
    <s v="Central"/>
    <s v="Major Market"/>
    <s v="Lemon"/>
    <s v="Herbal Tea"/>
    <s v="Ohio"/>
    <s v="Decaf"/>
    <n v="20"/>
    <n v="40"/>
    <n v="40"/>
    <n v="60"/>
    <n v="29"/>
    <n v="862"/>
    <n v="43"/>
    <n v="8"/>
    <n v="23"/>
    <n v="72"/>
    <n v="1.2"/>
    <n v="0.57499999999999996"/>
    <n v="1.45"/>
  </r>
  <r>
    <n v="440"/>
    <x v="8"/>
    <s v="Central"/>
    <s v="Major Market"/>
    <s v="Darjeeling"/>
    <s v="Tea"/>
    <s v="Ohio"/>
    <s v="Regular"/>
    <n v="80"/>
    <n v="130"/>
    <n v="70"/>
    <n v="210"/>
    <n v="99"/>
    <n v="798"/>
    <n v="150"/>
    <n v="32"/>
    <n v="87"/>
    <n v="249"/>
    <n v="1.1857142857142857"/>
    <n v="1.2428571428571429"/>
    <n v="1.2375"/>
  </r>
  <r>
    <n v="513"/>
    <x v="8"/>
    <s v="Central"/>
    <s v="Major Market"/>
    <s v="Earl Grey"/>
    <s v="Tea"/>
    <s v="Ohio"/>
    <s v="Regular"/>
    <n v="80"/>
    <n v="120"/>
    <n v="80"/>
    <n v="200"/>
    <n v="96"/>
    <n v="666"/>
    <n v="134"/>
    <n v="29"/>
    <n v="81"/>
    <n v="230"/>
    <n v="1.1499999999999999"/>
    <n v="1.0125"/>
    <n v="1.2"/>
  </r>
  <r>
    <n v="513"/>
    <x v="8"/>
    <s v="Central"/>
    <s v="Major Market"/>
    <s v="Caffe Mocha"/>
    <s v="Espresso"/>
    <s v="Ohio"/>
    <s v="Regular"/>
    <n v="170"/>
    <n v="190"/>
    <n v="130"/>
    <n v="360"/>
    <n v="155"/>
    <n v="1280"/>
    <n v="155"/>
    <n v="43"/>
    <n v="87"/>
    <n v="310"/>
    <n v="0.86111111111111116"/>
    <n v="0.66923076923076918"/>
    <n v="0.91176470588235292"/>
  </r>
  <r>
    <n v="567"/>
    <x v="8"/>
    <s v="Central"/>
    <s v="Major Market"/>
    <s v="Decaf Espresso"/>
    <s v="Espresso"/>
    <s v="Ohio"/>
    <s v="Decaf"/>
    <n v="50"/>
    <n v="70"/>
    <n v="30"/>
    <n v="120"/>
    <n v="45"/>
    <n v="409"/>
    <n v="57"/>
    <n v="17"/>
    <n v="6"/>
    <n v="102"/>
    <n v="0.85"/>
    <n v="0.2"/>
    <n v="0.9"/>
  </r>
  <r>
    <n v="614"/>
    <x v="8"/>
    <s v="Central"/>
    <s v="Major Market"/>
    <s v="Amaretto"/>
    <s v="Coffee"/>
    <s v="Ohio"/>
    <s v="Regular"/>
    <n v="50"/>
    <n v="80"/>
    <n v="50"/>
    <n v="130"/>
    <n v="53"/>
    <n v="410"/>
    <n v="72"/>
    <n v="17"/>
    <n v="28"/>
    <n v="125"/>
    <n v="0.96153846153846156"/>
    <n v="0.56000000000000005"/>
    <n v="1.06"/>
  </r>
  <r>
    <n v="419"/>
    <x v="8"/>
    <s v="Central"/>
    <s v="Major Market"/>
    <s v="Columbian"/>
    <s v="Coffee"/>
    <s v="Ohio"/>
    <s v="Regular"/>
    <n v="40"/>
    <n v="70"/>
    <n v="40"/>
    <n v="110"/>
    <n v="43"/>
    <n v="424"/>
    <n v="64"/>
    <n v="13"/>
    <n v="29"/>
    <n v="107"/>
    <n v="0.97272727272727277"/>
    <n v="0.72499999999999998"/>
    <n v="1.075"/>
  </r>
  <r>
    <n v="234"/>
    <x v="8"/>
    <s v="Central"/>
    <s v="Major Market"/>
    <s v="Decaf Irish Cream"/>
    <s v="Coffee"/>
    <s v="Ohio"/>
    <s v="Decaf"/>
    <n v="50"/>
    <n v="80"/>
    <n v="20"/>
    <n v="130"/>
    <n v="52"/>
    <n v="509"/>
    <n v="74"/>
    <n v="47"/>
    <n v="-3"/>
    <n v="126"/>
    <n v="0.96923076923076923"/>
    <n v="-0.15"/>
    <n v="1.04"/>
  </r>
  <r>
    <n v="920"/>
    <x v="8"/>
    <s v="Central"/>
    <s v="Small Market"/>
    <s v="Chamomile"/>
    <s v="Herbal Tea"/>
    <s v="Wisconsin"/>
    <s v="Decaf"/>
    <n v="40"/>
    <n v="90"/>
    <n v="70"/>
    <n v="130"/>
    <n v="57"/>
    <n v="349"/>
    <n v="94"/>
    <n v="17"/>
    <n v="53"/>
    <n v="151"/>
    <n v="1.1615384615384616"/>
    <n v="0.75714285714285712"/>
    <n v="1.425"/>
  </r>
  <r>
    <n v="608"/>
    <x v="8"/>
    <s v="Central"/>
    <s v="Small Market"/>
    <s v="Lemon"/>
    <s v="Herbal Tea"/>
    <s v="Wisconsin"/>
    <s v="Decaf"/>
    <n v="40"/>
    <n v="70"/>
    <n v="60"/>
    <n v="110"/>
    <n v="51"/>
    <n v="857"/>
    <n v="75"/>
    <n v="14"/>
    <n v="50"/>
    <n v="126"/>
    <n v="1.1454545454545455"/>
    <n v="0.83333333333333337"/>
    <n v="1.2749999999999999"/>
  </r>
  <r>
    <n v="920"/>
    <x v="8"/>
    <s v="Central"/>
    <s v="Small Market"/>
    <s v="Darjeeling"/>
    <s v="Tea"/>
    <s v="Wisconsin"/>
    <s v="Regular"/>
    <n v="30"/>
    <n v="60"/>
    <n v="30"/>
    <n v="90"/>
    <n v="46"/>
    <n v="454"/>
    <n v="67"/>
    <n v="14"/>
    <n v="31"/>
    <n v="113"/>
    <n v="1.2555555555555555"/>
    <n v="1.0333333333333334"/>
    <n v="1.5333333333333334"/>
  </r>
  <r>
    <n v="715"/>
    <x v="8"/>
    <s v="Central"/>
    <s v="Small Market"/>
    <s v="Earl Grey"/>
    <s v="Tea"/>
    <s v="Wisconsin"/>
    <s v="Regular"/>
    <n v="50"/>
    <n v="80"/>
    <n v="10"/>
    <n v="130"/>
    <n v="62"/>
    <n v="612"/>
    <n v="87"/>
    <n v="56"/>
    <n v="2"/>
    <n v="149"/>
    <n v="1.1461538461538461"/>
    <n v="0.2"/>
    <n v="1.24"/>
  </r>
  <r>
    <n v="414"/>
    <x v="8"/>
    <s v="Central"/>
    <s v="Small Market"/>
    <s v="Caffe Mocha"/>
    <s v="Espresso"/>
    <s v="Wisconsin"/>
    <s v="Regular"/>
    <n v="90"/>
    <n v="120"/>
    <n v="80"/>
    <n v="210"/>
    <n v="83"/>
    <n v="1063"/>
    <n v="99"/>
    <n v="25"/>
    <n v="53"/>
    <n v="182"/>
    <n v="0.8666666666666667"/>
    <n v="0.66249999999999998"/>
    <n v="0.92222222222222228"/>
  </r>
  <r>
    <n v="608"/>
    <x v="8"/>
    <s v="Central"/>
    <s v="Small Market"/>
    <s v="Decaf Espresso"/>
    <s v="Espresso"/>
    <s v="Wisconsin"/>
    <s v="Decaf"/>
    <n v="30"/>
    <n v="50"/>
    <n v="30"/>
    <n v="80"/>
    <n v="33"/>
    <n v="577"/>
    <n v="43"/>
    <n v="10"/>
    <n v="21"/>
    <n v="76"/>
    <n v="0.95"/>
    <n v="0.7"/>
    <n v="1.1000000000000001"/>
  </r>
  <r>
    <n v="414"/>
    <x v="8"/>
    <s v="Central"/>
    <s v="Small Market"/>
    <s v="Amaretto"/>
    <s v="Coffee"/>
    <s v="Wisconsin"/>
    <s v="Regular"/>
    <n v="70"/>
    <n v="80"/>
    <n v="30"/>
    <n v="150"/>
    <n v="67"/>
    <n v="391"/>
    <n v="82"/>
    <n v="25"/>
    <n v="23"/>
    <n v="149"/>
    <n v="0.99333333333333329"/>
    <n v="0.76666666666666672"/>
    <n v="0.95714285714285718"/>
  </r>
  <r>
    <n v="414"/>
    <x v="8"/>
    <s v="Central"/>
    <s v="Small Market"/>
    <s v="Columbian"/>
    <s v="Coffee"/>
    <s v="Wisconsin"/>
    <s v="Regular"/>
    <n v="90"/>
    <n v="140"/>
    <n v="40"/>
    <n v="230"/>
    <n v="93"/>
    <n v="692"/>
    <n v="130"/>
    <n v="84"/>
    <n v="16"/>
    <n v="223"/>
    <n v="0.9695652173913043"/>
    <n v="0.4"/>
    <n v="1.0333333333333334"/>
  </r>
  <r>
    <n v="262"/>
    <x v="8"/>
    <s v="Central"/>
    <s v="Small Market"/>
    <s v="Decaf Irish Cream"/>
    <s v="Coffee"/>
    <s v="Wisconsin"/>
    <s v="Decaf"/>
    <n v="90"/>
    <n v="110"/>
    <n v="70"/>
    <n v="200"/>
    <n v="85"/>
    <n v="555"/>
    <n v="114"/>
    <n v="28"/>
    <n v="58"/>
    <n v="199"/>
    <n v="0.995"/>
    <n v="0.82857142857142863"/>
    <n v="0.94444444444444442"/>
  </r>
  <r>
    <n v="203"/>
    <x v="8"/>
    <s v="East"/>
    <s v="Small Market"/>
    <s v="Darjeeling"/>
    <s v="Tea"/>
    <s v="Connecticut"/>
    <s v="Regular"/>
    <n v="40"/>
    <n v="70"/>
    <n v="50"/>
    <n v="110"/>
    <n v="44"/>
    <n v="886"/>
    <n v="64"/>
    <n v="12"/>
    <n v="41"/>
    <n v="108"/>
    <n v="0.98181818181818181"/>
    <n v="0.82"/>
    <n v="1.1000000000000001"/>
  </r>
  <r>
    <n v="860"/>
    <x v="8"/>
    <s v="East"/>
    <s v="Small Market"/>
    <s v="Green Tea"/>
    <s v="Tea"/>
    <s v="Connecticut"/>
    <s v="Regular"/>
    <n v="20"/>
    <n v="40"/>
    <n v="30"/>
    <n v="60"/>
    <n v="23"/>
    <n v="809"/>
    <n v="34"/>
    <n v="6"/>
    <n v="17"/>
    <n v="57"/>
    <n v="0.95"/>
    <n v="0.56666666666666665"/>
    <n v="1.1499999999999999"/>
  </r>
  <r>
    <n v="959"/>
    <x v="8"/>
    <s v="East"/>
    <s v="Small Market"/>
    <s v="Lemon"/>
    <s v="Herbal Tea"/>
    <s v="Connecticut"/>
    <s v="Decaf"/>
    <n v="50"/>
    <n v="60"/>
    <n v="20"/>
    <n v="110"/>
    <n v="67"/>
    <n v="599"/>
    <n v="83"/>
    <n v="25"/>
    <n v="24"/>
    <n v="150"/>
    <n v="1.3636363636363635"/>
    <n v="1.2"/>
    <n v="1.34"/>
  </r>
  <r>
    <n v="475"/>
    <x v="8"/>
    <s v="East"/>
    <s v="Small Market"/>
    <s v="Mint"/>
    <s v="Herbal Tea"/>
    <s v="Connecticut"/>
    <s v="Decaf"/>
    <n v="40"/>
    <n v="60"/>
    <n v="40"/>
    <n v="100"/>
    <n v="62"/>
    <n v="1059"/>
    <n v="74"/>
    <n v="19"/>
    <n v="33"/>
    <n v="136"/>
    <n v="1.36"/>
    <n v="0.82499999999999996"/>
    <n v="1.55"/>
  </r>
  <r>
    <n v="959"/>
    <x v="8"/>
    <s v="East"/>
    <s v="Small Market"/>
    <s v="Caffe Mocha"/>
    <s v="Espresso"/>
    <s v="Connecticut"/>
    <s v="Regular"/>
    <n v="50"/>
    <n v="90"/>
    <n v="20"/>
    <n v="140"/>
    <n v="62"/>
    <n v="612"/>
    <n v="87"/>
    <n v="56"/>
    <n v="2"/>
    <n v="149"/>
    <n v="1.0642857142857143"/>
    <n v="0.1"/>
    <n v="1.24"/>
  </r>
  <r>
    <n v="860"/>
    <x v="8"/>
    <s v="East"/>
    <s v="Small Market"/>
    <s v="Decaf Espresso"/>
    <s v="Espresso"/>
    <s v="Connecticut"/>
    <s v="Decaf"/>
    <n v="40"/>
    <n v="70"/>
    <n v="40"/>
    <n v="110"/>
    <n v="48"/>
    <n v="380"/>
    <n v="65"/>
    <n v="15"/>
    <n v="23"/>
    <n v="113"/>
    <n v="1.0272727272727273"/>
    <n v="0.57499999999999996"/>
    <n v="1.2"/>
  </r>
  <r>
    <n v="860"/>
    <x v="8"/>
    <s v="East"/>
    <s v="Small Market"/>
    <s v="Columbian"/>
    <s v="Coffee"/>
    <s v="Connecticut"/>
    <s v="Regular"/>
    <n v="90"/>
    <n v="150"/>
    <n v="110"/>
    <n v="240"/>
    <n v="103"/>
    <n v="1130"/>
    <n v="155"/>
    <n v="33"/>
    <n v="91"/>
    <n v="258"/>
    <n v="1.075"/>
    <n v="0.82727272727272727"/>
    <n v="1.1444444444444444"/>
  </r>
  <r>
    <n v="754"/>
    <x v="8"/>
    <s v="East"/>
    <s v="Major Market"/>
    <s v="Darjeeling"/>
    <s v="Tea"/>
    <s v="Florida"/>
    <s v="Regular"/>
    <n v="30"/>
    <n v="60"/>
    <n v="50"/>
    <n v="90"/>
    <n v="35"/>
    <n v="875"/>
    <n v="52"/>
    <n v="9"/>
    <n v="32"/>
    <n v="87"/>
    <n v="0.96666666666666667"/>
    <n v="0.64"/>
    <n v="1.1666666666666667"/>
  </r>
  <r>
    <n v="904"/>
    <x v="8"/>
    <s v="East"/>
    <s v="Major Market"/>
    <s v="Green Tea"/>
    <s v="Tea"/>
    <s v="Florida"/>
    <s v="Regular"/>
    <n v="50"/>
    <n v="80"/>
    <n v="60"/>
    <n v="130"/>
    <n v="51"/>
    <n v="857"/>
    <n v="75"/>
    <n v="14"/>
    <n v="49"/>
    <n v="126"/>
    <n v="0.96923076923076923"/>
    <n v="0.81666666666666665"/>
    <n v="1.02"/>
  </r>
  <r>
    <n v="561"/>
    <x v="8"/>
    <s v="East"/>
    <s v="Major Market"/>
    <s v="Chamomile"/>
    <s v="Herbal Tea"/>
    <s v="Florida"/>
    <s v="Decaf"/>
    <n v="20"/>
    <n v="30"/>
    <n v="20"/>
    <n v="50"/>
    <n v="33"/>
    <n v="577"/>
    <n v="43"/>
    <n v="10"/>
    <n v="21"/>
    <n v="76"/>
    <n v="1.52"/>
    <n v="1.05"/>
    <n v="1.65"/>
  </r>
  <r>
    <n v="305"/>
    <x v="8"/>
    <s v="East"/>
    <s v="Major Market"/>
    <s v="Lemon"/>
    <s v="Herbal Tea"/>
    <s v="Florida"/>
    <s v="Decaf"/>
    <n v="50"/>
    <n v="60"/>
    <n v="20"/>
    <n v="110"/>
    <n v="67"/>
    <n v="391"/>
    <n v="82"/>
    <n v="25"/>
    <n v="24"/>
    <n v="149"/>
    <n v="1.3545454545454545"/>
    <n v="1.2"/>
    <n v="1.34"/>
  </r>
  <r>
    <n v="407"/>
    <x v="8"/>
    <s v="East"/>
    <s v="Major Market"/>
    <s v="Mint"/>
    <s v="Herbal Tea"/>
    <s v="Florida"/>
    <s v="Decaf"/>
    <n v="60"/>
    <n v="80"/>
    <n v="50"/>
    <n v="140"/>
    <n v="83"/>
    <n v="1063"/>
    <n v="99"/>
    <n v="25"/>
    <n v="53"/>
    <n v="182"/>
    <n v="1.3"/>
    <n v="1.06"/>
    <n v="1.3833333333333333"/>
  </r>
  <r>
    <n v="863"/>
    <x v="8"/>
    <s v="East"/>
    <s v="Major Market"/>
    <s v="Decaf Espresso"/>
    <s v="Espresso"/>
    <s v="Florida"/>
    <s v="Decaf"/>
    <n v="80"/>
    <n v="110"/>
    <n v="70"/>
    <n v="190"/>
    <n v="85"/>
    <n v="555"/>
    <n v="114"/>
    <n v="28"/>
    <n v="58"/>
    <n v="199"/>
    <n v="1.0473684210526315"/>
    <n v="0.82857142857142863"/>
    <n v="1.0625"/>
  </r>
  <r>
    <n v="863"/>
    <x v="8"/>
    <s v="East"/>
    <s v="Major Market"/>
    <s v="Caffe Mocha"/>
    <s v="Espresso"/>
    <s v="Florida"/>
    <s v="Regular"/>
    <n v="80"/>
    <n v="130"/>
    <n v="40"/>
    <n v="210"/>
    <n v="93"/>
    <n v="692"/>
    <n v="130"/>
    <n v="84"/>
    <n v="17"/>
    <n v="223"/>
    <n v="1.0619047619047619"/>
    <n v="0.42499999999999999"/>
    <n v="1.1625000000000001"/>
  </r>
  <r>
    <n v="386"/>
    <x v="8"/>
    <s v="East"/>
    <s v="Major Market"/>
    <s v="Columbian"/>
    <s v="Coffee"/>
    <s v="Florida"/>
    <s v="Regular"/>
    <n v="90"/>
    <n v="140"/>
    <n v="100"/>
    <n v="230"/>
    <n v="99"/>
    <n v="798"/>
    <n v="150"/>
    <n v="32"/>
    <n v="86"/>
    <n v="249"/>
    <n v="1.0826086956521739"/>
    <n v="0.86"/>
    <n v="1.1000000000000001"/>
  </r>
  <r>
    <n v="954"/>
    <x v="8"/>
    <s v="East"/>
    <s v="Major Market"/>
    <s v="Decaf Irish Cream"/>
    <s v="Coffee"/>
    <s v="Florida"/>
    <s v="Decaf"/>
    <n v="90"/>
    <n v="120"/>
    <n v="80"/>
    <n v="210"/>
    <n v="96"/>
    <n v="666"/>
    <n v="134"/>
    <n v="29"/>
    <n v="81"/>
    <n v="230"/>
    <n v="1.0952380952380953"/>
    <n v="1.0125"/>
    <n v="1.0666666666666667"/>
  </r>
  <r>
    <n v="339"/>
    <x v="8"/>
    <s v="East"/>
    <s v="Major Market"/>
    <s v="Darjeeling"/>
    <s v="Tea"/>
    <s v="Massachusetts"/>
    <s v="Regular"/>
    <n v="30"/>
    <n v="40"/>
    <n v="30"/>
    <n v="70"/>
    <n v="29"/>
    <n v="862"/>
    <n v="43"/>
    <n v="8"/>
    <n v="23"/>
    <n v="72"/>
    <n v="1.0285714285714285"/>
    <n v="0.76666666666666672"/>
    <n v="0.96666666666666667"/>
  </r>
  <r>
    <n v="617"/>
    <x v="8"/>
    <s v="East"/>
    <s v="Major Market"/>
    <s v="Green Tea"/>
    <s v="Tea"/>
    <s v="Massachusetts"/>
    <s v="Regular"/>
    <n v="20"/>
    <n v="30"/>
    <n v="20"/>
    <n v="50"/>
    <n v="20"/>
    <n v="482"/>
    <n v="30"/>
    <n v="5"/>
    <n v="13"/>
    <n v="50"/>
    <n v="1"/>
    <n v="0.65"/>
    <n v="1"/>
  </r>
  <r>
    <n v="857"/>
    <x v="8"/>
    <s v="East"/>
    <s v="Major Market"/>
    <s v="Lemon"/>
    <s v="Herbal Tea"/>
    <s v="Massachusetts"/>
    <s v="Decaf"/>
    <n v="30"/>
    <n v="40"/>
    <n v="10"/>
    <n v="70"/>
    <n v="45"/>
    <n v="409"/>
    <n v="57"/>
    <n v="17"/>
    <n v="6"/>
    <n v="102"/>
    <n v="1.4571428571428571"/>
    <n v="0.6"/>
    <n v="1.5"/>
  </r>
  <r>
    <n v="781"/>
    <x v="8"/>
    <s v="East"/>
    <s v="Major Market"/>
    <s v="Regular Espresso"/>
    <s v="Espresso"/>
    <s v="Massachusetts"/>
    <s v="Regular"/>
    <n v="140"/>
    <n v="160"/>
    <n v="100"/>
    <n v="300"/>
    <n v="155"/>
    <n v="1280"/>
    <n v="155"/>
    <n v="43"/>
    <n v="87"/>
    <n v="310"/>
    <n v="1.0333333333333334"/>
    <n v="0.87"/>
    <n v="1.1071428571428572"/>
  </r>
  <r>
    <n v="508"/>
    <x v="8"/>
    <s v="East"/>
    <s v="Major Market"/>
    <s v="Caffe Mocha"/>
    <s v="Espresso"/>
    <s v="Massachusetts"/>
    <s v="Regular"/>
    <n v="40"/>
    <n v="50"/>
    <n v="-10"/>
    <n v="90"/>
    <n v="52"/>
    <n v="520"/>
    <n v="46"/>
    <n v="47"/>
    <n v="-31"/>
    <n v="98"/>
    <n v="1.0888888888888888"/>
    <n v="3.1"/>
    <n v="1.3"/>
  </r>
  <r>
    <n v="413"/>
    <x v="8"/>
    <s v="East"/>
    <s v="Major Market"/>
    <s v="Columbian"/>
    <s v="Coffee"/>
    <s v="Massachusetts"/>
    <s v="Regular"/>
    <n v="50"/>
    <n v="490"/>
    <n v="460"/>
    <n v="540"/>
    <n v="60"/>
    <n v="-2572"/>
    <n v="516"/>
    <n v="19"/>
    <n v="465"/>
    <n v="576"/>
    <n v="1.0666666666666667"/>
    <n v="1.0108695652173914"/>
    <n v="1.2"/>
  </r>
  <r>
    <n v="603"/>
    <x v="8"/>
    <s v="East"/>
    <s v="Small Market"/>
    <s v="Darjeeling"/>
    <s v="Tea"/>
    <s v="New Hampshire"/>
    <s v="Regular"/>
    <n v="20"/>
    <n v="30"/>
    <n v="20"/>
    <n v="50"/>
    <n v="19"/>
    <n v="848"/>
    <n v="29"/>
    <n v="5"/>
    <n v="12"/>
    <n v="48"/>
    <n v="0.96"/>
    <n v="0.6"/>
    <n v="0.95"/>
  </r>
  <r>
    <n v="603"/>
    <x v="8"/>
    <s v="East"/>
    <s v="Small Market"/>
    <s v="Green Tea"/>
    <s v="Tea"/>
    <s v="New Hampshire"/>
    <s v="Regular"/>
    <n v="0"/>
    <n v="40"/>
    <n v="30"/>
    <n v="40"/>
    <n v="0"/>
    <n v="473"/>
    <n v="43"/>
    <n v="0"/>
    <n v="31"/>
    <n v="43"/>
    <n v="1.075"/>
    <n v="1.0333333333333334"/>
    <m/>
  </r>
  <r>
    <n v="603"/>
    <x v="8"/>
    <s v="East"/>
    <s v="Small Market"/>
    <s v="Lemon"/>
    <s v="Herbal Tea"/>
    <s v="New Hampshire"/>
    <s v="Decaf"/>
    <n v="30"/>
    <n v="40"/>
    <n v="10"/>
    <n v="70"/>
    <n v="40"/>
    <n v="244"/>
    <n v="51"/>
    <n v="15"/>
    <n v="2"/>
    <n v="91"/>
    <n v="1.3"/>
    <n v="0.2"/>
    <n v="1.3333333333333333"/>
  </r>
  <r>
    <n v="603"/>
    <x v="8"/>
    <s v="East"/>
    <s v="Small Market"/>
    <s v="Regular Espresso"/>
    <s v="Espresso"/>
    <s v="New Hampshire"/>
    <s v="Regular"/>
    <n v="20"/>
    <n v="30"/>
    <n v="0"/>
    <n v="50"/>
    <n v="24"/>
    <n v="212"/>
    <n v="30"/>
    <n v="9"/>
    <n v="-12"/>
    <n v="54"/>
    <n v="1.08"/>
    <m/>
    <n v="1.2"/>
  </r>
  <r>
    <n v="603"/>
    <x v="8"/>
    <s v="East"/>
    <s v="Small Market"/>
    <s v="Caffe Mocha"/>
    <s v="Espresso"/>
    <s v="New Hampshire"/>
    <s v="Regular"/>
    <n v="40"/>
    <n v="60"/>
    <n v="10"/>
    <n v="100"/>
    <n v="44"/>
    <n v="325"/>
    <n v="62"/>
    <n v="40"/>
    <n v="-7"/>
    <n v="106"/>
    <n v="1.06"/>
    <n v="-0.7"/>
    <n v="1.1000000000000001"/>
  </r>
  <r>
    <n v="603"/>
    <x v="8"/>
    <s v="East"/>
    <s v="Small Market"/>
    <s v="Amaretto"/>
    <s v="Coffee"/>
    <s v="New Hampshire"/>
    <s v="Regular"/>
    <n v="40"/>
    <n v="70"/>
    <n v="50"/>
    <n v="110"/>
    <n v="49"/>
    <n v="315"/>
    <n v="71"/>
    <n v="15"/>
    <n v="33"/>
    <n v="120"/>
    <n v="1.0909090909090908"/>
    <n v="0.66"/>
    <n v="1.2250000000000001"/>
  </r>
  <r>
    <n v="603"/>
    <x v="8"/>
    <s v="East"/>
    <s v="Small Market"/>
    <s v="Columbian"/>
    <s v="Coffee"/>
    <s v="New Hampshire"/>
    <s v="Regular"/>
    <n v="50"/>
    <n v="80"/>
    <n v="50"/>
    <n v="130"/>
    <n v="55"/>
    <n v="453"/>
    <n v="84"/>
    <n v="18"/>
    <n v="34"/>
    <n v="139"/>
    <n v="1.0692307692307692"/>
    <n v="0.68"/>
    <n v="1.1000000000000001"/>
  </r>
  <r>
    <n v="347"/>
    <x v="8"/>
    <s v="East"/>
    <s v="Major Market"/>
    <s v="Darjeeling"/>
    <s v="Tea"/>
    <s v="New York"/>
    <s v="Regular"/>
    <n v="100"/>
    <n v="160"/>
    <n v="130"/>
    <n v="260"/>
    <n v="100"/>
    <n v="981"/>
    <n v="145"/>
    <n v="28"/>
    <n v="106"/>
    <n v="245"/>
    <n v="0.94230769230769229"/>
    <n v="0.81538461538461537"/>
    <n v="1"/>
  </r>
  <r>
    <n v="518"/>
    <x v="8"/>
    <s v="East"/>
    <s v="Major Market"/>
    <s v="Earl Grey"/>
    <s v="Tea"/>
    <s v="New York"/>
    <s v="Regular"/>
    <n v="130"/>
    <n v="190"/>
    <n v="150"/>
    <n v="320"/>
    <n v="123"/>
    <n v="928"/>
    <n v="179"/>
    <n v="34"/>
    <n v="133"/>
    <n v="302"/>
    <n v="0.94374999999999998"/>
    <n v="0.88666666666666671"/>
    <n v="0.94615384615384612"/>
  </r>
  <r>
    <n v="646"/>
    <x v="8"/>
    <s v="East"/>
    <s v="Major Market"/>
    <s v="Green Tea"/>
    <s v="Tea"/>
    <s v="New York"/>
    <s v="Regular"/>
    <n v="80"/>
    <n v="130"/>
    <n v="100"/>
    <n v="210"/>
    <n v="81"/>
    <n v="588"/>
    <n v="118"/>
    <n v="22"/>
    <n v="84"/>
    <n v="199"/>
    <n v="0.94761904761904758"/>
    <n v="0.84"/>
    <n v="1.0125"/>
  </r>
  <r>
    <n v="917"/>
    <x v="8"/>
    <s v="East"/>
    <s v="Major Market"/>
    <s v="Lemon"/>
    <s v="Herbal Tea"/>
    <s v="New York"/>
    <s v="Decaf"/>
    <n v="220"/>
    <n v="200"/>
    <n v="90"/>
    <n v="420"/>
    <n v="302"/>
    <n v="1518"/>
    <n v="239"/>
    <n v="114"/>
    <n v="92"/>
    <n v="541"/>
    <n v="1.2880952380952382"/>
    <n v="1.0222222222222221"/>
    <n v="1.3727272727272728"/>
  </r>
  <r>
    <n v="212"/>
    <x v="8"/>
    <s v="East"/>
    <s v="Major Market"/>
    <s v="Mint"/>
    <s v="Herbal Tea"/>
    <s v="New York"/>
    <s v="Decaf"/>
    <n v="190"/>
    <n v="-110"/>
    <n v="-180"/>
    <n v="80"/>
    <n v="251"/>
    <n v="3948"/>
    <n v="-139"/>
    <n v="77"/>
    <n v="-238"/>
    <n v="112"/>
    <n v="1.4"/>
    <n v="1.3222222222222222"/>
    <n v="1.3210526315789475"/>
  </r>
  <r>
    <n v="716"/>
    <x v="8"/>
    <s v="East"/>
    <s v="Major Market"/>
    <s v="Regular Espresso"/>
    <s v="Espresso"/>
    <s v="New York"/>
    <s v="Regular"/>
    <n v="230"/>
    <n v="320"/>
    <n v="240"/>
    <n v="550"/>
    <n v="249"/>
    <n v="1286"/>
    <n v="318"/>
    <n v="69"/>
    <n v="224"/>
    <n v="567"/>
    <n v="1.030909090909091"/>
    <n v="0.93333333333333335"/>
    <n v="1.0826086956521739"/>
  </r>
  <r>
    <n v="585"/>
    <x v="8"/>
    <s v="East"/>
    <s v="Major Market"/>
    <s v="Caffe Mocha"/>
    <s v="Espresso"/>
    <s v="New York"/>
    <s v="Regular"/>
    <n v="110"/>
    <n v="-50"/>
    <n v="-180"/>
    <n v="60"/>
    <n v="121"/>
    <n v="2932"/>
    <n v="-53"/>
    <n v="110"/>
    <n v="-197"/>
    <n v="68"/>
    <n v="1.1333333333333333"/>
    <n v="1.0944444444444446"/>
    <n v="1.1000000000000001"/>
  </r>
  <r>
    <n v="917"/>
    <x v="8"/>
    <s v="East"/>
    <s v="Major Market"/>
    <s v="Columbian"/>
    <s v="Coffee"/>
    <s v="New York"/>
    <s v="Regular"/>
    <n v="300"/>
    <n v="450"/>
    <n v="320"/>
    <n v="750"/>
    <n v="316"/>
    <n v="2580"/>
    <n v="474"/>
    <n v="110"/>
    <n v="312"/>
    <n v="790"/>
    <n v="1.0533333333333332"/>
    <n v="0.97499999999999998"/>
    <n v="1.0533333333333332"/>
  </r>
  <r>
    <n v="504"/>
    <x v="8"/>
    <s v="South"/>
    <s v="Small Market"/>
    <s v="Decaf Irish Cream"/>
    <s v="Coffee"/>
    <s v="Louisiana"/>
    <s v="Decaf"/>
    <n v="60"/>
    <n v="90"/>
    <n v="70"/>
    <n v="150"/>
    <n v="51"/>
    <n v="857"/>
    <n v="75"/>
    <n v="14"/>
    <n v="50"/>
    <n v="126"/>
    <n v="0.84"/>
    <n v="0.7142857142857143"/>
    <n v="0.85"/>
  </r>
  <r>
    <n v="318"/>
    <x v="8"/>
    <s v="South"/>
    <s v="Small Market"/>
    <s v="Columbian"/>
    <s v="Coffee"/>
    <s v="Louisiana"/>
    <s v="Regular"/>
    <n v="60"/>
    <n v="80"/>
    <n v="60"/>
    <n v="140"/>
    <n v="48"/>
    <n v="834"/>
    <n v="71"/>
    <n v="13"/>
    <n v="46"/>
    <n v="119"/>
    <n v="0.85"/>
    <n v="0.76666666666666672"/>
    <n v="0.8"/>
  </r>
  <r>
    <n v="318"/>
    <x v="8"/>
    <s v="South"/>
    <s v="Small Market"/>
    <s v="Chamomile"/>
    <s v="Herbal Tea"/>
    <s v="Louisiana"/>
    <s v="Decaf"/>
    <n v="60"/>
    <n v="90"/>
    <n v="60"/>
    <n v="150"/>
    <n v="69"/>
    <n v="572"/>
    <n v="90"/>
    <n v="22"/>
    <n v="55"/>
    <n v="159"/>
    <n v="1.06"/>
    <n v="0.91666666666666663"/>
    <n v="1.1499999999999999"/>
  </r>
  <r>
    <n v="225"/>
    <x v="8"/>
    <s v="South"/>
    <s v="Small Market"/>
    <s v="Lemon"/>
    <s v="Herbal Tea"/>
    <s v="Louisiana"/>
    <s v="Decaf"/>
    <n v="60"/>
    <n v="80"/>
    <n v="30"/>
    <n v="140"/>
    <n v="67"/>
    <n v="599"/>
    <n v="83"/>
    <n v="25"/>
    <n v="25"/>
    <n v="150"/>
    <n v="1.0714285714285714"/>
    <n v="0.83333333333333337"/>
    <n v="1.1166666666666667"/>
  </r>
  <r>
    <n v="318"/>
    <x v="8"/>
    <s v="South"/>
    <s v="Small Market"/>
    <s v="Caffe Latte"/>
    <s v="Espresso"/>
    <s v="Louisiana"/>
    <s v="Regular"/>
    <n v="50"/>
    <n v="70"/>
    <n v="0"/>
    <n v="120"/>
    <n v="62"/>
    <n v="-613"/>
    <n v="87"/>
    <n v="56"/>
    <n v="2"/>
    <n v="149"/>
    <n v="1.2416666666666667"/>
    <m/>
    <n v="1.24"/>
  </r>
  <r>
    <n v="985"/>
    <x v="8"/>
    <s v="South"/>
    <s v="Small Market"/>
    <s v="Caffe Mocha"/>
    <s v="Espresso"/>
    <s v="Louisiana"/>
    <s v="Regular"/>
    <n v="40"/>
    <n v="80"/>
    <n v="60"/>
    <n v="120"/>
    <n v="57"/>
    <n v="349"/>
    <n v="94"/>
    <n v="17"/>
    <n v="53"/>
    <n v="151"/>
    <n v="1.2583333333333333"/>
    <n v="0.8833333333333333"/>
    <n v="1.425"/>
  </r>
  <r>
    <n v="985"/>
    <x v="8"/>
    <s v="South"/>
    <s v="Small Market"/>
    <s v="Decaf Espresso"/>
    <s v="Espresso"/>
    <s v="Louisiana"/>
    <s v="Decaf"/>
    <n v="30"/>
    <n v="60"/>
    <n v="40"/>
    <n v="90"/>
    <n v="46"/>
    <n v="454"/>
    <n v="67"/>
    <n v="14"/>
    <n v="31"/>
    <n v="113"/>
    <n v="1.2555555555555555"/>
    <n v="0.77500000000000002"/>
    <n v="1.5333333333333334"/>
  </r>
  <r>
    <n v="505"/>
    <x v="8"/>
    <s v="South"/>
    <s v="Small Market"/>
    <s v="Decaf Irish Cream"/>
    <s v="Coffee"/>
    <s v="New Mexico"/>
    <s v="Decaf"/>
    <n v="130"/>
    <n v="10"/>
    <n v="-40"/>
    <n v="140"/>
    <n v="104"/>
    <n v="1574"/>
    <n v="11"/>
    <n v="32"/>
    <n v="-44"/>
    <n v="115"/>
    <n v="0.8214285714285714"/>
    <n v="1.1000000000000001"/>
    <n v="0.8"/>
  </r>
  <r>
    <n v="505"/>
    <x v="8"/>
    <s v="South"/>
    <s v="Small Market"/>
    <s v="Columbian"/>
    <s v="Coffee"/>
    <s v="New Mexico"/>
    <s v="Regular"/>
    <n v="60"/>
    <n v="110"/>
    <n v="70"/>
    <n v="170"/>
    <n v="55"/>
    <n v="453"/>
    <n v="84"/>
    <n v="18"/>
    <n v="34"/>
    <n v="139"/>
    <n v="0.81764705882352939"/>
    <n v="0.48571428571428571"/>
    <n v="0.91666666666666663"/>
  </r>
  <r>
    <n v="505"/>
    <x v="8"/>
    <s v="South"/>
    <s v="Small Market"/>
    <s v="Chamomile"/>
    <s v="Herbal Tea"/>
    <s v="New Mexico"/>
    <s v="Decaf"/>
    <n v="10"/>
    <n v="30"/>
    <n v="20"/>
    <n v="40"/>
    <n v="19"/>
    <n v="848"/>
    <n v="29"/>
    <n v="5"/>
    <n v="13"/>
    <n v="48"/>
    <n v="1.2"/>
    <n v="0.65"/>
    <n v="1.9"/>
  </r>
  <r>
    <n v="505"/>
    <x v="8"/>
    <s v="South"/>
    <s v="Small Market"/>
    <s v="Lemon"/>
    <s v="Herbal Tea"/>
    <s v="New Mexico"/>
    <s v="Decaf"/>
    <n v="30"/>
    <n v="40"/>
    <n v="20"/>
    <n v="70"/>
    <n v="33"/>
    <n v="1003"/>
    <n v="39"/>
    <n v="10"/>
    <n v="8"/>
    <n v="72"/>
    <n v="1.0285714285714285"/>
    <n v="0.4"/>
    <n v="1.1000000000000001"/>
  </r>
  <r>
    <n v="505"/>
    <x v="8"/>
    <s v="South"/>
    <s v="Small Market"/>
    <s v="Caffe Latte"/>
    <s v="Espresso"/>
    <s v="New Mexico"/>
    <s v="Regular"/>
    <n v="20"/>
    <n v="20"/>
    <n v="0"/>
    <n v="40"/>
    <n v="24"/>
    <n v="-412"/>
    <n v="30"/>
    <n v="9"/>
    <n v="-12"/>
    <n v="54"/>
    <n v="1.35"/>
    <m/>
    <n v="1.2"/>
  </r>
  <r>
    <n v="505"/>
    <x v="8"/>
    <s v="South"/>
    <s v="Small Market"/>
    <s v="Caffe Mocha"/>
    <s v="Espresso"/>
    <s v="New Mexico"/>
    <s v="Regular"/>
    <n v="30"/>
    <n v="60"/>
    <n v="10"/>
    <n v="90"/>
    <n v="44"/>
    <n v="325"/>
    <n v="62"/>
    <n v="40"/>
    <n v="-8"/>
    <n v="106"/>
    <n v="1.1777777777777778"/>
    <n v="-0.8"/>
    <n v="1.4666666666666666"/>
  </r>
  <r>
    <n v="505"/>
    <x v="8"/>
    <s v="South"/>
    <s v="Small Market"/>
    <s v="Decaf Espresso"/>
    <s v="Espresso"/>
    <s v="New Mexico"/>
    <s v="Decaf"/>
    <n v="30"/>
    <n v="40"/>
    <n v="10"/>
    <n v="70"/>
    <n v="39"/>
    <n v="248"/>
    <n v="52"/>
    <n v="12"/>
    <n v="13"/>
    <n v="91"/>
    <n v="1.3"/>
    <n v="1.3"/>
    <n v="1.3"/>
  </r>
  <r>
    <n v="580"/>
    <x v="8"/>
    <s v="South"/>
    <s v="Small Market"/>
    <s v="Decaf Irish Cream"/>
    <s v="Coffee"/>
    <s v="Oklahoma"/>
    <s v="Decaf"/>
    <n v="30"/>
    <n v="60"/>
    <n v="50"/>
    <n v="90"/>
    <n v="29"/>
    <n v="862"/>
    <n v="43"/>
    <n v="8"/>
    <n v="23"/>
    <n v="72"/>
    <n v="0.8"/>
    <n v="0.46"/>
    <n v="0.96666666666666667"/>
  </r>
  <r>
    <n v="580"/>
    <x v="8"/>
    <s v="South"/>
    <s v="Small Market"/>
    <s v="Columbian"/>
    <s v="Coffee"/>
    <s v="Oklahoma"/>
    <s v="Regular"/>
    <n v="70"/>
    <n v="100"/>
    <n v="80"/>
    <n v="170"/>
    <n v="61"/>
    <n v="579"/>
    <n v="79"/>
    <n v="20"/>
    <n v="47"/>
    <n v="140"/>
    <n v="0.82352941176470584"/>
    <n v="0.58750000000000002"/>
    <n v="0.87142857142857144"/>
  </r>
  <r>
    <n v="580"/>
    <x v="8"/>
    <s v="South"/>
    <s v="Small Market"/>
    <s v="Chamomile"/>
    <s v="Herbal Tea"/>
    <s v="Oklahoma"/>
    <s v="Decaf"/>
    <n v="60"/>
    <n v="80"/>
    <n v="30"/>
    <n v="140"/>
    <n v="67"/>
    <n v="391"/>
    <n v="82"/>
    <n v="25"/>
    <n v="24"/>
    <n v="149"/>
    <n v="1.0642857142857143"/>
    <n v="0.8"/>
    <n v="1.1166666666666667"/>
  </r>
  <r>
    <n v="580"/>
    <x v="8"/>
    <s v="South"/>
    <s v="Small Market"/>
    <s v="Lemon"/>
    <s v="Herbal Tea"/>
    <s v="Oklahoma"/>
    <s v="Decaf"/>
    <n v="80"/>
    <n v="130"/>
    <n v="40"/>
    <n v="210"/>
    <n v="93"/>
    <n v="692"/>
    <n v="130"/>
    <n v="84"/>
    <n v="16"/>
    <n v="223"/>
    <n v="1.0619047619047619"/>
    <n v="0.4"/>
    <n v="1.1625000000000001"/>
  </r>
  <r>
    <n v="580"/>
    <x v="8"/>
    <s v="South"/>
    <s v="Small Market"/>
    <s v="Caffe Latte"/>
    <s v="Espresso"/>
    <s v="Oklahoma"/>
    <s v="Regular"/>
    <n v="80"/>
    <n v="110"/>
    <n v="80"/>
    <n v="190"/>
    <n v="96"/>
    <n v="-1555"/>
    <n v="134"/>
    <n v="29"/>
    <n v="82"/>
    <n v="230"/>
    <n v="1.2105263157894737"/>
    <n v="1.0249999999999999"/>
    <n v="1.2"/>
  </r>
  <r>
    <n v="580"/>
    <x v="8"/>
    <s v="South"/>
    <s v="Small Market"/>
    <s v="Caffe Mocha"/>
    <s v="Espresso"/>
    <s v="Oklahoma"/>
    <s v="Regular"/>
    <n v="10"/>
    <n v="30"/>
    <n v="30"/>
    <n v="40"/>
    <n v="20"/>
    <n v="482"/>
    <n v="30"/>
    <n v="5"/>
    <n v="13"/>
    <n v="50"/>
    <n v="1.25"/>
    <n v="0.43333333333333335"/>
    <n v="2"/>
  </r>
  <r>
    <n v="580"/>
    <x v="8"/>
    <s v="South"/>
    <s v="Small Market"/>
    <s v="Decaf Espresso"/>
    <s v="Espresso"/>
    <s v="Oklahoma"/>
    <s v="Decaf"/>
    <n v="80"/>
    <n v="130"/>
    <n v="80"/>
    <n v="210"/>
    <n v="99"/>
    <n v="798"/>
    <n v="150"/>
    <n v="32"/>
    <n v="87"/>
    <n v="249"/>
    <n v="1.1857142857142857"/>
    <n v="1.0874999999999999"/>
    <n v="1.2375"/>
  </r>
  <r>
    <n v="325"/>
    <x v="8"/>
    <s v="South"/>
    <s v="Major Market"/>
    <s v="Decaf Irish Cream"/>
    <s v="Coffee"/>
    <s v="Texas"/>
    <s v="Decaf"/>
    <n v="70"/>
    <n v="90"/>
    <n v="70"/>
    <n v="160"/>
    <n v="58"/>
    <n v="548"/>
    <n v="74"/>
    <n v="19"/>
    <n v="42"/>
    <n v="132"/>
    <n v="0.82499999999999996"/>
    <n v="0.6"/>
    <n v="0.82857142857142863"/>
  </r>
  <r>
    <n v="214"/>
    <x v="8"/>
    <s v="South"/>
    <s v="Major Market"/>
    <s v="Columbian"/>
    <s v="Coffee"/>
    <s v="Texas"/>
    <s v="Regular"/>
    <n v="310"/>
    <n v="370"/>
    <n v="280"/>
    <n v="680"/>
    <n v="251"/>
    <n v="1268"/>
    <n v="295"/>
    <n v="77"/>
    <n v="197"/>
    <n v="546"/>
    <n v="0.80294117647058827"/>
    <n v="0.70357142857142863"/>
    <n v="0.80967741935483872"/>
  </r>
  <r>
    <n v="830"/>
    <x v="8"/>
    <s v="South"/>
    <s v="Major Market"/>
    <s v="Chamomile"/>
    <s v="Herbal Tea"/>
    <s v="Texas"/>
    <s v="Decaf"/>
    <n v="50"/>
    <n v="70"/>
    <n v="40"/>
    <n v="120"/>
    <n v="53"/>
    <n v="410"/>
    <n v="72"/>
    <n v="17"/>
    <n v="27"/>
    <n v="125"/>
    <n v="1.0416666666666667"/>
    <n v="0.67500000000000004"/>
    <n v="1.06"/>
  </r>
  <r>
    <n v="830"/>
    <x v="8"/>
    <s v="South"/>
    <s v="Major Market"/>
    <s v="Lemon"/>
    <s v="Herbal Tea"/>
    <s v="Texas"/>
    <s v="Decaf"/>
    <n v="40"/>
    <n v="60"/>
    <n v="30"/>
    <n v="100"/>
    <n v="43"/>
    <n v="424"/>
    <n v="64"/>
    <n v="13"/>
    <n v="28"/>
    <n v="107"/>
    <n v="1.07"/>
    <n v="0.93333333333333335"/>
    <n v="1.075"/>
  </r>
  <r>
    <n v="830"/>
    <x v="8"/>
    <s v="South"/>
    <s v="Major Market"/>
    <s v="Caffe Latte"/>
    <s v="Espresso"/>
    <s v="Texas"/>
    <s v="Regular"/>
    <n v="50"/>
    <n v="70"/>
    <n v="40"/>
    <n v="120"/>
    <n v="60"/>
    <n v="-718"/>
    <n v="90"/>
    <n v="19"/>
    <n v="39"/>
    <n v="150"/>
    <n v="1.25"/>
    <n v="0.97499999999999998"/>
    <n v="1.2"/>
  </r>
  <r>
    <n v="713"/>
    <x v="8"/>
    <s v="South"/>
    <s v="Major Market"/>
    <s v="Caffe Mocha"/>
    <s v="Espresso"/>
    <s v="Texas"/>
    <s v="Regular"/>
    <n v="100"/>
    <n v="150"/>
    <n v="120"/>
    <n v="250"/>
    <n v="123"/>
    <n v="928"/>
    <n v="179"/>
    <n v="34"/>
    <n v="134"/>
    <n v="302"/>
    <n v="1.208"/>
    <n v="1.1166666666666667"/>
    <n v="1.23"/>
  </r>
  <r>
    <n v="979"/>
    <x v="8"/>
    <s v="South"/>
    <s v="Major Market"/>
    <s v="Decaf Espresso"/>
    <s v="Espresso"/>
    <s v="Texas"/>
    <s v="Decaf"/>
    <n v="60"/>
    <n v="110"/>
    <n v="90"/>
    <n v="170"/>
    <n v="81"/>
    <n v="588"/>
    <n v="118"/>
    <n v="22"/>
    <n v="85"/>
    <n v="199"/>
    <n v="1.1705882352941177"/>
    <n v="0.94444444444444442"/>
    <n v="1.35"/>
  </r>
  <r>
    <n v="801"/>
    <x v="8"/>
    <s v="West"/>
    <s v="Small Market"/>
    <s v="Amaretto"/>
    <s v="Coffee"/>
    <s v="Utah"/>
    <s v="Regular"/>
    <n v="70"/>
    <n v="100"/>
    <n v="70"/>
    <n v="170"/>
    <n v="62"/>
    <n v="1059"/>
    <n v="74"/>
    <n v="19"/>
    <n v="33"/>
    <n v="136"/>
    <n v="0.8"/>
    <n v="0.47142857142857142"/>
    <n v="0.88571428571428568"/>
  </r>
  <r>
    <n v="435"/>
    <x v="8"/>
    <s v="West"/>
    <s v="Small Market"/>
    <s v="Columbian"/>
    <s v="Coffee"/>
    <s v="Utah"/>
    <s v="Regular"/>
    <n v="60"/>
    <n v="80"/>
    <n v="50"/>
    <n v="140"/>
    <n v="48"/>
    <n v="380"/>
    <n v="65"/>
    <n v="15"/>
    <n v="22"/>
    <n v="113"/>
    <n v="0.80714285714285716"/>
    <n v="0.44"/>
    <n v="0.8"/>
  </r>
  <r>
    <n v="435"/>
    <x v="8"/>
    <s v="West"/>
    <s v="Small Market"/>
    <s v="Chamomile"/>
    <s v="Herbal Tea"/>
    <s v="Utah"/>
    <s v="Decaf"/>
    <n v="40"/>
    <n v="60"/>
    <n v="40"/>
    <n v="100"/>
    <n v="49"/>
    <n v="315"/>
    <n v="71"/>
    <n v="15"/>
    <n v="34"/>
    <n v="120"/>
    <n v="1.2"/>
    <n v="0.85"/>
    <n v="1.2250000000000001"/>
  </r>
  <r>
    <n v="435"/>
    <x v="8"/>
    <s v="West"/>
    <s v="Small Market"/>
    <s v="Lemon"/>
    <s v="Herbal Tea"/>
    <s v="Utah"/>
    <s v="Decaf"/>
    <n v="40"/>
    <n v="80"/>
    <n v="50"/>
    <n v="120"/>
    <n v="55"/>
    <n v="453"/>
    <n v="84"/>
    <n v="18"/>
    <n v="34"/>
    <n v="139"/>
    <n v="1.1583333333333334"/>
    <n v="0.68"/>
    <n v="1.375"/>
  </r>
  <r>
    <n v="801"/>
    <x v="8"/>
    <s v="West"/>
    <s v="Small Market"/>
    <s v="Mint"/>
    <s v="Herbal Tea"/>
    <s v="Utah"/>
    <s v="Decaf"/>
    <n v="80"/>
    <n v="20"/>
    <n v="-20"/>
    <n v="100"/>
    <n v="104"/>
    <n v="1574"/>
    <n v="11"/>
    <n v="32"/>
    <n v="-45"/>
    <n v="115"/>
    <n v="1.1499999999999999"/>
    <n v="2.25"/>
    <n v="1.3"/>
  </r>
  <r>
    <n v="435"/>
    <x v="8"/>
    <s v="West"/>
    <s v="Small Market"/>
    <s v="Darjeeling"/>
    <s v="Tea"/>
    <s v="Utah"/>
    <s v="Regular"/>
    <n v="20"/>
    <n v="50"/>
    <n v="10"/>
    <n v="70"/>
    <n v="44"/>
    <n v="325"/>
    <n v="62"/>
    <n v="40"/>
    <n v="-7"/>
    <n v="106"/>
    <n v="1.5142857142857142"/>
    <n v="-0.7"/>
    <n v="2.2000000000000002"/>
  </r>
  <r>
    <n v="801"/>
    <x v="8"/>
    <s v="West"/>
    <s v="Small Market"/>
    <s v="Earl Grey"/>
    <s v="Tea"/>
    <s v="Utah"/>
    <s v="Regular"/>
    <n v="20"/>
    <n v="40"/>
    <n v="20"/>
    <n v="60"/>
    <n v="39"/>
    <n v="248"/>
    <n v="52"/>
    <n v="12"/>
    <n v="12"/>
    <n v="91"/>
    <n v="1.5166666666666666"/>
    <n v="0.6"/>
    <n v="1.95"/>
  </r>
  <r>
    <n v="435"/>
    <x v="8"/>
    <s v="West"/>
    <s v="Small Market"/>
    <s v="Green Tea"/>
    <s v="Tea"/>
    <s v="Utah"/>
    <s v="Regular"/>
    <n v="10"/>
    <n v="20"/>
    <n v="0"/>
    <n v="30"/>
    <n v="24"/>
    <n v="212"/>
    <n v="30"/>
    <n v="9"/>
    <n v="-13"/>
    <n v="54"/>
    <n v="1.8"/>
    <m/>
    <n v="2.4"/>
  </r>
  <r>
    <n v="801"/>
    <x v="8"/>
    <s v="West"/>
    <s v="Small Market"/>
    <s v="Decaf Irish Cream"/>
    <s v="Coffee"/>
    <s v="Utah"/>
    <s v="Decaf"/>
    <n v="80"/>
    <n v="100"/>
    <n v="50"/>
    <n v="180"/>
    <n v="67"/>
    <n v="599"/>
    <n v="83"/>
    <n v="25"/>
    <n v="24"/>
    <n v="150"/>
    <n v="0.83333333333333337"/>
    <n v="0.48"/>
    <n v="0.83750000000000002"/>
  </r>
  <r>
    <n v="435"/>
    <x v="8"/>
    <s v="West"/>
    <s v="Small Market"/>
    <s v="Caffe Latte"/>
    <s v="Espresso"/>
    <s v="Utah"/>
    <s v="Regular"/>
    <n v="30"/>
    <n v="40"/>
    <n v="30"/>
    <n v="70"/>
    <n v="32"/>
    <n v="837"/>
    <n v="47"/>
    <n v="8"/>
    <n v="27"/>
    <n v="79"/>
    <n v="1.1285714285714286"/>
    <n v="0.9"/>
    <n v="1.0666666666666667"/>
  </r>
  <r>
    <n v="435"/>
    <x v="8"/>
    <s v="West"/>
    <s v="Small Market"/>
    <s v="Caffe Mocha"/>
    <s v="Espresso"/>
    <s v="Utah"/>
    <s v="Regular"/>
    <n v="60"/>
    <n v="90"/>
    <n v="60"/>
    <n v="150"/>
    <n v="69"/>
    <n v="572"/>
    <n v="90"/>
    <n v="22"/>
    <n v="56"/>
    <n v="159"/>
    <n v="1.06"/>
    <n v="0.93333333333333335"/>
    <n v="1.1499999999999999"/>
  </r>
  <r>
    <n v="435"/>
    <x v="8"/>
    <s v="West"/>
    <s v="Small Market"/>
    <s v="Decaf Espresso"/>
    <s v="Espresso"/>
    <s v="Utah"/>
    <s v="Decaf"/>
    <n v="40"/>
    <n v="60"/>
    <n v="40"/>
    <n v="100"/>
    <n v="44"/>
    <n v="886"/>
    <n v="64"/>
    <n v="12"/>
    <n v="40"/>
    <n v="108"/>
    <n v="1.08"/>
    <n v="1"/>
    <n v="1.1000000000000001"/>
  </r>
  <r>
    <n v="714"/>
    <x v="8"/>
    <s v="West"/>
    <s v="Major Market"/>
    <s v="Amaretto"/>
    <s v="Coffee"/>
    <s v="California"/>
    <s v="Regular"/>
    <n v="150"/>
    <n v="-20"/>
    <n v="-70"/>
    <n v="130"/>
    <n v="122"/>
    <n v="2378"/>
    <n v="-13"/>
    <n v="39"/>
    <n v="-74"/>
    <n v="109"/>
    <n v="0.83846153846153848"/>
    <n v="1.0571428571428572"/>
    <n v="0.81333333333333335"/>
  </r>
  <r>
    <n v="626"/>
    <x v="8"/>
    <s v="West"/>
    <s v="Major Market"/>
    <s v="Columbian"/>
    <s v="Coffee"/>
    <s v="California"/>
    <s v="Regular"/>
    <n v="390"/>
    <n v="590"/>
    <n v="450"/>
    <n v="980"/>
    <n v="316"/>
    <n v="2580"/>
    <n v="474"/>
    <n v="110"/>
    <n v="313"/>
    <n v="790"/>
    <n v="0.80612244897959184"/>
    <n v="0.69555555555555559"/>
    <n v="0.81025641025641026"/>
  </r>
  <r>
    <n v="626"/>
    <x v="8"/>
    <s v="West"/>
    <s v="Major Market"/>
    <s v="Chamomile"/>
    <s v="Herbal Tea"/>
    <s v="California"/>
    <s v="Decaf"/>
    <n v="80"/>
    <n v="130"/>
    <n v="110"/>
    <n v="210"/>
    <n v="100"/>
    <n v="981"/>
    <n v="145"/>
    <n v="28"/>
    <n v="105"/>
    <n v="245"/>
    <n v="1.1666666666666667"/>
    <n v="0.95454545454545459"/>
    <n v="1.25"/>
  </r>
  <r>
    <n v="209"/>
    <x v="8"/>
    <s v="West"/>
    <s v="Major Market"/>
    <s v="Lemon"/>
    <s v="Herbal Tea"/>
    <s v="California"/>
    <s v="Decaf"/>
    <n v="210"/>
    <n v="270"/>
    <n v="200"/>
    <n v="480"/>
    <n v="251"/>
    <n v="1268"/>
    <n v="295"/>
    <n v="77"/>
    <n v="196"/>
    <n v="546"/>
    <n v="1.1375"/>
    <n v="0.98"/>
    <n v="1.1952380952380952"/>
  </r>
  <r>
    <n v="951"/>
    <x v="8"/>
    <s v="West"/>
    <s v="Major Market"/>
    <s v="Mint"/>
    <s v="Herbal Tea"/>
    <s v="California"/>
    <s v="Decaf"/>
    <n v="40"/>
    <n v="70"/>
    <n v="50"/>
    <n v="110"/>
    <n v="58"/>
    <n v="548"/>
    <n v="74"/>
    <n v="19"/>
    <n v="43"/>
    <n v="132"/>
    <n v="1.2"/>
    <n v="0.86"/>
    <n v="1.45"/>
  </r>
  <r>
    <n v="310"/>
    <x v="8"/>
    <s v="West"/>
    <s v="Major Market"/>
    <s v="Darjeeling"/>
    <s v="Tea"/>
    <s v="California"/>
    <s v="Regular"/>
    <n v="80"/>
    <n v="120"/>
    <n v="100"/>
    <n v="200"/>
    <n v="123"/>
    <n v="928"/>
    <n v="179"/>
    <n v="34"/>
    <n v="134"/>
    <n v="302"/>
    <n v="1.51"/>
    <n v="1.34"/>
    <n v="1.5375000000000001"/>
  </r>
  <r>
    <n v="714"/>
    <x v="8"/>
    <s v="West"/>
    <s v="Major Market"/>
    <s v="Earl Grey"/>
    <s v="Tea"/>
    <s v="California"/>
    <s v="Regular"/>
    <n v="50"/>
    <n v="80"/>
    <n v="70"/>
    <n v="130"/>
    <n v="81"/>
    <n v="588"/>
    <n v="118"/>
    <n v="22"/>
    <n v="84"/>
    <n v="199"/>
    <n v="1.5307692307692307"/>
    <n v="1.2"/>
    <n v="1.62"/>
  </r>
  <r>
    <n v="760"/>
    <x v="8"/>
    <s v="West"/>
    <s v="Major Market"/>
    <s v="Green Tea"/>
    <s v="Tea"/>
    <s v="California"/>
    <s v="Regular"/>
    <n v="30"/>
    <n v="70"/>
    <n v="40"/>
    <n v="100"/>
    <n v="60"/>
    <n v="656"/>
    <n v="90"/>
    <n v="19"/>
    <n v="39"/>
    <n v="150"/>
    <n v="1.5"/>
    <n v="0.97499999999999998"/>
    <n v="2"/>
  </r>
  <r>
    <n v="909"/>
    <x v="8"/>
    <s v="West"/>
    <s v="Major Market"/>
    <s v="Decaf Irish Cream"/>
    <s v="Coffee"/>
    <s v="California"/>
    <s v="Decaf"/>
    <n v="200"/>
    <n v="-30"/>
    <n v="-120"/>
    <n v="170"/>
    <n v="162"/>
    <n v="3421"/>
    <n v="-24"/>
    <n v="53"/>
    <n v="-120"/>
    <n v="138"/>
    <n v="0.81176470588235294"/>
    <n v="1"/>
    <n v="0.81"/>
  </r>
  <r>
    <n v="949"/>
    <x v="8"/>
    <s v="West"/>
    <s v="Major Market"/>
    <s v="Caffe Latte"/>
    <s v="Espresso"/>
    <s v="California"/>
    <s v="Regular"/>
    <n v="230"/>
    <n v="240"/>
    <n v="160"/>
    <n v="470"/>
    <n v="249"/>
    <n v="1775"/>
    <n v="249"/>
    <n v="69"/>
    <n v="156"/>
    <n v="498"/>
    <n v="1.0595744680851065"/>
    <n v="0.97499999999999998"/>
    <n v="1.0826086956521739"/>
  </r>
  <r>
    <n v="951"/>
    <x v="8"/>
    <s v="West"/>
    <s v="Major Market"/>
    <s v="Caffe Mocha"/>
    <s v="Espresso"/>
    <s v="California"/>
    <s v="Regular"/>
    <n v="110"/>
    <n v="160"/>
    <n v="30"/>
    <n v="270"/>
    <n v="121"/>
    <n v="910"/>
    <n v="169"/>
    <n v="110"/>
    <n v="26"/>
    <n v="290"/>
    <n v="1.0740740740740742"/>
    <n v="0.8666666666666667"/>
    <n v="1.1000000000000001"/>
  </r>
  <r>
    <n v="213"/>
    <x v="8"/>
    <s v="West"/>
    <s v="Major Market"/>
    <s v="Decaf Espresso"/>
    <s v="Espresso"/>
    <s v="California"/>
    <s v="Decaf"/>
    <n v="240"/>
    <n v="320"/>
    <n v="220"/>
    <n v="560"/>
    <n v="253"/>
    <n v="1686"/>
    <n v="336"/>
    <n v="83"/>
    <n v="220"/>
    <n v="589"/>
    <n v="1.0517857142857143"/>
    <n v="1"/>
    <n v="1.0541666666666667"/>
  </r>
  <r>
    <n v="702"/>
    <x v="8"/>
    <s v="West"/>
    <s v="Small Market"/>
    <s v="Columbian"/>
    <s v="Coffee"/>
    <s v="Nevada"/>
    <s v="Regular"/>
    <n v="50"/>
    <n v="60"/>
    <n v="20"/>
    <n v="110"/>
    <n v="40"/>
    <n v="244"/>
    <n v="51"/>
    <n v="15"/>
    <n v="2"/>
    <n v="91"/>
    <n v="0.82727272727272727"/>
    <n v="0.1"/>
    <n v="0.8"/>
  </r>
  <r>
    <n v="702"/>
    <x v="8"/>
    <s v="West"/>
    <s v="Small Market"/>
    <s v="Chamomile"/>
    <s v="Herbal Tea"/>
    <s v="Nevada"/>
    <s v="Decaf"/>
    <n v="100"/>
    <n v="150"/>
    <n v="40"/>
    <n v="250"/>
    <n v="121"/>
    <n v="910"/>
    <n v="169"/>
    <n v="110"/>
    <n v="26"/>
    <n v="290"/>
    <n v="1.1599999999999999"/>
    <n v="0.65"/>
    <n v="1.21"/>
  </r>
  <r>
    <n v="702"/>
    <x v="8"/>
    <s v="West"/>
    <s v="Small Market"/>
    <s v="Lemon"/>
    <s v="Herbal Tea"/>
    <s v="Nevada"/>
    <s v="Decaf"/>
    <n v="130"/>
    <n v="210"/>
    <n v="140"/>
    <n v="340"/>
    <n v="162"/>
    <n v="1148"/>
    <n v="225"/>
    <n v="53"/>
    <n v="129"/>
    <n v="387"/>
    <n v="1.138235294117647"/>
    <n v="0.92142857142857137"/>
    <n v="1.2461538461538462"/>
  </r>
  <r>
    <n v="775"/>
    <x v="8"/>
    <s v="West"/>
    <s v="Small Market"/>
    <s v="Mint"/>
    <s v="Herbal Tea"/>
    <s v="Nevada"/>
    <s v="Decaf"/>
    <n v="100"/>
    <n v="160"/>
    <n v="120"/>
    <n v="260"/>
    <n v="122"/>
    <n v="801"/>
    <n v="176"/>
    <n v="39"/>
    <n v="115"/>
    <n v="298"/>
    <n v="1.1461538461538461"/>
    <n v="0.95833333333333337"/>
    <n v="1.22"/>
  </r>
  <r>
    <n v="702"/>
    <x v="8"/>
    <s v="West"/>
    <s v="Small Market"/>
    <s v="Darjeeling"/>
    <s v="Tea"/>
    <s v="Nevada"/>
    <s v="Regular"/>
    <n v="160"/>
    <n v="240"/>
    <n v="170"/>
    <n v="400"/>
    <n v="253"/>
    <n v="1686"/>
    <n v="336"/>
    <n v="83"/>
    <n v="221"/>
    <n v="589"/>
    <n v="1.4724999999999999"/>
    <n v="1.3"/>
    <n v="1.58125"/>
  </r>
  <r>
    <n v="702"/>
    <x v="8"/>
    <s v="West"/>
    <s v="Small Market"/>
    <s v="Earl Grey"/>
    <s v="Tea"/>
    <s v="Nevada"/>
    <s v="Regular"/>
    <n v="160"/>
    <n v="170"/>
    <n v="110"/>
    <n v="330"/>
    <n v="249"/>
    <n v="1775"/>
    <n v="249"/>
    <n v="69"/>
    <n v="156"/>
    <n v="498"/>
    <n v="1.509090909090909"/>
    <n v="1.4181818181818182"/>
    <n v="1.5562499999999999"/>
  </r>
  <r>
    <n v="775"/>
    <x v="8"/>
    <s v="West"/>
    <s v="Small Market"/>
    <s v="Green Tea"/>
    <s v="Tea"/>
    <s v="Nevada"/>
    <s v="Regular"/>
    <n v="190"/>
    <n v="-190"/>
    <n v="-280"/>
    <n v="0"/>
    <n v="302"/>
    <n v="6413"/>
    <n v="-302"/>
    <n v="114"/>
    <n v="-430"/>
    <n v="19"/>
    <m/>
    <n v="1.5357142857142858"/>
    <n v="1.5894736842105264"/>
  </r>
  <r>
    <n v="702"/>
    <x v="8"/>
    <s v="West"/>
    <s v="Small Market"/>
    <s v="Decaf Irish Cream"/>
    <s v="Coffee"/>
    <s v="Nevada"/>
    <s v="Decaf"/>
    <n v="40"/>
    <n v="50"/>
    <n v="30"/>
    <n v="90"/>
    <n v="33"/>
    <n v="1003"/>
    <n v="39"/>
    <n v="10"/>
    <n v="7"/>
    <n v="72"/>
    <n v="0.8"/>
    <n v="0.23333333333333334"/>
    <n v="0.82499999999999996"/>
  </r>
  <r>
    <n v="702"/>
    <x v="8"/>
    <s v="West"/>
    <s v="Small Market"/>
    <s v="Caffe Latte"/>
    <s v="Espresso"/>
    <s v="Nevada"/>
    <s v="Regular"/>
    <n v="0"/>
    <n v="40"/>
    <n v="30"/>
    <n v="40"/>
    <n v="0"/>
    <n v="473"/>
    <n v="43"/>
    <n v="0"/>
    <n v="32"/>
    <n v="43"/>
    <n v="1.075"/>
    <n v="1.0666666666666667"/>
    <m/>
  </r>
  <r>
    <n v="775"/>
    <x v="8"/>
    <s v="West"/>
    <s v="Small Market"/>
    <s v="Caffe Mocha"/>
    <s v="Espresso"/>
    <s v="Nevada"/>
    <s v="Regular"/>
    <n v="10"/>
    <n v="30"/>
    <n v="20"/>
    <n v="40"/>
    <n v="19"/>
    <n v="848"/>
    <n v="29"/>
    <n v="5"/>
    <n v="12"/>
    <n v="48"/>
    <n v="1.2"/>
    <n v="0.6"/>
    <n v="1.9"/>
  </r>
  <r>
    <n v="702"/>
    <x v="8"/>
    <s v="West"/>
    <s v="Small Market"/>
    <s v="Decaf Espresso"/>
    <s v="Espresso"/>
    <s v="Nevada"/>
    <s v="Decaf"/>
    <n v="20"/>
    <n v="30"/>
    <n v="20"/>
    <n v="50"/>
    <n v="23"/>
    <n v="803"/>
    <n v="35"/>
    <n v="6"/>
    <n v="17"/>
    <n v="58"/>
    <n v="1.1599999999999999"/>
    <n v="0.85"/>
    <n v="1.1499999999999999"/>
  </r>
  <r>
    <n v="541"/>
    <x v="8"/>
    <s v="West"/>
    <s v="Small Market"/>
    <s v="Amaretto"/>
    <s v="Coffee"/>
    <s v="Oregon"/>
    <s v="Regular"/>
    <n v="60"/>
    <n v="90"/>
    <n v="30"/>
    <n v="150"/>
    <n v="52"/>
    <n v="509"/>
    <n v="74"/>
    <n v="47"/>
    <n v="-3"/>
    <n v="126"/>
    <n v="0.84"/>
    <n v="-0.1"/>
    <n v="0.8666666666666667"/>
  </r>
  <r>
    <n v="541"/>
    <x v="8"/>
    <s v="West"/>
    <s v="Small Market"/>
    <s v="Chamomile"/>
    <s v="Herbal Tea"/>
    <s v="Oregon"/>
    <s v="Decaf"/>
    <n v="20"/>
    <n v="30"/>
    <n v="30"/>
    <n v="50"/>
    <n v="25"/>
    <n v="823"/>
    <n v="36"/>
    <n v="7"/>
    <n v="17"/>
    <n v="61"/>
    <n v="1.22"/>
    <n v="0.56666666666666665"/>
    <n v="1.25"/>
  </r>
  <r>
    <n v="971"/>
    <x v="8"/>
    <s v="West"/>
    <s v="Small Market"/>
    <s v="Lemon"/>
    <s v="Herbal Tea"/>
    <s v="Oregon"/>
    <s v="Decaf"/>
    <n v="50"/>
    <n v="70"/>
    <n v="50"/>
    <n v="120"/>
    <n v="61"/>
    <n v="579"/>
    <n v="79"/>
    <n v="20"/>
    <n v="47"/>
    <n v="140"/>
    <n v="1.1666666666666667"/>
    <n v="0.94"/>
    <n v="1.22"/>
  </r>
  <r>
    <n v="541"/>
    <x v="8"/>
    <s v="West"/>
    <s v="Small Market"/>
    <s v="Darjeeling"/>
    <s v="Tea"/>
    <s v="Oregon"/>
    <s v="Regular"/>
    <n v="10"/>
    <n v="20"/>
    <n v="20"/>
    <n v="30"/>
    <n v="20"/>
    <n v="482"/>
    <n v="30"/>
    <n v="5"/>
    <n v="13"/>
    <n v="50"/>
    <n v="1.6666666666666667"/>
    <n v="0.65"/>
    <n v="2"/>
  </r>
  <r>
    <n v="541"/>
    <x v="8"/>
    <s v="West"/>
    <s v="Small Market"/>
    <s v="Earl Grey"/>
    <s v="Tea"/>
    <s v="Oregon"/>
    <s v="Regular"/>
    <n v="60"/>
    <n v="100"/>
    <n v="60"/>
    <n v="160"/>
    <n v="99"/>
    <n v="798"/>
    <n v="150"/>
    <n v="32"/>
    <n v="87"/>
    <n v="249"/>
    <n v="1.5562499999999999"/>
    <n v="1.45"/>
    <n v="1.65"/>
  </r>
  <r>
    <n v="541"/>
    <x v="8"/>
    <s v="West"/>
    <s v="Small Market"/>
    <s v="Green Tea"/>
    <s v="Tea"/>
    <s v="Oregon"/>
    <s v="Regular"/>
    <n v="60"/>
    <n v="90"/>
    <n v="60"/>
    <n v="150"/>
    <n v="96"/>
    <n v="666"/>
    <n v="134"/>
    <n v="29"/>
    <n v="81"/>
    <n v="230"/>
    <n v="1.5333333333333334"/>
    <n v="1.35"/>
    <n v="1.6"/>
  </r>
  <r>
    <n v="541"/>
    <x v="8"/>
    <s v="West"/>
    <s v="Small Market"/>
    <s v="Columbian"/>
    <s v="Coffee"/>
    <s v="Oregon"/>
    <s v="Regular"/>
    <n v="70"/>
    <n v="100"/>
    <n v="50"/>
    <n v="170"/>
    <n v="57"/>
    <n v="469"/>
    <n v="80"/>
    <n v="18"/>
    <n v="18"/>
    <n v="137"/>
    <n v="0.80588235294117649"/>
    <n v="0.36"/>
    <n v="0.81428571428571428"/>
  </r>
  <r>
    <n v="971"/>
    <x v="8"/>
    <s v="West"/>
    <s v="Small Market"/>
    <s v="Decaf Irish Cream"/>
    <s v="Coffee"/>
    <s v="Oregon"/>
    <s v="Decaf"/>
    <n v="50"/>
    <n v="80"/>
    <n v="50"/>
    <n v="130"/>
    <n v="43"/>
    <n v="424"/>
    <n v="64"/>
    <n v="13"/>
    <n v="28"/>
    <n v="107"/>
    <n v="0.82307692307692304"/>
    <n v="0.56000000000000005"/>
    <n v="0.86"/>
  </r>
  <r>
    <n v="503"/>
    <x v="8"/>
    <s v="West"/>
    <s v="Small Market"/>
    <s v="Caffe Latte"/>
    <s v="Espresso"/>
    <s v="Oregon"/>
    <s v="Regular"/>
    <n v="40"/>
    <n v="50"/>
    <n v="10"/>
    <n v="90"/>
    <n v="45"/>
    <n v="409"/>
    <n v="57"/>
    <n v="17"/>
    <n v="6"/>
    <n v="102"/>
    <n v="1.1333333333333333"/>
    <n v="0.6"/>
    <n v="1.125"/>
  </r>
  <r>
    <n v="541"/>
    <x v="8"/>
    <s v="West"/>
    <s v="Small Market"/>
    <s v="Caffe Mocha"/>
    <s v="Espresso"/>
    <s v="Oregon"/>
    <s v="Regular"/>
    <n v="50"/>
    <n v="70"/>
    <n v="40"/>
    <n v="120"/>
    <n v="53"/>
    <n v="410"/>
    <n v="72"/>
    <n v="17"/>
    <n v="28"/>
    <n v="125"/>
    <n v="1.0416666666666667"/>
    <n v="0.7"/>
    <n v="1.06"/>
  </r>
  <r>
    <n v="541"/>
    <x v="8"/>
    <s v="West"/>
    <s v="Small Market"/>
    <s v="Decaf Espresso"/>
    <s v="Espresso"/>
    <s v="Oregon"/>
    <s v="Decaf"/>
    <n v="140"/>
    <n v="150"/>
    <n v="90"/>
    <n v="290"/>
    <n v="155"/>
    <n v="1280"/>
    <n v="155"/>
    <n v="43"/>
    <n v="87"/>
    <n v="310"/>
    <n v="1.0689655172413792"/>
    <n v="0.96666666666666667"/>
    <n v="1.1071428571428572"/>
  </r>
  <r>
    <n v="253"/>
    <x v="8"/>
    <s v="West"/>
    <s v="Small Market"/>
    <s v="Chamomile"/>
    <s v="Herbal Tea"/>
    <s v="Washington"/>
    <s v="Decaf"/>
    <n v="80"/>
    <n v="140"/>
    <n v="100"/>
    <n v="220"/>
    <n v="103"/>
    <n v="1130"/>
    <n v="155"/>
    <n v="33"/>
    <n v="91"/>
    <n v="258"/>
    <n v="1.1727272727272726"/>
    <n v="0.91"/>
    <n v="1.2875000000000001"/>
  </r>
  <r>
    <n v="360"/>
    <x v="8"/>
    <s v="West"/>
    <s v="Small Market"/>
    <s v="Lemon"/>
    <s v="Herbal Tea"/>
    <s v="Washington"/>
    <s v="Decaf"/>
    <n v="40"/>
    <n v="60"/>
    <n v="50"/>
    <n v="100"/>
    <n v="48"/>
    <n v="834"/>
    <n v="71"/>
    <n v="13"/>
    <n v="47"/>
    <n v="119"/>
    <n v="1.19"/>
    <n v="0.94"/>
    <n v="1.2"/>
  </r>
  <r>
    <n v="425"/>
    <x v="8"/>
    <s v="West"/>
    <s v="Small Market"/>
    <s v="Darjeeling"/>
    <s v="Tea"/>
    <s v="Washington"/>
    <s v="Regular"/>
    <n v="30"/>
    <n v="70"/>
    <n v="40"/>
    <n v="100"/>
    <n v="57"/>
    <n v="349"/>
    <n v="94"/>
    <n v="17"/>
    <n v="54"/>
    <n v="151"/>
    <n v="1.51"/>
    <n v="1.35"/>
    <n v="1.9"/>
  </r>
  <r>
    <n v="360"/>
    <x v="8"/>
    <s v="West"/>
    <s v="Small Market"/>
    <s v="Earl Grey"/>
    <s v="Tea"/>
    <s v="Washington"/>
    <s v="Regular"/>
    <n v="30"/>
    <n v="40"/>
    <n v="30"/>
    <n v="70"/>
    <n v="46"/>
    <n v="454"/>
    <n v="67"/>
    <n v="14"/>
    <n v="31"/>
    <n v="113"/>
    <n v="1.6142857142857143"/>
    <n v="1.0333333333333334"/>
    <n v="1.5333333333333334"/>
  </r>
  <r>
    <n v="425"/>
    <x v="8"/>
    <s v="West"/>
    <s v="Small Market"/>
    <s v="Green Tea"/>
    <s v="Tea"/>
    <s v="Washington"/>
    <s v="Regular"/>
    <n v="40"/>
    <n v="60"/>
    <n v="10"/>
    <n v="100"/>
    <n v="62"/>
    <n v="612"/>
    <n v="87"/>
    <n v="56"/>
    <n v="2"/>
    <n v="149"/>
    <n v="1.49"/>
    <n v="0.2"/>
    <n v="1.55"/>
  </r>
  <r>
    <n v="360"/>
    <x v="8"/>
    <s v="West"/>
    <s v="Small Market"/>
    <s v="Columbian"/>
    <s v="Coffee"/>
    <s v="Washington"/>
    <s v="Regular"/>
    <n v="80"/>
    <n v="120"/>
    <n v="80"/>
    <n v="200"/>
    <n v="68"/>
    <n v="445"/>
    <n v="99"/>
    <n v="21"/>
    <n v="56"/>
    <n v="167"/>
    <n v="0.83499999999999996"/>
    <n v="0.7"/>
    <n v="0.85"/>
  </r>
  <r>
    <n v="360"/>
    <x v="8"/>
    <s v="West"/>
    <s v="Small Market"/>
    <s v="Decaf Irish Cream"/>
    <s v="Coffee"/>
    <s v="Washington"/>
    <s v="Decaf"/>
    <n v="110"/>
    <n v="160"/>
    <n v="60"/>
    <n v="270"/>
    <n v="93"/>
    <n v="692"/>
    <n v="130"/>
    <n v="84"/>
    <n v="16"/>
    <n v="223"/>
    <n v="0.82592592592592595"/>
    <n v="0.26666666666666666"/>
    <n v="0.84545454545454546"/>
  </r>
  <r>
    <n v="206"/>
    <x v="8"/>
    <s v="West"/>
    <s v="Small Market"/>
    <s v="Caffe Latte"/>
    <s v="Espresso"/>
    <s v="Washington"/>
    <s v="Regular"/>
    <n v="30"/>
    <n v="40"/>
    <n v="30"/>
    <n v="70"/>
    <n v="33"/>
    <n v="577"/>
    <n v="43"/>
    <n v="10"/>
    <n v="21"/>
    <n v="76"/>
    <n v="1.0857142857142856"/>
    <n v="0.7"/>
    <n v="1.1000000000000001"/>
  </r>
  <r>
    <n v="253"/>
    <x v="8"/>
    <s v="West"/>
    <s v="Small Market"/>
    <s v="Caffe Mocha"/>
    <s v="Espresso"/>
    <s v="Washington"/>
    <s v="Regular"/>
    <n v="60"/>
    <n v="80"/>
    <n v="30"/>
    <n v="140"/>
    <n v="67"/>
    <n v="391"/>
    <n v="82"/>
    <n v="25"/>
    <n v="23"/>
    <n v="149"/>
    <n v="1.0642857142857143"/>
    <n v="0.76666666666666672"/>
    <n v="1.1166666666666667"/>
  </r>
  <r>
    <n v="206"/>
    <x v="8"/>
    <s v="West"/>
    <s v="Small Market"/>
    <s v="Decaf Espresso"/>
    <s v="Espresso"/>
    <s v="Washington"/>
    <s v="Decaf"/>
    <n v="70"/>
    <n v="100"/>
    <n v="70"/>
    <n v="170"/>
    <n v="83"/>
    <n v="1063"/>
    <n v="99"/>
    <n v="25"/>
    <n v="53"/>
    <n v="182"/>
    <n v="1.0705882352941176"/>
    <n v="0.75714285714285712"/>
    <n v="1.1857142857142857"/>
  </r>
  <r>
    <n v="720"/>
    <x v="9"/>
    <s v="Central"/>
    <s v="Major Market"/>
    <s v="Green Tea"/>
    <s v="Tea"/>
    <s v="Colorado"/>
    <s v="Regular"/>
    <n v="50"/>
    <n v="90"/>
    <n v="80"/>
    <n v="140"/>
    <n v="90"/>
    <n v="572"/>
    <n v="115"/>
    <n v="29"/>
    <n v="74"/>
    <n v="205"/>
    <n v="1.4642857142857142"/>
    <n v="0.92500000000000004"/>
    <n v="1.8"/>
  </r>
  <r>
    <n v="719"/>
    <x v="9"/>
    <s v="Central"/>
    <s v="Major Market"/>
    <s v="Chamomile"/>
    <s v="Herbal Tea"/>
    <s v="Colorado"/>
    <s v="Decaf"/>
    <n v="120"/>
    <n v="140"/>
    <n v="110"/>
    <n v="260"/>
    <n v="161"/>
    <n v="1267"/>
    <n v="161"/>
    <n v="45"/>
    <n v="92"/>
    <n v="322"/>
    <n v="1.2384615384615385"/>
    <n v="0.83636363636363631"/>
    <n v="1.3416666666666666"/>
  </r>
  <r>
    <n v="303"/>
    <x v="9"/>
    <s v="Central"/>
    <s v="Major Market"/>
    <s v="Lemon"/>
    <s v="Herbal Tea"/>
    <s v="Colorado"/>
    <s v="Decaf"/>
    <n v="30"/>
    <n v="60"/>
    <n v="30"/>
    <n v="90"/>
    <n v="51"/>
    <n v="503"/>
    <n v="71"/>
    <n v="46"/>
    <n v="-5"/>
    <n v="122"/>
    <n v="1.3555555555555556"/>
    <n v="-0.16666666666666666"/>
    <n v="1.7"/>
  </r>
  <r>
    <n v="970"/>
    <x v="9"/>
    <s v="Central"/>
    <s v="Major Market"/>
    <s v="Mint"/>
    <s v="Herbal Tea"/>
    <s v="Colorado"/>
    <s v="Decaf"/>
    <n v="30"/>
    <n v="60"/>
    <n v="50"/>
    <n v="90"/>
    <n v="52"/>
    <n v="405"/>
    <n v="71"/>
    <n v="17"/>
    <n v="26"/>
    <n v="123"/>
    <n v="1.3666666666666667"/>
    <n v="0.52"/>
    <n v="1.7333333333333334"/>
  </r>
  <r>
    <n v="303"/>
    <x v="9"/>
    <s v="Central"/>
    <s v="Major Market"/>
    <s v="Darjeeling"/>
    <s v="Tea"/>
    <s v="Colorado"/>
    <s v="Regular"/>
    <n v="30"/>
    <n v="50"/>
    <n v="30"/>
    <n v="80"/>
    <n v="54"/>
    <n v="404"/>
    <n v="66"/>
    <n v="20"/>
    <n v="13"/>
    <n v="120"/>
    <n v="1.5"/>
    <n v="0.43333333333333335"/>
    <n v="1.8"/>
  </r>
  <r>
    <n v="303"/>
    <x v="9"/>
    <s v="Central"/>
    <s v="Major Market"/>
    <s v="Earl Grey"/>
    <s v="Tea"/>
    <s v="Colorado"/>
    <s v="Regular"/>
    <n v="30"/>
    <n v="50"/>
    <n v="40"/>
    <n v="80"/>
    <n v="54"/>
    <n v="1037"/>
    <n v="64"/>
    <n v="16"/>
    <n v="27"/>
    <n v="118"/>
    <n v="1.4750000000000001"/>
    <n v="0.67500000000000004"/>
    <n v="1.8"/>
  </r>
  <r>
    <n v="303"/>
    <x v="9"/>
    <s v="Central"/>
    <s v="Major Market"/>
    <s v="Decaf Espresso"/>
    <s v="Espresso"/>
    <s v="Colorado"/>
    <s v="Decaf"/>
    <n v="100"/>
    <n v="160"/>
    <n v="130"/>
    <n v="260"/>
    <n v="72"/>
    <n v="650"/>
    <n v="110"/>
    <n v="23"/>
    <n v="56"/>
    <n v="182"/>
    <n v="0.7"/>
    <n v="0.43076923076923079"/>
    <n v="0.72"/>
  </r>
  <r>
    <n v="303"/>
    <x v="9"/>
    <s v="Central"/>
    <s v="Major Market"/>
    <s v="Caffe Mocha"/>
    <s v="Espresso"/>
    <s v="Colorado"/>
    <s v="Regular"/>
    <n v="100"/>
    <n v="180"/>
    <n v="170"/>
    <n v="280"/>
    <n v="76"/>
    <n v="580"/>
    <n v="111"/>
    <n v="21"/>
    <n v="79"/>
    <n v="187"/>
    <n v="0.66785714285714282"/>
    <n v="0.46470588235294119"/>
    <n v="0.76"/>
  </r>
  <r>
    <n v="719"/>
    <x v="9"/>
    <s v="Central"/>
    <s v="Major Market"/>
    <s v="Decaf Irish Cream"/>
    <s v="Coffee"/>
    <s v="Colorado"/>
    <s v="Decaf"/>
    <n v="100"/>
    <n v="160"/>
    <n v="150"/>
    <n v="260"/>
    <n v="108"/>
    <n v="971"/>
    <n v="157"/>
    <n v="30"/>
    <n v="116"/>
    <n v="265"/>
    <n v="1.0192307692307692"/>
    <n v="0.77333333333333332"/>
    <n v="1.08"/>
  </r>
  <r>
    <n v="970"/>
    <x v="9"/>
    <s v="Central"/>
    <s v="Major Market"/>
    <s v="Amaretto"/>
    <s v="Coffee"/>
    <s v="Colorado"/>
    <s v="Regular"/>
    <n v="120"/>
    <n v="180"/>
    <n v="160"/>
    <n v="300"/>
    <n v="123"/>
    <n v="915"/>
    <n v="179"/>
    <n v="34"/>
    <n v="133"/>
    <n v="302"/>
    <n v="1.0066666666666666"/>
    <n v="0.83125000000000004"/>
    <n v="1.0249999999999999"/>
  </r>
  <r>
    <n v="719"/>
    <x v="9"/>
    <s v="Central"/>
    <s v="Major Market"/>
    <s v="Columbian"/>
    <s v="Coffee"/>
    <s v="Colorado"/>
    <s v="Regular"/>
    <n v="30"/>
    <n v="50"/>
    <n v="50"/>
    <n v="80"/>
    <n v="39"/>
    <n v="541"/>
    <n v="51"/>
    <n v="12"/>
    <n v="27"/>
    <n v="90"/>
    <n v="1.125"/>
    <n v="0.54"/>
    <n v="1.3"/>
  </r>
  <r>
    <n v="708"/>
    <x v="9"/>
    <s v="Central"/>
    <s v="Major Market"/>
    <s v="Chamomile"/>
    <s v="Herbal Tea"/>
    <s v="Illinois"/>
    <s v="Decaf"/>
    <n v="90"/>
    <n v="150"/>
    <n v="140"/>
    <n v="240"/>
    <n v="123"/>
    <n v="915"/>
    <n v="179"/>
    <n v="34"/>
    <n v="133"/>
    <n v="302"/>
    <n v="1.2583333333333333"/>
    <n v="0.95"/>
    <n v="1.3666666666666667"/>
  </r>
  <r>
    <n v="630"/>
    <x v="9"/>
    <s v="Central"/>
    <s v="Major Market"/>
    <s v="Lemon"/>
    <s v="Herbal Tea"/>
    <s v="Illinois"/>
    <s v="Decaf"/>
    <n v="20"/>
    <n v="40"/>
    <n v="40"/>
    <n v="60"/>
    <n v="39"/>
    <n v="541"/>
    <n v="51"/>
    <n v="12"/>
    <n v="27"/>
    <n v="90"/>
    <n v="1.5"/>
    <n v="0.67500000000000004"/>
    <n v="1.95"/>
  </r>
  <r>
    <n v="815"/>
    <x v="9"/>
    <s v="Central"/>
    <s v="Major Market"/>
    <s v="Mint"/>
    <s v="Herbal Tea"/>
    <s v="Illinois"/>
    <s v="Decaf"/>
    <n v="80"/>
    <n v="130"/>
    <n v="120"/>
    <n v="210"/>
    <n v="108"/>
    <n v="971"/>
    <n v="157"/>
    <n v="30"/>
    <n v="116"/>
    <n v="265"/>
    <n v="1.2619047619047619"/>
    <n v="0.96666666666666667"/>
    <n v="1.35"/>
  </r>
  <r>
    <n v="217"/>
    <x v="9"/>
    <s v="Central"/>
    <s v="Major Market"/>
    <s v="Darjeeling"/>
    <s v="Tea"/>
    <s v="Illinois"/>
    <s v="Regular"/>
    <n v="50"/>
    <n v="80"/>
    <n v="80"/>
    <n v="130"/>
    <n v="76"/>
    <n v="580"/>
    <n v="111"/>
    <n v="21"/>
    <n v="78"/>
    <n v="187"/>
    <n v="1.4384615384615385"/>
    <n v="0.97499999999999998"/>
    <n v="1.52"/>
  </r>
  <r>
    <n v="847"/>
    <x v="9"/>
    <s v="Central"/>
    <s v="Major Market"/>
    <s v="Earl Grey"/>
    <s v="Tea"/>
    <s v="Illinois"/>
    <s v="Regular"/>
    <n v="50"/>
    <n v="80"/>
    <n v="50"/>
    <n v="130"/>
    <n v="72"/>
    <n v="650"/>
    <n v="110"/>
    <n v="23"/>
    <n v="55"/>
    <n v="182"/>
    <n v="1.4"/>
    <n v="1.1000000000000001"/>
    <n v="1.44"/>
  </r>
  <r>
    <n v="312"/>
    <x v="9"/>
    <s v="Central"/>
    <s v="Major Market"/>
    <s v="Decaf Espresso"/>
    <s v="Espresso"/>
    <s v="Illinois"/>
    <s v="Decaf"/>
    <n v="340"/>
    <n v="370"/>
    <n v="300"/>
    <n v="710"/>
    <n v="239"/>
    <n v="1755"/>
    <n v="239"/>
    <n v="66"/>
    <n v="149"/>
    <n v="478"/>
    <n v="0.6732394366197183"/>
    <n v="0.49666666666666665"/>
    <n v="0.70294117647058818"/>
  </r>
  <r>
    <n v="815"/>
    <x v="9"/>
    <s v="Central"/>
    <s v="Major Market"/>
    <s v="Caffe Mocha"/>
    <s v="Espresso"/>
    <s v="Illinois"/>
    <s v="Regular"/>
    <n v="370"/>
    <n v="520"/>
    <n v="420"/>
    <n v="890"/>
    <n v="257"/>
    <n v="1662"/>
    <n v="341"/>
    <n v="84"/>
    <n v="224"/>
    <n v="598"/>
    <n v="0.67191011235955056"/>
    <n v="0.53333333333333333"/>
    <n v="0.69459459459459461"/>
  </r>
  <r>
    <n v="815"/>
    <x v="9"/>
    <s v="Central"/>
    <s v="Major Market"/>
    <s v="Decaf Irish Cream"/>
    <s v="Coffee"/>
    <s v="Illinois"/>
    <s v="Decaf"/>
    <n v="110"/>
    <n v="190"/>
    <n v="160"/>
    <n v="300"/>
    <n v="122"/>
    <n v="789"/>
    <n v="176"/>
    <n v="39"/>
    <n v="115"/>
    <n v="298"/>
    <n v="0.99333333333333329"/>
    <n v="0.71875"/>
    <n v="1.1090909090909091"/>
  </r>
  <r>
    <n v="815"/>
    <x v="9"/>
    <s v="Central"/>
    <s v="Major Market"/>
    <s v="Columbian"/>
    <s v="Coffee"/>
    <s v="Illinois"/>
    <s v="Regular"/>
    <n v="150"/>
    <n v="220"/>
    <n v="160"/>
    <n v="370"/>
    <n v="154"/>
    <n v="1132"/>
    <n v="213"/>
    <n v="50"/>
    <n v="120"/>
    <n v="367"/>
    <n v="0.99189189189189186"/>
    <n v="0.75"/>
    <n v="1.0266666666666666"/>
  </r>
  <r>
    <n v="712"/>
    <x v="9"/>
    <s v="Central"/>
    <s v="Small Market"/>
    <s v="Chamomile"/>
    <s v="Herbal Tea"/>
    <s v="Iowa"/>
    <s v="Decaf"/>
    <n v="200"/>
    <n v="280"/>
    <n v="210"/>
    <n v="480"/>
    <n v="257"/>
    <n v="1662"/>
    <n v="341"/>
    <n v="84"/>
    <n v="224"/>
    <n v="598"/>
    <n v="1.2458333333333333"/>
    <n v="1.0666666666666667"/>
    <n v="1.2849999999999999"/>
  </r>
  <r>
    <n v="641"/>
    <x v="9"/>
    <s v="Central"/>
    <s v="Small Market"/>
    <s v="Lemon"/>
    <s v="Herbal Tea"/>
    <s v="Iowa"/>
    <s v="Decaf"/>
    <n v="90"/>
    <n v="150"/>
    <n v="130"/>
    <n v="240"/>
    <n v="122"/>
    <n v="789"/>
    <n v="176"/>
    <n v="39"/>
    <n v="114"/>
    <n v="298"/>
    <n v="1.2416666666666667"/>
    <n v="0.87692307692307692"/>
    <n v="1.3555555555555556"/>
  </r>
  <r>
    <n v="563"/>
    <x v="9"/>
    <s v="Central"/>
    <s v="Small Market"/>
    <s v="Darjeeling"/>
    <s v="Tea"/>
    <s v="Iowa"/>
    <s v="Regular"/>
    <n v="170"/>
    <n v="170"/>
    <n v="110"/>
    <n v="340"/>
    <n v="239"/>
    <n v="1755"/>
    <n v="239"/>
    <n v="66"/>
    <n v="149"/>
    <n v="478"/>
    <n v="1.4058823529411764"/>
    <n v="1.3545454545454545"/>
    <n v="1.4058823529411764"/>
  </r>
  <r>
    <n v="563"/>
    <x v="9"/>
    <s v="Central"/>
    <s v="Small Market"/>
    <s v="Earl Grey"/>
    <s v="Tea"/>
    <s v="Iowa"/>
    <s v="Regular"/>
    <n v="170"/>
    <n v="230"/>
    <n v="130"/>
    <n v="400"/>
    <n v="255"/>
    <n v="1756"/>
    <n v="312"/>
    <n v="96"/>
    <n v="183"/>
    <n v="567"/>
    <n v="1.4175"/>
    <n v="1.4076923076923078"/>
    <n v="1.5"/>
  </r>
  <r>
    <n v="319"/>
    <x v="9"/>
    <s v="Central"/>
    <s v="Small Market"/>
    <s v="Caffe Mocha"/>
    <s v="Espresso"/>
    <s v="Iowa"/>
    <s v="Regular"/>
    <n v="20"/>
    <n v="50"/>
    <n v="50"/>
    <n v="70"/>
    <n v="23"/>
    <n v="800"/>
    <n v="35"/>
    <n v="6"/>
    <n v="18"/>
    <n v="58"/>
    <n v="0.82857142857142863"/>
    <n v="0.36"/>
    <n v="1.1499999999999999"/>
  </r>
  <r>
    <n v="712"/>
    <x v="9"/>
    <s v="Central"/>
    <s v="Small Market"/>
    <s v="Decaf Espresso"/>
    <s v="Espresso"/>
    <s v="Iowa"/>
    <s v="Decaf"/>
    <n v="0"/>
    <n v="60"/>
    <n v="60"/>
    <n v="60"/>
    <n v="0"/>
    <n v="430"/>
    <n v="43"/>
    <n v="0"/>
    <n v="31"/>
    <n v="43"/>
    <n v="0.71666666666666667"/>
    <n v="0.51666666666666672"/>
    <m/>
  </r>
  <r>
    <n v="641"/>
    <x v="9"/>
    <s v="Central"/>
    <s v="Small Market"/>
    <s v="Decaf Irish Cream"/>
    <s v="Coffee"/>
    <s v="Iowa"/>
    <s v="Decaf"/>
    <n v="0"/>
    <n v="10"/>
    <n v="10"/>
    <n v="10"/>
    <n v="10"/>
    <n v="598"/>
    <n v="13"/>
    <n v="3"/>
    <n v="-2"/>
    <n v="23"/>
    <n v="2.2999999999999998"/>
    <n v="-0.2"/>
    <m/>
  </r>
  <r>
    <n v="563"/>
    <x v="9"/>
    <s v="Central"/>
    <s v="Small Market"/>
    <s v="Amaretto"/>
    <s v="Coffee"/>
    <s v="Iowa"/>
    <s v="Regular"/>
    <n v="10"/>
    <n v="30"/>
    <n v="30"/>
    <n v="40"/>
    <n v="21"/>
    <n v="846"/>
    <n v="31"/>
    <n v="5"/>
    <n v="15"/>
    <n v="52"/>
    <n v="1.3"/>
    <n v="0.5"/>
    <n v="2.1"/>
  </r>
  <r>
    <n v="515"/>
    <x v="9"/>
    <s v="Central"/>
    <s v="Small Market"/>
    <s v="Columbian"/>
    <s v="Coffee"/>
    <s v="Iowa"/>
    <s v="Regular"/>
    <n v="20"/>
    <n v="40"/>
    <n v="30"/>
    <n v="60"/>
    <n v="31"/>
    <n v="1000"/>
    <n v="37"/>
    <n v="9"/>
    <n v="7"/>
    <n v="68"/>
    <n v="1.1333333333333333"/>
    <n v="0.23333333333333334"/>
    <n v="1.55"/>
  </r>
  <r>
    <n v="314"/>
    <x v="9"/>
    <s v="Central"/>
    <s v="Small Market"/>
    <s v="Green Tea"/>
    <s v="Tea"/>
    <s v="Missouri"/>
    <s v="Regular"/>
    <n v="10"/>
    <n v="30"/>
    <n v="10"/>
    <n v="40"/>
    <n v="34"/>
    <n v="240"/>
    <n v="43"/>
    <n v="12"/>
    <n v="-3"/>
    <n v="77"/>
    <n v="1.925"/>
    <n v="-0.3"/>
    <n v="3.4"/>
  </r>
  <r>
    <n v="573"/>
    <x v="9"/>
    <s v="Central"/>
    <s v="Small Market"/>
    <s v="Chamomile"/>
    <s v="Herbal Tea"/>
    <s v="Missouri"/>
    <s v="Decaf"/>
    <n v="20"/>
    <n v="60"/>
    <n v="30"/>
    <n v="80"/>
    <n v="45"/>
    <n v="320"/>
    <n v="64"/>
    <n v="41"/>
    <n v="-6"/>
    <n v="109"/>
    <n v="1.3625"/>
    <n v="-0.2"/>
    <n v="2.25"/>
  </r>
  <r>
    <n v="573"/>
    <x v="9"/>
    <s v="Central"/>
    <s v="Small Market"/>
    <s v="Lemon"/>
    <s v="Herbal Tea"/>
    <s v="Missouri"/>
    <s v="Decaf"/>
    <n v="60"/>
    <n v="20"/>
    <n v="10"/>
    <n v="80"/>
    <n v="86"/>
    <n v="1698"/>
    <n v="23"/>
    <n v="26"/>
    <n v="-26"/>
    <n v="109"/>
    <n v="1.3625"/>
    <n v="-2.6"/>
    <n v="1.4333333333333333"/>
  </r>
  <r>
    <n v="636"/>
    <x v="9"/>
    <s v="Central"/>
    <s v="Small Market"/>
    <s v="Darjeeling"/>
    <s v="Tea"/>
    <s v="Missouri"/>
    <s v="Regular"/>
    <n v="20"/>
    <n v="40"/>
    <n v="30"/>
    <n v="60"/>
    <n v="39"/>
    <n v="244"/>
    <n v="53"/>
    <n v="12"/>
    <n v="13"/>
    <n v="92"/>
    <n v="1.5333333333333334"/>
    <n v="0.43333333333333335"/>
    <n v="1.95"/>
  </r>
  <r>
    <n v="417"/>
    <x v="9"/>
    <s v="Central"/>
    <s v="Small Market"/>
    <s v="Earl Grey"/>
    <s v="Tea"/>
    <s v="Missouri"/>
    <s v="Regular"/>
    <n v="10"/>
    <n v="20"/>
    <n v="0"/>
    <n v="30"/>
    <n v="25"/>
    <n v="209"/>
    <n v="31"/>
    <n v="9"/>
    <n v="-11"/>
    <n v="56"/>
    <n v="1.8666666666666667"/>
    <m/>
    <n v="2.5"/>
  </r>
  <r>
    <n v="314"/>
    <x v="9"/>
    <s v="Central"/>
    <s v="Small Market"/>
    <s v="Caffe Mocha"/>
    <s v="Espresso"/>
    <s v="Missouri"/>
    <s v="Regular"/>
    <n v="50"/>
    <n v="90"/>
    <n v="90"/>
    <n v="140"/>
    <n v="40"/>
    <n v="881"/>
    <n v="59"/>
    <n v="11"/>
    <n v="36"/>
    <n v="99"/>
    <n v="0.70714285714285718"/>
    <n v="0.4"/>
    <n v="0.8"/>
  </r>
  <r>
    <n v="660"/>
    <x v="9"/>
    <s v="Central"/>
    <s v="Small Market"/>
    <s v="Decaf Espresso"/>
    <s v="Espresso"/>
    <s v="Missouri"/>
    <s v="Decaf"/>
    <n v="30"/>
    <n v="80"/>
    <n v="80"/>
    <n v="110"/>
    <n v="32"/>
    <n v="833"/>
    <n v="47"/>
    <n v="8"/>
    <n v="28"/>
    <n v="79"/>
    <n v="0.71818181818181814"/>
    <n v="0.35"/>
    <n v="1.0666666666666667"/>
  </r>
  <r>
    <n v="660"/>
    <x v="9"/>
    <s v="Central"/>
    <s v="Small Market"/>
    <s v="Decaf Irish Cream"/>
    <s v="Coffee"/>
    <s v="Missouri"/>
    <s v="Decaf"/>
    <n v="50"/>
    <n v="80"/>
    <n v="70"/>
    <n v="130"/>
    <n v="65"/>
    <n v="1053"/>
    <n v="77"/>
    <n v="20"/>
    <n v="35"/>
    <n v="142"/>
    <n v="1.0923076923076922"/>
    <n v="0.5"/>
    <n v="1.3"/>
  </r>
  <r>
    <n v="816"/>
    <x v="9"/>
    <s v="Central"/>
    <s v="Small Market"/>
    <s v="Columbian"/>
    <s v="Coffee"/>
    <s v="Missouri"/>
    <s v="Regular"/>
    <n v="70"/>
    <n v="100"/>
    <n v="70"/>
    <n v="170"/>
    <n v="79"/>
    <n v="593"/>
    <n v="98"/>
    <n v="30"/>
    <n v="35"/>
    <n v="177"/>
    <n v="1.0411764705882354"/>
    <n v="0.5"/>
    <n v="1.1285714285714286"/>
  </r>
  <r>
    <n v="234"/>
    <x v="9"/>
    <s v="Central"/>
    <s v="Major Market"/>
    <s v="Darjeeling"/>
    <s v="Tea"/>
    <s v="Ohio"/>
    <s v="Regular"/>
    <n v="50"/>
    <n v="90"/>
    <n v="60"/>
    <n v="140"/>
    <n v="82"/>
    <n v="788"/>
    <n v="123"/>
    <n v="27"/>
    <n v="65"/>
    <n v="205"/>
    <n v="1.4642857142857142"/>
    <n v="1.0833333333333333"/>
    <n v="1.64"/>
  </r>
  <r>
    <n v="614"/>
    <x v="9"/>
    <s v="Central"/>
    <s v="Major Market"/>
    <s v="Earl Grey"/>
    <s v="Tea"/>
    <s v="Ohio"/>
    <s v="Regular"/>
    <n v="50"/>
    <n v="100"/>
    <n v="80"/>
    <n v="150"/>
    <n v="91"/>
    <n v="656"/>
    <n v="127"/>
    <n v="28"/>
    <n v="76"/>
    <n v="218"/>
    <n v="1.4533333333333334"/>
    <n v="0.95"/>
    <n v="1.82"/>
  </r>
  <r>
    <n v="937"/>
    <x v="9"/>
    <s v="Central"/>
    <s v="Major Market"/>
    <s v="Chamomile"/>
    <s v="Herbal Tea"/>
    <s v="Ohio"/>
    <s v="Decaf"/>
    <n v="0"/>
    <n v="30"/>
    <n v="30"/>
    <n v="30"/>
    <n v="21"/>
    <n v="480"/>
    <n v="32"/>
    <n v="5"/>
    <n v="16"/>
    <n v="53"/>
    <n v="1.7666666666666666"/>
    <n v="0.53333333333333333"/>
    <m/>
  </r>
  <r>
    <n v="513"/>
    <x v="9"/>
    <s v="Central"/>
    <s v="Major Market"/>
    <s v="Lemon"/>
    <s v="Herbal Tea"/>
    <s v="Ohio"/>
    <s v="Decaf"/>
    <n v="10"/>
    <n v="30"/>
    <n v="30"/>
    <n v="40"/>
    <n v="27"/>
    <n v="859"/>
    <n v="39"/>
    <n v="7"/>
    <n v="20"/>
    <n v="66"/>
    <n v="1.65"/>
    <n v="0.66666666666666663"/>
    <n v="2.7"/>
  </r>
  <r>
    <n v="567"/>
    <x v="9"/>
    <s v="Central"/>
    <s v="Major Market"/>
    <s v="Caffe Mocha"/>
    <s v="Espresso"/>
    <s v="Ohio"/>
    <s v="Regular"/>
    <n v="230"/>
    <n v="240"/>
    <n v="190"/>
    <n v="470"/>
    <n v="161"/>
    <n v="1267"/>
    <n v="161"/>
    <n v="45"/>
    <n v="92"/>
    <n v="322"/>
    <n v="0.68510638297872339"/>
    <n v="0.48421052631578948"/>
    <n v="0.7"/>
  </r>
  <r>
    <n v="614"/>
    <x v="9"/>
    <s v="Central"/>
    <s v="Major Market"/>
    <s v="Decaf Espresso"/>
    <s v="Espresso"/>
    <s v="Ohio"/>
    <s v="Decaf"/>
    <n v="70"/>
    <n v="100"/>
    <n v="70"/>
    <n v="170"/>
    <n v="54"/>
    <n v="404"/>
    <n v="66"/>
    <n v="20"/>
    <n v="12"/>
    <n v="120"/>
    <n v="0.70588235294117652"/>
    <n v="0.17142857142857143"/>
    <n v="0.77142857142857146"/>
  </r>
  <r>
    <n v="440"/>
    <x v="9"/>
    <s v="Central"/>
    <s v="Major Market"/>
    <s v="Amaretto"/>
    <s v="Coffee"/>
    <s v="Ohio"/>
    <s v="Regular"/>
    <n v="40"/>
    <n v="70"/>
    <n v="60"/>
    <n v="110"/>
    <n v="52"/>
    <n v="405"/>
    <n v="71"/>
    <n v="17"/>
    <n v="26"/>
    <n v="123"/>
    <n v="1.1181818181818182"/>
    <n v="0.43333333333333335"/>
    <n v="1.3"/>
  </r>
  <r>
    <n v="937"/>
    <x v="9"/>
    <s v="Central"/>
    <s v="Major Market"/>
    <s v="Columbian"/>
    <s v="Coffee"/>
    <s v="Ohio"/>
    <s v="Regular"/>
    <n v="30"/>
    <n v="70"/>
    <n v="60"/>
    <n v="100"/>
    <n v="43"/>
    <n v="419"/>
    <n v="64"/>
    <n v="13"/>
    <n v="28"/>
    <n v="107"/>
    <n v="1.07"/>
    <n v="0.46666666666666667"/>
    <n v="1.4333333333333333"/>
  </r>
  <r>
    <n v="216"/>
    <x v="9"/>
    <s v="Central"/>
    <s v="Major Market"/>
    <s v="Decaf Irish Cream"/>
    <s v="Coffee"/>
    <s v="Ohio"/>
    <s v="Decaf"/>
    <n v="40"/>
    <n v="70"/>
    <n v="30"/>
    <n v="110"/>
    <n v="51"/>
    <n v="503"/>
    <n v="71"/>
    <n v="46"/>
    <n v="-5"/>
    <n v="122"/>
    <n v="1.1090909090909091"/>
    <n v="-0.16666666666666666"/>
    <n v="1.2749999999999999"/>
  </r>
  <r>
    <n v="262"/>
    <x v="9"/>
    <s v="Central"/>
    <s v="Small Market"/>
    <s v="Darjeeling"/>
    <s v="Tea"/>
    <s v="Wisconsin"/>
    <s v="Regular"/>
    <n v="20"/>
    <n v="50"/>
    <n v="40"/>
    <n v="70"/>
    <n v="46"/>
    <n v="449"/>
    <n v="67"/>
    <n v="14"/>
    <n v="30"/>
    <n v="113"/>
    <n v="1.6142857142857143"/>
    <n v="0.75"/>
    <n v="2.2999999999999998"/>
  </r>
  <r>
    <n v="715"/>
    <x v="9"/>
    <s v="Central"/>
    <s v="Small Market"/>
    <s v="Earl Grey"/>
    <s v="Tea"/>
    <s v="Wisconsin"/>
    <s v="Regular"/>
    <n v="40"/>
    <n v="50"/>
    <n v="0"/>
    <n v="90"/>
    <n v="60"/>
    <n v="606"/>
    <n v="84"/>
    <n v="54"/>
    <n v="0"/>
    <n v="144"/>
    <n v="1.6"/>
    <m/>
    <n v="1.5"/>
  </r>
  <r>
    <n v="414"/>
    <x v="9"/>
    <s v="Central"/>
    <s v="Small Market"/>
    <s v="Chamomile"/>
    <s v="Herbal Tea"/>
    <s v="Wisconsin"/>
    <s v="Decaf"/>
    <n v="40"/>
    <n v="80"/>
    <n v="80"/>
    <n v="120"/>
    <n v="60"/>
    <n v="329"/>
    <n v="99"/>
    <n v="18"/>
    <n v="57"/>
    <n v="159"/>
    <n v="1.325"/>
    <n v="0.71250000000000002"/>
    <n v="1.5"/>
  </r>
  <r>
    <n v="262"/>
    <x v="9"/>
    <s v="Central"/>
    <s v="Small Market"/>
    <s v="Lemon"/>
    <s v="Herbal Tea"/>
    <s v="Wisconsin"/>
    <s v="Decaf"/>
    <n v="30"/>
    <n v="60"/>
    <n v="60"/>
    <n v="90"/>
    <n v="48"/>
    <n v="851"/>
    <n v="70"/>
    <n v="13"/>
    <n v="45"/>
    <n v="118"/>
    <n v="1.3111111111111111"/>
    <n v="0.75"/>
    <n v="1.6"/>
  </r>
  <r>
    <n v="608"/>
    <x v="9"/>
    <s v="Central"/>
    <s v="Small Market"/>
    <s v="Caffe Mocha"/>
    <s v="Espresso"/>
    <s v="Wisconsin"/>
    <s v="Regular"/>
    <n v="110"/>
    <n v="140"/>
    <n v="120"/>
    <n v="250"/>
    <n v="80"/>
    <n v="1055"/>
    <n v="94"/>
    <n v="24"/>
    <n v="48"/>
    <n v="174"/>
    <n v="0.69599999999999995"/>
    <n v="0.4"/>
    <n v="0.72727272727272729"/>
  </r>
  <r>
    <n v="715"/>
    <x v="9"/>
    <s v="Central"/>
    <s v="Small Market"/>
    <s v="Decaf Espresso"/>
    <s v="Espresso"/>
    <s v="Wisconsin"/>
    <s v="Decaf"/>
    <n v="20"/>
    <n v="50"/>
    <n v="50"/>
    <n v="70"/>
    <n v="22"/>
    <n v="573"/>
    <n v="29"/>
    <n v="7"/>
    <n v="10"/>
    <n v="51"/>
    <n v="0.72857142857142854"/>
    <n v="0.2"/>
    <n v="1.1000000000000001"/>
  </r>
  <r>
    <n v="715"/>
    <x v="9"/>
    <s v="Central"/>
    <s v="Small Market"/>
    <s v="Amaretto"/>
    <s v="Coffee"/>
    <s v="Wisconsin"/>
    <s v="Regular"/>
    <n v="40"/>
    <n v="80"/>
    <n v="50"/>
    <n v="120"/>
    <n v="56"/>
    <n v="385"/>
    <n v="70"/>
    <n v="21"/>
    <n v="15"/>
    <n v="126"/>
    <n v="1.05"/>
    <n v="0.3"/>
    <n v="1.4"/>
  </r>
  <r>
    <n v="715"/>
    <x v="9"/>
    <s v="Central"/>
    <s v="Small Market"/>
    <s v="Columbian"/>
    <s v="Coffee"/>
    <s v="Wisconsin"/>
    <s v="Regular"/>
    <n v="90"/>
    <n v="140"/>
    <n v="60"/>
    <n v="230"/>
    <n v="96"/>
    <n v="683"/>
    <n v="134"/>
    <n v="87"/>
    <n v="18"/>
    <n v="230"/>
    <n v="1"/>
    <n v="0.3"/>
    <n v="1.0666666666666667"/>
  </r>
  <r>
    <n v="715"/>
    <x v="9"/>
    <s v="Central"/>
    <s v="Small Market"/>
    <s v="Decaf Irish Cream"/>
    <s v="Coffee"/>
    <s v="Wisconsin"/>
    <s v="Decaf"/>
    <n v="80"/>
    <n v="120"/>
    <n v="100"/>
    <n v="200"/>
    <n v="86"/>
    <n v="547"/>
    <n v="116"/>
    <n v="28"/>
    <n v="61"/>
    <n v="202"/>
    <n v="1.01"/>
    <n v="0.61"/>
    <n v="1.075"/>
  </r>
  <r>
    <n v="860"/>
    <x v="9"/>
    <s v="East"/>
    <s v="Small Market"/>
    <s v="Darjeeling"/>
    <s v="Tea"/>
    <s v="Connecticut"/>
    <s v="Regular"/>
    <n v="40"/>
    <n v="60"/>
    <n v="50"/>
    <n v="100"/>
    <n v="40"/>
    <n v="881"/>
    <n v="59"/>
    <n v="11"/>
    <n v="36"/>
    <n v="99"/>
    <n v="0.99"/>
    <n v="0.72"/>
    <n v="1"/>
  </r>
  <r>
    <n v="959"/>
    <x v="9"/>
    <s v="East"/>
    <s v="Small Market"/>
    <s v="Green Tea"/>
    <s v="Tea"/>
    <s v="Connecticut"/>
    <s v="Regular"/>
    <n v="20"/>
    <n v="40"/>
    <n v="40"/>
    <n v="60"/>
    <n v="24"/>
    <n v="806"/>
    <n v="36"/>
    <n v="6"/>
    <n v="18"/>
    <n v="60"/>
    <n v="1"/>
    <n v="0.45"/>
    <n v="1.2"/>
  </r>
  <r>
    <n v="959"/>
    <x v="9"/>
    <s v="East"/>
    <s v="Small Market"/>
    <s v="Lemon"/>
    <s v="Herbal Tea"/>
    <s v="Connecticut"/>
    <s v="Decaf"/>
    <n v="40"/>
    <n v="50"/>
    <n v="30"/>
    <n v="90"/>
    <n v="79"/>
    <n v="593"/>
    <n v="98"/>
    <n v="30"/>
    <n v="34"/>
    <n v="177"/>
    <n v="1.9666666666666666"/>
    <n v="1.1333333333333333"/>
    <n v="1.9750000000000001"/>
  </r>
  <r>
    <n v="860"/>
    <x v="9"/>
    <s v="East"/>
    <s v="Small Market"/>
    <s v="Mint"/>
    <s v="Herbal Tea"/>
    <s v="Connecticut"/>
    <s v="Decaf"/>
    <n v="30"/>
    <n v="50"/>
    <n v="50"/>
    <n v="80"/>
    <n v="65"/>
    <n v="1053"/>
    <n v="77"/>
    <n v="20"/>
    <n v="35"/>
    <n v="142"/>
    <n v="1.7749999999999999"/>
    <n v="0.7"/>
    <n v="2.1666666666666665"/>
  </r>
  <r>
    <n v="203"/>
    <x v="9"/>
    <s v="East"/>
    <s v="Small Market"/>
    <s v="Caffe Mocha"/>
    <s v="Espresso"/>
    <s v="Connecticut"/>
    <s v="Regular"/>
    <n v="40"/>
    <n v="90"/>
    <n v="40"/>
    <n v="130"/>
    <n v="60"/>
    <n v="606"/>
    <n v="84"/>
    <n v="54"/>
    <n v="1"/>
    <n v="144"/>
    <n v="1.1076923076923078"/>
    <n v="2.5000000000000001E-2"/>
    <n v="1.5"/>
  </r>
  <r>
    <n v="860"/>
    <x v="9"/>
    <s v="East"/>
    <s v="Small Market"/>
    <s v="Decaf Espresso"/>
    <s v="Espresso"/>
    <s v="Connecticut"/>
    <s v="Decaf"/>
    <n v="30"/>
    <n v="60"/>
    <n v="50"/>
    <n v="90"/>
    <n v="47"/>
    <n v="375"/>
    <n v="64"/>
    <n v="15"/>
    <n v="21"/>
    <n v="111"/>
    <n v="1.2333333333333334"/>
    <n v="0.42"/>
    <n v="1.5666666666666667"/>
  </r>
  <r>
    <n v="860"/>
    <x v="9"/>
    <s v="East"/>
    <s v="Small Market"/>
    <s v="Columbian"/>
    <s v="Coffee"/>
    <s v="Connecticut"/>
    <s v="Regular"/>
    <n v="100"/>
    <n v="160"/>
    <n v="130"/>
    <n v="260"/>
    <n v="125"/>
    <n v="1119"/>
    <n v="188"/>
    <n v="41"/>
    <n v="115"/>
    <n v="313"/>
    <n v="1.2038461538461538"/>
    <n v="0.88461538461538458"/>
    <n v="1.25"/>
  </r>
  <r>
    <n v="850"/>
    <x v="9"/>
    <s v="East"/>
    <s v="Major Market"/>
    <s v="Darjeeling"/>
    <s v="Tea"/>
    <s v="Florida"/>
    <s v="Regular"/>
    <n v="40"/>
    <n v="60"/>
    <n v="50"/>
    <n v="100"/>
    <n v="38"/>
    <n v="871"/>
    <n v="56"/>
    <n v="10"/>
    <n v="35"/>
    <n v="94"/>
    <n v="0.94"/>
    <n v="0.7"/>
    <n v="0.95"/>
  </r>
  <r>
    <n v="863"/>
    <x v="9"/>
    <s v="East"/>
    <s v="Major Market"/>
    <s v="Green Tea"/>
    <s v="Tea"/>
    <s v="Florida"/>
    <s v="Regular"/>
    <n v="50"/>
    <n v="70"/>
    <n v="60"/>
    <n v="120"/>
    <n v="48"/>
    <n v="851"/>
    <n v="70"/>
    <n v="13"/>
    <n v="46"/>
    <n v="118"/>
    <n v="0.98333333333333328"/>
    <n v="0.76666666666666672"/>
    <n v="0.96"/>
  </r>
  <r>
    <n v="386"/>
    <x v="9"/>
    <s v="East"/>
    <s v="Major Market"/>
    <s v="Chamomile"/>
    <s v="Herbal Tea"/>
    <s v="Florida"/>
    <s v="Decaf"/>
    <n v="0"/>
    <n v="20"/>
    <n v="20"/>
    <n v="20"/>
    <n v="22"/>
    <n v="573"/>
    <n v="29"/>
    <n v="7"/>
    <n v="10"/>
    <n v="51"/>
    <n v="2.5499999999999998"/>
    <n v="0.5"/>
    <m/>
  </r>
  <r>
    <n v="850"/>
    <x v="9"/>
    <s v="East"/>
    <s v="Major Market"/>
    <s v="Lemon"/>
    <s v="Herbal Tea"/>
    <s v="Florida"/>
    <s v="Decaf"/>
    <n v="30"/>
    <n v="30"/>
    <n v="20"/>
    <n v="60"/>
    <n v="56"/>
    <n v="385"/>
    <n v="70"/>
    <n v="21"/>
    <n v="16"/>
    <n v="126"/>
    <n v="2.1"/>
    <n v="0.8"/>
    <n v="1.8666666666666667"/>
  </r>
  <r>
    <n v="305"/>
    <x v="9"/>
    <s v="East"/>
    <s v="Major Market"/>
    <s v="Mint"/>
    <s v="Herbal Tea"/>
    <s v="Florida"/>
    <s v="Decaf"/>
    <n v="40"/>
    <n v="50"/>
    <n v="40"/>
    <n v="90"/>
    <n v="80"/>
    <n v="1055"/>
    <n v="94"/>
    <n v="24"/>
    <n v="48"/>
    <n v="174"/>
    <n v="1.9333333333333333"/>
    <n v="1.2"/>
    <n v="2"/>
  </r>
  <r>
    <n v="239"/>
    <x v="9"/>
    <s v="East"/>
    <s v="Major Market"/>
    <s v="Caffe Mocha"/>
    <s v="Espresso"/>
    <s v="Florida"/>
    <s v="Regular"/>
    <n v="80"/>
    <n v="130"/>
    <n v="50"/>
    <n v="210"/>
    <n v="96"/>
    <n v="683"/>
    <n v="134"/>
    <n v="87"/>
    <n v="18"/>
    <n v="230"/>
    <n v="1.0952380952380953"/>
    <n v="0.36"/>
    <n v="1.2"/>
  </r>
  <r>
    <n v="239"/>
    <x v="9"/>
    <s v="East"/>
    <s v="Major Market"/>
    <s v="Decaf Espresso"/>
    <s v="Espresso"/>
    <s v="Florida"/>
    <s v="Decaf"/>
    <n v="70"/>
    <n v="110"/>
    <n v="90"/>
    <n v="180"/>
    <n v="86"/>
    <n v="547"/>
    <n v="116"/>
    <n v="28"/>
    <n v="60"/>
    <n v="202"/>
    <n v="1.1222222222222222"/>
    <n v="0.66666666666666663"/>
    <n v="1.2285714285714286"/>
  </r>
  <r>
    <n v="561"/>
    <x v="9"/>
    <s v="East"/>
    <s v="Major Market"/>
    <s v="Decaf Irish Cream"/>
    <s v="Coffee"/>
    <s v="Florida"/>
    <s v="Decaf"/>
    <n v="70"/>
    <n v="110"/>
    <n v="90"/>
    <n v="180"/>
    <n v="91"/>
    <n v="656"/>
    <n v="127"/>
    <n v="28"/>
    <n v="76"/>
    <n v="218"/>
    <n v="1.211111111111111"/>
    <n v="0.84444444444444444"/>
    <n v="1.3"/>
  </r>
  <r>
    <n v="407"/>
    <x v="9"/>
    <s v="East"/>
    <s v="Major Market"/>
    <s v="Columbian"/>
    <s v="Coffee"/>
    <s v="Florida"/>
    <s v="Regular"/>
    <n v="60"/>
    <n v="110"/>
    <n v="90"/>
    <n v="170"/>
    <n v="82"/>
    <n v="788"/>
    <n v="123"/>
    <n v="27"/>
    <n v="64"/>
    <n v="205"/>
    <n v="1.2058823529411764"/>
    <n v="0.71111111111111114"/>
    <n v="1.3666666666666667"/>
  </r>
  <r>
    <n v="508"/>
    <x v="9"/>
    <s v="East"/>
    <s v="Major Market"/>
    <s v="Darjeeling"/>
    <s v="Tea"/>
    <s v="Massachusetts"/>
    <s v="Regular"/>
    <n v="20"/>
    <n v="50"/>
    <n v="50"/>
    <n v="70"/>
    <n v="27"/>
    <n v="859"/>
    <n v="39"/>
    <n v="7"/>
    <n v="20"/>
    <n v="66"/>
    <n v="0.94285714285714284"/>
    <n v="0.4"/>
    <n v="1.35"/>
  </r>
  <r>
    <n v="413"/>
    <x v="9"/>
    <s v="East"/>
    <s v="Major Market"/>
    <s v="Green Tea"/>
    <s v="Tea"/>
    <s v="Massachusetts"/>
    <s v="Regular"/>
    <n v="20"/>
    <n v="30"/>
    <n v="30"/>
    <n v="50"/>
    <n v="21"/>
    <n v="480"/>
    <n v="32"/>
    <n v="5"/>
    <n v="15"/>
    <n v="53"/>
    <n v="1.06"/>
    <n v="0.5"/>
    <n v="1.05"/>
  </r>
  <r>
    <n v="781"/>
    <x v="9"/>
    <s v="East"/>
    <s v="Major Market"/>
    <s v="Lemon"/>
    <s v="Herbal Tea"/>
    <s v="Massachusetts"/>
    <s v="Decaf"/>
    <n v="30"/>
    <n v="30"/>
    <n v="20"/>
    <n v="60"/>
    <n v="54"/>
    <n v="404"/>
    <n v="66"/>
    <n v="20"/>
    <n v="13"/>
    <n v="120"/>
    <n v="2"/>
    <n v="0.65"/>
    <n v="1.8"/>
  </r>
  <r>
    <n v="774"/>
    <x v="9"/>
    <s v="East"/>
    <s v="Major Market"/>
    <s v="Caffe Mocha"/>
    <s v="Espresso"/>
    <s v="Massachusetts"/>
    <s v="Regular"/>
    <n v="30"/>
    <n v="70"/>
    <n v="30"/>
    <n v="100"/>
    <n v="51"/>
    <n v="542"/>
    <n v="65"/>
    <n v="46"/>
    <n v="-11"/>
    <n v="116"/>
    <n v="1.1599999999999999"/>
    <n v="-0.36666666666666664"/>
    <n v="1.7"/>
  </r>
  <r>
    <n v="781"/>
    <x v="9"/>
    <s v="East"/>
    <s v="Major Market"/>
    <s v="Regular Espresso"/>
    <s v="Espresso"/>
    <s v="Massachusetts"/>
    <s v="Regular"/>
    <n v="140"/>
    <n v="160"/>
    <n v="120"/>
    <n v="300"/>
    <n v="161"/>
    <n v="1267"/>
    <n v="161"/>
    <n v="45"/>
    <n v="92"/>
    <n v="322"/>
    <n v="1.0733333333333333"/>
    <n v="0.76666666666666672"/>
    <n v="1.1499999999999999"/>
  </r>
  <r>
    <n v="857"/>
    <x v="9"/>
    <s v="East"/>
    <s v="Major Market"/>
    <s v="Columbian"/>
    <s v="Coffee"/>
    <s v="Massachusetts"/>
    <s v="Regular"/>
    <n v="50"/>
    <n v="350"/>
    <n v="330"/>
    <n v="400"/>
    <n v="72"/>
    <n v="-3004"/>
    <n v="402"/>
    <n v="23"/>
    <n v="348"/>
    <n v="474"/>
    <n v="1.1850000000000001"/>
    <n v="1.0545454545454545"/>
    <n v="1.44"/>
  </r>
  <r>
    <n v="603"/>
    <x v="9"/>
    <s v="East"/>
    <s v="Small Market"/>
    <s v="Darjeeling"/>
    <s v="Tea"/>
    <s v="New Hampshire"/>
    <s v="Regular"/>
    <n v="20"/>
    <n v="30"/>
    <n v="30"/>
    <n v="50"/>
    <n v="21"/>
    <n v="846"/>
    <n v="31"/>
    <n v="5"/>
    <n v="14"/>
    <n v="52"/>
    <n v="1.04"/>
    <n v="0.46666666666666667"/>
    <n v="1.05"/>
  </r>
  <r>
    <n v="603"/>
    <x v="9"/>
    <s v="East"/>
    <s v="Small Market"/>
    <s v="Green Tea"/>
    <s v="Tea"/>
    <s v="New Hampshire"/>
    <s v="Regular"/>
    <n v="0"/>
    <n v="40"/>
    <n v="40"/>
    <n v="40"/>
    <n v="0"/>
    <n v="430"/>
    <n v="43"/>
    <n v="0"/>
    <n v="32"/>
    <n v="43"/>
    <n v="1.075"/>
    <n v="0.8"/>
    <m/>
  </r>
  <r>
    <n v="603"/>
    <x v="9"/>
    <s v="East"/>
    <s v="Small Market"/>
    <s v="Lemon"/>
    <s v="Herbal Tea"/>
    <s v="New Hampshire"/>
    <s v="Decaf"/>
    <n v="10"/>
    <n v="30"/>
    <n v="20"/>
    <n v="40"/>
    <n v="34"/>
    <n v="240"/>
    <n v="43"/>
    <n v="12"/>
    <n v="-3"/>
    <n v="77"/>
    <n v="1.925"/>
    <n v="-0.15"/>
    <n v="3.4"/>
  </r>
  <r>
    <n v="603"/>
    <x v="9"/>
    <s v="East"/>
    <s v="Small Market"/>
    <s v="Caffe Mocha"/>
    <s v="Espresso"/>
    <s v="New Hampshire"/>
    <s v="Regular"/>
    <n v="30"/>
    <n v="60"/>
    <n v="30"/>
    <n v="90"/>
    <n v="45"/>
    <n v="320"/>
    <n v="64"/>
    <n v="41"/>
    <n v="-7"/>
    <n v="109"/>
    <n v="1.211111111111111"/>
    <n v="-0.23333333333333334"/>
    <n v="1.5"/>
  </r>
  <r>
    <n v="603"/>
    <x v="9"/>
    <s v="East"/>
    <s v="Small Market"/>
    <s v="Regular Espresso"/>
    <s v="Espresso"/>
    <s v="New Hampshire"/>
    <s v="Regular"/>
    <n v="10"/>
    <n v="30"/>
    <n v="10"/>
    <n v="40"/>
    <n v="25"/>
    <n v="209"/>
    <n v="31"/>
    <n v="9"/>
    <n v="-12"/>
    <n v="56"/>
    <n v="1.4"/>
    <n v="-1.2"/>
    <n v="2.5"/>
  </r>
  <r>
    <n v="603"/>
    <x v="9"/>
    <s v="East"/>
    <s v="Small Market"/>
    <s v="Columbian"/>
    <s v="Coffee"/>
    <s v="New Hampshire"/>
    <s v="Regular"/>
    <n v="30"/>
    <n v="60"/>
    <n v="50"/>
    <n v="90"/>
    <n v="45"/>
    <n v="447"/>
    <n v="69"/>
    <n v="14"/>
    <n v="24"/>
    <n v="114"/>
    <n v="1.2666666666666666"/>
    <n v="0.48"/>
    <n v="1.5"/>
  </r>
  <r>
    <n v="603"/>
    <x v="9"/>
    <s v="East"/>
    <s v="Small Market"/>
    <s v="Amaretto"/>
    <s v="Coffee"/>
    <s v="New Hampshire"/>
    <s v="Regular"/>
    <n v="30"/>
    <n v="60"/>
    <n v="60"/>
    <n v="90"/>
    <n v="49"/>
    <n v="310"/>
    <n v="71"/>
    <n v="15"/>
    <n v="33"/>
    <n v="120"/>
    <n v="1.3333333333333333"/>
    <n v="0.55000000000000004"/>
    <n v="1.6333333333333333"/>
  </r>
  <r>
    <n v="516"/>
    <x v="9"/>
    <s v="East"/>
    <s v="Major Market"/>
    <s v="Darjeeling"/>
    <s v="Tea"/>
    <s v="New York"/>
    <s v="Regular"/>
    <n v="110"/>
    <n v="170"/>
    <n v="140"/>
    <n v="280"/>
    <n v="108"/>
    <n v="971"/>
    <n v="157"/>
    <n v="30"/>
    <n v="115"/>
    <n v="265"/>
    <n v="0.9464285714285714"/>
    <n v="0.8214285714285714"/>
    <n v="0.98181818181818181"/>
  </r>
  <r>
    <n v="716"/>
    <x v="9"/>
    <s v="East"/>
    <s v="Major Market"/>
    <s v="Earl Grey"/>
    <s v="Tea"/>
    <s v="New York"/>
    <s v="Regular"/>
    <n v="130"/>
    <n v="190"/>
    <n v="160"/>
    <n v="320"/>
    <n v="123"/>
    <n v="915"/>
    <n v="179"/>
    <n v="34"/>
    <n v="134"/>
    <n v="302"/>
    <n v="0.94374999999999998"/>
    <n v="0.83750000000000002"/>
    <n v="0.94615384615384612"/>
  </r>
  <r>
    <n v="518"/>
    <x v="9"/>
    <s v="East"/>
    <s v="Major Market"/>
    <s v="Green Tea"/>
    <s v="Tea"/>
    <s v="New York"/>
    <s v="Regular"/>
    <n v="80"/>
    <n v="120"/>
    <n v="100"/>
    <n v="200"/>
    <n v="76"/>
    <n v="580"/>
    <n v="111"/>
    <n v="21"/>
    <n v="78"/>
    <n v="187"/>
    <n v="0.93500000000000005"/>
    <n v="0.78"/>
    <n v="0.95"/>
  </r>
  <r>
    <n v="845"/>
    <x v="9"/>
    <s v="East"/>
    <s v="Major Market"/>
    <s v="Lemon"/>
    <s v="Herbal Tea"/>
    <s v="New York"/>
    <s v="Decaf"/>
    <n v="140"/>
    <n v="150"/>
    <n v="70"/>
    <n v="290"/>
    <n v="255"/>
    <n v="1622"/>
    <n v="258"/>
    <n v="96"/>
    <n v="129"/>
    <n v="513"/>
    <n v="1.7689655172413794"/>
    <n v="1.8428571428571427"/>
    <n v="1.8214285714285714"/>
  </r>
  <r>
    <n v="315"/>
    <x v="9"/>
    <s v="East"/>
    <s v="Major Market"/>
    <s v="Mint"/>
    <s v="Herbal Tea"/>
    <s v="New York"/>
    <s v="Decaf"/>
    <n v="130"/>
    <n v="-50"/>
    <n v="-100"/>
    <n v="80"/>
    <n v="239"/>
    <n v="4360"/>
    <n v="-75"/>
    <n v="74"/>
    <n v="-170"/>
    <n v="164"/>
    <n v="2.0499999999999998"/>
    <n v="1.7"/>
    <n v="1.8384615384615384"/>
  </r>
  <r>
    <n v="845"/>
    <x v="9"/>
    <s v="East"/>
    <s v="Major Market"/>
    <s v="Caffe Mocha"/>
    <s v="Espresso"/>
    <s v="New York"/>
    <s v="Regular"/>
    <n v="110"/>
    <n v="-60"/>
    <n v="-170"/>
    <n v="50"/>
    <n v="125"/>
    <n v="3142"/>
    <n v="-56"/>
    <n v="113"/>
    <n v="-202"/>
    <n v="69"/>
    <n v="1.38"/>
    <n v="1.1882352941176471"/>
    <n v="1.1363636363636365"/>
  </r>
  <r>
    <n v="718"/>
    <x v="9"/>
    <s v="East"/>
    <s v="Major Market"/>
    <s v="Regular Espresso"/>
    <s v="Espresso"/>
    <s v="New York"/>
    <s v="Regular"/>
    <n v="210"/>
    <n v="510"/>
    <n v="450"/>
    <n v="720"/>
    <n v="239"/>
    <n v="1197"/>
    <n v="526"/>
    <n v="66"/>
    <n v="435"/>
    <n v="765"/>
    <n v="1.0625"/>
    <n v="0.96666666666666667"/>
    <n v="1.138095238095238"/>
  </r>
  <r>
    <n v="315"/>
    <x v="9"/>
    <s v="East"/>
    <s v="Major Market"/>
    <s v="Columbian"/>
    <s v="Coffee"/>
    <s v="New York"/>
    <s v="Regular"/>
    <n v="210"/>
    <n v="330"/>
    <n v="230"/>
    <n v="540"/>
    <n v="260"/>
    <n v="2548"/>
    <n v="390"/>
    <n v="91"/>
    <n v="247"/>
    <n v="650"/>
    <n v="1.2037037037037037"/>
    <n v="1.0739130434782609"/>
    <n v="1.2380952380952381"/>
  </r>
  <r>
    <n v="225"/>
    <x v="9"/>
    <s v="South"/>
    <s v="Small Market"/>
    <s v="Columbian"/>
    <s v="Coffee"/>
    <s v="Louisiana"/>
    <s v="Regular"/>
    <n v="70"/>
    <n v="90"/>
    <n v="80"/>
    <n v="160"/>
    <n v="48"/>
    <n v="829"/>
    <n v="71"/>
    <n v="13"/>
    <n v="47"/>
    <n v="119"/>
    <n v="0.74375000000000002"/>
    <n v="0.58750000000000002"/>
    <n v="0.68571428571428572"/>
  </r>
  <r>
    <n v="225"/>
    <x v="9"/>
    <s v="South"/>
    <s v="Small Market"/>
    <s v="Decaf Irish Cream"/>
    <s v="Coffee"/>
    <s v="Louisiana"/>
    <s v="Decaf"/>
    <n v="70"/>
    <n v="90"/>
    <n v="80"/>
    <n v="160"/>
    <n v="48"/>
    <n v="851"/>
    <n v="70"/>
    <n v="13"/>
    <n v="45"/>
    <n v="118"/>
    <n v="0.73750000000000004"/>
    <n v="0.5625"/>
    <n v="0.68571428571428572"/>
  </r>
  <r>
    <n v="225"/>
    <x v="9"/>
    <s v="South"/>
    <s v="Small Market"/>
    <s v="Chamomile"/>
    <s v="Herbal Tea"/>
    <s v="Louisiana"/>
    <s v="Decaf"/>
    <n v="80"/>
    <n v="130"/>
    <n v="110"/>
    <n v="210"/>
    <n v="103"/>
    <n v="564"/>
    <n v="133"/>
    <n v="33"/>
    <n v="87"/>
    <n v="236"/>
    <n v="1.1238095238095238"/>
    <n v="0.79090909090909089"/>
    <n v="1.2875000000000001"/>
  </r>
  <r>
    <n v="504"/>
    <x v="9"/>
    <s v="South"/>
    <s v="Small Market"/>
    <s v="Lemon"/>
    <s v="Herbal Tea"/>
    <s v="Louisiana"/>
    <s v="Decaf"/>
    <n v="60"/>
    <n v="90"/>
    <n v="60"/>
    <n v="150"/>
    <n v="79"/>
    <n v="593"/>
    <n v="98"/>
    <n v="30"/>
    <n v="34"/>
    <n v="177"/>
    <n v="1.18"/>
    <n v="0.56666666666666665"/>
    <n v="1.3166666666666667"/>
  </r>
  <r>
    <n v="318"/>
    <x v="9"/>
    <s v="South"/>
    <s v="Small Market"/>
    <s v="Caffe Latte"/>
    <s v="Espresso"/>
    <s v="Louisiana"/>
    <s v="Regular"/>
    <n v="30"/>
    <n v="60"/>
    <n v="10"/>
    <n v="90"/>
    <n v="60"/>
    <n v="-762"/>
    <n v="84"/>
    <n v="54"/>
    <n v="1"/>
    <n v="144"/>
    <n v="1.6"/>
    <n v="0.1"/>
    <n v="2"/>
  </r>
  <r>
    <n v="985"/>
    <x v="9"/>
    <s v="South"/>
    <s v="Small Market"/>
    <s v="Caffe Mocha"/>
    <s v="Espresso"/>
    <s v="Louisiana"/>
    <s v="Regular"/>
    <n v="30"/>
    <n v="70"/>
    <n v="70"/>
    <n v="100"/>
    <n v="60"/>
    <n v="329"/>
    <n v="99"/>
    <n v="18"/>
    <n v="58"/>
    <n v="159"/>
    <n v="1.59"/>
    <n v="0.82857142857142863"/>
    <n v="2"/>
  </r>
  <r>
    <n v="318"/>
    <x v="9"/>
    <s v="South"/>
    <s v="Small Market"/>
    <s v="Decaf Espresso"/>
    <s v="Espresso"/>
    <s v="Louisiana"/>
    <s v="Decaf"/>
    <n v="20"/>
    <n v="40"/>
    <n v="40"/>
    <n v="60"/>
    <n v="46"/>
    <n v="449"/>
    <n v="67"/>
    <n v="14"/>
    <n v="30"/>
    <n v="113"/>
    <n v="1.8833333333333333"/>
    <n v="0.75"/>
    <n v="2.2999999999999998"/>
  </r>
  <r>
    <n v="505"/>
    <x v="9"/>
    <s v="South"/>
    <s v="Small Market"/>
    <s v="Columbian"/>
    <s v="Coffee"/>
    <s v="New Mexico"/>
    <s v="Regular"/>
    <n v="50"/>
    <n v="110"/>
    <n v="80"/>
    <n v="160"/>
    <n v="45"/>
    <n v="447"/>
    <n v="69"/>
    <n v="14"/>
    <n v="23"/>
    <n v="114"/>
    <n v="0.71250000000000002"/>
    <n v="0.28749999999999998"/>
    <n v="0.9"/>
  </r>
  <r>
    <n v="505"/>
    <x v="9"/>
    <s v="South"/>
    <s v="Small Market"/>
    <s v="Decaf Irish Cream"/>
    <s v="Coffee"/>
    <s v="New Mexico"/>
    <s v="Decaf"/>
    <n v="110"/>
    <n v="40"/>
    <n v="10"/>
    <n v="150"/>
    <n v="86"/>
    <n v="1698"/>
    <n v="23"/>
    <n v="26"/>
    <n v="-26"/>
    <n v="109"/>
    <n v="0.72666666666666668"/>
    <n v="-2.6"/>
    <n v="0.78181818181818186"/>
  </r>
  <r>
    <n v="505"/>
    <x v="9"/>
    <s v="South"/>
    <s v="Small Market"/>
    <s v="Chamomile"/>
    <s v="Herbal Tea"/>
    <s v="New Mexico"/>
    <s v="Decaf"/>
    <n v="10"/>
    <n v="30"/>
    <n v="30"/>
    <n v="40"/>
    <n v="21"/>
    <n v="846"/>
    <n v="31"/>
    <n v="5"/>
    <n v="14"/>
    <n v="52"/>
    <n v="1.3"/>
    <n v="0.46666666666666667"/>
    <n v="2.1"/>
  </r>
  <r>
    <n v="505"/>
    <x v="9"/>
    <s v="South"/>
    <s v="Small Market"/>
    <s v="Lemon"/>
    <s v="Herbal Tea"/>
    <s v="New Mexico"/>
    <s v="Decaf"/>
    <n v="10"/>
    <n v="40"/>
    <n v="30"/>
    <n v="50"/>
    <n v="31"/>
    <n v="1000"/>
    <n v="37"/>
    <n v="9"/>
    <n v="6"/>
    <n v="68"/>
    <n v="1.36"/>
    <n v="0.2"/>
    <n v="3.1"/>
  </r>
  <r>
    <n v="505"/>
    <x v="9"/>
    <s v="South"/>
    <s v="Small Market"/>
    <s v="Caffe Latte"/>
    <s v="Espresso"/>
    <s v="New Mexico"/>
    <s v="Regular"/>
    <n v="10"/>
    <n v="20"/>
    <n v="10"/>
    <n v="30"/>
    <n v="25"/>
    <n v="-466"/>
    <n v="31"/>
    <n v="9"/>
    <n v="-12"/>
    <n v="56"/>
    <n v="1.8666666666666667"/>
    <n v="-1.2"/>
    <n v="2.5"/>
  </r>
  <r>
    <n v="505"/>
    <x v="9"/>
    <s v="South"/>
    <s v="Small Market"/>
    <s v="Caffe Mocha"/>
    <s v="Espresso"/>
    <s v="New Mexico"/>
    <s v="Regular"/>
    <n v="20"/>
    <n v="40"/>
    <n v="10"/>
    <n v="60"/>
    <n v="45"/>
    <n v="320"/>
    <n v="64"/>
    <n v="41"/>
    <n v="-6"/>
    <n v="109"/>
    <n v="1.8166666666666667"/>
    <n v="-0.6"/>
    <n v="2.25"/>
  </r>
  <r>
    <n v="505"/>
    <x v="9"/>
    <s v="South"/>
    <s v="Small Market"/>
    <s v="Decaf Espresso"/>
    <s v="Espresso"/>
    <s v="New Mexico"/>
    <s v="Decaf"/>
    <n v="20"/>
    <n v="30"/>
    <n v="20"/>
    <n v="50"/>
    <n v="39"/>
    <n v="244"/>
    <n v="53"/>
    <n v="12"/>
    <n v="14"/>
    <n v="92"/>
    <n v="1.84"/>
    <n v="0.7"/>
    <n v="1.95"/>
  </r>
  <r>
    <n v="918"/>
    <x v="9"/>
    <s v="South"/>
    <s v="Small Market"/>
    <s v="Columbian"/>
    <s v="Coffee"/>
    <s v="Oklahoma"/>
    <s v="Regular"/>
    <n v="130"/>
    <n v="160"/>
    <n v="140"/>
    <n v="290"/>
    <n v="90"/>
    <n v="572"/>
    <n v="115"/>
    <n v="29"/>
    <n v="74"/>
    <n v="205"/>
    <n v="0.7068965517241379"/>
    <n v="0.52857142857142858"/>
    <n v="0.69230769230769229"/>
  </r>
  <r>
    <n v="918"/>
    <x v="9"/>
    <s v="South"/>
    <s v="Small Market"/>
    <s v="Decaf Irish Cream"/>
    <s v="Coffee"/>
    <s v="Oklahoma"/>
    <s v="Decaf"/>
    <n v="30"/>
    <n v="60"/>
    <n v="60"/>
    <n v="90"/>
    <n v="27"/>
    <n v="859"/>
    <n v="39"/>
    <n v="7"/>
    <n v="21"/>
    <n v="66"/>
    <n v="0.73333333333333328"/>
    <n v="0.35"/>
    <n v="0.9"/>
  </r>
  <r>
    <n v="405"/>
    <x v="9"/>
    <s v="South"/>
    <s v="Small Market"/>
    <s v="Chamomile"/>
    <s v="Herbal Tea"/>
    <s v="Oklahoma"/>
    <s v="Decaf"/>
    <n v="40"/>
    <n v="70"/>
    <n v="50"/>
    <n v="110"/>
    <n v="56"/>
    <n v="385"/>
    <n v="70"/>
    <n v="21"/>
    <n v="16"/>
    <n v="126"/>
    <n v="1.1454545454545455"/>
    <n v="0.32"/>
    <n v="1.4"/>
  </r>
  <r>
    <n v="405"/>
    <x v="9"/>
    <s v="South"/>
    <s v="Small Market"/>
    <s v="Lemon"/>
    <s v="Herbal Tea"/>
    <s v="Oklahoma"/>
    <s v="Decaf"/>
    <n v="80"/>
    <n v="120"/>
    <n v="40"/>
    <n v="200"/>
    <n v="96"/>
    <n v="683"/>
    <n v="134"/>
    <n v="87"/>
    <n v="17"/>
    <n v="230"/>
    <n v="1.1499999999999999"/>
    <n v="0.42499999999999999"/>
    <n v="1.2"/>
  </r>
  <r>
    <n v="405"/>
    <x v="9"/>
    <s v="South"/>
    <s v="Small Market"/>
    <s v="Caffe Latte"/>
    <s v="Espresso"/>
    <s v="Oklahoma"/>
    <s v="Regular"/>
    <n v="50"/>
    <n v="80"/>
    <n v="70"/>
    <n v="130"/>
    <n v="91"/>
    <n v="-1785"/>
    <n v="127"/>
    <n v="28"/>
    <n v="76"/>
    <n v="218"/>
    <n v="1.676923076923077"/>
    <n v="1.0857142857142856"/>
    <n v="1.82"/>
  </r>
  <r>
    <n v="405"/>
    <x v="9"/>
    <s v="South"/>
    <s v="Small Market"/>
    <s v="Caffe Mocha"/>
    <s v="Espresso"/>
    <s v="Oklahoma"/>
    <s v="Regular"/>
    <n v="0"/>
    <n v="30"/>
    <n v="30"/>
    <n v="30"/>
    <n v="21"/>
    <n v="480"/>
    <n v="32"/>
    <n v="5"/>
    <n v="15"/>
    <n v="53"/>
    <n v="1.7666666666666666"/>
    <n v="0.5"/>
    <m/>
  </r>
  <r>
    <n v="405"/>
    <x v="9"/>
    <s v="South"/>
    <s v="Small Market"/>
    <s v="Decaf Espresso"/>
    <s v="Espresso"/>
    <s v="Oklahoma"/>
    <s v="Decaf"/>
    <n v="50"/>
    <n v="80"/>
    <n v="60"/>
    <n v="130"/>
    <n v="82"/>
    <n v="788"/>
    <n v="123"/>
    <n v="27"/>
    <n v="65"/>
    <n v="205"/>
    <n v="1.5769230769230769"/>
    <n v="1.0833333333333333"/>
    <n v="1.64"/>
  </r>
  <r>
    <n v="936"/>
    <x v="9"/>
    <s v="South"/>
    <s v="Major Market"/>
    <s v="Columbian"/>
    <s v="Coffee"/>
    <s v="Texas"/>
    <s v="Regular"/>
    <n v="350"/>
    <n v="420"/>
    <n v="340"/>
    <n v="770"/>
    <n v="239"/>
    <n v="1246"/>
    <n v="281"/>
    <n v="74"/>
    <n v="185"/>
    <n v="520"/>
    <n v="0.67532467532467533"/>
    <n v="0.54411764705882348"/>
    <n v="0.68285714285714283"/>
  </r>
  <r>
    <n v="214"/>
    <x v="9"/>
    <s v="South"/>
    <s v="Major Market"/>
    <s v="Decaf Irish Cream"/>
    <s v="Coffee"/>
    <s v="Texas"/>
    <s v="Decaf"/>
    <n v="40"/>
    <n v="90"/>
    <n v="80"/>
    <n v="130"/>
    <n v="39"/>
    <n v="541"/>
    <n v="51"/>
    <n v="12"/>
    <n v="26"/>
    <n v="90"/>
    <n v="0.69230769230769229"/>
    <n v="0.32500000000000001"/>
    <n v="0.97499999999999998"/>
  </r>
  <r>
    <n v="713"/>
    <x v="9"/>
    <s v="South"/>
    <s v="Major Market"/>
    <s v="Chamomile"/>
    <s v="Herbal Tea"/>
    <s v="Texas"/>
    <s v="Decaf"/>
    <n v="30"/>
    <n v="80"/>
    <n v="70"/>
    <n v="110"/>
    <n v="52"/>
    <n v="405"/>
    <n v="71"/>
    <n v="17"/>
    <n v="26"/>
    <n v="123"/>
    <n v="1.1181818181818182"/>
    <n v="0.37142857142857144"/>
    <n v="1.7333333333333334"/>
  </r>
  <r>
    <n v="409"/>
    <x v="9"/>
    <s v="South"/>
    <s v="Major Market"/>
    <s v="Lemon"/>
    <s v="Herbal Tea"/>
    <s v="Texas"/>
    <s v="Decaf"/>
    <n v="30"/>
    <n v="60"/>
    <n v="50"/>
    <n v="90"/>
    <n v="43"/>
    <n v="419"/>
    <n v="64"/>
    <n v="13"/>
    <n v="28"/>
    <n v="107"/>
    <n v="1.1888888888888889"/>
    <n v="0.56000000000000005"/>
    <n v="1.4333333333333333"/>
  </r>
  <r>
    <n v="832"/>
    <x v="9"/>
    <s v="South"/>
    <s v="Major Market"/>
    <s v="Caffe Latte"/>
    <s v="Espresso"/>
    <s v="Texas"/>
    <s v="Regular"/>
    <n v="40"/>
    <n v="70"/>
    <n v="50"/>
    <n v="110"/>
    <n v="72"/>
    <n v="-868"/>
    <n v="110"/>
    <n v="23"/>
    <n v="55"/>
    <n v="182"/>
    <n v="1.6545454545454545"/>
    <n v="1.1000000000000001"/>
    <n v="1.8"/>
  </r>
  <r>
    <n v="210"/>
    <x v="9"/>
    <s v="South"/>
    <s v="Major Market"/>
    <s v="Caffe Mocha"/>
    <s v="Espresso"/>
    <s v="Texas"/>
    <s v="Regular"/>
    <n v="70"/>
    <n v="120"/>
    <n v="100"/>
    <n v="190"/>
    <n v="123"/>
    <n v="915"/>
    <n v="179"/>
    <n v="34"/>
    <n v="133"/>
    <n v="302"/>
    <n v="1.5894736842105264"/>
    <n v="1.33"/>
    <n v="1.7571428571428571"/>
  </r>
  <r>
    <n v="915"/>
    <x v="9"/>
    <s v="South"/>
    <s v="Major Market"/>
    <s v="Decaf Espresso"/>
    <s v="Espresso"/>
    <s v="Texas"/>
    <s v="Decaf"/>
    <n v="40"/>
    <n v="80"/>
    <n v="80"/>
    <n v="120"/>
    <n v="76"/>
    <n v="580"/>
    <n v="111"/>
    <n v="21"/>
    <n v="78"/>
    <n v="187"/>
    <n v="1.5583333333333333"/>
    <n v="0.97499999999999998"/>
    <n v="1.9"/>
  </r>
  <r>
    <n v="801"/>
    <x v="9"/>
    <s v="West"/>
    <s v="Small Market"/>
    <s v="Chamomile"/>
    <s v="Herbal Tea"/>
    <s v="Utah"/>
    <s v="Decaf"/>
    <n v="30"/>
    <n v="60"/>
    <n v="60"/>
    <n v="90"/>
    <n v="49"/>
    <n v="310"/>
    <n v="71"/>
    <n v="15"/>
    <n v="33"/>
    <n v="120"/>
    <n v="1.3333333333333333"/>
    <n v="0.55000000000000004"/>
    <n v="1.6333333333333333"/>
  </r>
  <r>
    <n v="435"/>
    <x v="9"/>
    <s v="West"/>
    <s v="Small Market"/>
    <s v="Lemon"/>
    <s v="Herbal Tea"/>
    <s v="Utah"/>
    <s v="Decaf"/>
    <n v="20"/>
    <n v="70"/>
    <n v="60"/>
    <n v="90"/>
    <n v="45"/>
    <n v="447"/>
    <n v="69"/>
    <n v="14"/>
    <n v="23"/>
    <n v="114"/>
    <n v="1.2666666666666666"/>
    <n v="0.38333333333333336"/>
    <n v="2.25"/>
  </r>
  <r>
    <n v="435"/>
    <x v="9"/>
    <s v="West"/>
    <s v="Small Market"/>
    <s v="Mint"/>
    <s v="Herbal Tea"/>
    <s v="Utah"/>
    <s v="Decaf"/>
    <n v="60"/>
    <n v="20"/>
    <n v="0"/>
    <n v="80"/>
    <n v="86"/>
    <n v="1698"/>
    <n v="23"/>
    <n v="26"/>
    <n v="-27"/>
    <n v="109"/>
    <n v="1.3625"/>
    <m/>
    <n v="1.4333333333333333"/>
  </r>
  <r>
    <n v="801"/>
    <x v="9"/>
    <s v="West"/>
    <s v="Small Market"/>
    <s v="Darjeeling"/>
    <s v="Tea"/>
    <s v="Utah"/>
    <s v="Regular"/>
    <n v="10"/>
    <n v="40"/>
    <n v="20"/>
    <n v="50"/>
    <n v="45"/>
    <n v="320"/>
    <n v="64"/>
    <n v="41"/>
    <n v="-6"/>
    <n v="109"/>
    <n v="2.1800000000000002"/>
    <n v="-0.3"/>
    <n v="4.5"/>
  </r>
  <r>
    <n v="435"/>
    <x v="9"/>
    <s v="West"/>
    <s v="Small Market"/>
    <s v="Earl Grey"/>
    <s v="Tea"/>
    <s v="Utah"/>
    <s v="Regular"/>
    <n v="10"/>
    <n v="30"/>
    <n v="20"/>
    <n v="40"/>
    <n v="39"/>
    <n v="244"/>
    <n v="53"/>
    <n v="12"/>
    <n v="14"/>
    <n v="92"/>
    <n v="2.2999999999999998"/>
    <n v="0.7"/>
    <n v="3.9"/>
  </r>
  <r>
    <n v="435"/>
    <x v="9"/>
    <s v="West"/>
    <s v="Small Market"/>
    <s v="Green Tea"/>
    <s v="Tea"/>
    <s v="Utah"/>
    <s v="Regular"/>
    <n v="0"/>
    <n v="20"/>
    <n v="10"/>
    <n v="20"/>
    <n v="25"/>
    <n v="209"/>
    <n v="31"/>
    <n v="9"/>
    <n v="-12"/>
    <n v="56"/>
    <n v="2.8"/>
    <n v="-1.2"/>
    <m/>
  </r>
  <r>
    <n v="435"/>
    <x v="9"/>
    <s v="West"/>
    <s v="Small Market"/>
    <s v="Amaretto"/>
    <s v="Coffee"/>
    <s v="Utah"/>
    <s v="Regular"/>
    <n v="90"/>
    <n v="110"/>
    <n v="90"/>
    <n v="200"/>
    <n v="65"/>
    <n v="1053"/>
    <n v="77"/>
    <n v="20"/>
    <n v="36"/>
    <n v="142"/>
    <n v="0.71"/>
    <n v="0.4"/>
    <n v="0.72222222222222221"/>
  </r>
  <r>
    <n v="435"/>
    <x v="9"/>
    <s v="West"/>
    <s v="Small Market"/>
    <s v="Columbian"/>
    <s v="Coffee"/>
    <s v="Utah"/>
    <s v="Regular"/>
    <n v="50"/>
    <n v="100"/>
    <n v="80"/>
    <n v="150"/>
    <n v="47"/>
    <n v="375"/>
    <n v="64"/>
    <n v="15"/>
    <n v="22"/>
    <n v="111"/>
    <n v="0.74"/>
    <n v="0.27500000000000002"/>
    <n v="0.94"/>
  </r>
  <r>
    <n v="435"/>
    <x v="9"/>
    <s v="West"/>
    <s v="Small Market"/>
    <s v="Decaf Irish Cream"/>
    <s v="Coffee"/>
    <s v="Utah"/>
    <s v="Decaf"/>
    <n v="100"/>
    <n v="160"/>
    <n v="120"/>
    <n v="260"/>
    <n v="79"/>
    <n v="593"/>
    <n v="98"/>
    <n v="30"/>
    <n v="34"/>
    <n v="177"/>
    <n v="0.68076923076923079"/>
    <n v="0.28333333333333333"/>
    <n v="0.79"/>
  </r>
  <r>
    <n v="801"/>
    <x v="9"/>
    <s v="West"/>
    <s v="Small Market"/>
    <s v="Caffe Latte"/>
    <s v="Espresso"/>
    <s v="Utah"/>
    <s v="Regular"/>
    <n v="20"/>
    <n v="40"/>
    <n v="40"/>
    <n v="60"/>
    <n v="32"/>
    <n v="833"/>
    <n v="47"/>
    <n v="8"/>
    <n v="28"/>
    <n v="79"/>
    <n v="1.3166666666666667"/>
    <n v="0.7"/>
    <n v="1.6"/>
  </r>
  <r>
    <n v="801"/>
    <x v="9"/>
    <s v="West"/>
    <s v="Small Market"/>
    <s v="Caffe Mocha"/>
    <s v="Espresso"/>
    <s v="Utah"/>
    <s v="Regular"/>
    <n v="80"/>
    <n v="130"/>
    <n v="110"/>
    <n v="210"/>
    <n v="103"/>
    <n v="564"/>
    <n v="133"/>
    <n v="33"/>
    <n v="87"/>
    <n v="236"/>
    <n v="1.1238095238095238"/>
    <n v="0.79090909090909089"/>
    <n v="1.2875000000000001"/>
  </r>
  <r>
    <n v="435"/>
    <x v="9"/>
    <s v="West"/>
    <s v="Small Market"/>
    <s v="Decaf Espresso"/>
    <s v="Espresso"/>
    <s v="Utah"/>
    <s v="Decaf"/>
    <n v="20"/>
    <n v="60"/>
    <n v="60"/>
    <n v="80"/>
    <n v="40"/>
    <n v="881"/>
    <n v="59"/>
    <n v="11"/>
    <n v="37"/>
    <n v="99"/>
    <n v="1.2375"/>
    <n v="0.6166666666666667"/>
    <n v="2"/>
  </r>
  <r>
    <n v="661"/>
    <x v="9"/>
    <s v="West"/>
    <s v="Major Market"/>
    <s v="Chamomile"/>
    <s v="Herbal Tea"/>
    <s v="California"/>
    <s v="Decaf"/>
    <n v="80"/>
    <n v="130"/>
    <n v="120"/>
    <n v="210"/>
    <n v="108"/>
    <n v="971"/>
    <n v="157"/>
    <n v="30"/>
    <n v="115"/>
    <n v="265"/>
    <n v="1.2619047619047619"/>
    <n v="0.95833333333333337"/>
    <n v="1.35"/>
  </r>
  <r>
    <n v="562"/>
    <x v="9"/>
    <s v="West"/>
    <s v="Major Market"/>
    <s v="Lemon"/>
    <s v="Herbal Tea"/>
    <s v="California"/>
    <s v="Decaf"/>
    <n v="190"/>
    <n v="220"/>
    <n v="170"/>
    <n v="410"/>
    <n v="239"/>
    <n v="1246"/>
    <n v="281"/>
    <n v="74"/>
    <n v="186"/>
    <n v="520"/>
    <n v="1.2682926829268293"/>
    <n v="1.0941176470588236"/>
    <n v="1.2578947368421052"/>
  </r>
  <r>
    <n v="209"/>
    <x v="9"/>
    <s v="West"/>
    <s v="Major Market"/>
    <s v="Mint"/>
    <s v="Herbal Tea"/>
    <s v="California"/>
    <s v="Decaf"/>
    <n v="20"/>
    <n v="40"/>
    <n v="40"/>
    <n v="60"/>
    <n v="39"/>
    <n v="541"/>
    <n v="51"/>
    <n v="12"/>
    <n v="26"/>
    <n v="90"/>
    <n v="1.5"/>
    <n v="0.65"/>
    <n v="1.95"/>
  </r>
  <r>
    <n v="562"/>
    <x v="9"/>
    <s v="West"/>
    <s v="Major Market"/>
    <s v="Darjeeling"/>
    <s v="Tea"/>
    <s v="California"/>
    <s v="Regular"/>
    <n v="50"/>
    <n v="90"/>
    <n v="80"/>
    <n v="140"/>
    <n v="123"/>
    <n v="915"/>
    <n v="179"/>
    <n v="34"/>
    <n v="134"/>
    <n v="302"/>
    <n v="2.157142857142857"/>
    <n v="1.675"/>
    <n v="2.46"/>
  </r>
  <r>
    <n v="209"/>
    <x v="9"/>
    <s v="West"/>
    <s v="Major Market"/>
    <s v="Earl Grey"/>
    <s v="Tea"/>
    <s v="California"/>
    <s v="Regular"/>
    <n v="30"/>
    <n v="50"/>
    <n v="50"/>
    <n v="80"/>
    <n v="76"/>
    <n v="580"/>
    <n v="111"/>
    <n v="21"/>
    <n v="79"/>
    <n v="187"/>
    <n v="2.3374999999999999"/>
    <n v="1.58"/>
    <n v="2.5333333333333332"/>
  </r>
  <r>
    <n v="562"/>
    <x v="9"/>
    <s v="West"/>
    <s v="Major Market"/>
    <s v="Green Tea"/>
    <s v="Tea"/>
    <s v="California"/>
    <s v="Regular"/>
    <n v="20"/>
    <n v="60"/>
    <n v="50"/>
    <n v="80"/>
    <n v="72"/>
    <n v="650"/>
    <n v="110"/>
    <n v="23"/>
    <n v="56"/>
    <n v="182"/>
    <n v="2.2749999999999999"/>
    <n v="1.1200000000000001"/>
    <n v="3.6"/>
  </r>
  <r>
    <n v="818"/>
    <x v="9"/>
    <s v="West"/>
    <s v="Major Market"/>
    <s v="Amaretto"/>
    <s v="Coffee"/>
    <s v="California"/>
    <s v="Regular"/>
    <n v="170"/>
    <n v="-20"/>
    <n v="-60"/>
    <n v="150"/>
    <n v="122"/>
    <n v="2555"/>
    <n v="-13"/>
    <n v="39"/>
    <n v="-74"/>
    <n v="109"/>
    <n v="0.72666666666666668"/>
    <n v="1.2333333333333334"/>
    <n v="0.71764705882352942"/>
  </r>
  <r>
    <n v="626"/>
    <x v="9"/>
    <s v="West"/>
    <s v="Major Market"/>
    <s v="Columbian"/>
    <s v="Coffee"/>
    <s v="California"/>
    <s v="Regular"/>
    <n v="380"/>
    <n v="580"/>
    <n v="470"/>
    <n v="960"/>
    <n v="260"/>
    <n v="2548"/>
    <n v="390"/>
    <n v="91"/>
    <n v="247"/>
    <n v="650"/>
    <n v="0.67708333333333337"/>
    <n v="0.52553191489361706"/>
    <n v="0.68421052631578949"/>
  </r>
  <r>
    <n v="951"/>
    <x v="9"/>
    <s v="West"/>
    <s v="Major Market"/>
    <s v="Decaf Irish Cream"/>
    <s v="Coffee"/>
    <s v="California"/>
    <s v="Decaf"/>
    <n v="220"/>
    <n v="-30"/>
    <n v="-100"/>
    <n v="190"/>
    <n v="154"/>
    <n v="3654"/>
    <n v="-24"/>
    <n v="50"/>
    <n v="-117"/>
    <n v="130"/>
    <n v="0.68421052631578949"/>
    <n v="1.17"/>
    <n v="0.7"/>
  </r>
  <r>
    <n v="562"/>
    <x v="9"/>
    <s v="West"/>
    <s v="Major Market"/>
    <s v="Caffe Latte"/>
    <s v="Espresso"/>
    <s v="California"/>
    <s v="Regular"/>
    <n v="210"/>
    <n v="220"/>
    <n v="160"/>
    <n v="430"/>
    <n v="239"/>
    <n v="1755"/>
    <n v="239"/>
    <n v="66"/>
    <n v="149"/>
    <n v="478"/>
    <n v="1.1116279069767443"/>
    <n v="0.93125000000000002"/>
    <n v="1.138095238095238"/>
  </r>
  <r>
    <n v="562"/>
    <x v="9"/>
    <s v="West"/>
    <s v="Major Market"/>
    <s v="Caffe Mocha"/>
    <s v="Espresso"/>
    <s v="California"/>
    <s v="Regular"/>
    <n v="110"/>
    <n v="160"/>
    <n v="50"/>
    <n v="270"/>
    <n v="125"/>
    <n v="898"/>
    <n v="173"/>
    <n v="113"/>
    <n v="27"/>
    <n v="298"/>
    <n v="1.1037037037037036"/>
    <n v="0.54"/>
    <n v="1.1363636363636365"/>
  </r>
  <r>
    <n v="714"/>
    <x v="9"/>
    <s v="West"/>
    <s v="Major Market"/>
    <s v="Decaf Espresso"/>
    <s v="Espresso"/>
    <s v="California"/>
    <s v="Decaf"/>
    <n v="230"/>
    <n v="320"/>
    <n v="240"/>
    <n v="550"/>
    <n v="257"/>
    <n v="1662"/>
    <n v="341"/>
    <n v="84"/>
    <n v="225"/>
    <n v="598"/>
    <n v="1.0872727272727272"/>
    <n v="0.9375"/>
    <n v="1.1173913043478261"/>
  </r>
  <r>
    <n v="775"/>
    <x v="9"/>
    <s v="West"/>
    <s v="Small Market"/>
    <s v="Chamomile"/>
    <s v="Herbal Tea"/>
    <s v="Nevada"/>
    <s v="Decaf"/>
    <n v="90"/>
    <n v="150"/>
    <n v="60"/>
    <n v="240"/>
    <n v="125"/>
    <n v="898"/>
    <n v="173"/>
    <n v="113"/>
    <n v="26"/>
    <n v="298"/>
    <n v="1.2416666666666667"/>
    <n v="0.43333333333333335"/>
    <n v="1.3888888888888888"/>
  </r>
  <r>
    <n v="702"/>
    <x v="9"/>
    <s v="West"/>
    <s v="Small Market"/>
    <s v="Lemon"/>
    <s v="Herbal Tea"/>
    <s v="Nevada"/>
    <s v="Decaf"/>
    <n v="120"/>
    <n v="170"/>
    <n v="120"/>
    <n v="290"/>
    <n v="154"/>
    <n v="1132"/>
    <n v="213"/>
    <n v="50"/>
    <n v="120"/>
    <n v="367"/>
    <n v="1.2655172413793103"/>
    <n v="1"/>
    <n v="1.2833333333333334"/>
  </r>
  <r>
    <n v="702"/>
    <x v="9"/>
    <s v="West"/>
    <s v="Small Market"/>
    <s v="Mint"/>
    <s v="Herbal Tea"/>
    <s v="Nevada"/>
    <s v="Decaf"/>
    <n v="90"/>
    <n v="150"/>
    <n v="130"/>
    <n v="240"/>
    <n v="122"/>
    <n v="789"/>
    <n v="176"/>
    <n v="39"/>
    <n v="114"/>
    <n v="298"/>
    <n v="1.2416666666666667"/>
    <n v="0.87692307692307692"/>
    <n v="1.3555555555555556"/>
  </r>
  <r>
    <n v="702"/>
    <x v="9"/>
    <s v="West"/>
    <s v="Small Market"/>
    <s v="Darjeeling"/>
    <s v="Tea"/>
    <s v="Nevada"/>
    <s v="Regular"/>
    <n v="110"/>
    <n v="180"/>
    <n v="130"/>
    <n v="290"/>
    <n v="257"/>
    <n v="1662"/>
    <n v="341"/>
    <n v="84"/>
    <n v="224"/>
    <n v="598"/>
    <n v="2.0620689655172413"/>
    <n v="1.7230769230769232"/>
    <n v="2.3363636363636364"/>
  </r>
  <r>
    <n v="775"/>
    <x v="9"/>
    <s v="West"/>
    <s v="Small Market"/>
    <s v="Earl Grey"/>
    <s v="Tea"/>
    <s v="Nevada"/>
    <s v="Regular"/>
    <n v="110"/>
    <n v="120"/>
    <n v="80"/>
    <n v="230"/>
    <n v="239"/>
    <n v="1755"/>
    <n v="239"/>
    <n v="66"/>
    <n v="149"/>
    <n v="478"/>
    <n v="2.0782608695652174"/>
    <n v="1.8625"/>
    <n v="2.1727272727272728"/>
  </r>
  <r>
    <n v="702"/>
    <x v="9"/>
    <s v="West"/>
    <s v="Small Market"/>
    <s v="Green Tea"/>
    <s v="Tea"/>
    <s v="Nevada"/>
    <s v="Regular"/>
    <n v="110"/>
    <n v="-110"/>
    <n v="-170"/>
    <n v="0"/>
    <n v="255"/>
    <n v="7058"/>
    <n v="-255"/>
    <n v="96"/>
    <n v="-363"/>
    <n v="21"/>
    <m/>
    <n v="2.1352941176470588"/>
    <n v="2.3181818181818183"/>
  </r>
  <r>
    <n v="775"/>
    <x v="9"/>
    <s v="West"/>
    <s v="Small Market"/>
    <s v="Columbian"/>
    <s v="Coffee"/>
    <s v="Nevada"/>
    <s v="Regular"/>
    <n v="40"/>
    <n v="60"/>
    <n v="30"/>
    <n v="100"/>
    <n v="34"/>
    <n v="240"/>
    <n v="43"/>
    <n v="12"/>
    <n v="-2"/>
    <n v="77"/>
    <n v="0.77"/>
    <n v="-6.6666666666666666E-2"/>
    <n v="0.85"/>
  </r>
  <r>
    <n v="775"/>
    <x v="9"/>
    <s v="West"/>
    <s v="Small Market"/>
    <s v="Decaf Irish Cream"/>
    <s v="Coffee"/>
    <s v="Nevada"/>
    <s v="Decaf"/>
    <n v="30"/>
    <n v="60"/>
    <n v="50"/>
    <n v="90"/>
    <n v="31"/>
    <n v="1000"/>
    <n v="37"/>
    <n v="9"/>
    <n v="7"/>
    <n v="68"/>
    <n v="0.75555555555555554"/>
    <n v="0.14000000000000001"/>
    <n v="1.0333333333333334"/>
  </r>
  <r>
    <n v="702"/>
    <x v="9"/>
    <s v="West"/>
    <s v="Small Market"/>
    <s v="Caffe Latte"/>
    <s v="Espresso"/>
    <s v="Nevada"/>
    <s v="Regular"/>
    <n v="0"/>
    <n v="30"/>
    <n v="30"/>
    <n v="30"/>
    <n v="0"/>
    <n v="430"/>
    <n v="43"/>
    <n v="0"/>
    <n v="32"/>
    <n v="43"/>
    <n v="1.4333333333333333"/>
    <n v="1.0666666666666667"/>
    <m/>
  </r>
  <r>
    <n v="702"/>
    <x v="9"/>
    <s v="West"/>
    <s v="Small Market"/>
    <s v="Caffe Mocha"/>
    <s v="Espresso"/>
    <s v="Nevada"/>
    <s v="Regular"/>
    <n v="10"/>
    <n v="20"/>
    <n v="20"/>
    <n v="30"/>
    <n v="21"/>
    <n v="846"/>
    <n v="31"/>
    <n v="5"/>
    <n v="14"/>
    <n v="52"/>
    <n v="1.7333333333333334"/>
    <n v="0.7"/>
    <n v="2.1"/>
  </r>
  <r>
    <n v="702"/>
    <x v="9"/>
    <s v="West"/>
    <s v="Small Market"/>
    <s v="Decaf Espresso"/>
    <s v="Espresso"/>
    <s v="Nevada"/>
    <s v="Decaf"/>
    <n v="10"/>
    <n v="30"/>
    <n v="30"/>
    <n v="40"/>
    <n v="23"/>
    <n v="800"/>
    <n v="35"/>
    <n v="6"/>
    <n v="17"/>
    <n v="58"/>
    <n v="1.45"/>
    <n v="0.56666666666666665"/>
    <n v="2.2999999999999998"/>
  </r>
  <r>
    <n v="971"/>
    <x v="9"/>
    <s v="West"/>
    <s v="Small Market"/>
    <s v="Chamomile"/>
    <s v="Herbal Tea"/>
    <s v="Oregon"/>
    <s v="Decaf"/>
    <n v="10"/>
    <n v="30"/>
    <n v="30"/>
    <n v="40"/>
    <n v="25"/>
    <n v="820"/>
    <n v="36"/>
    <n v="7"/>
    <n v="17"/>
    <n v="61"/>
    <n v="1.5249999999999999"/>
    <n v="0.56666666666666665"/>
    <n v="2.5"/>
  </r>
  <r>
    <n v="971"/>
    <x v="9"/>
    <s v="West"/>
    <s v="Small Market"/>
    <s v="Lemon"/>
    <s v="Herbal Tea"/>
    <s v="Oregon"/>
    <s v="Decaf"/>
    <n v="60"/>
    <n v="100"/>
    <n v="90"/>
    <n v="160"/>
    <n v="90"/>
    <n v="572"/>
    <n v="115"/>
    <n v="29"/>
    <n v="73"/>
    <n v="205"/>
    <n v="1.28125"/>
    <n v="0.81111111111111112"/>
    <n v="1.5"/>
  </r>
  <r>
    <n v="541"/>
    <x v="9"/>
    <s v="West"/>
    <s v="Small Market"/>
    <s v="Darjeeling"/>
    <s v="Tea"/>
    <s v="Oregon"/>
    <s v="Regular"/>
    <n v="0"/>
    <n v="20"/>
    <n v="20"/>
    <n v="20"/>
    <n v="21"/>
    <n v="480"/>
    <n v="32"/>
    <n v="5"/>
    <n v="16"/>
    <n v="53"/>
    <n v="2.65"/>
    <n v="0.8"/>
    <m/>
  </r>
  <r>
    <n v="971"/>
    <x v="9"/>
    <s v="West"/>
    <s v="Small Market"/>
    <s v="Earl Grey"/>
    <s v="Tea"/>
    <s v="Oregon"/>
    <s v="Regular"/>
    <n v="30"/>
    <n v="60"/>
    <n v="50"/>
    <n v="90"/>
    <n v="82"/>
    <n v="788"/>
    <n v="123"/>
    <n v="27"/>
    <n v="64"/>
    <n v="205"/>
    <n v="2.2777777777777777"/>
    <n v="1.28"/>
    <n v="2.7333333333333334"/>
  </r>
  <r>
    <n v="971"/>
    <x v="9"/>
    <s v="West"/>
    <s v="Small Market"/>
    <s v="Green Tea"/>
    <s v="Tea"/>
    <s v="Oregon"/>
    <s v="Regular"/>
    <n v="40"/>
    <n v="60"/>
    <n v="50"/>
    <n v="100"/>
    <n v="91"/>
    <n v="656"/>
    <n v="127"/>
    <n v="28"/>
    <n v="76"/>
    <n v="218"/>
    <n v="2.1800000000000002"/>
    <n v="1.52"/>
    <n v="2.2749999999999999"/>
  </r>
  <r>
    <n v="971"/>
    <x v="9"/>
    <s v="West"/>
    <s v="Small Market"/>
    <s v="Amaretto"/>
    <s v="Coffee"/>
    <s v="Oregon"/>
    <s v="Regular"/>
    <n v="70"/>
    <n v="100"/>
    <n v="50"/>
    <n v="170"/>
    <n v="51"/>
    <n v="503"/>
    <n v="71"/>
    <n v="46"/>
    <n v="-5"/>
    <n v="122"/>
    <n v="0.71764705882352942"/>
    <n v="-0.1"/>
    <n v="0.72857142857142854"/>
  </r>
  <r>
    <n v="971"/>
    <x v="9"/>
    <s v="West"/>
    <s v="Small Market"/>
    <s v="Columbian"/>
    <s v="Coffee"/>
    <s v="Oregon"/>
    <s v="Regular"/>
    <n v="80"/>
    <n v="130"/>
    <n v="90"/>
    <n v="210"/>
    <n v="60"/>
    <n v="463"/>
    <n v="84"/>
    <n v="19"/>
    <n v="21"/>
    <n v="144"/>
    <n v="0.68571428571428572"/>
    <n v="0.23333333333333334"/>
    <n v="0.75"/>
  </r>
  <r>
    <n v="971"/>
    <x v="9"/>
    <s v="West"/>
    <s v="Small Market"/>
    <s v="Decaf Irish Cream"/>
    <s v="Coffee"/>
    <s v="Oregon"/>
    <s v="Decaf"/>
    <n v="50"/>
    <n v="100"/>
    <n v="80"/>
    <n v="150"/>
    <n v="43"/>
    <n v="419"/>
    <n v="64"/>
    <n v="13"/>
    <n v="29"/>
    <n v="107"/>
    <n v="0.71333333333333337"/>
    <n v="0.36249999999999999"/>
    <n v="0.86"/>
  </r>
  <r>
    <n v="503"/>
    <x v="9"/>
    <s v="West"/>
    <s v="Small Market"/>
    <s v="Caffe Latte"/>
    <s v="Espresso"/>
    <s v="Oregon"/>
    <s v="Regular"/>
    <n v="40"/>
    <n v="60"/>
    <n v="40"/>
    <n v="100"/>
    <n v="54"/>
    <n v="404"/>
    <n v="66"/>
    <n v="20"/>
    <n v="12"/>
    <n v="120"/>
    <n v="1.2"/>
    <n v="0.3"/>
    <n v="1.35"/>
  </r>
  <r>
    <n v="971"/>
    <x v="9"/>
    <s v="West"/>
    <s v="Small Market"/>
    <s v="Caffe Mocha"/>
    <s v="Espresso"/>
    <s v="Oregon"/>
    <s v="Regular"/>
    <n v="30"/>
    <n v="70"/>
    <n v="60"/>
    <n v="100"/>
    <n v="52"/>
    <n v="405"/>
    <n v="71"/>
    <n v="17"/>
    <n v="27"/>
    <n v="123"/>
    <n v="1.23"/>
    <n v="0.45"/>
    <n v="1.7333333333333334"/>
  </r>
  <r>
    <n v="503"/>
    <x v="9"/>
    <s v="West"/>
    <s v="Small Market"/>
    <s v="Decaf Espresso"/>
    <s v="Espresso"/>
    <s v="Oregon"/>
    <s v="Decaf"/>
    <n v="140"/>
    <n v="150"/>
    <n v="110"/>
    <n v="290"/>
    <n v="161"/>
    <n v="1267"/>
    <n v="161"/>
    <n v="45"/>
    <n v="91"/>
    <n v="322"/>
    <n v="1.1103448275862069"/>
    <n v="0.82727272727272727"/>
    <n v="1.1499999999999999"/>
  </r>
  <r>
    <n v="206"/>
    <x v="9"/>
    <s v="West"/>
    <s v="Small Market"/>
    <s v="Chamomile"/>
    <s v="Herbal Tea"/>
    <s v="Washington"/>
    <s v="Decaf"/>
    <n v="90"/>
    <n v="160"/>
    <n v="130"/>
    <n v="250"/>
    <n v="125"/>
    <n v="1119"/>
    <n v="188"/>
    <n v="41"/>
    <n v="115"/>
    <n v="313"/>
    <n v="1.252"/>
    <n v="0.88461538461538458"/>
    <n v="1.3888888888888888"/>
  </r>
  <r>
    <n v="425"/>
    <x v="9"/>
    <s v="West"/>
    <s v="Small Market"/>
    <s v="Lemon"/>
    <s v="Herbal Tea"/>
    <s v="Washington"/>
    <s v="Decaf"/>
    <n v="30"/>
    <n v="60"/>
    <n v="60"/>
    <n v="90"/>
    <n v="48"/>
    <n v="829"/>
    <n v="71"/>
    <n v="13"/>
    <n v="47"/>
    <n v="119"/>
    <n v="1.3222222222222222"/>
    <n v="0.78333333333333333"/>
    <n v="1.6"/>
  </r>
  <r>
    <n v="206"/>
    <x v="9"/>
    <s v="West"/>
    <s v="Small Market"/>
    <s v="Darjeeling"/>
    <s v="Tea"/>
    <s v="Washington"/>
    <s v="Regular"/>
    <n v="20"/>
    <n v="50"/>
    <n v="40"/>
    <n v="70"/>
    <n v="60"/>
    <n v="329"/>
    <n v="99"/>
    <n v="18"/>
    <n v="57"/>
    <n v="159"/>
    <n v="2.2714285714285714"/>
    <n v="1.425"/>
    <n v="3"/>
  </r>
  <r>
    <n v="360"/>
    <x v="9"/>
    <s v="West"/>
    <s v="Small Market"/>
    <s v="Earl Grey"/>
    <s v="Tea"/>
    <s v="Washington"/>
    <s v="Regular"/>
    <n v="20"/>
    <n v="30"/>
    <n v="30"/>
    <n v="50"/>
    <n v="46"/>
    <n v="449"/>
    <n v="67"/>
    <n v="14"/>
    <n v="31"/>
    <n v="113"/>
    <n v="2.2599999999999998"/>
    <n v="1.0333333333333334"/>
    <n v="2.2999999999999998"/>
  </r>
  <r>
    <n v="206"/>
    <x v="9"/>
    <s v="West"/>
    <s v="Small Market"/>
    <s v="Green Tea"/>
    <s v="Tea"/>
    <s v="Washington"/>
    <s v="Regular"/>
    <n v="20"/>
    <n v="40"/>
    <n v="10"/>
    <n v="60"/>
    <n v="60"/>
    <n v="606"/>
    <n v="84"/>
    <n v="54"/>
    <n v="0"/>
    <n v="144"/>
    <n v="2.4"/>
    <n v="0"/>
    <n v="3"/>
  </r>
  <r>
    <n v="206"/>
    <x v="9"/>
    <s v="West"/>
    <s v="Small Market"/>
    <s v="Columbian"/>
    <s v="Coffee"/>
    <s v="Washington"/>
    <s v="Regular"/>
    <n v="90"/>
    <n v="140"/>
    <n v="110"/>
    <n v="230"/>
    <n v="68"/>
    <n v="438"/>
    <n v="99"/>
    <n v="21"/>
    <n v="56"/>
    <n v="167"/>
    <n v="0.72608695652173916"/>
    <n v="0.50909090909090904"/>
    <n v="0.75555555555555554"/>
  </r>
  <r>
    <n v="425"/>
    <x v="9"/>
    <s v="West"/>
    <s v="Small Market"/>
    <s v="Decaf Irish Cream"/>
    <s v="Coffee"/>
    <s v="Washington"/>
    <s v="Decaf"/>
    <n v="140"/>
    <n v="190"/>
    <n v="100"/>
    <n v="330"/>
    <n v="96"/>
    <n v="683"/>
    <n v="134"/>
    <n v="87"/>
    <n v="17"/>
    <n v="230"/>
    <n v="0.69696969696969702"/>
    <n v="0.17"/>
    <n v="0.68571428571428572"/>
  </r>
  <r>
    <n v="206"/>
    <x v="9"/>
    <s v="West"/>
    <s v="Small Market"/>
    <s v="Caffe Latte"/>
    <s v="Espresso"/>
    <s v="Washington"/>
    <s v="Regular"/>
    <n v="10"/>
    <n v="20"/>
    <n v="20"/>
    <n v="30"/>
    <n v="22"/>
    <n v="573"/>
    <n v="29"/>
    <n v="7"/>
    <n v="10"/>
    <n v="51"/>
    <n v="1.7"/>
    <n v="0.5"/>
    <n v="2.2000000000000002"/>
  </r>
  <r>
    <n v="253"/>
    <x v="9"/>
    <s v="West"/>
    <s v="Small Market"/>
    <s v="Caffe Mocha"/>
    <s v="Espresso"/>
    <s v="Washington"/>
    <s v="Regular"/>
    <n v="40"/>
    <n v="70"/>
    <n v="50"/>
    <n v="110"/>
    <n v="56"/>
    <n v="385"/>
    <n v="70"/>
    <n v="21"/>
    <n v="16"/>
    <n v="126"/>
    <n v="1.1454545454545455"/>
    <n v="0.32"/>
    <n v="1.4"/>
  </r>
  <r>
    <n v="253"/>
    <x v="9"/>
    <s v="West"/>
    <s v="Small Market"/>
    <s v="Decaf Espresso"/>
    <s v="Espresso"/>
    <s v="Washington"/>
    <s v="Decaf"/>
    <n v="60"/>
    <n v="90"/>
    <n v="80"/>
    <n v="150"/>
    <n v="80"/>
    <n v="1055"/>
    <n v="94"/>
    <n v="24"/>
    <n v="48"/>
    <n v="174"/>
    <n v="1.1599999999999999"/>
    <n v="0.6"/>
    <n v="1.3333333333333333"/>
  </r>
  <r>
    <n v="719"/>
    <x v="10"/>
    <s v="Central"/>
    <s v="Major Market"/>
    <s v="Green Tea"/>
    <s v="Tea"/>
    <s v="Colorado"/>
    <s v="Regular"/>
    <n v="70"/>
    <n v="90"/>
    <n v="60"/>
    <n v="160"/>
    <n v="88"/>
    <n v="561"/>
    <n v="112"/>
    <n v="29"/>
    <n v="70"/>
    <n v="200"/>
    <n v="1.25"/>
    <n v="1.1666666666666667"/>
    <n v="1.2571428571428571"/>
  </r>
  <r>
    <n v="970"/>
    <x v="10"/>
    <s v="Central"/>
    <s v="Major Market"/>
    <s v="Chamomile"/>
    <s v="Herbal Tea"/>
    <s v="Colorado"/>
    <s v="Decaf"/>
    <n v="170"/>
    <n v="160"/>
    <n v="100"/>
    <n v="330"/>
    <n v="181"/>
    <n v="1283"/>
    <n v="182"/>
    <n v="50"/>
    <n v="107"/>
    <n v="363"/>
    <n v="1.1000000000000001"/>
    <n v="1.07"/>
    <n v="1.0647058823529412"/>
  </r>
  <r>
    <n v="303"/>
    <x v="10"/>
    <s v="Central"/>
    <s v="Major Market"/>
    <s v="Lemon"/>
    <s v="Herbal Tea"/>
    <s v="Colorado"/>
    <s v="Decaf"/>
    <n v="40"/>
    <n v="70"/>
    <n v="10"/>
    <n v="110"/>
    <n v="52"/>
    <n v="509"/>
    <n v="73"/>
    <n v="47"/>
    <n v="-4"/>
    <n v="125"/>
    <n v="1.1363636363636365"/>
    <n v="-0.4"/>
    <n v="1.3"/>
  </r>
  <r>
    <n v="720"/>
    <x v="10"/>
    <s v="Central"/>
    <s v="Major Market"/>
    <s v="Mint"/>
    <s v="Herbal Tea"/>
    <s v="Colorado"/>
    <s v="Decaf"/>
    <n v="50"/>
    <n v="70"/>
    <n v="40"/>
    <n v="120"/>
    <n v="59"/>
    <n v="411"/>
    <n v="79"/>
    <n v="19"/>
    <n v="32"/>
    <n v="138"/>
    <n v="1.1499999999999999"/>
    <n v="0.8"/>
    <n v="1.18"/>
  </r>
  <r>
    <n v="719"/>
    <x v="10"/>
    <s v="Central"/>
    <s v="Major Market"/>
    <s v="Darjeeling"/>
    <s v="Tea"/>
    <s v="Colorado"/>
    <s v="Regular"/>
    <n v="40"/>
    <n v="60"/>
    <n v="20"/>
    <n v="100"/>
    <n v="55"/>
    <n v="410"/>
    <n v="69"/>
    <n v="20"/>
    <n v="15"/>
    <n v="124"/>
    <n v="1.24"/>
    <n v="0.75"/>
    <n v="1.375"/>
  </r>
  <r>
    <n v="719"/>
    <x v="10"/>
    <s v="Central"/>
    <s v="Major Market"/>
    <s v="Earl Grey"/>
    <s v="Tea"/>
    <s v="Colorado"/>
    <s v="Regular"/>
    <n v="40"/>
    <n v="60"/>
    <n v="30"/>
    <n v="100"/>
    <n v="57"/>
    <n v="1042"/>
    <n v="68"/>
    <n v="17"/>
    <n v="29"/>
    <n v="125"/>
    <n v="1.25"/>
    <n v="0.96666666666666667"/>
    <n v="1.425"/>
  </r>
  <r>
    <n v="303"/>
    <x v="10"/>
    <s v="Central"/>
    <s v="Major Market"/>
    <s v="Decaf Espresso"/>
    <s v="Espresso"/>
    <s v="Colorado"/>
    <s v="Decaf"/>
    <n v="90"/>
    <n v="150"/>
    <n v="100"/>
    <n v="240"/>
    <n v="75"/>
    <n v="659"/>
    <n v="114"/>
    <n v="24"/>
    <n v="58"/>
    <n v="189"/>
    <n v="0.78749999999999998"/>
    <n v="0.57999999999999996"/>
    <n v="0.83333333333333337"/>
  </r>
  <r>
    <n v="303"/>
    <x v="10"/>
    <s v="Central"/>
    <s v="Major Market"/>
    <s v="Caffe Mocha"/>
    <s v="Espresso"/>
    <s v="Colorado"/>
    <s v="Regular"/>
    <n v="60"/>
    <n v="90"/>
    <n v="70"/>
    <n v="150"/>
    <n v="50"/>
    <n v="589"/>
    <n v="73"/>
    <n v="14"/>
    <n v="48"/>
    <n v="123"/>
    <n v="0.82"/>
    <n v="0.68571428571428572"/>
    <n v="0.83333333333333337"/>
  </r>
  <r>
    <n v="970"/>
    <x v="10"/>
    <s v="Central"/>
    <s v="Major Market"/>
    <s v="Decaf Irish Cream"/>
    <s v="Coffee"/>
    <s v="Colorado"/>
    <s v="Decaf"/>
    <n v="80"/>
    <n v="110"/>
    <n v="80"/>
    <n v="190"/>
    <n v="81"/>
    <n v="984"/>
    <n v="117"/>
    <n v="22"/>
    <n v="84"/>
    <n v="198"/>
    <n v="1.0421052631578946"/>
    <n v="1.05"/>
    <n v="1.0125"/>
  </r>
  <r>
    <n v="970"/>
    <x v="10"/>
    <s v="Central"/>
    <s v="Major Market"/>
    <s v="Amaretto"/>
    <s v="Coffee"/>
    <s v="Colorado"/>
    <s v="Regular"/>
    <n v="110"/>
    <n v="170"/>
    <n v="130"/>
    <n v="280"/>
    <n v="118"/>
    <n v="930"/>
    <n v="172"/>
    <n v="33"/>
    <n v="128"/>
    <n v="290"/>
    <n v="1.0357142857142858"/>
    <n v="0.98461538461538467"/>
    <n v="1.0727272727272728"/>
  </r>
  <r>
    <n v="970"/>
    <x v="10"/>
    <s v="Central"/>
    <s v="Major Market"/>
    <s v="Columbian"/>
    <s v="Coffee"/>
    <s v="Colorado"/>
    <s v="Regular"/>
    <n v="30"/>
    <n v="60"/>
    <n v="40"/>
    <n v="90"/>
    <n v="40"/>
    <n v="536"/>
    <n v="52"/>
    <n v="13"/>
    <n v="27"/>
    <n v="92"/>
    <n v="1.0222222222222221"/>
    <n v="0.67500000000000004"/>
    <n v="1.3333333333333333"/>
  </r>
  <r>
    <n v="312"/>
    <x v="10"/>
    <s v="Central"/>
    <s v="Major Market"/>
    <s v="Chamomile"/>
    <s v="Herbal Tea"/>
    <s v="Illinois"/>
    <s v="Decaf"/>
    <n v="110"/>
    <n v="150"/>
    <n v="110"/>
    <n v="260"/>
    <n v="118"/>
    <n v="930"/>
    <n v="172"/>
    <n v="33"/>
    <n v="127"/>
    <n v="290"/>
    <n v="1.1153846153846154"/>
    <n v="1.1545454545454545"/>
    <n v="1.0727272727272728"/>
  </r>
  <r>
    <n v="773"/>
    <x v="10"/>
    <s v="Central"/>
    <s v="Major Market"/>
    <s v="Lemon"/>
    <s v="Herbal Tea"/>
    <s v="Illinois"/>
    <s v="Decaf"/>
    <n v="30"/>
    <n v="50"/>
    <n v="30"/>
    <n v="80"/>
    <n v="40"/>
    <n v="536"/>
    <n v="52"/>
    <n v="13"/>
    <n v="27"/>
    <n v="92"/>
    <n v="1.1499999999999999"/>
    <n v="0.9"/>
    <n v="1.3333333333333333"/>
  </r>
  <r>
    <n v="630"/>
    <x v="10"/>
    <s v="Central"/>
    <s v="Major Market"/>
    <s v="Mint"/>
    <s v="Herbal Tea"/>
    <s v="Illinois"/>
    <s v="Decaf"/>
    <n v="70"/>
    <n v="110"/>
    <n v="80"/>
    <n v="180"/>
    <n v="81"/>
    <n v="984"/>
    <n v="117"/>
    <n v="22"/>
    <n v="84"/>
    <n v="198"/>
    <n v="1.1000000000000001"/>
    <n v="1.05"/>
    <n v="1.1571428571428573"/>
  </r>
  <r>
    <n v="847"/>
    <x v="10"/>
    <s v="Central"/>
    <s v="Major Market"/>
    <s v="Darjeeling"/>
    <s v="Tea"/>
    <s v="Illinois"/>
    <s v="Regular"/>
    <n v="40"/>
    <n v="60"/>
    <n v="40"/>
    <n v="100"/>
    <n v="50"/>
    <n v="589"/>
    <n v="73"/>
    <n v="14"/>
    <n v="48"/>
    <n v="123"/>
    <n v="1.23"/>
    <n v="1.2"/>
    <n v="1.25"/>
  </r>
  <r>
    <n v="630"/>
    <x v="10"/>
    <s v="Central"/>
    <s v="Major Market"/>
    <s v="Earl Grey"/>
    <s v="Tea"/>
    <s v="Illinois"/>
    <s v="Regular"/>
    <n v="60"/>
    <n v="90"/>
    <n v="50"/>
    <n v="150"/>
    <n v="75"/>
    <n v="659"/>
    <n v="114"/>
    <n v="24"/>
    <n v="59"/>
    <n v="189"/>
    <n v="1.26"/>
    <n v="1.18"/>
    <n v="1.25"/>
  </r>
  <r>
    <n v="847"/>
    <x v="10"/>
    <s v="Central"/>
    <s v="Major Market"/>
    <s v="Decaf Espresso"/>
    <s v="Espresso"/>
    <s v="Illinois"/>
    <s v="Decaf"/>
    <n v="270"/>
    <n v="270"/>
    <n v="200"/>
    <n v="540"/>
    <n v="211"/>
    <n v="1778"/>
    <n v="212"/>
    <n v="59"/>
    <n v="129"/>
    <n v="423"/>
    <n v="0.78333333333333333"/>
    <n v="0.64500000000000002"/>
    <n v="0.78148148148148144"/>
  </r>
  <r>
    <n v="224"/>
    <x v="10"/>
    <s v="Central"/>
    <s v="Major Market"/>
    <s v="Caffe Mocha"/>
    <s v="Espresso"/>
    <s v="Illinois"/>
    <s v="Regular"/>
    <n v="290"/>
    <n v="390"/>
    <n v="290"/>
    <n v="680"/>
    <n v="228"/>
    <n v="1691"/>
    <n v="304"/>
    <n v="75"/>
    <n v="196"/>
    <n v="532"/>
    <n v="0.78235294117647058"/>
    <n v="0.67586206896551726"/>
    <n v="0.78620689655172415"/>
  </r>
  <r>
    <n v="815"/>
    <x v="10"/>
    <s v="Central"/>
    <s v="Major Market"/>
    <s v="Decaf Irish Cream"/>
    <s v="Coffee"/>
    <s v="Illinois"/>
    <s v="Decaf"/>
    <n v="110"/>
    <n v="160"/>
    <n v="110"/>
    <n v="270"/>
    <n v="113"/>
    <n v="803"/>
    <n v="165"/>
    <n v="36"/>
    <n v="106"/>
    <n v="278"/>
    <n v="1.0296296296296297"/>
    <n v="0.96363636363636362"/>
    <n v="1.0272727272727273"/>
  </r>
  <r>
    <n v="815"/>
    <x v="10"/>
    <s v="Central"/>
    <s v="Major Market"/>
    <s v="Columbian"/>
    <s v="Coffee"/>
    <s v="Illinois"/>
    <s v="Regular"/>
    <n v="170"/>
    <n v="230"/>
    <n v="140"/>
    <n v="400"/>
    <n v="173"/>
    <n v="1150"/>
    <n v="239"/>
    <n v="57"/>
    <n v="139"/>
    <n v="412"/>
    <n v="1.03"/>
    <n v="0.99285714285714288"/>
    <n v="1.0176470588235293"/>
  </r>
  <r>
    <n v="712"/>
    <x v="10"/>
    <s v="Central"/>
    <s v="Small Market"/>
    <s v="Chamomile"/>
    <s v="Herbal Tea"/>
    <s v="Iowa"/>
    <s v="Decaf"/>
    <n v="210"/>
    <n v="280"/>
    <n v="180"/>
    <n v="490"/>
    <n v="228"/>
    <n v="1691"/>
    <n v="304"/>
    <n v="75"/>
    <n v="196"/>
    <n v="532"/>
    <n v="1.0857142857142856"/>
    <n v="1.0888888888888888"/>
    <n v="1.0857142857142856"/>
  </r>
  <r>
    <n v="712"/>
    <x v="10"/>
    <s v="Central"/>
    <s v="Small Market"/>
    <s v="Lemon"/>
    <s v="Herbal Tea"/>
    <s v="Iowa"/>
    <s v="Decaf"/>
    <n v="100"/>
    <n v="150"/>
    <n v="100"/>
    <n v="250"/>
    <n v="113"/>
    <n v="803"/>
    <n v="165"/>
    <n v="36"/>
    <n v="107"/>
    <n v="278"/>
    <n v="1.1120000000000001"/>
    <n v="1.07"/>
    <n v="1.1299999999999999"/>
  </r>
  <r>
    <n v="712"/>
    <x v="10"/>
    <s v="Central"/>
    <s v="Small Market"/>
    <s v="Darjeeling"/>
    <s v="Tea"/>
    <s v="Iowa"/>
    <s v="Regular"/>
    <n v="170"/>
    <n v="180"/>
    <n v="110"/>
    <n v="350"/>
    <n v="211"/>
    <n v="1778"/>
    <n v="212"/>
    <n v="59"/>
    <n v="129"/>
    <n v="423"/>
    <n v="1.2085714285714286"/>
    <n v="1.1727272727272726"/>
    <n v="1.2411764705882353"/>
  </r>
  <r>
    <n v="319"/>
    <x v="10"/>
    <s v="Central"/>
    <s v="Small Market"/>
    <s v="Earl Grey"/>
    <s v="Tea"/>
    <s v="Iowa"/>
    <s v="Regular"/>
    <n v="200"/>
    <n v="250"/>
    <n v="130"/>
    <n v="450"/>
    <n v="245"/>
    <n v="1784"/>
    <n v="300"/>
    <n v="93"/>
    <n v="173"/>
    <n v="545"/>
    <n v="1.211111111111111"/>
    <n v="1.3307692307692307"/>
    <n v="1.2250000000000001"/>
  </r>
  <r>
    <n v="515"/>
    <x v="10"/>
    <s v="Central"/>
    <s v="Small Market"/>
    <s v="Caffe Mocha"/>
    <s v="Espresso"/>
    <s v="Iowa"/>
    <s v="Regular"/>
    <n v="20"/>
    <n v="50"/>
    <n v="40"/>
    <n v="70"/>
    <n v="22"/>
    <n v="802"/>
    <n v="34"/>
    <n v="6"/>
    <n v="16"/>
    <n v="56"/>
    <n v="0.8"/>
    <n v="0.4"/>
    <n v="1.1000000000000001"/>
  </r>
  <r>
    <n v="712"/>
    <x v="10"/>
    <s v="Central"/>
    <s v="Small Market"/>
    <s v="Decaf Espresso"/>
    <s v="Espresso"/>
    <s v="Iowa"/>
    <s v="Decaf"/>
    <n v="0"/>
    <n v="50"/>
    <n v="40"/>
    <n v="50"/>
    <n v="0"/>
    <n v="387"/>
    <n v="43"/>
    <n v="0"/>
    <n v="31"/>
    <n v="43"/>
    <n v="0.86"/>
    <n v="0.77500000000000002"/>
    <m/>
  </r>
  <r>
    <n v="641"/>
    <x v="10"/>
    <s v="Central"/>
    <s v="Small Market"/>
    <s v="Decaf Irish Cream"/>
    <s v="Coffee"/>
    <s v="Iowa"/>
    <s v="Decaf"/>
    <n v="0"/>
    <n v="20"/>
    <n v="10"/>
    <n v="20"/>
    <n v="10"/>
    <n v="596"/>
    <n v="13"/>
    <n v="3"/>
    <n v="-3"/>
    <n v="23"/>
    <n v="1.1499999999999999"/>
    <n v="-0.3"/>
    <m/>
  </r>
  <r>
    <n v="563"/>
    <x v="10"/>
    <s v="Central"/>
    <s v="Small Market"/>
    <s v="Amaretto"/>
    <s v="Coffee"/>
    <s v="Iowa"/>
    <s v="Regular"/>
    <n v="10"/>
    <n v="20"/>
    <n v="10"/>
    <n v="30"/>
    <n v="15"/>
    <n v="848"/>
    <n v="24"/>
    <n v="4"/>
    <n v="8"/>
    <n v="39"/>
    <n v="1.3"/>
    <n v="0.8"/>
    <n v="1.5"/>
  </r>
  <r>
    <n v="563"/>
    <x v="10"/>
    <s v="Central"/>
    <s v="Small Market"/>
    <s v="Columbian"/>
    <s v="Coffee"/>
    <s v="Iowa"/>
    <s v="Regular"/>
    <n v="20"/>
    <n v="40"/>
    <n v="20"/>
    <n v="60"/>
    <n v="29"/>
    <n v="1003"/>
    <n v="35"/>
    <n v="8"/>
    <n v="5"/>
    <n v="64"/>
    <n v="1.0666666666666667"/>
    <n v="0.25"/>
    <n v="1.45"/>
  </r>
  <r>
    <n v="314"/>
    <x v="10"/>
    <s v="Central"/>
    <s v="Small Market"/>
    <s v="Green Tea"/>
    <s v="Tea"/>
    <s v="Missouri"/>
    <s v="Regular"/>
    <n v="20"/>
    <n v="40"/>
    <n v="0"/>
    <n v="60"/>
    <n v="33"/>
    <n v="243"/>
    <n v="41"/>
    <n v="12"/>
    <n v="-4"/>
    <n v="74"/>
    <n v="1.2333333333333334"/>
    <m/>
    <n v="1.65"/>
  </r>
  <r>
    <n v="573"/>
    <x v="10"/>
    <s v="Central"/>
    <s v="Small Market"/>
    <s v="Chamomile"/>
    <s v="Herbal Tea"/>
    <s v="Missouri"/>
    <s v="Decaf"/>
    <n v="40"/>
    <n v="50"/>
    <n v="0"/>
    <n v="90"/>
    <n v="44"/>
    <n v="325"/>
    <n v="62"/>
    <n v="40"/>
    <n v="-8"/>
    <n v="106"/>
    <n v="1.1777777777777778"/>
    <m/>
    <n v="1.1000000000000001"/>
  </r>
  <r>
    <n v="573"/>
    <x v="10"/>
    <s v="Central"/>
    <s v="Small Market"/>
    <s v="Lemon"/>
    <s v="Herbal Tea"/>
    <s v="Missouri"/>
    <s v="Decaf"/>
    <n v="70"/>
    <n v="40"/>
    <n v="0"/>
    <n v="110"/>
    <n v="82"/>
    <n v="1804"/>
    <n v="40"/>
    <n v="25"/>
    <n v="-9"/>
    <n v="122"/>
    <n v="1.1090909090909091"/>
    <m/>
    <n v="1.1714285714285715"/>
  </r>
  <r>
    <n v="417"/>
    <x v="10"/>
    <s v="Central"/>
    <s v="Small Market"/>
    <s v="Darjeeling"/>
    <s v="Tea"/>
    <s v="Missouri"/>
    <s v="Regular"/>
    <n v="20"/>
    <n v="40"/>
    <n v="10"/>
    <n v="60"/>
    <n v="35"/>
    <n v="248"/>
    <n v="47"/>
    <n v="11"/>
    <n v="9"/>
    <n v="82"/>
    <n v="1.3666666666666667"/>
    <n v="0.9"/>
    <n v="1.75"/>
  </r>
  <r>
    <n v="636"/>
    <x v="10"/>
    <s v="Central"/>
    <s v="Small Market"/>
    <s v="Earl Grey"/>
    <s v="Tea"/>
    <s v="Missouri"/>
    <s v="Regular"/>
    <n v="20"/>
    <n v="40"/>
    <n v="0"/>
    <n v="60"/>
    <n v="34"/>
    <n v="211"/>
    <n v="42"/>
    <n v="12"/>
    <n v="-3"/>
    <n v="76"/>
    <n v="1.2666666666666666"/>
    <m/>
    <n v="1.7"/>
  </r>
  <r>
    <n v="314"/>
    <x v="10"/>
    <s v="Central"/>
    <s v="Small Market"/>
    <s v="Caffe Mocha"/>
    <s v="Espresso"/>
    <s v="Missouri"/>
    <s v="Regular"/>
    <n v="60"/>
    <n v="100"/>
    <n v="80"/>
    <n v="160"/>
    <n v="54"/>
    <n v="885"/>
    <n v="78"/>
    <n v="15"/>
    <n v="51"/>
    <n v="132"/>
    <n v="0.82499999999999996"/>
    <n v="0.63749999999999996"/>
    <n v="0.9"/>
  </r>
  <r>
    <n v="314"/>
    <x v="10"/>
    <s v="Central"/>
    <s v="Small Market"/>
    <s v="Decaf Espresso"/>
    <s v="Espresso"/>
    <s v="Missouri"/>
    <s v="Decaf"/>
    <n v="40"/>
    <n v="60"/>
    <n v="50"/>
    <n v="100"/>
    <n v="33"/>
    <n v="836"/>
    <n v="48"/>
    <n v="9"/>
    <n v="27"/>
    <n v="81"/>
    <n v="0.81"/>
    <n v="0.54"/>
    <n v="0.82499999999999996"/>
  </r>
  <r>
    <n v="314"/>
    <x v="10"/>
    <s v="Central"/>
    <s v="Small Market"/>
    <s v="Decaf Irish Cream"/>
    <s v="Coffee"/>
    <s v="Missouri"/>
    <s v="Decaf"/>
    <n v="60"/>
    <n v="80"/>
    <n v="40"/>
    <n v="140"/>
    <n v="69"/>
    <n v="1060"/>
    <n v="81"/>
    <n v="21"/>
    <n v="38"/>
    <n v="150"/>
    <n v="1.0714285714285714"/>
    <n v="0.95"/>
    <n v="1.1499999999999999"/>
  </r>
  <r>
    <n v="573"/>
    <x v="10"/>
    <s v="Central"/>
    <s v="Small Market"/>
    <s v="Columbian"/>
    <s v="Coffee"/>
    <s v="Missouri"/>
    <s v="Regular"/>
    <n v="80"/>
    <n v="100"/>
    <n v="40"/>
    <n v="180"/>
    <n v="82"/>
    <n v="601"/>
    <n v="102"/>
    <n v="31"/>
    <n v="38"/>
    <n v="184"/>
    <n v="1.0222222222222221"/>
    <n v="0.95"/>
    <n v="1.0249999999999999"/>
  </r>
  <r>
    <n v="330"/>
    <x v="10"/>
    <s v="Central"/>
    <s v="Major Market"/>
    <s v="Darjeeling"/>
    <s v="Tea"/>
    <s v="Ohio"/>
    <s v="Regular"/>
    <n v="60"/>
    <n v="100"/>
    <n v="60"/>
    <n v="160"/>
    <n v="78"/>
    <n v="798"/>
    <n v="119"/>
    <n v="25"/>
    <n v="62"/>
    <n v="197"/>
    <n v="1.23125"/>
    <n v="1.0333333333333334"/>
    <n v="1.3"/>
  </r>
  <r>
    <n v="419"/>
    <x v="10"/>
    <s v="Central"/>
    <s v="Major Market"/>
    <s v="Earl Grey"/>
    <s v="Tea"/>
    <s v="Ohio"/>
    <s v="Regular"/>
    <n v="80"/>
    <n v="120"/>
    <n v="70"/>
    <n v="200"/>
    <n v="102"/>
    <n v="666"/>
    <n v="143"/>
    <n v="31"/>
    <n v="89"/>
    <n v="245"/>
    <n v="1.2250000000000001"/>
    <n v="1.2714285714285714"/>
    <n v="1.2749999999999999"/>
  </r>
  <r>
    <n v="937"/>
    <x v="10"/>
    <s v="Central"/>
    <s v="Major Market"/>
    <s v="Chamomile"/>
    <s v="Herbal Tea"/>
    <s v="Ohio"/>
    <s v="Decaf"/>
    <n v="30"/>
    <n v="40"/>
    <n v="30"/>
    <n v="70"/>
    <n v="32"/>
    <n v="482"/>
    <n v="48"/>
    <n v="8"/>
    <n v="29"/>
    <n v="80"/>
    <n v="1.1428571428571428"/>
    <n v="0.96666666666666667"/>
    <n v="1.0666666666666667"/>
  </r>
  <r>
    <n v="614"/>
    <x v="10"/>
    <s v="Central"/>
    <s v="Major Market"/>
    <s v="Lemon"/>
    <s v="Herbal Tea"/>
    <s v="Ohio"/>
    <s v="Decaf"/>
    <n v="30"/>
    <n v="50"/>
    <n v="40"/>
    <n v="80"/>
    <n v="36"/>
    <n v="862"/>
    <n v="52"/>
    <n v="10"/>
    <n v="30"/>
    <n v="88"/>
    <n v="1.1000000000000001"/>
    <n v="0.75"/>
    <n v="1.2"/>
  </r>
  <r>
    <n v="440"/>
    <x v="10"/>
    <s v="Central"/>
    <s v="Major Market"/>
    <s v="Caffe Mocha"/>
    <s v="Espresso"/>
    <s v="Ohio"/>
    <s v="Regular"/>
    <n v="230"/>
    <n v="230"/>
    <n v="170"/>
    <n v="460"/>
    <n v="181"/>
    <n v="1283"/>
    <n v="182"/>
    <n v="50"/>
    <n v="107"/>
    <n v="363"/>
    <n v="0.78913043478260869"/>
    <n v="0.62941176470588234"/>
    <n v="0.78695652173913044"/>
  </r>
  <r>
    <n v="419"/>
    <x v="10"/>
    <s v="Central"/>
    <s v="Major Market"/>
    <s v="Decaf Espresso"/>
    <s v="Espresso"/>
    <s v="Ohio"/>
    <s v="Decaf"/>
    <n v="70"/>
    <n v="80"/>
    <n v="40"/>
    <n v="150"/>
    <n v="55"/>
    <n v="410"/>
    <n v="69"/>
    <n v="20"/>
    <n v="16"/>
    <n v="124"/>
    <n v="0.82666666666666666"/>
    <n v="0.4"/>
    <n v="0.7857142857142857"/>
  </r>
  <r>
    <n v="330"/>
    <x v="10"/>
    <s v="Central"/>
    <s v="Major Market"/>
    <s v="Amaretto"/>
    <s v="Coffee"/>
    <s v="Ohio"/>
    <s v="Regular"/>
    <n v="50"/>
    <n v="80"/>
    <n v="50"/>
    <n v="130"/>
    <n v="59"/>
    <n v="411"/>
    <n v="79"/>
    <n v="19"/>
    <n v="33"/>
    <n v="138"/>
    <n v="1.0615384615384615"/>
    <n v="0.66"/>
    <n v="1.18"/>
  </r>
  <r>
    <n v="614"/>
    <x v="10"/>
    <s v="Central"/>
    <s v="Major Market"/>
    <s v="Columbian"/>
    <s v="Coffee"/>
    <s v="Ohio"/>
    <s v="Regular"/>
    <n v="40"/>
    <n v="70"/>
    <n v="40"/>
    <n v="110"/>
    <n v="46"/>
    <n v="424"/>
    <n v="68"/>
    <n v="14"/>
    <n v="32"/>
    <n v="114"/>
    <n v="1.0363636363636364"/>
    <n v="0.8"/>
    <n v="1.1499999999999999"/>
  </r>
  <r>
    <n v="567"/>
    <x v="10"/>
    <s v="Central"/>
    <s v="Major Market"/>
    <s v="Decaf Irish Cream"/>
    <s v="Coffee"/>
    <s v="Ohio"/>
    <s v="Decaf"/>
    <n v="50"/>
    <n v="70"/>
    <n v="10"/>
    <n v="120"/>
    <n v="52"/>
    <n v="509"/>
    <n v="73"/>
    <n v="47"/>
    <n v="-3"/>
    <n v="125"/>
    <n v="1.0416666666666667"/>
    <n v="-0.3"/>
    <n v="1.04"/>
  </r>
  <r>
    <n v="262"/>
    <x v="10"/>
    <s v="Central"/>
    <s v="Small Market"/>
    <s v="Darjeeling"/>
    <s v="Tea"/>
    <s v="Wisconsin"/>
    <s v="Regular"/>
    <n v="40"/>
    <n v="50"/>
    <n v="20"/>
    <n v="90"/>
    <n v="49"/>
    <n v="454"/>
    <n v="71"/>
    <n v="15"/>
    <n v="33"/>
    <n v="120"/>
    <n v="1.3333333333333333"/>
    <n v="1.65"/>
    <n v="1.2250000000000001"/>
  </r>
  <r>
    <n v="715"/>
    <x v="10"/>
    <s v="Central"/>
    <s v="Small Market"/>
    <s v="Earl Grey"/>
    <s v="Tea"/>
    <s v="Wisconsin"/>
    <s v="Regular"/>
    <n v="50"/>
    <n v="70"/>
    <n v="0"/>
    <n v="120"/>
    <n v="61"/>
    <n v="613"/>
    <n v="86"/>
    <n v="55"/>
    <n v="2"/>
    <n v="147"/>
    <n v="1.2250000000000001"/>
    <m/>
    <n v="1.22"/>
  </r>
  <r>
    <n v="920"/>
    <x v="10"/>
    <s v="Central"/>
    <s v="Small Market"/>
    <s v="Chamomile"/>
    <s v="Herbal Tea"/>
    <s v="Wisconsin"/>
    <s v="Decaf"/>
    <n v="50"/>
    <n v="80"/>
    <n v="50"/>
    <n v="130"/>
    <n v="53"/>
    <n v="321"/>
    <n v="88"/>
    <n v="16"/>
    <n v="48"/>
    <n v="141"/>
    <n v="1.0846153846153845"/>
    <n v="0.96"/>
    <n v="1.06"/>
  </r>
  <r>
    <n v="262"/>
    <x v="10"/>
    <s v="Central"/>
    <s v="Small Market"/>
    <s v="Lemon"/>
    <s v="Herbal Tea"/>
    <s v="Wisconsin"/>
    <s v="Decaf"/>
    <n v="20"/>
    <n v="50"/>
    <n v="40"/>
    <n v="70"/>
    <n v="31"/>
    <n v="856"/>
    <n v="47"/>
    <n v="8"/>
    <n v="27"/>
    <n v="78"/>
    <n v="1.1142857142857143"/>
    <n v="0.67500000000000004"/>
    <n v="1.55"/>
  </r>
  <r>
    <n v="920"/>
    <x v="10"/>
    <s v="Central"/>
    <s v="Small Market"/>
    <s v="Caffe Mocha"/>
    <s v="Espresso"/>
    <s v="Wisconsin"/>
    <s v="Regular"/>
    <n v="90"/>
    <n v="110"/>
    <n v="70"/>
    <n v="200"/>
    <n v="75"/>
    <n v="1063"/>
    <n v="89"/>
    <n v="23"/>
    <n v="45"/>
    <n v="164"/>
    <n v="0.82"/>
    <n v="0.6428571428571429"/>
    <n v="0.83333333333333337"/>
  </r>
  <r>
    <n v="715"/>
    <x v="10"/>
    <s v="Central"/>
    <s v="Small Market"/>
    <s v="Decaf Espresso"/>
    <s v="Espresso"/>
    <s v="Wisconsin"/>
    <s v="Decaf"/>
    <n v="20"/>
    <n v="40"/>
    <n v="30"/>
    <n v="60"/>
    <n v="22"/>
    <n v="570"/>
    <n v="30"/>
    <n v="7"/>
    <n v="11"/>
    <n v="52"/>
    <n v="0.8666666666666667"/>
    <n v="0.36666666666666664"/>
    <n v="1.1000000000000001"/>
  </r>
  <r>
    <n v="262"/>
    <x v="10"/>
    <s v="Central"/>
    <s v="Small Market"/>
    <s v="Amaretto"/>
    <s v="Coffee"/>
    <s v="Wisconsin"/>
    <s v="Regular"/>
    <n v="50"/>
    <n v="60"/>
    <n v="20"/>
    <n v="110"/>
    <n v="54"/>
    <n v="391"/>
    <n v="67"/>
    <n v="20"/>
    <n v="14"/>
    <n v="121"/>
    <n v="1.1000000000000001"/>
    <n v="0.7"/>
    <n v="1.08"/>
  </r>
  <r>
    <n v="262"/>
    <x v="10"/>
    <s v="Central"/>
    <s v="Small Market"/>
    <s v="Columbian"/>
    <s v="Coffee"/>
    <s v="Wisconsin"/>
    <s v="Regular"/>
    <n v="90"/>
    <n v="130"/>
    <n v="30"/>
    <n v="220"/>
    <n v="94"/>
    <n v="694"/>
    <n v="130"/>
    <n v="85"/>
    <n v="16"/>
    <n v="224"/>
    <n v="1.0181818181818181"/>
    <n v="0.53333333333333333"/>
    <n v="1.0444444444444445"/>
  </r>
  <r>
    <n v="262"/>
    <x v="10"/>
    <s v="Central"/>
    <s v="Small Market"/>
    <s v="Decaf Irish Cream"/>
    <s v="Coffee"/>
    <s v="Wisconsin"/>
    <s v="Decaf"/>
    <n v="70"/>
    <n v="100"/>
    <n v="60"/>
    <n v="170"/>
    <n v="77"/>
    <n v="557"/>
    <n v="103"/>
    <n v="25"/>
    <n v="51"/>
    <n v="180"/>
    <n v="1.0588235294117647"/>
    <n v="0.85"/>
    <n v="1.1000000000000001"/>
  </r>
  <r>
    <n v="959"/>
    <x v="10"/>
    <s v="East"/>
    <s v="Small Market"/>
    <s v="Darjeeling"/>
    <s v="Tea"/>
    <s v="Connecticut"/>
    <s v="Regular"/>
    <n v="50"/>
    <n v="80"/>
    <n v="60"/>
    <n v="130"/>
    <n v="54"/>
    <n v="885"/>
    <n v="78"/>
    <n v="15"/>
    <n v="51"/>
    <n v="132"/>
    <n v="1.0153846153846153"/>
    <n v="0.85"/>
    <n v="1.08"/>
  </r>
  <r>
    <n v="203"/>
    <x v="10"/>
    <s v="East"/>
    <s v="Small Market"/>
    <s v="Green Tea"/>
    <s v="Tea"/>
    <s v="Connecticut"/>
    <s v="Regular"/>
    <n v="30"/>
    <n v="60"/>
    <n v="40"/>
    <n v="90"/>
    <n v="36"/>
    <n v="809"/>
    <n v="54"/>
    <n v="10"/>
    <n v="33"/>
    <n v="90"/>
    <n v="1"/>
    <n v="0.82499999999999996"/>
    <n v="1.2"/>
  </r>
  <r>
    <n v="860"/>
    <x v="10"/>
    <s v="East"/>
    <s v="Small Market"/>
    <s v="Lemon"/>
    <s v="Herbal Tea"/>
    <s v="Connecticut"/>
    <s v="Decaf"/>
    <n v="60"/>
    <n v="70"/>
    <n v="30"/>
    <n v="130"/>
    <n v="82"/>
    <n v="601"/>
    <n v="102"/>
    <n v="31"/>
    <n v="38"/>
    <n v="184"/>
    <n v="1.4153846153846155"/>
    <n v="1.2666666666666666"/>
    <n v="1.3666666666666667"/>
  </r>
  <r>
    <n v="475"/>
    <x v="10"/>
    <s v="East"/>
    <s v="Small Market"/>
    <s v="Mint"/>
    <s v="Herbal Tea"/>
    <s v="Connecticut"/>
    <s v="Decaf"/>
    <n v="50"/>
    <n v="50"/>
    <n v="30"/>
    <n v="100"/>
    <n v="69"/>
    <n v="1060"/>
    <n v="81"/>
    <n v="21"/>
    <n v="38"/>
    <n v="150"/>
    <n v="1.5"/>
    <n v="1.2666666666666666"/>
    <n v="1.38"/>
  </r>
  <r>
    <n v="203"/>
    <x v="10"/>
    <s v="East"/>
    <s v="Small Market"/>
    <s v="Caffe Mocha"/>
    <s v="Espresso"/>
    <s v="Connecticut"/>
    <s v="Regular"/>
    <n v="60"/>
    <n v="80"/>
    <n v="10"/>
    <n v="140"/>
    <n v="61"/>
    <n v="613"/>
    <n v="86"/>
    <n v="55"/>
    <n v="2"/>
    <n v="147"/>
    <n v="1.05"/>
    <n v="0.2"/>
    <n v="1.0166666666666666"/>
  </r>
  <r>
    <n v="860"/>
    <x v="10"/>
    <s v="East"/>
    <s v="Small Market"/>
    <s v="Decaf Espresso"/>
    <s v="Espresso"/>
    <s v="Connecticut"/>
    <s v="Decaf"/>
    <n v="50"/>
    <n v="70"/>
    <n v="40"/>
    <n v="120"/>
    <n v="53"/>
    <n v="380"/>
    <n v="71"/>
    <n v="17"/>
    <n v="26"/>
    <n v="124"/>
    <n v="1.0333333333333334"/>
    <n v="0.65"/>
    <n v="1.06"/>
  </r>
  <r>
    <n v="203"/>
    <x v="10"/>
    <s v="East"/>
    <s v="Small Market"/>
    <s v="Columbian"/>
    <s v="Coffee"/>
    <s v="Connecticut"/>
    <s v="Regular"/>
    <n v="110"/>
    <n v="180"/>
    <n v="130"/>
    <n v="290"/>
    <n v="130"/>
    <n v="1134"/>
    <n v="195"/>
    <n v="42"/>
    <n v="122"/>
    <n v="325"/>
    <n v="1.1206896551724137"/>
    <n v="0.93846153846153846"/>
    <n v="1.1818181818181819"/>
  </r>
  <r>
    <n v="352"/>
    <x v="10"/>
    <s v="East"/>
    <s v="Major Market"/>
    <s v="Darjeeling"/>
    <s v="Tea"/>
    <s v="Florida"/>
    <s v="Regular"/>
    <n v="20"/>
    <n v="50"/>
    <n v="40"/>
    <n v="70"/>
    <n v="28"/>
    <n v="875"/>
    <n v="42"/>
    <n v="7"/>
    <n v="23"/>
    <n v="70"/>
    <n v="1"/>
    <n v="0.57499999999999996"/>
    <n v="1.4"/>
  </r>
  <r>
    <n v="561"/>
    <x v="10"/>
    <s v="East"/>
    <s v="Major Market"/>
    <s v="Green Tea"/>
    <s v="Tea"/>
    <s v="Florida"/>
    <s v="Regular"/>
    <n v="30"/>
    <n v="50"/>
    <n v="40"/>
    <n v="80"/>
    <n v="31"/>
    <n v="856"/>
    <n v="47"/>
    <n v="8"/>
    <n v="28"/>
    <n v="78"/>
    <n v="0.97499999999999998"/>
    <n v="0.7"/>
    <n v="1.0333333333333334"/>
  </r>
  <r>
    <n v="561"/>
    <x v="10"/>
    <s v="East"/>
    <s v="Major Market"/>
    <s v="Chamomile"/>
    <s v="Herbal Tea"/>
    <s v="Florida"/>
    <s v="Decaf"/>
    <n v="10"/>
    <n v="20"/>
    <n v="10"/>
    <n v="30"/>
    <n v="22"/>
    <n v="570"/>
    <n v="30"/>
    <n v="7"/>
    <n v="11"/>
    <n v="52"/>
    <n v="1.7333333333333334"/>
    <n v="1.1000000000000001"/>
    <n v="2.2000000000000002"/>
  </r>
  <r>
    <n v="407"/>
    <x v="10"/>
    <s v="East"/>
    <s v="Major Market"/>
    <s v="Lemon"/>
    <s v="Herbal Tea"/>
    <s v="Florida"/>
    <s v="Decaf"/>
    <n v="40"/>
    <n v="40"/>
    <n v="10"/>
    <n v="80"/>
    <n v="54"/>
    <n v="391"/>
    <n v="67"/>
    <n v="20"/>
    <n v="13"/>
    <n v="121"/>
    <n v="1.5125"/>
    <n v="1.3"/>
    <n v="1.35"/>
  </r>
  <r>
    <n v="954"/>
    <x v="10"/>
    <s v="East"/>
    <s v="Major Market"/>
    <s v="Mint"/>
    <s v="Herbal Tea"/>
    <s v="Florida"/>
    <s v="Decaf"/>
    <n v="50"/>
    <n v="60"/>
    <n v="30"/>
    <n v="110"/>
    <n v="75"/>
    <n v="1063"/>
    <n v="89"/>
    <n v="23"/>
    <n v="44"/>
    <n v="164"/>
    <n v="1.490909090909091"/>
    <n v="1.4666666666666666"/>
    <n v="1.5"/>
  </r>
  <r>
    <n v="754"/>
    <x v="10"/>
    <s v="East"/>
    <s v="Major Market"/>
    <s v="Caffe Mocha"/>
    <s v="Espresso"/>
    <s v="Florida"/>
    <s v="Regular"/>
    <n v="90"/>
    <n v="120"/>
    <n v="20"/>
    <n v="210"/>
    <n v="94"/>
    <n v="694"/>
    <n v="130"/>
    <n v="85"/>
    <n v="15"/>
    <n v="224"/>
    <n v="1.0666666666666667"/>
    <n v="0.75"/>
    <n v="1.0444444444444445"/>
  </r>
  <r>
    <n v="561"/>
    <x v="10"/>
    <s v="East"/>
    <s v="Major Market"/>
    <s v="Decaf Espresso"/>
    <s v="Espresso"/>
    <s v="Florida"/>
    <s v="Decaf"/>
    <n v="70"/>
    <n v="100"/>
    <n v="60"/>
    <n v="170"/>
    <n v="77"/>
    <n v="557"/>
    <n v="103"/>
    <n v="25"/>
    <n v="51"/>
    <n v="180"/>
    <n v="1.0588235294117647"/>
    <n v="0.85"/>
    <n v="1.1000000000000001"/>
  </r>
  <r>
    <n v="754"/>
    <x v="10"/>
    <s v="East"/>
    <s v="Major Market"/>
    <s v="Columbian"/>
    <s v="Coffee"/>
    <s v="Florida"/>
    <s v="Regular"/>
    <n v="70"/>
    <n v="100"/>
    <n v="60"/>
    <n v="170"/>
    <n v="78"/>
    <n v="798"/>
    <n v="119"/>
    <n v="25"/>
    <n v="63"/>
    <n v="197"/>
    <n v="1.1588235294117648"/>
    <n v="1.05"/>
    <n v="1.1142857142857143"/>
  </r>
  <r>
    <n v="772"/>
    <x v="10"/>
    <s v="East"/>
    <s v="Major Market"/>
    <s v="Decaf Irish Cream"/>
    <s v="Coffee"/>
    <s v="Florida"/>
    <s v="Decaf"/>
    <n v="90"/>
    <n v="130"/>
    <n v="90"/>
    <n v="220"/>
    <n v="102"/>
    <n v="666"/>
    <n v="143"/>
    <n v="31"/>
    <n v="89"/>
    <n v="245"/>
    <n v="1.1136363636363635"/>
    <n v="0.98888888888888893"/>
    <n v="1.1333333333333333"/>
  </r>
  <r>
    <n v="339"/>
    <x v="10"/>
    <s v="East"/>
    <s v="Major Market"/>
    <s v="Darjeeling"/>
    <s v="Tea"/>
    <s v="Massachusetts"/>
    <s v="Regular"/>
    <n v="30"/>
    <n v="60"/>
    <n v="40"/>
    <n v="90"/>
    <n v="36"/>
    <n v="862"/>
    <n v="52"/>
    <n v="10"/>
    <n v="31"/>
    <n v="88"/>
    <n v="0.97777777777777775"/>
    <n v="0.77500000000000002"/>
    <n v="1.2"/>
  </r>
  <r>
    <n v="351"/>
    <x v="10"/>
    <s v="East"/>
    <s v="Major Market"/>
    <s v="Green Tea"/>
    <s v="Tea"/>
    <s v="Massachusetts"/>
    <s v="Regular"/>
    <n v="30"/>
    <n v="50"/>
    <n v="40"/>
    <n v="80"/>
    <n v="32"/>
    <n v="482"/>
    <n v="48"/>
    <n v="8"/>
    <n v="29"/>
    <n v="80"/>
    <n v="1"/>
    <n v="0.72499999999999998"/>
    <n v="1.0666666666666667"/>
  </r>
  <r>
    <n v="617"/>
    <x v="10"/>
    <s v="East"/>
    <s v="Major Market"/>
    <s v="Lemon"/>
    <s v="Herbal Tea"/>
    <s v="Massachusetts"/>
    <s v="Decaf"/>
    <n v="40"/>
    <n v="50"/>
    <n v="20"/>
    <n v="90"/>
    <n v="55"/>
    <n v="410"/>
    <n v="69"/>
    <n v="20"/>
    <n v="15"/>
    <n v="124"/>
    <n v="1.3777777777777778"/>
    <n v="0.75"/>
    <n v="1.375"/>
  </r>
  <r>
    <n v="774"/>
    <x v="10"/>
    <s v="East"/>
    <s v="Major Market"/>
    <s v="Caffe Mocha"/>
    <s v="Espresso"/>
    <s v="Massachusetts"/>
    <s v="Regular"/>
    <n v="50"/>
    <n v="60"/>
    <n v="0"/>
    <n v="110"/>
    <n v="52"/>
    <n v="554"/>
    <n v="68"/>
    <n v="47"/>
    <n v="-8"/>
    <n v="120"/>
    <n v="1.0909090909090908"/>
    <m/>
    <n v="1.04"/>
  </r>
  <r>
    <n v="508"/>
    <x v="10"/>
    <s v="East"/>
    <s v="Major Market"/>
    <s v="Regular Espresso"/>
    <s v="Espresso"/>
    <s v="Massachusetts"/>
    <s v="Regular"/>
    <n v="170"/>
    <n v="180"/>
    <n v="120"/>
    <n v="350"/>
    <n v="181"/>
    <n v="1283"/>
    <n v="182"/>
    <n v="50"/>
    <n v="108"/>
    <n v="363"/>
    <n v="1.0371428571428571"/>
    <n v="0.9"/>
    <n v="1.0647058823529412"/>
  </r>
  <r>
    <n v="978"/>
    <x v="10"/>
    <s v="East"/>
    <s v="Major Market"/>
    <s v="Columbian"/>
    <s v="Coffee"/>
    <s v="Massachusetts"/>
    <s v="Regular"/>
    <n v="60"/>
    <n v="340"/>
    <n v="300"/>
    <n v="400"/>
    <n v="75"/>
    <n v="-3287"/>
    <n v="379"/>
    <n v="24"/>
    <n v="324"/>
    <n v="454"/>
    <n v="1.135"/>
    <n v="1.08"/>
    <n v="1.25"/>
  </r>
  <r>
    <n v="603"/>
    <x v="10"/>
    <s v="East"/>
    <s v="Small Market"/>
    <s v="Darjeeling"/>
    <s v="Tea"/>
    <s v="New Hampshire"/>
    <s v="Regular"/>
    <n v="10"/>
    <n v="30"/>
    <n v="20"/>
    <n v="40"/>
    <n v="15"/>
    <n v="848"/>
    <n v="24"/>
    <n v="4"/>
    <n v="8"/>
    <n v="39"/>
    <n v="0.97499999999999998"/>
    <n v="0.4"/>
    <n v="1.5"/>
  </r>
  <r>
    <n v="603"/>
    <x v="10"/>
    <s v="East"/>
    <s v="Small Market"/>
    <s v="Green Tea"/>
    <s v="Tea"/>
    <s v="New Hampshire"/>
    <s v="Regular"/>
    <n v="0"/>
    <n v="40"/>
    <n v="30"/>
    <n v="40"/>
    <n v="0"/>
    <n v="387"/>
    <n v="43"/>
    <n v="0"/>
    <n v="32"/>
    <n v="43"/>
    <n v="1.075"/>
    <n v="1.0666666666666667"/>
    <m/>
  </r>
  <r>
    <n v="603"/>
    <x v="10"/>
    <s v="East"/>
    <s v="Small Market"/>
    <s v="Lemon"/>
    <s v="Herbal Tea"/>
    <s v="New Hampshire"/>
    <s v="Decaf"/>
    <n v="20"/>
    <n v="30"/>
    <n v="0"/>
    <n v="50"/>
    <n v="33"/>
    <n v="243"/>
    <n v="41"/>
    <n v="12"/>
    <n v="-4"/>
    <n v="74"/>
    <n v="1.48"/>
    <m/>
    <n v="1.65"/>
  </r>
  <r>
    <n v="603"/>
    <x v="10"/>
    <s v="East"/>
    <s v="Small Market"/>
    <s v="Caffe Mocha"/>
    <s v="Espresso"/>
    <s v="New Hampshire"/>
    <s v="Regular"/>
    <n v="40"/>
    <n v="60"/>
    <n v="10"/>
    <n v="100"/>
    <n v="44"/>
    <n v="325"/>
    <n v="62"/>
    <n v="40"/>
    <n v="-8"/>
    <n v="106"/>
    <n v="1.06"/>
    <n v="-0.8"/>
    <n v="1.1000000000000001"/>
  </r>
  <r>
    <n v="603"/>
    <x v="10"/>
    <s v="East"/>
    <s v="Small Market"/>
    <s v="Regular Espresso"/>
    <s v="Espresso"/>
    <s v="New Hampshire"/>
    <s v="Regular"/>
    <n v="30"/>
    <n v="40"/>
    <n v="0"/>
    <n v="70"/>
    <n v="34"/>
    <n v="211"/>
    <n v="42"/>
    <n v="12"/>
    <n v="-3"/>
    <n v="76"/>
    <n v="1.0857142857142856"/>
    <m/>
    <n v="1.1333333333333333"/>
  </r>
  <r>
    <n v="603"/>
    <x v="10"/>
    <s v="East"/>
    <s v="Small Market"/>
    <s v="Columbian"/>
    <s v="Coffee"/>
    <s v="New Hampshire"/>
    <s v="Regular"/>
    <n v="30"/>
    <n v="60"/>
    <n v="30"/>
    <n v="90"/>
    <n v="43"/>
    <n v="452"/>
    <n v="66"/>
    <n v="14"/>
    <n v="20"/>
    <n v="109"/>
    <n v="1.211111111111111"/>
    <n v="0.66666666666666663"/>
    <n v="1.4333333333333333"/>
  </r>
  <r>
    <n v="603"/>
    <x v="10"/>
    <s v="East"/>
    <s v="Small Market"/>
    <s v="Amaretto"/>
    <s v="Coffee"/>
    <s v="New Hampshire"/>
    <s v="Regular"/>
    <n v="40"/>
    <n v="60"/>
    <n v="40"/>
    <n v="100"/>
    <n v="46"/>
    <n v="316"/>
    <n v="67"/>
    <n v="14"/>
    <n v="30"/>
    <n v="113"/>
    <n v="1.1299999999999999"/>
    <n v="0.75"/>
    <n v="1.1499999999999999"/>
  </r>
  <r>
    <n v="518"/>
    <x v="10"/>
    <s v="East"/>
    <s v="Major Market"/>
    <s v="Darjeeling"/>
    <s v="Tea"/>
    <s v="New York"/>
    <s v="Regular"/>
    <n v="80"/>
    <n v="120"/>
    <n v="90"/>
    <n v="200"/>
    <n v="81"/>
    <n v="984"/>
    <n v="117"/>
    <n v="22"/>
    <n v="84"/>
    <n v="198"/>
    <n v="0.99"/>
    <n v="0.93333333333333335"/>
    <n v="1.0125"/>
  </r>
  <r>
    <n v="315"/>
    <x v="10"/>
    <s v="East"/>
    <s v="Major Market"/>
    <s v="Earl Grey"/>
    <s v="Tea"/>
    <s v="New York"/>
    <s v="Regular"/>
    <n v="120"/>
    <n v="170"/>
    <n v="130"/>
    <n v="290"/>
    <n v="118"/>
    <n v="930"/>
    <n v="172"/>
    <n v="33"/>
    <n v="127"/>
    <n v="290"/>
    <n v="1"/>
    <n v="0.97692307692307689"/>
    <n v="0.98333333333333328"/>
  </r>
  <r>
    <n v="718"/>
    <x v="10"/>
    <s v="East"/>
    <s v="Major Market"/>
    <s v="Green Tea"/>
    <s v="Tea"/>
    <s v="New York"/>
    <s v="Regular"/>
    <n v="50"/>
    <n v="70"/>
    <n v="50"/>
    <n v="120"/>
    <n v="50"/>
    <n v="589"/>
    <n v="73"/>
    <n v="14"/>
    <n v="47"/>
    <n v="123"/>
    <n v="1.0249999999999999"/>
    <n v="0.94"/>
    <n v="1"/>
  </r>
  <r>
    <n v="631"/>
    <x v="10"/>
    <s v="East"/>
    <s v="Major Market"/>
    <s v="Lemon"/>
    <s v="Herbal Tea"/>
    <s v="New York"/>
    <s v="Decaf"/>
    <n v="180"/>
    <n v="240"/>
    <n v="140"/>
    <n v="420"/>
    <n v="245"/>
    <n v="1704"/>
    <n v="331"/>
    <n v="93"/>
    <n v="204"/>
    <n v="576"/>
    <n v="1.3714285714285714"/>
    <n v="1.4571428571428571"/>
    <n v="1.3611111111111112"/>
  </r>
  <r>
    <n v="914"/>
    <x v="10"/>
    <s v="East"/>
    <s v="Major Market"/>
    <s v="Mint"/>
    <s v="Herbal Tea"/>
    <s v="New York"/>
    <s v="Decaf"/>
    <n v="160"/>
    <n v="-50"/>
    <n v="-120"/>
    <n v="110"/>
    <n v="225"/>
    <n v="4742"/>
    <n v="-65"/>
    <n v="69"/>
    <n v="-156"/>
    <n v="160"/>
    <n v="1.4545454545454546"/>
    <n v="1.3"/>
    <n v="1.40625"/>
  </r>
  <r>
    <n v="347"/>
    <x v="10"/>
    <s v="East"/>
    <s v="Major Market"/>
    <s v="Caffe Mocha"/>
    <s v="Espresso"/>
    <s v="New York"/>
    <s v="Regular"/>
    <n v="110"/>
    <n v="-60"/>
    <n v="-190"/>
    <n v="50"/>
    <n v="121"/>
    <n v="3385"/>
    <n v="-60"/>
    <n v="109"/>
    <n v="-202"/>
    <n v="61"/>
    <n v="1.22"/>
    <n v="1.0631578947368421"/>
    <n v="1.1000000000000001"/>
  </r>
  <r>
    <n v="646"/>
    <x v="10"/>
    <s v="East"/>
    <s v="Major Market"/>
    <s v="Regular Espresso"/>
    <s v="Espresso"/>
    <s v="New York"/>
    <s v="Regular"/>
    <n v="200"/>
    <n v="460"/>
    <n v="390"/>
    <n v="660"/>
    <n v="211"/>
    <n v="933"/>
    <n v="464"/>
    <n v="59"/>
    <n v="381"/>
    <n v="675"/>
    <n v="1.0227272727272727"/>
    <n v="0.97692307692307689"/>
    <n v="1.0549999999999999"/>
  </r>
  <r>
    <n v="347"/>
    <x v="10"/>
    <s v="East"/>
    <s v="Major Market"/>
    <s v="Columbian"/>
    <s v="Coffee"/>
    <s v="New York"/>
    <s v="Regular"/>
    <n v="220"/>
    <n v="340"/>
    <n v="230"/>
    <n v="560"/>
    <n v="249"/>
    <n v="2580"/>
    <n v="374"/>
    <n v="87"/>
    <n v="236"/>
    <n v="623"/>
    <n v="1.1125"/>
    <n v="1.0260869565217392"/>
    <n v="1.1318181818181818"/>
  </r>
  <r>
    <n v="225"/>
    <x v="10"/>
    <s v="South"/>
    <s v="Small Market"/>
    <s v="Columbian"/>
    <s v="Coffee"/>
    <s v="Louisiana"/>
    <s v="Regular"/>
    <n v="50"/>
    <n v="80"/>
    <n v="60"/>
    <n v="130"/>
    <n v="47"/>
    <n v="834"/>
    <n v="68"/>
    <n v="13"/>
    <n v="44"/>
    <n v="115"/>
    <n v="0.88461538461538458"/>
    <n v="0.73333333333333328"/>
    <n v="0.94"/>
  </r>
  <r>
    <n v="504"/>
    <x v="10"/>
    <s v="South"/>
    <s v="Small Market"/>
    <s v="Decaf Irish Cream"/>
    <s v="Coffee"/>
    <s v="Louisiana"/>
    <s v="Decaf"/>
    <n v="30"/>
    <n v="60"/>
    <n v="50"/>
    <n v="90"/>
    <n v="31"/>
    <n v="856"/>
    <n v="47"/>
    <n v="8"/>
    <n v="28"/>
    <n v="78"/>
    <n v="0.8666666666666667"/>
    <n v="0.56000000000000005"/>
    <n v="1.0333333333333334"/>
  </r>
  <r>
    <n v="337"/>
    <x v="10"/>
    <s v="South"/>
    <s v="Small Market"/>
    <s v="Chamomile"/>
    <s v="Herbal Tea"/>
    <s v="Louisiana"/>
    <s v="Decaf"/>
    <n v="90"/>
    <n v="120"/>
    <n v="80"/>
    <n v="210"/>
    <n v="101"/>
    <n v="552"/>
    <n v="130"/>
    <n v="33"/>
    <n v="85"/>
    <n v="231"/>
    <n v="1.1000000000000001"/>
    <n v="1.0625"/>
    <n v="1.1222222222222222"/>
  </r>
  <r>
    <n v="337"/>
    <x v="10"/>
    <s v="South"/>
    <s v="Small Market"/>
    <s v="Lemon"/>
    <s v="Herbal Tea"/>
    <s v="Louisiana"/>
    <s v="Decaf"/>
    <n v="70"/>
    <n v="100"/>
    <n v="40"/>
    <n v="170"/>
    <n v="82"/>
    <n v="601"/>
    <n v="102"/>
    <n v="31"/>
    <n v="38"/>
    <n v="184"/>
    <n v="1.0823529411764705"/>
    <n v="0.95"/>
    <n v="1.1714285714285715"/>
  </r>
  <r>
    <n v="504"/>
    <x v="10"/>
    <s v="South"/>
    <s v="Small Market"/>
    <s v="Caffe Latte"/>
    <s v="Espresso"/>
    <s v="Louisiana"/>
    <s v="Regular"/>
    <n v="40"/>
    <n v="70"/>
    <n v="10"/>
    <n v="110"/>
    <n v="61"/>
    <n v="-906"/>
    <n v="86"/>
    <n v="55"/>
    <n v="1"/>
    <n v="147"/>
    <n v="1.3363636363636364"/>
    <n v="0.1"/>
    <n v="1.5249999999999999"/>
  </r>
  <r>
    <n v="225"/>
    <x v="10"/>
    <s v="South"/>
    <s v="Small Market"/>
    <s v="Caffe Mocha"/>
    <s v="Espresso"/>
    <s v="Louisiana"/>
    <s v="Regular"/>
    <n v="40"/>
    <n v="60"/>
    <n v="30"/>
    <n v="100"/>
    <n v="53"/>
    <n v="321"/>
    <n v="88"/>
    <n v="16"/>
    <n v="49"/>
    <n v="141"/>
    <n v="1.41"/>
    <n v="1.6333333333333333"/>
    <n v="1.325"/>
  </r>
  <r>
    <n v="225"/>
    <x v="10"/>
    <s v="South"/>
    <s v="Small Market"/>
    <s v="Decaf Espresso"/>
    <s v="Espresso"/>
    <s v="Louisiana"/>
    <s v="Decaf"/>
    <n v="30"/>
    <n v="60"/>
    <n v="30"/>
    <n v="90"/>
    <n v="49"/>
    <n v="454"/>
    <n v="71"/>
    <n v="15"/>
    <n v="34"/>
    <n v="120"/>
    <n v="1.3333333333333333"/>
    <n v="1.1333333333333333"/>
    <n v="1.6333333333333333"/>
  </r>
  <r>
    <n v="505"/>
    <x v="10"/>
    <s v="South"/>
    <s v="Small Market"/>
    <s v="Columbian"/>
    <s v="Coffee"/>
    <s v="New Mexico"/>
    <s v="Regular"/>
    <n v="50"/>
    <n v="70"/>
    <n v="30"/>
    <n v="120"/>
    <n v="43"/>
    <n v="452"/>
    <n v="66"/>
    <n v="14"/>
    <n v="20"/>
    <n v="109"/>
    <n v="0.90833333333333333"/>
    <n v="0.66666666666666663"/>
    <n v="0.86"/>
  </r>
  <r>
    <n v="505"/>
    <x v="10"/>
    <s v="South"/>
    <s v="Small Market"/>
    <s v="Decaf Irish Cream"/>
    <s v="Coffee"/>
    <s v="New Mexico"/>
    <s v="Decaf"/>
    <n v="90"/>
    <n v="50"/>
    <n v="10"/>
    <n v="140"/>
    <n v="82"/>
    <n v="1804"/>
    <n v="40"/>
    <n v="25"/>
    <n v="-8"/>
    <n v="122"/>
    <n v="0.87142857142857144"/>
    <n v="-0.8"/>
    <n v="0.91111111111111109"/>
  </r>
  <r>
    <n v="505"/>
    <x v="10"/>
    <s v="South"/>
    <s v="Small Market"/>
    <s v="Chamomile"/>
    <s v="Herbal Tea"/>
    <s v="New Mexico"/>
    <s v="Decaf"/>
    <n v="10"/>
    <n v="20"/>
    <n v="10"/>
    <n v="30"/>
    <n v="15"/>
    <n v="848"/>
    <n v="24"/>
    <n v="4"/>
    <n v="9"/>
    <n v="39"/>
    <n v="1.3"/>
    <n v="0.9"/>
    <n v="1.5"/>
  </r>
  <r>
    <n v="505"/>
    <x v="10"/>
    <s v="South"/>
    <s v="Small Market"/>
    <s v="Lemon"/>
    <s v="Herbal Tea"/>
    <s v="New Mexico"/>
    <s v="Decaf"/>
    <n v="20"/>
    <n v="30"/>
    <n v="10"/>
    <n v="50"/>
    <n v="29"/>
    <n v="1003"/>
    <n v="35"/>
    <n v="8"/>
    <n v="5"/>
    <n v="64"/>
    <n v="1.28"/>
    <n v="0.5"/>
    <n v="1.45"/>
  </r>
  <r>
    <n v="505"/>
    <x v="10"/>
    <s v="South"/>
    <s v="Small Market"/>
    <s v="Caffe Latte"/>
    <s v="Espresso"/>
    <s v="New Mexico"/>
    <s v="Regular"/>
    <n v="20"/>
    <n v="30"/>
    <n v="-10"/>
    <n v="50"/>
    <n v="34"/>
    <n v="-522"/>
    <n v="42"/>
    <n v="12"/>
    <n v="-4"/>
    <n v="76"/>
    <n v="1.52"/>
    <n v="0.4"/>
    <n v="1.7"/>
  </r>
  <r>
    <n v="505"/>
    <x v="10"/>
    <s v="South"/>
    <s v="Small Market"/>
    <s v="Caffe Mocha"/>
    <s v="Espresso"/>
    <s v="New Mexico"/>
    <s v="Regular"/>
    <n v="30"/>
    <n v="50"/>
    <n v="0"/>
    <n v="80"/>
    <n v="44"/>
    <n v="325"/>
    <n v="62"/>
    <n v="40"/>
    <n v="-7"/>
    <n v="106"/>
    <n v="1.325"/>
    <m/>
    <n v="1.4666666666666666"/>
  </r>
  <r>
    <n v="505"/>
    <x v="10"/>
    <s v="South"/>
    <s v="Small Market"/>
    <s v="Decaf Espresso"/>
    <s v="Espresso"/>
    <s v="New Mexico"/>
    <s v="Decaf"/>
    <n v="20"/>
    <n v="40"/>
    <n v="20"/>
    <n v="60"/>
    <n v="35"/>
    <n v="248"/>
    <n v="47"/>
    <n v="11"/>
    <n v="8"/>
    <n v="82"/>
    <n v="1.3666666666666667"/>
    <n v="0.4"/>
    <n v="1.75"/>
  </r>
  <r>
    <n v="918"/>
    <x v="10"/>
    <s v="South"/>
    <s v="Small Market"/>
    <s v="Columbian"/>
    <s v="Coffee"/>
    <s v="Oklahoma"/>
    <s v="Regular"/>
    <n v="100"/>
    <n v="130"/>
    <n v="90"/>
    <n v="230"/>
    <n v="88"/>
    <n v="561"/>
    <n v="112"/>
    <n v="29"/>
    <n v="71"/>
    <n v="200"/>
    <n v="0.86956521739130432"/>
    <n v="0.78888888888888886"/>
    <n v="0.88"/>
  </r>
  <r>
    <n v="580"/>
    <x v="10"/>
    <s v="South"/>
    <s v="Small Market"/>
    <s v="Decaf Irish Cream"/>
    <s v="Coffee"/>
    <s v="Oklahoma"/>
    <s v="Decaf"/>
    <n v="40"/>
    <n v="60"/>
    <n v="40"/>
    <n v="100"/>
    <n v="36"/>
    <n v="862"/>
    <n v="52"/>
    <n v="10"/>
    <n v="30"/>
    <n v="88"/>
    <n v="0.88"/>
    <n v="0.75"/>
    <n v="0.9"/>
  </r>
  <r>
    <n v="918"/>
    <x v="10"/>
    <s v="South"/>
    <s v="Small Market"/>
    <s v="Chamomile"/>
    <s v="Herbal Tea"/>
    <s v="Oklahoma"/>
    <s v="Decaf"/>
    <n v="50"/>
    <n v="60"/>
    <n v="20"/>
    <n v="110"/>
    <n v="54"/>
    <n v="391"/>
    <n v="67"/>
    <n v="20"/>
    <n v="13"/>
    <n v="121"/>
    <n v="1.1000000000000001"/>
    <n v="0.65"/>
    <n v="1.08"/>
  </r>
  <r>
    <n v="580"/>
    <x v="10"/>
    <s v="South"/>
    <s v="Small Market"/>
    <s v="Lemon"/>
    <s v="Herbal Tea"/>
    <s v="Oklahoma"/>
    <s v="Decaf"/>
    <n v="80"/>
    <n v="120"/>
    <n v="20"/>
    <n v="200"/>
    <n v="94"/>
    <n v="694"/>
    <n v="130"/>
    <n v="85"/>
    <n v="15"/>
    <n v="224"/>
    <n v="1.1200000000000001"/>
    <n v="0.75"/>
    <n v="1.175"/>
  </r>
  <r>
    <n v="918"/>
    <x v="10"/>
    <s v="South"/>
    <s v="Small Market"/>
    <s v="Caffe Latte"/>
    <s v="Espresso"/>
    <s v="Oklahoma"/>
    <s v="Regular"/>
    <n v="80"/>
    <n v="100"/>
    <n v="60"/>
    <n v="180"/>
    <n v="102"/>
    <n v="-2003"/>
    <n v="143"/>
    <n v="31"/>
    <n v="89"/>
    <n v="245"/>
    <n v="1.3611111111111112"/>
    <n v="1.4833333333333334"/>
    <n v="1.2749999999999999"/>
  </r>
  <r>
    <n v="918"/>
    <x v="10"/>
    <s v="South"/>
    <s v="Small Market"/>
    <s v="Caffe Mocha"/>
    <s v="Espresso"/>
    <s v="Oklahoma"/>
    <s v="Regular"/>
    <n v="20"/>
    <n v="40"/>
    <n v="30"/>
    <n v="60"/>
    <n v="32"/>
    <n v="482"/>
    <n v="48"/>
    <n v="8"/>
    <n v="29"/>
    <n v="80"/>
    <n v="1.3333333333333333"/>
    <n v="0.96666666666666667"/>
    <n v="1.6"/>
  </r>
  <r>
    <n v="918"/>
    <x v="10"/>
    <s v="South"/>
    <s v="Small Market"/>
    <s v="Decaf Espresso"/>
    <s v="Espresso"/>
    <s v="Oklahoma"/>
    <s v="Decaf"/>
    <n v="60"/>
    <n v="90"/>
    <n v="40"/>
    <n v="150"/>
    <n v="78"/>
    <n v="798"/>
    <n v="119"/>
    <n v="25"/>
    <n v="62"/>
    <n v="197"/>
    <n v="1.3133333333333332"/>
    <n v="1.55"/>
    <n v="1.3"/>
  </r>
  <r>
    <n v="956"/>
    <x v="10"/>
    <s v="South"/>
    <s v="Major Market"/>
    <s v="Columbian"/>
    <s v="Coffee"/>
    <s v="Texas"/>
    <s v="Regular"/>
    <n v="260"/>
    <n v="320"/>
    <n v="230"/>
    <n v="580"/>
    <n v="225"/>
    <n v="1272"/>
    <n v="265"/>
    <n v="69"/>
    <n v="174"/>
    <n v="490"/>
    <n v="0.84482758620689657"/>
    <n v="0.75652173913043474"/>
    <n v="0.86538461538461542"/>
  </r>
  <r>
    <n v="915"/>
    <x v="10"/>
    <s v="South"/>
    <s v="Major Market"/>
    <s v="Decaf Irish Cream"/>
    <s v="Coffee"/>
    <s v="Texas"/>
    <s v="Decaf"/>
    <n v="40"/>
    <n v="60"/>
    <n v="40"/>
    <n v="100"/>
    <n v="40"/>
    <n v="536"/>
    <n v="52"/>
    <n v="13"/>
    <n v="26"/>
    <n v="92"/>
    <n v="0.92"/>
    <n v="0.65"/>
    <n v="1"/>
  </r>
  <r>
    <n v="713"/>
    <x v="10"/>
    <s v="South"/>
    <s v="Major Market"/>
    <s v="Chamomile"/>
    <s v="Herbal Tea"/>
    <s v="Texas"/>
    <s v="Decaf"/>
    <n v="50"/>
    <n v="70"/>
    <n v="40"/>
    <n v="120"/>
    <n v="59"/>
    <n v="411"/>
    <n v="79"/>
    <n v="19"/>
    <n v="32"/>
    <n v="138"/>
    <n v="1.1499999999999999"/>
    <n v="0.8"/>
    <n v="1.18"/>
  </r>
  <r>
    <n v="936"/>
    <x v="10"/>
    <s v="South"/>
    <s v="Major Market"/>
    <s v="Lemon"/>
    <s v="Herbal Tea"/>
    <s v="Texas"/>
    <s v="Decaf"/>
    <n v="40"/>
    <n v="60"/>
    <n v="30"/>
    <n v="100"/>
    <n v="46"/>
    <n v="424"/>
    <n v="68"/>
    <n v="14"/>
    <n v="31"/>
    <n v="114"/>
    <n v="1.1399999999999999"/>
    <n v="1.0333333333333334"/>
    <n v="1.1499999999999999"/>
  </r>
  <r>
    <n v="817"/>
    <x v="10"/>
    <s v="South"/>
    <s v="Major Market"/>
    <s v="Caffe Latte"/>
    <s v="Espresso"/>
    <s v="Texas"/>
    <s v="Regular"/>
    <n v="50"/>
    <n v="90"/>
    <n v="40"/>
    <n v="140"/>
    <n v="75"/>
    <n v="-1050"/>
    <n v="114"/>
    <n v="24"/>
    <n v="59"/>
    <n v="189"/>
    <n v="1.35"/>
    <n v="1.4750000000000001"/>
    <n v="1.5"/>
  </r>
  <r>
    <n v="409"/>
    <x v="10"/>
    <s v="South"/>
    <s v="Major Market"/>
    <s v="Caffe Mocha"/>
    <s v="Espresso"/>
    <s v="Texas"/>
    <s v="Regular"/>
    <n v="90"/>
    <n v="130"/>
    <n v="100"/>
    <n v="220"/>
    <n v="118"/>
    <n v="930"/>
    <n v="172"/>
    <n v="33"/>
    <n v="127"/>
    <n v="290"/>
    <n v="1.3181818181818181"/>
    <n v="1.27"/>
    <n v="1.3111111111111111"/>
  </r>
  <r>
    <n v="210"/>
    <x v="10"/>
    <s v="South"/>
    <s v="Major Market"/>
    <s v="Decaf Espresso"/>
    <s v="Espresso"/>
    <s v="Texas"/>
    <s v="Decaf"/>
    <n v="30"/>
    <n v="60"/>
    <n v="40"/>
    <n v="90"/>
    <n v="50"/>
    <n v="589"/>
    <n v="73"/>
    <n v="14"/>
    <n v="48"/>
    <n v="123"/>
    <n v="1.3666666666666667"/>
    <n v="1.2"/>
    <n v="1.6666666666666667"/>
  </r>
  <r>
    <n v="801"/>
    <x v="10"/>
    <s v="West"/>
    <s v="Small Market"/>
    <s v="Chamomile"/>
    <s v="Herbal Tea"/>
    <s v="Utah"/>
    <s v="Decaf"/>
    <n v="40"/>
    <n v="60"/>
    <n v="30"/>
    <n v="100"/>
    <n v="46"/>
    <n v="316"/>
    <n v="67"/>
    <n v="14"/>
    <n v="30"/>
    <n v="113"/>
    <n v="1.1299999999999999"/>
    <n v="1"/>
    <n v="1.1499999999999999"/>
  </r>
  <r>
    <n v="435"/>
    <x v="10"/>
    <s v="West"/>
    <s v="Small Market"/>
    <s v="Lemon"/>
    <s v="Herbal Tea"/>
    <s v="Utah"/>
    <s v="Decaf"/>
    <n v="40"/>
    <n v="60"/>
    <n v="30"/>
    <n v="100"/>
    <n v="43"/>
    <n v="452"/>
    <n v="66"/>
    <n v="14"/>
    <n v="20"/>
    <n v="109"/>
    <n v="1.0900000000000001"/>
    <n v="0.66666666666666663"/>
    <n v="1.075"/>
  </r>
  <r>
    <n v="801"/>
    <x v="10"/>
    <s v="West"/>
    <s v="Small Market"/>
    <s v="Mint"/>
    <s v="Herbal Tea"/>
    <s v="Utah"/>
    <s v="Decaf"/>
    <n v="70"/>
    <n v="40"/>
    <n v="0"/>
    <n v="110"/>
    <n v="82"/>
    <n v="1804"/>
    <n v="40"/>
    <n v="25"/>
    <n v="-8"/>
    <n v="122"/>
    <n v="1.1090909090909091"/>
    <m/>
    <n v="1.1714285714285715"/>
  </r>
  <r>
    <n v="435"/>
    <x v="10"/>
    <s v="West"/>
    <s v="Small Market"/>
    <s v="Darjeeling"/>
    <s v="Tea"/>
    <s v="Utah"/>
    <s v="Regular"/>
    <n v="30"/>
    <n v="40"/>
    <n v="-10"/>
    <n v="70"/>
    <n v="44"/>
    <n v="325"/>
    <n v="62"/>
    <n v="40"/>
    <n v="-7"/>
    <n v="106"/>
    <n v="1.5142857142857142"/>
    <n v="0.7"/>
    <n v="1.4666666666666666"/>
  </r>
  <r>
    <n v="435"/>
    <x v="10"/>
    <s v="West"/>
    <s v="Small Market"/>
    <s v="Earl Grey"/>
    <s v="Tea"/>
    <s v="Utah"/>
    <s v="Regular"/>
    <n v="20"/>
    <n v="30"/>
    <n v="10"/>
    <n v="50"/>
    <n v="35"/>
    <n v="248"/>
    <n v="47"/>
    <n v="11"/>
    <n v="9"/>
    <n v="82"/>
    <n v="1.64"/>
    <n v="0.9"/>
    <n v="1.75"/>
  </r>
  <r>
    <n v="801"/>
    <x v="10"/>
    <s v="West"/>
    <s v="Small Market"/>
    <s v="Green Tea"/>
    <s v="Tea"/>
    <s v="Utah"/>
    <s v="Regular"/>
    <n v="20"/>
    <n v="30"/>
    <n v="0"/>
    <n v="50"/>
    <n v="34"/>
    <n v="211"/>
    <n v="42"/>
    <n v="12"/>
    <n v="-3"/>
    <n v="76"/>
    <n v="1.52"/>
    <m/>
    <n v="1.7"/>
  </r>
  <r>
    <n v="801"/>
    <x v="10"/>
    <s v="West"/>
    <s v="Small Market"/>
    <s v="Amaretto"/>
    <s v="Coffee"/>
    <s v="Utah"/>
    <s v="Regular"/>
    <n v="80"/>
    <n v="90"/>
    <n v="50"/>
    <n v="170"/>
    <n v="69"/>
    <n v="1060"/>
    <n v="81"/>
    <n v="21"/>
    <n v="39"/>
    <n v="150"/>
    <n v="0.88235294117647056"/>
    <n v="0.78"/>
    <n v="0.86250000000000004"/>
  </r>
  <r>
    <n v="435"/>
    <x v="10"/>
    <s v="West"/>
    <s v="Small Market"/>
    <s v="Columbian"/>
    <s v="Coffee"/>
    <s v="Utah"/>
    <s v="Regular"/>
    <n v="60"/>
    <n v="80"/>
    <n v="50"/>
    <n v="140"/>
    <n v="53"/>
    <n v="380"/>
    <n v="71"/>
    <n v="17"/>
    <n v="27"/>
    <n v="124"/>
    <n v="0.88571428571428568"/>
    <n v="0.54"/>
    <n v="0.8833333333333333"/>
  </r>
  <r>
    <n v="801"/>
    <x v="10"/>
    <s v="West"/>
    <s v="Small Market"/>
    <s v="Decaf Irish Cream"/>
    <s v="Coffee"/>
    <s v="Utah"/>
    <s v="Decaf"/>
    <n v="90"/>
    <n v="120"/>
    <n v="60"/>
    <n v="210"/>
    <n v="82"/>
    <n v="601"/>
    <n v="102"/>
    <n v="31"/>
    <n v="38"/>
    <n v="184"/>
    <n v="0.87619047619047619"/>
    <n v="0.6333333333333333"/>
    <n v="0.91111111111111109"/>
  </r>
  <r>
    <n v="435"/>
    <x v="10"/>
    <s v="West"/>
    <s v="Small Market"/>
    <s v="Caffe Latte"/>
    <s v="Espresso"/>
    <s v="Utah"/>
    <s v="Regular"/>
    <n v="30"/>
    <n v="40"/>
    <n v="30"/>
    <n v="70"/>
    <n v="33"/>
    <n v="836"/>
    <n v="48"/>
    <n v="9"/>
    <n v="27"/>
    <n v="81"/>
    <n v="1.1571428571428573"/>
    <n v="0.9"/>
    <n v="1.1000000000000001"/>
  </r>
  <r>
    <n v="435"/>
    <x v="10"/>
    <s v="West"/>
    <s v="Small Market"/>
    <s v="Caffe Mocha"/>
    <s v="Espresso"/>
    <s v="Utah"/>
    <s v="Regular"/>
    <n v="90"/>
    <n v="130"/>
    <n v="90"/>
    <n v="220"/>
    <n v="101"/>
    <n v="552"/>
    <n v="130"/>
    <n v="33"/>
    <n v="85"/>
    <n v="231"/>
    <n v="1.05"/>
    <n v="0.94444444444444442"/>
    <n v="1.1222222222222222"/>
  </r>
  <r>
    <n v="435"/>
    <x v="10"/>
    <s v="West"/>
    <s v="Small Market"/>
    <s v="Decaf Espresso"/>
    <s v="Espresso"/>
    <s v="Utah"/>
    <s v="Decaf"/>
    <n v="50"/>
    <n v="70"/>
    <n v="50"/>
    <n v="120"/>
    <n v="54"/>
    <n v="885"/>
    <n v="78"/>
    <n v="15"/>
    <n v="52"/>
    <n v="132"/>
    <n v="1.1000000000000001"/>
    <n v="1.04"/>
    <n v="1.08"/>
  </r>
  <r>
    <n v="213"/>
    <x v="10"/>
    <s v="West"/>
    <s v="Major Market"/>
    <s v="Chamomile"/>
    <s v="Herbal Tea"/>
    <s v="California"/>
    <s v="Decaf"/>
    <n v="70"/>
    <n v="110"/>
    <n v="80"/>
    <n v="180"/>
    <n v="81"/>
    <n v="984"/>
    <n v="117"/>
    <n v="22"/>
    <n v="84"/>
    <n v="198"/>
    <n v="1.1000000000000001"/>
    <n v="1.05"/>
    <n v="1.1571428571428573"/>
  </r>
  <r>
    <n v="213"/>
    <x v="10"/>
    <s v="West"/>
    <s v="Major Market"/>
    <s v="Lemon"/>
    <s v="Herbal Tea"/>
    <s v="California"/>
    <s v="Decaf"/>
    <n v="210"/>
    <n v="240"/>
    <n v="160"/>
    <n v="450"/>
    <n v="225"/>
    <n v="1272"/>
    <n v="265"/>
    <n v="69"/>
    <n v="174"/>
    <n v="490"/>
    <n v="1.0888888888888888"/>
    <n v="1.0874999999999999"/>
    <n v="1.0714285714285714"/>
  </r>
  <r>
    <n v="707"/>
    <x v="10"/>
    <s v="West"/>
    <s v="Major Market"/>
    <s v="Mint"/>
    <s v="Herbal Tea"/>
    <s v="California"/>
    <s v="Decaf"/>
    <n v="30"/>
    <n v="50"/>
    <n v="30"/>
    <n v="80"/>
    <n v="40"/>
    <n v="536"/>
    <n v="52"/>
    <n v="13"/>
    <n v="27"/>
    <n v="92"/>
    <n v="1.1499999999999999"/>
    <n v="0.9"/>
    <n v="1.3333333333333333"/>
  </r>
  <r>
    <n v="213"/>
    <x v="10"/>
    <s v="West"/>
    <s v="Major Market"/>
    <s v="Darjeeling"/>
    <s v="Tea"/>
    <s v="California"/>
    <s v="Regular"/>
    <n v="80"/>
    <n v="130"/>
    <n v="110"/>
    <n v="210"/>
    <n v="118"/>
    <n v="930"/>
    <n v="172"/>
    <n v="33"/>
    <n v="128"/>
    <n v="290"/>
    <n v="1.3809523809523809"/>
    <n v="1.1636363636363636"/>
    <n v="1.4750000000000001"/>
  </r>
  <r>
    <n v="650"/>
    <x v="10"/>
    <s v="West"/>
    <s v="Major Market"/>
    <s v="Earl Grey"/>
    <s v="Tea"/>
    <s v="California"/>
    <s v="Regular"/>
    <n v="30"/>
    <n v="50"/>
    <n v="40"/>
    <n v="80"/>
    <n v="50"/>
    <n v="589"/>
    <n v="73"/>
    <n v="14"/>
    <n v="47"/>
    <n v="123"/>
    <n v="1.5375000000000001"/>
    <n v="1.175"/>
    <n v="1.6666666666666667"/>
  </r>
  <r>
    <n v="650"/>
    <x v="10"/>
    <s v="West"/>
    <s v="Major Market"/>
    <s v="Green Tea"/>
    <s v="Tea"/>
    <s v="California"/>
    <s v="Regular"/>
    <n v="50"/>
    <n v="80"/>
    <n v="40"/>
    <n v="130"/>
    <n v="75"/>
    <n v="659"/>
    <n v="114"/>
    <n v="24"/>
    <n v="59"/>
    <n v="189"/>
    <n v="1.4538461538461538"/>
    <n v="1.4750000000000001"/>
    <n v="1.5"/>
  </r>
  <r>
    <n v="619"/>
    <x v="10"/>
    <s v="West"/>
    <s v="Major Market"/>
    <s v="Amaretto"/>
    <s v="Coffee"/>
    <s v="California"/>
    <s v="Regular"/>
    <n v="130"/>
    <n v="0"/>
    <n v="-50"/>
    <n v="130"/>
    <n v="113"/>
    <n v="2758"/>
    <n v="3"/>
    <n v="36"/>
    <n v="-56"/>
    <n v="116"/>
    <n v="0.89230769230769236"/>
    <n v="1.1200000000000001"/>
    <n v="0.86923076923076925"/>
  </r>
  <r>
    <n v="951"/>
    <x v="10"/>
    <s v="West"/>
    <s v="Major Market"/>
    <s v="Columbian"/>
    <s v="Coffee"/>
    <s v="California"/>
    <s v="Regular"/>
    <n v="290"/>
    <n v="450"/>
    <n v="310"/>
    <n v="740"/>
    <n v="249"/>
    <n v="2580"/>
    <n v="374"/>
    <n v="87"/>
    <n v="235"/>
    <n v="623"/>
    <n v="0.84189189189189184"/>
    <n v="0.75806451612903225"/>
    <n v="0.85862068965517246"/>
  </r>
  <r>
    <n v="909"/>
    <x v="10"/>
    <s v="West"/>
    <s v="Major Market"/>
    <s v="Decaf Irish Cream"/>
    <s v="Coffee"/>
    <s v="California"/>
    <s v="Decaf"/>
    <n v="200"/>
    <n v="-30"/>
    <n v="-130"/>
    <n v="170"/>
    <n v="173"/>
    <n v="3909"/>
    <n v="-27"/>
    <n v="57"/>
    <n v="-127"/>
    <n v="146"/>
    <n v="0.85882352941176465"/>
    <n v="0.97692307692307689"/>
    <n v="0.86499999999999999"/>
  </r>
  <r>
    <n v="559"/>
    <x v="10"/>
    <s v="West"/>
    <s v="Major Market"/>
    <s v="Caffe Latte"/>
    <s v="Espresso"/>
    <s v="California"/>
    <s v="Regular"/>
    <n v="200"/>
    <n v="210"/>
    <n v="140"/>
    <n v="410"/>
    <n v="211"/>
    <n v="1778"/>
    <n v="212"/>
    <n v="59"/>
    <n v="129"/>
    <n v="423"/>
    <n v="1.0317073170731708"/>
    <n v="0.92142857142857137"/>
    <n v="1.0549999999999999"/>
  </r>
  <r>
    <n v="818"/>
    <x v="10"/>
    <s v="West"/>
    <s v="Major Market"/>
    <s v="Caffe Mocha"/>
    <s v="Espresso"/>
    <s v="California"/>
    <s v="Regular"/>
    <n v="110"/>
    <n v="170"/>
    <n v="40"/>
    <n v="280"/>
    <n v="121"/>
    <n v="912"/>
    <n v="168"/>
    <n v="109"/>
    <n v="26"/>
    <n v="289"/>
    <n v="1.0321428571428573"/>
    <n v="0.65"/>
    <n v="1.1000000000000001"/>
  </r>
  <r>
    <n v="707"/>
    <x v="10"/>
    <s v="West"/>
    <s v="Major Market"/>
    <s v="Decaf Espresso"/>
    <s v="Espresso"/>
    <s v="California"/>
    <s v="Decaf"/>
    <n v="220"/>
    <n v="290"/>
    <n v="190"/>
    <n v="510"/>
    <n v="228"/>
    <n v="1691"/>
    <n v="304"/>
    <n v="75"/>
    <n v="197"/>
    <n v="532"/>
    <n v="1.0431372549019609"/>
    <n v="1.0368421052631578"/>
    <n v="1.0363636363636364"/>
  </r>
  <r>
    <n v="775"/>
    <x v="10"/>
    <s v="West"/>
    <s v="Small Market"/>
    <s v="Chamomile"/>
    <s v="Herbal Tea"/>
    <s v="Nevada"/>
    <s v="Decaf"/>
    <n v="110"/>
    <n v="150"/>
    <n v="20"/>
    <n v="260"/>
    <n v="121"/>
    <n v="912"/>
    <n v="168"/>
    <n v="109"/>
    <n v="26"/>
    <n v="289"/>
    <n v="1.1115384615384616"/>
    <n v="1.3"/>
    <n v="1.1000000000000001"/>
  </r>
  <r>
    <n v="702"/>
    <x v="10"/>
    <s v="West"/>
    <s v="Small Market"/>
    <s v="Lemon"/>
    <s v="Herbal Tea"/>
    <s v="Nevada"/>
    <s v="Decaf"/>
    <n v="160"/>
    <n v="220"/>
    <n v="130"/>
    <n v="380"/>
    <n v="173"/>
    <n v="1150"/>
    <n v="239"/>
    <n v="57"/>
    <n v="138"/>
    <n v="412"/>
    <n v="1.0842105263157895"/>
    <n v="1.0615384615384615"/>
    <n v="1.08125"/>
  </r>
  <r>
    <n v="702"/>
    <x v="10"/>
    <s v="West"/>
    <s v="Small Market"/>
    <s v="Mint"/>
    <s v="Herbal Tea"/>
    <s v="Nevada"/>
    <s v="Decaf"/>
    <n v="100"/>
    <n v="150"/>
    <n v="100"/>
    <n v="250"/>
    <n v="113"/>
    <n v="803"/>
    <n v="165"/>
    <n v="36"/>
    <n v="107"/>
    <n v="278"/>
    <n v="1.1120000000000001"/>
    <n v="1.07"/>
    <n v="1.1299999999999999"/>
  </r>
  <r>
    <n v="702"/>
    <x v="10"/>
    <s v="West"/>
    <s v="Small Market"/>
    <s v="Darjeeling"/>
    <s v="Tea"/>
    <s v="Nevada"/>
    <s v="Regular"/>
    <n v="160"/>
    <n v="220"/>
    <n v="140"/>
    <n v="380"/>
    <n v="228"/>
    <n v="1691"/>
    <n v="304"/>
    <n v="75"/>
    <n v="196"/>
    <n v="532"/>
    <n v="1.4"/>
    <n v="1.4"/>
    <n v="1.425"/>
  </r>
  <r>
    <n v="702"/>
    <x v="10"/>
    <s v="West"/>
    <s v="Small Market"/>
    <s v="Earl Grey"/>
    <s v="Tea"/>
    <s v="Nevada"/>
    <s v="Regular"/>
    <n v="150"/>
    <n v="150"/>
    <n v="80"/>
    <n v="300"/>
    <n v="211"/>
    <n v="1778"/>
    <n v="212"/>
    <n v="59"/>
    <n v="128"/>
    <n v="423"/>
    <n v="1.41"/>
    <n v="1.6"/>
    <n v="1.4066666666666667"/>
  </r>
  <r>
    <n v="702"/>
    <x v="10"/>
    <s v="West"/>
    <s v="Small Market"/>
    <s v="Green Tea"/>
    <s v="Tea"/>
    <s v="Nevada"/>
    <s v="Regular"/>
    <n v="180"/>
    <n v="-180"/>
    <n v="-280"/>
    <n v="0"/>
    <n v="245"/>
    <n v="7653"/>
    <n v="-245"/>
    <n v="93"/>
    <n v="-340"/>
    <n v="32"/>
    <m/>
    <n v="1.2142857142857142"/>
    <n v="1.3611111111111112"/>
  </r>
  <r>
    <n v="775"/>
    <x v="10"/>
    <s v="West"/>
    <s v="Small Market"/>
    <s v="Columbian"/>
    <s v="Coffee"/>
    <s v="Nevada"/>
    <s v="Regular"/>
    <n v="30"/>
    <n v="50"/>
    <n v="10"/>
    <n v="80"/>
    <n v="33"/>
    <n v="243"/>
    <n v="41"/>
    <n v="12"/>
    <n v="-4"/>
    <n v="74"/>
    <n v="0.92500000000000004"/>
    <n v="-0.4"/>
    <n v="1.1000000000000001"/>
  </r>
  <r>
    <n v="775"/>
    <x v="10"/>
    <s v="West"/>
    <s v="Small Market"/>
    <s v="Decaf Irish Cream"/>
    <s v="Coffee"/>
    <s v="Nevada"/>
    <s v="Decaf"/>
    <n v="30"/>
    <n v="40"/>
    <n v="20"/>
    <n v="70"/>
    <n v="29"/>
    <n v="1003"/>
    <n v="35"/>
    <n v="8"/>
    <n v="5"/>
    <n v="64"/>
    <n v="0.91428571428571426"/>
    <n v="0.25"/>
    <n v="0.96666666666666667"/>
  </r>
  <r>
    <n v="775"/>
    <x v="10"/>
    <s v="West"/>
    <s v="Small Market"/>
    <s v="Caffe Latte"/>
    <s v="Espresso"/>
    <s v="Nevada"/>
    <s v="Regular"/>
    <n v="0"/>
    <n v="40"/>
    <n v="30"/>
    <n v="40"/>
    <n v="0"/>
    <n v="387"/>
    <n v="43"/>
    <n v="0"/>
    <n v="31"/>
    <n v="43"/>
    <n v="1.075"/>
    <n v="1.0333333333333334"/>
    <m/>
  </r>
  <r>
    <n v="775"/>
    <x v="10"/>
    <s v="West"/>
    <s v="Small Market"/>
    <s v="Caffe Mocha"/>
    <s v="Espresso"/>
    <s v="Nevada"/>
    <s v="Regular"/>
    <n v="10"/>
    <n v="20"/>
    <n v="10"/>
    <n v="30"/>
    <n v="15"/>
    <n v="848"/>
    <n v="24"/>
    <n v="4"/>
    <n v="9"/>
    <n v="39"/>
    <n v="1.3"/>
    <n v="0.9"/>
    <n v="1.5"/>
  </r>
  <r>
    <n v="775"/>
    <x v="10"/>
    <s v="West"/>
    <s v="Small Market"/>
    <s v="Decaf Espresso"/>
    <s v="Espresso"/>
    <s v="Nevada"/>
    <s v="Decaf"/>
    <n v="20"/>
    <n v="30"/>
    <n v="20"/>
    <n v="50"/>
    <n v="22"/>
    <n v="802"/>
    <n v="34"/>
    <n v="6"/>
    <n v="17"/>
    <n v="56"/>
    <n v="1.1200000000000001"/>
    <n v="0.85"/>
    <n v="1.1000000000000001"/>
  </r>
  <r>
    <n v="503"/>
    <x v="10"/>
    <s v="West"/>
    <s v="Small Market"/>
    <s v="Chamomile"/>
    <s v="Herbal Tea"/>
    <s v="Oregon"/>
    <s v="Decaf"/>
    <n v="20"/>
    <n v="30"/>
    <n v="20"/>
    <n v="50"/>
    <n v="25"/>
    <n v="823"/>
    <n v="38"/>
    <n v="7"/>
    <n v="19"/>
    <n v="63"/>
    <n v="1.26"/>
    <n v="0.95"/>
    <n v="1.25"/>
  </r>
  <r>
    <n v="971"/>
    <x v="10"/>
    <s v="West"/>
    <s v="Small Market"/>
    <s v="Lemon"/>
    <s v="Herbal Tea"/>
    <s v="Oregon"/>
    <s v="Decaf"/>
    <n v="80"/>
    <n v="100"/>
    <n v="70"/>
    <n v="180"/>
    <n v="88"/>
    <n v="561"/>
    <n v="112"/>
    <n v="29"/>
    <n v="70"/>
    <n v="200"/>
    <n v="1.1111111111111112"/>
    <n v="1"/>
    <n v="1.1000000000000001"/>
  </r>
  <r>
    <n v="541"/>
    <x v="10"/>
    <s v="West"/>
    <s v="Small Market"/>
    <s v="Darjeeling"/>
    <s v="Tea"/>
    <s v="Oregon"/>
    <s v="Regular"/>
    <n v="20"/>
    <n v="30"/>
    <n v="30"/>
    <n v="50"/>
    <n v="32"/>
    <n v="482"/>
    <n v="48"/>
    <n v="8"/>
    <n v="28"/>
    <n v="80"/>
    <n v="1.6"/>
    <n v="0.93333333333333335"/>
    <n v="1.6"/>
  </r>
  <r>
    <n v="971"/>
    <x v="10"/>
    <s v="West"/>
    <s v="Small Market"/>
    <s v="Earl Grey"/>
    <s v="Tea"/>
    <s v="Oregon"/>
    <s v="Regular"/>
    <n v="50"/>
    <n v="90"/>
    <n v="50"/>
    <n v="140"/>
    <n v="78"/>
    <n v="798"/>
    <n v="119"/>
    <n v="25"/>
    <n v="62"/>
    <n v="197"/>
    <n v="1.4071428571428573"/>
    <n v="1.24"/>
    <n v="1.56"/>
  </r>
  <r>
    <n v="971"/>
    <x v="10"/>
    <s v="West"/>
    <s v="Small Market"/>
    <s v="Green Tea"/>
    <s v="Tea"/>
    <s v="Oregon"/>
    <s v="Regular"/>
    <n v="70"/>
    <n v="100"/>
    <n v="70"/>
    <n v="170"/>
    <n v="102"/>
    <n v="666"/>
    <n v="143"/>
    <n v="31"/>
    <n v="89"/>
    <n v="245"/>
    <n v="1.4411764705882353"/>
    <n v="1.2714285714285714"/>
    <n v="1.4571428571428571"/>
  </r>
  <r>
    <n v="541"/>
    <x v="10"/>
    <s v="West"/>
    <s v="Small Market"/>
    <s v="Amaretto"/>
    <s v="Coffee"/>
    <s v="Oregon"/>
    <s v="Regular"/>
    <n v="60"/>
    <n v="80"/>
    <n v="10"/>
    <n v="140"/>
    <n v="52"/>
    <n v="509"/>
    <n v="73"/>
    <n v="47"/>
    <n v="-4"/>
    <n v="125"/>
    <n v="0.8928571428571429"/>
    <n v="-0.4"/>
    <n v="0.8666666666666667"/>
  </r>
  <r>
    <n v="971"/>
    <x v="10"/>
    <s v="West"/>
    <s v="Small Market"/>
    <s v="Columbian"/>
    <s v="Coffee"/>
    <s v="Oregon"/>
    <s v="Regular"/>
    <n v="60"/>
    <n v="90"/>
    <n v="40"/>
    <n v="150"/>
    <n v="53"/>
    <n v="470"/>
    <n v="75"/>
    <n v="17"/>
    <n v="14"/>
    <n v="128"/>
    <n v="0.85333333333333339"/>
    <n v="0.35"/>
    <n v="0.8833333333333333"/>
  </r>
  <r>
    <n v="503"/>
    <x v="10"/>
    <s v="West"/>
    <s v="Small Market"/>
    <s v="Decaf Irish Cream"/>
    <s v="Coffee"/>
    <s v="Oregon"/>
    <s v="Decaf"/>
    <n v="50"/>
    <n v="80"/>
    <n v="50"/>
    <n v="130"/>
    <n v="46"/>
    <n v="424"/>
    <n v="68"/>
    <n v="14"/>
    <n v="32"/>
    <n v="114"/>
    <n v="0.87692307692307692"/>
    <n v="0.64"/>
    <n v="0.92"/>
  </r>
  <r>
    <n v="541"/>
    <x v="10"/>
    <s v="West"/>
    <s v="Small Market"/>
    <s v="Caffe Latte"/>
    <s v="Espresso"/>
    <s v="Oregon"/>
    <s v="Regular"/>
    <n v="50"/>
    <n v="70"/>
    <n v="30"/>
    <n v="120"/>
    <n v="55"/>
    <n v="410"/>
    <n v="69"/>
    <n v="20"/>
    <n v="16"/>
    <n v="124"/>
    <n v="1.0333333333333334"/>
    <n v="0.53333333333333333"/>
    <n v="1.1000000000000001"/>
  </r>
  <r>
    <n v="503"/>
    <x v="10"/>
    <s v="West"/>
    <s v="Small Market"/>
    <s v="Caffe Mocha"/>
    <s v="Espresso"/>
    <s v="Oregon"/>
    <s v="Regular"/>
    <n v="50"/>
    <n v="80"/>
    <n v="50"/>
    <n v="130"/>
    <n v="59"/>
    <n v="411"/>
    <n v="79"/>
    <n v="19"/>
    <n v="33"/>
    <n v="138"/>
    <n v="1.0615384615384615"/>
    <n v="0.66"/>
    <n v="1.18"/>
  </r>
  <r>
    <n v="503"/>
    <x v="10"/>
    <s v="West"/>
    <s v="Small Market"/>
    <s v="Decaf Espresso"/>
    <s v="Espresso"/>
    <s v="Oregon"/>
    <s v="Decaf"/>
    <n v="170"/>
    <n v="180"/>
    <n v="120"/>
    <n v="350"/>
    <n v="181"/>
    <n v="1283"/>
    <n v="182"/>
    <n v="50"/>
    <n v="108"/>
    <n v="363"/>
    <n v="1.0371428571428571"/>
    <n v="0.9"/>
    <n v="1.0647058823529412"/>
  </r>
  <r>
    <n v="206"/>
    <x v="10"/>
    <s v="West"/>
    <s v="Small Market"/>
    <s v="Chamomile"/>
    <s v="Herbal Tea"/>
    <s v="Washington"/>
    <s v="Decaf"/>
    <n v="120"/>
    <n v="180"/>
    <n v="120"/>
    <n v="300"/>
    <n v="130"/>
    <n v="1134"/>
    <n v="195"/>
    <n v="42"/>
    <n v="122"/>
    <n v="325"/>
    <n v="1.0833333333333333"/>
    <n v="1.0166666666666666"/>
    <n v="1.0833333333333333"/>
  </r>
  <r>
    <n v="509"/>
    <x v="10"/>
    <s v="West"/>
    <s v="Small Market"/>
    <s v="Lemon"/>
    <s v="Herbal Tea"/>
    <s v="Washington"/>
    <s v="Decaf"/>
    <n v="40"/>
    <n v="60"/>
    <n v="40"/>
    <n v="100"/>
    <n v="47"/>
    <n v="834"/>
    <n v="68"/>
    <n v="13"/>
    <n v="44"/>
    <n v="115"/>
    <n v="1.1499999999999999"/>
    <n v="1.1000000000000001"/>
    <n v="1.175"/>
  </r>
  <r>
    <n v="425"/>
    <x v="10"/>
    <s v="West"/>
    <s v="Small Market"/>
    <s v="Darjeeling"/>
    <s v="Tea"/>
    <s v="Washington"/>
    <s v="Regular"/>
    <n v="30"/>
    <n v="70"/>
    <n v="50"/>
    <n v="100"/>
    <n v="53"/>
    <n v="321"/>
    <n v="88"/>
    <n v="16"/>
    <n v="49"/>
    <n v="141"/>
    <n v="1.41"/>
    <n v="0.98"/>
    <n v="1.7666666666666666"/>
  </r>
  <r>
    <n v="206"/>
    <x v="10"/>
    <s v="West"/>
    <s v="Small Market"/>
    <s v="Earl Grey"/>
    <s v="Tea"/>
    <s v="Washington"/>
    <s v="Regular"/>
    <n v="30"/>
    <n v="50"/>
    <n v="30"/>
    <n v="80"/>
    <n v="49"/>
    <n v="454"/>
    <n v="71"/>
    <n v="15"/>
    <n v="34"/>
    <n v="120"/>
    <n v="1.5"/>
    <n v="1.1333333333333333"/>
    <n v="1.6333333333333333"/>
  </r>
  <r>
    <n v="206"/>
    <x v="10"/>
    <s v="West"/>
    <s v="Small Market"/>
    <s v="Green Tea"/>
    <s v="Tea"/>
    <s v="Washington"/>
    <s v="Regular"/>
    <n v="40"/>
    <n v="60"/>
    <n v="0"/>
    <n v="100"/>
    <n v="61"/>
    <n v="613"/>
    <n v="86"/>
    <n v="55"/>
    <n v="1"/>
    <n v="147"/>
    <n v="1.47"/>
    <m/>
    <n v="1.5249999999999999"/>
  </r>
  <r>
    <n v="425"/>
    <x v="10"/>
    <s v="West"/>
    <s v="Small Market"/>
    <s v="Columbian"/>
    <s v="Coffee"/>
    <s v="Washington"/>
    <s v="Regular"/>
    <n v="70"/>
    <n v="110"/>
    <n v="70"/>
    <n v="180"/>
    <n v="63"/>
    <n v="446"/>
    <n v="93"/>
    <n v="20"/>
    <n v="50"/>
    <n v="156"/>
    <n v="0.8666666666666667"/>
    <n v="0.7142857142857143"/>
    <n v="0.9"/>
  </r>
  <r>
    <n v="253"/>
    <x v="10"/>
    <s v="West"/>
    <s v="Small Market"/>
    <s v="Decaf Irish Cream"/>
    <s v="Coffee"/>
    <s v="Washington"/>
    <s v="Decaf"/>
    <n v="110"/>
    <n v="150"/>
    <n v="40"/>
    <n v="260"/>
    <n v="94"/>
    <n v="694"/>
    <n v="130"/>
    <n v="85"/>
    <n v="16"/>
    <n v="224"/>
    <n v="0.86153846153846159"/>
    <n v="0.4"/>
    <n v="0.8545454545454545"/>
  </r>
  <r>
    <n v="253"/>
    <x v="10"/>
    <s v="West"/>
    <s v="Small Market"/>
    <s v="Caffe Latte"/>
    <s v="Espresso"/>
    <s v="Washington"/>
    <s v="Regular"/>
    <n v="20"/>
    <n v="30"/>
    <n v="20"/>
    <n v="50"/>
    <n v="22"/>
    <n v="570"/>
    <n v="30"/>
    <n v="7"/>
    <n v="11"/>
    <n v="52"/>
    <n v="1.04"/>
    <n v="0.55000000000000004"/>
    <n v="1.1000000000000001"/>
  </r>
  <r>
    <n v="425"/>
    <x v="10"/>
    <s v="West"/>
    <s v="Small Market"/>
    <s v="Caffe Mocha"/>
    <s v="Espresso"/>
    <s v="Washington"/>
    <s v="Regular"/>
    <n v="50"/>
    <n v="60"/>
    <n v="20"/>
    <n v="110"/>
    <n v="54"/>
    <n v="391"/>
    <n v="67"/>
    <n v="20"/>
    <n v="13"/>
    <n v="121"/>
    <n v="1.1000000000000001"/>
    <n v="0.65"/>
    <n v="1.08"/>
  </r>
  <r>
    <n v="206"/>
    <x v="10"/>
    <s v="West"/>
    <s v="Small Market"/>
    <s v="Decaf Espresso"/>
    <s v="Espresso"/>
    <s v="Washington"/>
    <s v="Decaf"/>
    <n v="70"/>
    <n v="80"/>
    <n v="40"/>
    <n v="150"/>
    <n v="75"/>
    <n v="1063"/>
    <n v="89"/>
    <n v="23"/>
    <n v="45"/>
    <n v="164"/>
    <n v="1.0933333333333333"/>
    <n v="1.125"/>
    <n v="1.0714285714285714"/>
  </r>
  <r>
    <n v="303"/>
    <x v="11"/>
    <s v="Central"/>
    <s v="Major Market"/>
    <s v="Darjeeling"/>
    <s v="Tea"/>
    <s v="Colorado"/>
    <s v="Regular"/>
    <n v="30"/>
    <n v="50"/>
    <n v="10"/>
    <n v="80"/>
    <n v="46"/>
    <n v="422"/>
    <n v="57"/>
    <n v="17"/>
    <n v="6"/>
    <n v="103"/>
    <n v="1.2875000000000001"/>
    <n v="0.6"/>
    <n v="1.5333333333333334"/>
  </r>
  <r>
    <n v="303"/>
    <x v="11"/>
    <s v="Central"/>
    <s v="Major Market"/>
    <s v="Earl Grey"/>
    <s v="Tea"/>
    <s v="Colorado"/>
    <s v="Regular"/>
    <n v="40"/>
    <n v="50"/>
    <n v="20"/>
    <n v="90"/>
    <n v="53"/>
    <n v="1054"/>
    <n v="63"/>
    <n v="16"/>
    <n v="26"/>
    <n v="116"/>
    <n v="1.288888888888889"/>
    <n v="1.3"/>
    <n v="1.325"/>
  </r>
  <r>
    <n v="719"/>
    <x v="11"/>
    <s v="Central"/>
    <s v="Major Market"/>
    <s v="Green Tea"/>
    <s v="Tea"/>
    <s v="Colorado"/>
    <s v="Regular"/>
    <n v="60"/>
    <n v="90"/>
    <n v="60"/>
    <n v="150"/>
    <n v="81"/>
    <n v="551"/>
    <n v="104"/>
    <n v="26"/>
    <n v="66"/>
    <n v="185"/>
    <n v="1.2333333333333334"/>
    <n v="1.1000000000000001"/>
    <n v="1.35"/>
  </r>
  <r>
    <n v="303"/>
    <x v="11"/>
    <s v="Central"/>
    <s v="Major Market"/>
    <s v="Chamomile"/>
    <s v="Herbal Tea"/>
    <s v="Colorado"/>
    <s v="Decaf"/>
    <n v="140"/>
    <n v="140"/>
    <n v="80"/>
    <n v="280"/>
    <n v="153"/>
    <n v="1319"/>
    <n v="153"/>
    <n v="42"/>
    <n v="87"/>
    <n v="306"/>
    <n v="1.0928571428571427"/>
    <n v="1.0874999999999999"/>
    <n v="1.0928571428571427"/>
  </r>
  <r>
    <n v="970"/>
    <x v="11"/>
    <s v="Central"/>
    <s v="Major Market"/>
    <s v="Lemon"/>
    <s v="Herbal Tea"/>
    <s v="Colorado"/>
    <s v="Decaf"/>
    <n v="40"/>
    <n v="60"/>
    <n v="0"/>
    <n v="100"/>
    <n v="47"/>
    <n v="521"/>
    <n v="65"/>
    <n v="42"/>
    <n v="-6"/>
    <n v="112"/>
    <n v="1.1200000000000001"/>
    <m/>
    <n v="1.175"/>
  </r>
  <r>
    <n v="303"/>
    <x v="11"/>
    <s v="Central"/>
    <s v="Major Market"/>
    <s v="Mint"/>
    <s v="Herbal Tea"/>
    <s v="Colorado"/>
    <s v="Decaf"/>
    <n v="50"/>
    <n v="60"/>
    <n v="30"/>
    <n v="110"/>
    <n v="54"/>
    <n v="424"/>
    <n v="73"/>
    <n v="17"/>
    <n v="29"/>
    <n v="127"/>
    <n v="1.1545454545454545"/>
    <n v="0.96666666666666667"/>
    <n v="1.08"/>
  </r>
  <r>
    <n v="970"/>
    <x v="11"/>
    <s v="Central"/>
    <s v="Major Market"/>
    <s v="Caffe Mocha"/>
    <s v="Espresso"/>
    <s v="Colorado"/>
    <s v="Regular"/>
    <n v="60"/>
    <n v="110"/>
    <n v="90"/>
    <n v="170"/>
    <n v="54"/>
    <n v="601"/>
    <n v="79"/>
    <n v="15"/>
    <n v="53"/>
    <n v="133"/>
    <n v="0.78235294117647058"/>
    <n v="0.58888888888888891"/>
    <n v="0.9"/>
  </r>
  <r>
    <n v="970"/>
    <x v="11"/>
    <s v="Central"/>
    <s v="Major Market"/>
    <s v="Decaf Espresso"/>
    <s v="Espresso"/>
    <s v="Colorado"/>
    <s v="Decaf"/>
    <n v="80"/>
    <n v="130"/>
    <n v="80"/>
    <n v="210"/>
    <n v="67"/>
    <n v="677"/>
    <n v="101"/>
    <n v="22"/>
    <n v="47"/>
    <n v="168"/>
    <n v="0.8"/>
    <n v="0.58750000000000002"/>
    <n v="0.83750000000000002"/>
  </r>
  <r>
    <n v="720"/>
    <x v="11"/>
    <s v="Central"/>
    <s v="Major Market"/>
    <s v="Decaf Irish Cream"/>
    <s v="Coffee"/>
    <s v="Colorado"/>
    <s v="Decaf"/>
    <n v="80"/>
    <n v="120"/>
    <n v="90"/>
    <n v="200"/>
    <n v="86"/>
    <n v="1003"/>
    <n v="124"/>
    <n v="24"/>
    <n v="88"/>
    <n v="210"/>
    <n v="1.05"/>
    <n v="0.97777777777777775"/>
    <n v="1.075"/>
  </r>
  <r>
    <n v="719"/>
    <x v="11"/>
    <s v="Central"/>
    <s v="Major Market"/>
    <s v="Amaretto"/>
    <s v="Coffee"/>
    <s v="Colorado"/>
    <s v="Regular"/>
    <n v="120"/>
    <n v="170"/>
    <n v="130"/>
    <n v="290"/>
    <n v="123"/>
    <n v="959"/>
    <n v="179"/>
    <n v="34"/>
    <n v="134"/>
    <n v="302"/>
    <n v="1.0413793103448277"/>
    <n v="1.0307692307692307"/>
    <n v="1.0249999999999999"/>
  </r>
  <r>
    <n v="970"/>
    <x v="11"/>
    <s v="Central"/>
    <s v="Major Market"/>
    <s v="Columbian"/>
    <s v="Coffee"/>
    <s v="Colorado"/>
    <s v="Regular"/>
    <n v="40"/>
    <n v="50"/>
    <n v="30"/>
    <n v="90"/>
    <n v="43"/>
    <n v="531"/>
    <n v="56"/>
    <n v="14"/>
    <n v="29"/>
    <n v="99"/>
    <n v="1.1000000000000001"/>
    <n v="0.96666666666666667"/>
    <n v="1.075"/>
  </r>
  <r>
    <n v="309"/>
    <x v="11"/>
    <s v="Central"/>
    <s v="Major Market"/>
    <s v="Darjeeling"/>
    <s v="Tea"/>
    <s v="Illinois"/>
    <s v="Regular"/>
    <n v="40"/>
    <n v="70"/>
    <n v="50"/>
    <n v="110"/>
    <n v="54"/>
    <n v="601"/>
    <n v="79"/>
    <n v="15"/>
    <n v="53"/>
    <n v="133"/>
    <n v="1.209090909090909"/>
    <n v="1.06"/>
    <n v="1.35"/>
  </r>
  <r>
    <n v="630"/>
    <x v="11"/>
    <s v="Central"/>
    <s v="Major Market"/>
    <s v="Earl Grey"/>
    <s v="Tea"/>
    <s v="Illinois"/>
    <s v="Regular"/>
    <n v="50"/>
    <n v="80"/>
    <n v="40"/>
    <n v="130"/>
    <n v="67"/>
    <n v="677"/>
    <n v="101"/>
    <n v="22"/>
    <n v="47"/>
    <n v="168"/>
    <n v="1.2923076923076924"/>
    <n v="1.175"/>
    <n v="1.34"/>
  </r>
  <r>
    <n v="309"/>
    <x v="11"/>
    <s v="Central"/>
    <s v="Major Market"/>
    <s v="Chamomile"/>
    <s v="Herbal Tea"/>
    <s v="Illinois"/>
    <s v="Decaf"/>
    <n v="110"/>
    <n v="170"/>
    <n v="130"/>
    <n v="280"/>
    <n v="123"/>
    <n v="959"/>
    <n v="179"/>
    <n v="34"/>
    <n v="133"/>
    <n v="302"/>
    <n v="1.0785714285714285"/>
    <n v="1.023076923076923"/>
    <n v="1.1181818181818182"/>
  </r>
  <r>
    <n v="773"/>
    <x v="11"/>
    <s v="Central"/>
    <s v="Major Market"/>
    <s v="Lemon"/>
    <s v="Herbal Tea"/>
    <s v="Illinois"/>
    <s v="Decaf"/>
    <n v="40"/>
    <n v="50"/>
    <n v="30"/>
    <n v="90"/>
    <n v="43"/>
    <n v="531"/>
    <n v="56"/>
    <n v="14"/>
    <n v="29"/>
    <n v="99"/>
    <n v="1.1000000000000001"/>
    <n v="0.96666666666666667"/>
    <n v="1.075"/>
  </r>
  <r>
    <n v="630"/>
    <x v="11"/>
    <s v="Central"/>
    <s v="Major Market"/>
    <s v="Mint"/>
    <s v="Herbal Tea"/>
    <s v="Illinois"/>
    <s v="Decaf"/>
    <n v="80"/>
    <n v="110"/>
    <n v="80"/>
    <n v="190"/>
    <n v="86"/>
    <n v="1003"/>
    <n v="124"/>
    <n v="24"/>
    <n v="88"/>
    <n v="210"/>
    <n v="1.1052631578947369"/>
    <n v="1.1000000000000001"/>
    <n v="1.075"/>
  </r>
  <r>
    <n v="815"/>
    <x v="11"/>
    <s v="Central"/>
    <s v="Major Market"/>
    <s v="Caffe Mocha"/>
    <s v="Espresso"/>
    <s v="Illinois"/>
    <s v="Regular"/>
    <n v="310"/>
    <n v="420"/>
    <n v="320"/>
    <n v="730"/>
    <n v="247"/>
    <n v="1744"/>
    <n v="329"/>
    <n v="81"/>
    <n v="216"/>
    <n v="576"/>
    <n v="0.78904109589041094"/>
    <n v="0.67500000000000004"/>
    <n v="0.79677419354838708"/>
  </r>
  <r>
    <n v="630"/>
    <x v="11"/>
    <s v="Central"/>
    <s v="Major Market"/>
    <s v="Decaf Espresso"/>
    <s v="Espresso"/>
    <s v="Illinois"/>
    <s v="Decaf"/>
    <n v="320"/>
    <n v="320"/>
    <n v="240"/>
    <n v="640"/>
    <n v="250"/>
    <n v="1820"/>
    <n v="251"/>
    <n v="70"/>
    <n v="157"/>
    <n v="501"/>
    <n v="0.78281250000000002"/>
    <n v="0.65416666666666667"/>
    <n v="0.78125"/>
  </r>
  <r>
    <n v="630"/>
    <x v="11"/>
    <s v="Central"/>
    <s v="Major Market"/>
    <s v="Decaf Irish Cream"/>
    <s v="Coffee"/>
    <s v="Illinois"/>
    <s v="Decaf"/>
    <n v="120"/>
    <n v="180"/>
    <n v="130"/>
    <n v="300"/>
    <n v="127"/>
    <n v="830"/>
    <n v="185"/>
    <n v="40"/>
    <n v="122"/>
    <n v="312"/>
    <n v="1.04"/>
    <n v="0.93846153846153846"/>
    <n v="1.0583333333333333"/>
  </r>
  <r>
    <n v="847"/>
    <x v="11"/>
    <s v="Central"/>
    <s v="Major Market"/>
    <s v="Columbian"/>
    <s v="Coffee"/>
    <s v="Illinois"/>
    <s v="Regular"/>
    <n v="220"/>
    <n v="300"/>
    <n v="190"/>
    <n v="520"/>
    <n v="224"/>
    <n v="1191"/>
    <n v="310"/>
    <n v="73"/>
    <n v="194"/>
    <n v="534"/>
    <n v="1.0269230769230768"/>
    <n v="1.0210526315789474"/>
    <n v="1.0181818181818181"/>
  </r>
  <r>
    <n v="641"/>
    <x v="11"/>
    <s v="Central"/>
    <s v="Small Market"/>
    <s v="Darjeeling"/>
    <s v="Tea"/>
    <s v="Iowa"/>
    <s v="Regular"/>
    <n v="210"/>
    <n v="200"/>
    <n v="120"/>
    <n v="410"/>
    <n v="250"/>
    <n v="1820"/>
    <n v="251"/>
    <n v="70"/>
    <n v="156"/>
    <n v="501"/>
    <n v="1.2219512195121951"/>
    <n v="1.3"/>
    <n v="1.1904761904761905"/>
  </r>
  <r>
    <n v="641"/>
    <x v="11"/>
    <s v="Central"/>
    <s v="Small Market"/>
    <s v="Earl Grey"/>
    <s v="Tea"/>
    <s v="Iowa"/>
    <s v="Regular"/>
    <n v="240"/>
    <n v="300"/>
    <n v="170"/>
    <n v="540"/>
    <n v="294"/>
    <n v="1838"/>
    <n v="360"/>
    <n v="111"/>
    <n v="216"/>
    <n v="654"/>
    <n v="1.211111111111111"/>
    <n v="1.2705882352941176"/>
    <n v="1.2250000000000001"/>
  </r>
  <r>
    <n v="641"/>
    <x v="11"/>
    <s v="Central"/>
    <s v="Small Market"/>
    <s v="Chamomile"/>
    <s v="Herbal Tea"/>
    <s v="Iowa"/>
    <s v="Decaf"/>
    <n v="230"/>
    <n v="300"/>
    <n v="200"/>
    <n v="530"/>
    <n v="247"/>
    <n v="1744"/>
    <n v="329"/>
    <n v="81"/>
    <n v="216"/>
    <n v="576"/>
    <n v="1.0867924528301887"/>
    <n v="1.08"/>
    <n v="1.0739130434782609"/>
  </r>
  <r>
    <n v="319"/>
    <x v="11"/>
    <s v="Central"/>
    <s v="Small Market"/>
    <s v="Lemon"/>
    <s v="Herbal Tea"/>
    <s v="Iowa"/>
    <s v="Decaf"/>
    <n v="120"/>
    <n v="170"/>
    <n v="120"/>
    <n v="290"/>
    <n v="127"/>
    <n v="830"/>
    <n v="185"/>
    <n v="40"/>
    <n v="123"/>
    <n v="312"/>
    <n v="1.0758620689655172"/>
    <n v="1.0249999999999999"/>
    <n v="1.0583333333333333"/>
  </r>
  <r>
    <n v="515"/>
    <x v="11"/>
    <s v="Central"/>
    <s v="Small Market"/>
    <s v="Caffe Mocha"/>
    <s v="Espresso"/>
    <s v="Iowa"/>
    <s v="Regular"/>
    <n v="20"/>
    <n v="50"/>
    <n v="40"/>
    <n v="70"/>
    <n v="23"/>
    <n v="807"/>
    <n v="35"/>
    <n v="6"/>
    <n v="17"/>
    <n v="58"/>
    <n v="0.82857142857142863"/>
    <n v="0.42499999999999999"/>
    <n v="1.1499999999999999"/>
  </r>
  <r>
    <n v="641"/>
    <x v="11"/>
    <s v="Central"/>
    <s v="Small Market"/>
    <s v="Decaf Espresso"/>
    <s v="Espresso"/>
    <s v="Iowa"/>
    <s v="Decaf"/>
    <n v="0"/>
    <n v="50"/>
    <n v="40"/>
    <n v="50"/>
    <n v="0"/>
    <n v="344"/>
    <n v="43"/>
    <n v="0"/>
    <n v="32"/>
    <n v="43"/>
    <n v="0.86"/>
    <n v="0.8"/>
    <m/>
  </r>
  <r>
    <n v="319"/>
    <x v="11"/>
    <s v="Central"/>
    <s v="Small Market"/>
    <s v="Decaf Irish Cream"/>
    <s v="Coffee"/>
    <s v="Iowa"/>
    <s v="Decaf"/>
    <n v="0"/>
    <n v="20"/>
    <n v="10"/>
    <n v="20"/>
    <n v="10"/>
    <n v="594"/>
    <n v="14"/>
    <n v="3"/>
    <n v="-1"/>
    <n v="24"/>
    <n v="1.2"/>
    <n v="-0.1"/>
    <m/>
  </r>
  <r>
    <n v="641"/>
    <x v="11"/>
    <s v="Central"/>
    <s v="Small Market"/>
    <s v="Amaretto"/>
    <s v="Coffee"/>
    <s v="Iowa"/>
    <s v="Regular"/>
    <n v="10"/>
    <n v="30"/>
    <n v="20"/>
    <n v="40"/>
    <n v="16"/>
    <n v="851"/>
    <n v="25"/>
    <n v="4"/>
    <n v="10"/>
    <n v="41"/>
    <n v="1.0249999999999999"/>
    <n v="0.5"/>
    <n v="1.6"/>
  </r>
  <r>
    <n v="563"/>
    <x v="11"/>
    <s v="Central"/>
    <s v="Small Market"/>
    <s v="Columbian"/>
    <s v="Coffee"/>
    <s v="Iowa"/>
    <s v="Regular"/>
    <n v="30"/>
    <n v="30"/>
    <n v="10"/>
    <n v="60"/>
    <n v="31"/>
    <n v="1009"/>
    <n v="38"/>
    <n v="9"/>
    <n v="8"/>
    <n v="69"/>
    <n v="1.1499999999999999"/>
    <n v="0.8"/>
    <n v="1.0333333333333334"/>
  </r>
  <r>
    <n v="573"/>
    <x v="11"/>
    <s v="Central"/>
    <s v="Small Market"/>
    <s v="Darjeeling"/>
    <s v="Tea"/>
    <s v="Missouri"/>
    <s v="Regular"/>
    <n v="30"/>
    <n v="40"/>
    <n v="10"/>
    <n v="70"/>
    <n v="38"/>
    <n v="256"/>
    <n v="51"/>
    <n v="12"/>
    <n v="11"/>
    <n v="89"/>
    <n v="1.2714285714285714"/>
    <n v="1.1000000000000001"/>
    <n v="1.2666666666666666"/>
  </r>
  <r>
    <n v="573"/>
    <x v="11"/>
    <s v="Central"/>
    <s v="Small Market"/>
    <s v="Earl Grey"/>
    <s v="Tea"/>
    <s v="Missouri"/>
    <s v="Regular"/>
    <n v="10"/>
    <n v="20"/>
    <n v="-10"/>
    <n v="30"/>
    <n v="20"/>
    <n v="218"/>
    <n v="25"/>
    <n v="7"/>
    <n v="-16"/>
    <n v="45"/>
    <n v="1.5"/>
    <n v="1.6"/>
    <n v="2"/>
  </r>
  <r>
    <n v="636"/>
    <x v="11"/>
    <s v="Central"/>
    <s v="Small Market"/>
    <s v="Green Tea"/>
    <s v="Tea"/>
    <s v="Missouri"/>
    <s v="Regular"/>
    <n v="30"/>
    <n v="40"/>
    <n v="0"/>
    <n v="70"/>
    <n v="39"/>
    <n v="250"/>
    <n v="49"/>
    <n v="14"/>
    <n v="2"/>
    <n v="88"/>
    <n v="1.2571428571428571"/>
    <m/>
    <n v="1.3"/>
  </r>
  <r>
    <n v="417"/>
    <x v="11"/>
    <s v="Central"/>
    <s v="Small Market"/>
    <s v="Chamomile"/>
    <s v="Herbal Tea"/>
    <s v="Missouri"/>
    <s v="Decaf"/>
    <n v="40"/>
    <n v="60"/>
    <n v="0"/>
    <n v="100"/>
    <n v="49"/>
    <n v="335"/>
    <n v="69"/>
    <n v="44"/>
    <n v="-5"/>
    <n v="118"/>
    <n v="1.18"/>
    <m/>
    <n v="1.2250000000000001"/>
  </r>
  <r>
    <n v="573"/>
    <x v="11"/>
    <s v="Central"/>
    <s v="Small Market"/>
    <s v="Lemon"/>
    <s v="Herbal Tea"/>
    <s v="Missouri"/>
    <s v="Decaf"/>
    <n v="80"/>
    <n v="60"/>
    <n v="20"/>
    <n v="140"/>
    <n v="92"/>
    <n v="1898"/>
    <n v="68"/>
    <n v="28"/>
    <n v="16"/>
    <n v="160"/>
    <n v="1.1428571428571428"/>
    <n v="0.8"/>
    <n v="1.1499999999999999"/>
  </r>
  <r>
    <n v="314"/>
    <x v="11"/>
    <s v="Central"/>
    <s v="Small Market"/>
    <s v="Caffe Mocha"/>
    <s v="Espresso"/>
    <s v="Missouri"/>
    <s v="Regular"/>
    <n v="60"/>
    <n v="90"/>
    <n v="70"/>
    <n v="150"/>
    <n v="50"/>
    <n v="898"/>
    <n v="73"/>
    <n v="14"/>
    <n v="48"/>
    <n v="123"/>
    <n v="0.82"/>
    <n v="0.68571428571428572"/>
    <n v="0.83333333333333337"/>
  </r>
  <r>
    <n v="314"/>
    <x v="11"/>
    <s v="Central"/>
    <s v="Small Market"/>
    <s v="Decaf Espresso"/>
    <s v="Espresso"/>
    <s v="Missouri"/>
    <s v="Decaf"/>
    <n v="30"/>
    <n v="60"/>
    <n v="50"/>
    <n v="90"/>
    <n v="31"/>
    <n v="844"/>
    <n v="46"/>
    <n v="8"/>
    <n v="27"/>
    <n v="77"/>
    <n v="0.85555555555555551"/>
    <n v="0.54"/>
    <n v="1.0333333333333334"/>
  </r>
  <r>
    <n v="816"/>
    <x v="11"/>
    <s v="Central"/>
    <s v="Small Market"/>
    <s v="Decaf Irish Cream"/>
    <s v="Coffee"/>
    <s v="Missouri"/>
    <s v="Decaf"/>
    <n v="60"/>
    <n v="70"/>
    <n v="40"/>
    <n v="130"/>
    <n v="63"/>
    <n v="1075"/>
    <n v="76"/>
    <n v="19"/>
    <n v="36"/>
    <n v="139"/>
    <n v="1.0692307692307692"/>
    <n v="0.9"/>
    <n v="1.05"/>
  </r>
  <r>
    <n v="573"/>
    <x v="11"/>
    <s v="Central"/>
    <s v="Small Market"/>
    <s v="Columbian"/>
    <s v="Coffee"/>
    <s v="Missouri"/>
    <s v="Regular"/>
    <n v="60"/>
    <n v="90"/>
    <n v="40"/>
    <n v="150"/>
    <n v="68"/>
    <n v="619"/>
    <n v="85"/>
    <n v="25"/>
    <n v="26"/>
    <n v="153"/>
    <n v="1.02"/>
    <n v="0.65"/>
    <n v="1.1333333333333333"/>
  </r>
  <r>
    <n v="513"/>
    <x v="11"/>
    <s v="Central"/>
    <s v="Major Market"/>
    <s v="Darjeeling"/>
    <s v="Tea"/>
    <s v="Ohio"/>
    <s v="Regular"/>
    <n v="70"/>
    <n v="110"/>
    <n v="70"/>
    <n v="180"/>
    <n v="88"/>
    <n v="817"/>
    <n v="133"/>
    <n v="29"/>
    <n v="72"/>
    <n v="221"/>
    <n v="1.2277777777777779"/>
    <n v="1.0285714285714285"/>
    <n v="1.2571428571428571"/>
  </r>
  <r>
    <n v="740"/>
    <x v="11"/>
    <s v="Central"/>
    <s v="Major Market"/>
    <s v="Earl Grey"/>
    <s v="Tea"/>
    <s v="Ohio"/>
    <s v="Regular"/>
    <n v="110"/>
    <n v="150"/>
    <n v="90"/>
    <n v="260"/>
    <n v="134"/>
    <n v="690"/>
    <n v="186"/>
    <n v="41"/>
    <n v="121"/>
    <n v="320"/>
    <n v="1.2307692307692308"/>
    <n v="1.3444444444444446"/>
    <n v="1.2181818181818183"/>
  </r>
  <r>
    <n v="937"/>
    <x v="11"/>
    <s v="Central"/>
    <s v="Major Market"/>
    <s v="Chamomile"/>
    <s v="Herbal Tea"/>
    <s v="Ohio"/>
    <s v="Decaf"/>
    <n v="20"/>
    <n v="40"/>
    <n v="30"/>
    <n v="60"/>
    <n v="29"/>
    <n v="490"/>
    <n v="44"/>
    <n v="8"/>
    <n v="25"/>
    <n v="73"/>
    <n v="1.2166666666666666"/>
    <n v="0.83333333333333337"/>
    <n v="1.45"/>
  </r>
  <r>
    <n v="330"/>
    <x v="11"/>
    <s v="Central"/>
    <s v="Major Market"/>
    <s v="Lemon"/>
    <s v="Herbal Tea"/>
    <s v="Ohio"/>
    <s v="Decaf"/>
    <n v="30"/>
    <n v="40"/>
    <n v="30"/>
    <n v="70"/>
    <n v="33"/>
    <n v="870"/>
    <n v="49"/>
    <n v="9"/>
    <n v="29"/>
    <n v="82"/>
    <n v="1.1714285714285715"/>
    <n v="0.96666666666666667"/>
    <n v="1.1000000000000001"/>
  </r>
  <r>
    <n v="740"/>
    <x v="11"/>
    <s v="Central"/>
    <s v="Major Market"/>
    <s v="Caffe Mocha"/>
    <s v="Espresso"/>
    <s v="Ohio"/>
    <s v="Regular"/>
    <n v="190"/>
    <n v="200"/>
    <n v="140"/>
    <n v="390"/>
    <n v="153"/>
    <n v="1319"/>
    <n v="153"/>
    <n v="42"/>
    <n v="87"/>
    <n v="306"/>
    <n v="0.7846153846153846"/>
    <n v="0.62142857142857144"/>
    <n v="0.80526315789473679"/>
  </r>
  <r>
    <n v="740"/>
    <x v="11"/>
    <s v="Central"/>
    <s v="Major Market"/>
    <s v="Decaf Espresso"/>
    <s v="Espresso"/>
    <s v="Ohio"/>
    <s v="Decaf"/>
    <n v="50"/>
    <n v="80"/>
    <n v="40"/>
    <n v="130"/>
    <n v="46"/>
    <n v="422"/>
    <n v="57"/>
    <n v="17"/>
    <n v="6"/>
    <n v="103"/>
    <n v="0.79230769230769227"/>
    <n v="0.15"/>
    <n v="0.92"/>
  </r>
  <r>
    <n v="513"/>
    <x v="11"/>
    <s v="Central"/>
    <s v="Major Market"/>
    <s v="Amaretto"/>
    <s v="Coffee"/>
    <s v="Ohio"/>
    <s v="Regular"/>
    <n v="50"/>
    <n v="70"/>
    <n v="40"/>
    <n v="120"/>
    <n v="54"/>
    <n v="424"/>
    <n v="73"/>
    <n v="17"/>
    <n v="29"/>
    <n v="127"/>
    <n v="1.0583333333333333"/>
    <n v="0.72499999999999998"/>
    <n v="1.08"/>
  </r>
  <r>
    <n v="614"/>
    <x v="11"/>
    <s v="Central"/>
    <s v="Major Market"/>
    <s v="Columbian"/>
    <s v="Coffee"/>
    <s v="Ohio"/>
    <s v="Regular"/>
    <n v="40"/>
    <n v="50"/>
    <n v="20"/>
    <n v="90"/>
    <n v="41"/>
    <n v="435"/>
    <n v="60"/>
    <n v="13"/>
    <n v="24"/>
    <n v="101"/>
    <n v="1.1222222222222222"/>
    <n v="1.2"/>
    <n v="1.0249999999999999"/>
  </r>
  <r>
    <n v="419"/>
    <x v="11"/>
    <s v="Central"/>
    <s v="Major Market"/>
    <s v="Decaf Irish Cream"/>
    <s v="Coffee"/>
    <s v="Ohio"/>
    <s v="Decaf"/>
    <n v="40"/>
    <n v="70"/>
    <n v="10"/>
    <n v="110"/>
    <n v="47"/>
    <n v="521"/>
    <n v="65"/>
    <n v="42"/>
    <n v="-6"/>
    <n v="112"/>
    <n v="1.0181818181818181"/>
    <n v="-0.6"/>
    <n v="1.175"/>
  </r>
  <r>
    <n v="262"/>
    <x v="11"/>
    <s v="Central"/>
    <s v="Small Market"/>
    <s v="Darjeeling"/>
    <s v="Tea"/>
    <s v="Wisconsin"/>
    <s v="Regular"/>
    <n v="30"/>
    <n v="50"/>
    <n v="20"/>
    <n v="80"/>
    <n v="43"/>
    <n v="466"/>
    <n v="63"/>
    <n v="13"/>
    <n v="28"/>
    <n v="106"/>
    <n v="1.325"/>
    <n v="1.4"/>
    <n v="1.4333333333333333"/>
  </r>
  <r>
    <n v="920"/>
    <x v="11"/>
    <s v="Central"/>
    <s v="Small Market"/>
    <s v="Earl Grey"/>
    <s v="Tea"/>
    <s v="Wisconsin"/>
    <s v="Regular"/>
    <n v="40"/>
    <n v="60"/>
    <n v="0"/>
    <n v="100"/>
    <n v="55"/>
    <n v="627"/>
    <n v="76"/>
    <n v="49"/>
    <n v="-3"/>
    <n v="131"/>
    <n v="1.31"/>
    <m/>
    <n v="1.375"/>
  </r>
  <r>
    <n v="920"/>
    <x v="11"/>
    <s v="Central"/>
    <s v="Small Market"/>
    <s v="Chamomile"/>
    <s v="Herbal Tea"/>
    <s v="Wisconsin"/>
    <s v="Decaf"/>
    <n v="30"/>
    <n v="60"/>
    <n v="30"/>
    <n v="90"/>
    <n v="41"/>
    <n v="320"/>
    <n v="66"/>
    <n v="12"/>
    <n v="30"/>
    <n v="107"/>
    <n v="1.1888888888888889"/>
    <n v="1"/>
    <n v="1.3666666666666667"/>
  </r>
  <r>
    <n v="715"/>
    <x v="11"/>
    <s v="Central"/>
    <s v="Small Market"/>
    <s v="Lemon"/>
    <s v="Herbal Tea"/>
    <s v="Wisconsin"/>
    <s v="Decaf"/>
    <n v="30"/>
    <n v="40"/>
    <n v="30"/>
    <n v="70"/>
    <n v="34"/>
    <n v="863"/>
    <n v="51"/>
    <n v="9"/>
    <n v="30"/>
    <n v="85"/>
    <n v="1.2142857142857142"/>
    <n v="1"/>
    <n v="1.1333333333333333"/>
  </r>
  <r>
    <n v="715"/>
    <x v="11"/>
    <s v="Central"/>
    <s v="Small Market"/>
    <s v="Caffe Mocha"/>
    <s v="Espresso"/>
    <s v="Wisconsin"/>
    <s v="Regular"/>
    <n v="100"/>
    <n v="120"/>
    <n v="80"/>
    <n v="220"/>
    <n v="80"/>
    <n v="1079"/>
    <n v="96"/>
    <n v="24"/>
    <n v="50"/>
    <n v="176"/>
    <n v="0.8"/>
    <n v="0.625"/>
    <n v="0.8"/>
  </r>
  <r>
    <n v="262"/>
    <x v="11"/>
    <s v="Central"/>
    <s v="Small Market"/>
    <s v="Decaf Espresso"/>
    <s v="Espresso"/>
    <s v="Wisconsin"/>
    <s v="Decaf"/>
    <n v="30"/>
    <n v="40"/>
    <n v="30"/>
    <n v="70"/>
    <n v="24"/>
    <n v="567"/>
    <n v="32"/>
    <n v="7"/>
    <n v="13"/>
    <n v="56"/>
    <n v="0.8"/>
    <n v="0.43333333333333335"/>
    <n v="0.8"/>
  </r>
  <r>
    <n v="715"/>
    <x v="11"/>
    <s v="Central"/>
    <s v="Small Market"/>
    <s v="Amaretto"/>
    <s v="Coffee"/>
    <s v="Wisconsin"/>
    <s v="Regular"/>
    <n v="60"/>
    <n v="80"/>
    <n v="30"/>
    <n v="140"/>
    <n v="65"/>
    <n v="403"/>
    <n v="80"/>
    <n v="24"/>
    <n v="22"/>
    <n v="145"/>
    <n v="1.0357142857142858"/>
    <n v="0.73333333333333328"/>
    <n v="1.0833333333333333"/>
  </r>
  <r>
    <n v="715"/>
    <x v="11"/>
    <s v="Central"/>
    <s v="Small Market"/>
    <s v="Columbian"/>
    <s v="Coffee"/>
    <s v="Wisconsin"/>
    <s v="Regular"/>
    <n v="100"/>
    <n v="140"/>
    <n v="30"/>
    <n v="240"/>
    <n v="105"/>
    <n v="716"/>
    <n v="145"/>
    <n v="95"/>
    <n v="20"/>
    <n v="250"/>
    <n v="1.0416666666666667"/>
    <n v="0.66666666666666663"/>
    <n v="1.05"/>
  </r>
  <r>
    <n v="715"/>
    <x v="11"/>
    <s v="Central"/>
    <s v="Small Market"/>
    <s v="Decaf Irish Cream"/>
    <s v="Coffee"/>
    <s v="Wisconsin"/>
    <s v="Decaf"/>
    <n v="80"/>
    <n v="110"/>
    <n v="70"/>
    <n v="190"/>
    <n v="83"/>
    <n v="575"/>
    <n v="112"/>
    <n v="27"/>
    <n v="57"/>
    <n v="195"/>
    <n v="1.0263157894736843"/>
    <n v="0.81428571428571428"/>
    <n v="1.0375000000000001"/>
  </r>
  <r>
    <n v="860"/>
    <x v="11"/>
    <s v="East"/>
    <s v="Small Market"/>
    <s v="Darjeeling"/>
    <s v="Tea"/>
    <s v="Connecticut"/>
    <s v="Regular"/>
    <n v="50"/>
    <n v="70"/>
    <n v="50"/>
    <n v="120"/>
    <n v="50"/>
    <n v="898"/>
    <n v="73"/>
    <n v="14"/>
    <n v="47"/>
    <n v="123"/>
    <n v="1.0249999999999999"/>
    <n v="0.94"/>
    <n v="1"/>
  </r>
  <r>
    <n v="959"/>
    <x v="11"/>
    <s v="East"/>
    <s v="Small Market"/>
    <s v="Green Tea"/>
    <s v="Tea"/>
    <s v="Connecticut"/>
    <s v="Regular"/>
    <n v="30"/>
    <n v="50"/>
    <n v="40"/>
    <n v="80"/>
    <n v="33"/>
    <n v="818"/>
    <n v="49"/>
    <n v="9"/>
    <n v="28"/>
    <n v="82"/>
    <n v="1.0249999999999999"/>
    <n v="0.7"/>
    <n v="1.1000000000000001"/>
  </r>
  <r>
    <n v="475"/>
    <x v="11"/>
    <s v="East"/>
    <s v="Small Market"/>
    <s v="Lemon"/>
    <s v="Herbal Tea"/>
    <s v="Connecticut"/>
    <s v="Decaf"/>
    <n v="50"/>
    <n v="60"/>
    <n v="20"/>
    <n v="110"/>
    <n v="68"/>
    <n v="619"/>
    <n v="85"/>
    <n v="25"/>
    <n v="27"/>
    <n v="153"/>
    <n v="1.3909090909090909"/>
    <n v="1.35"/>
    <n v="1.36"/>
  </r>
  <r>
    <n v="475"/>
    <x v="11"/>
    <s v="East"/>
    <s v="Small Market"/>
    <s v="Mint"/>
    <s v="Herbal Tea"/>
    <s v="Connecticut"/>
    <s v="Decaf"/>
    <n v="40"/>
    <n v="60"/>
    <n v="40"/>
    <n v="100"/>
    <n v="63"/>
    <n v="1075"/>
    <n v="76"/>
    <n v="19"/>
    <n v="36"/>
    <n v="139"/>
    <n v="1.39"/>
    <n v="0.9"/>
    <n v="1.575"/>
  </r>
  <r>
    <n v="475"/>
    <x v="11"/>
    <s v="East"/>
    <s v="Small Market"/>
    <s v="Caffe Mocha"/>
    <s v="Espresso"/>
    <s v="Connecticut"/>
    <s v="Regular"/>
    <n v="50"/>
    <n v="70"/>
    <n v="10"/>
    <n v="120"/>
    <n v="55"/>
    <n v="627"/>
    <n v="76"/>
    <n v="49"/>
    <n v="-2"/>
    <n v="131"/>
    <n v="1.0916666666666666"/>
    <n v="-0.2"/>
    <n v="1.1000000000000001"/>
  </r>
  <r>
    <n v="959"/>
    <x v="11"/>
    <s v="East"/>
    <s v="Small Market"/>
    <s v="Decaf Espresso"/>
    <s v="Espresso"/>
    <s v="Connecticut"/>
    <s v="Decaf"/>
    <n v="40"/>
    <n v="70"/>
    <n v="40"/>
    <n v="110"/>
    <n v="49"/>
    <n v="392"/>
    <n v="65"/>
    <n v="16"/>
    <n v="21"/>
    <n v="114"/>
    <n v="1.0363636363636364"/>
    <n v="0.52500000000000002"/>
    <n v="1.2250000000000001"/>
  </r>
  <r>
    <n v="203"/>
    <x v="11"/>
    <s v="East"/>
    <s v="Small Market"/>
    <s v="Columbian"/>
    <s v="Coffee"/>
    <s v="Connecticut"/>
    <s v="Regular"/>
    <n v="100"/>
    <n v="160"/>
    <n v="110"/>
    <n v="260"/>
    <n v="115"/>
    <n v="1166"/>
    <n v="174"/>
    <n v="37"/>
    <n v="105"/>
    <n v="289"/>
    <n v="1.1115384615384616"/>
    <n v="0.95454545454545459"/>
    <n v="1.1499999999999999"/>
  </r>
  <r>
    <n v="813"/>
    <x v="11"/>
    <s v="East"/>
    <s v="Major Market"/>
    <s v="Darjeeling"/>
    <s v="Tea"/>
    <s v="Florida"/>
    <s v="Regular"/>
    <n v="30"/>
    <n v="40"/>
    <n v="30"/>
    <n v="70"/>
    <n v="30"/>
    <n v="882"/>
    <n v="45"/>
    <n v="8"/>
    <n v="26"/>
    <n v="75"/>
    <n v="1.0714285714285714"/>
    <n v="0.8666666666666667"/>
    <n v="1"/>
  </r>
  <r>
    <n v="863"/>
    <x v="11"/>
    <s v="East"/>
    <s v="Major Market"/>
    <s v="Green Tea"/>
    <s v="Tea"/>
    <s v="Florida"/>
    <s v="Regular"/>
    <n v="30"/>
    <n v="50"/>
    <n v="40"/>
    <n v="80"/>
    <n v="34"/>
    <n v="863"/>
    <n v="51"/>
    <n v="9"/>
    <n v="30"/>
    <n v="85"/>
    <n v="1.0625"/>
    <n v="0.75"/>
    <n v="1.1333333333333333"/>
  </r>
  <r>
    <n v="772"/>
    <x v="11"/>
    <s v="East"/>
    <s v="Major Market"/>
    <s v="Chamomile"/>
    <s v="Herbal Tea"/>
    <s v="Florida"/>
    <s v="Decaf"/>
    <n v="10"/>
    <n v="30"/>
    <n v="20"/>
    <n v="40"/>
    <n v="24"/>
    <n v="567"/>
    <n v="32"/>
    <n v="7"/>
    <n v="12"/>
    <n v="56"/>
    <n v="1.4"/>
    <n v="0.6"/>
    <n v="2.4"/>
  </r>
  <r>
    <n v="954"/>
    <x v="11"/>
    <s v="East"/>
    <s v="Major Market"/>
    <s v="Lemon"/>
    <s v="Herbal Tea"/>
    <s v="Florida"/>
    <s v="Decaf"/>
    <n v="40"/>
    <n v="60"/>
    <n v="20"/>
    <n v="100"/>
    <n v="65"/>
    <n v="403"/>
    <n v="80"/>
    <n v="24"/>
    <n v="23"/>
    <n v="145"/>
    <n v="1.45"/>
    <n v="1.1499999999999999"/>
    <n v="1.625"/>
  </r>
  <r>
    <n v="561"/>
    <x v="11"/>
    <s v="East"/>
    <s v="Major Market"/>
    <s v="Mint"/>
    <s v="Herbal Tea"/>
    <s v="Florida"/>
    <s v="Decaf"/>
    <n v="60"/>
    <n v="60"/>
    <n v="30"/>
    <n v="120"/>
    <n v="80"/>
    <n v="1079"/>
    <n v="96"/>
    <n v="24"/>
    <n v="50"/>
    <n v="176"/>
    <n v="1.4666666666666666"/>
    <n v="1.6666666666666667"/>
    <n v="1.3333333333333333"/>
  </r>
  <r>
    <n v="305"/>
    <x v="11"/>
    <s v="East"/>
    <s v="Major Market"/>
    <s v="Caffe Mocha"/>
    <s v="Espresso"/>
    <s v="Florida"/>
    <s v="Regular"/>
    <n v="100"/>
    <n v="140"/>
    <n v="30"/>
    <n v="240"/>
    <n v="105"/>
    <n v="716"/>
    <n v="145"/>
    <n v="95"/>
    <n v="21"/>
    <n v="250"/>
    <n v="1.0416666666666667"/>
    <n v="0.7"/>
    <n v="1.05"/>
  </r>
  <r>
    <n v="407"/>
    <x v="11"/>
    <s v="East"/>
    <s v="Major Market"/>
    <s v="Decaf Espresso"/>
    <s v="Espresso"/>
    <s v="Florida"/>
    <s v="Decaf"/>
    <n v="80"/>
    <n v="110"/>
    <n v="70"/>
    <n v="190"/>
    <n v="83"/>
    <n v="575"/>
    <n v="112"/>
    <n v="27"/>
    <n v="58"/>
    <n v="195"/>
    <n v="1.0263157894736843"/>
    <n v="0.82857142857142863"/>
    <n v="1.0375000000000001"/>
  </r>
  <r>
    <n v="754"/>
    <x v="11"/>
    <s v="East"/>
    <s v="Major Market"/>
    <s v="Columbian"/>
    <s v="Coffee"/>
    <s v="Florida"/>
    <s v="Regular"/>
    <n v="70"/>
    <n v="120"/>
    <n v="80"/>
    <n v="190"/>
    <n v="88"/>
    <n v="817"/>
    <n v="133"/>
    <n v="29"/>
    <n v="73"/>
    <n v="221"/>
    <n v="1.1631578947368422"/>
    <n v="0.91249999999999998"/>
    <n v="1.2571428571428571"/>
  </r>
  <r>
    <n v="813"/>
    <x v="11"/>
    <s v="East"/>
    <s v="Major Market"/>
    <s v="Decaf Irish Cream"/>
    <s v="Coffee"/>
    <s v="Florida"/>
    <s v="Decaf"/>
    <n v="120"/>
    <n v="160"/>
    <n v="110"/>
    <n v="280"/>
    <n v="134"/>
    <n v="690"/>
    <n v="186"/>
    <n v="41"/>
    <n v="122"/>
    <n v="320"/>
    <n v="1.1428571428571428"/>
    <n v="1.1090909090909091"/>
    <n v="1.1166666666666667"/>
  </r>
  <r>
    <n v="617"/>
    <x v="11"/>
    <s v="East"/>
    <s v="Major Market"/>
    <s v="Darjeeling"/>
    <s v="Tea"/>
    <s v="Massachusetts"/>
    <s v="Regular"/>
    <n v="30"/>
    <n v="50"/>
    <n v="40"/>
    <n v="80"/>
    <n v="33"/>
    <n v="870"/>
    <n v="49"/>
    <n v="9"/>
    <n v="29"/>
    <n v="82"/>
    <n v="1.0249999999999999"/>
    <n v="0.72499999999999998"/>
    <n v="1.1000000000000001"/>
  </r>
  <r>
    <n v="857"/>
    <x v="11"/>
    <s v="East"/>
    <s v="Major Market"/>
    <s v="Green Tea"/>
    <s v="Tea"/>
    <s v="Massachusetts"/>
    <s v="Regular"/>
    <n v="30"/>
    <n v="40"/>
    <n v="30"/>
    <n v="70"/>
    <n v="29"/>
    <n v="490"/>
    <n v="44"/>
    <n v="8"/>
    <n v="25"/>
    <n v="73"/>
    <n v="1.0428571428571429"/>
    <n v="0.83333333333333337"/>
    <n v="0.96666666666666667"/>
  </r>
  <r>
    <n v="508"/>
    <x v="11"/>
    <s v="East"/>
    <s v="Major Market"/>
    <s v="Lemon"/>
    <s v="Herbal Tea"/>
    <s v="Massachusetts"/>
    <s v="Decaf"/>
    <n v="30"/>
    <n v="40"/>
    <n v="10"/>
    <n v="70"/>
    <n v="46"/>
    <n v="422"/>
    <n v="57"/>
    <n v="17"/>
    <n v="7"/>
    <n v="103"/>
    <n v="1.4714285714285715"/>
    <n v="0.7"/>
    <n v="1.5333333333333334"/>
  </r>
  <r>
    <n v="339"/>
    <x v="11"/>
    <s v="East"/>
    <s v="Major Market"/>
    <s v="Caffe Mocha"/>
    <s v="Espresso"/>
    <s v="Massachusetts"/>
    <s v="Regular"/>
    <n v="40"/>
    <n v="50"/>
    <n v="-10"/>
    <n v="90"/>
    <n v="47"/>
    <n v="571"/>
    <n v="52"/>
    <n v="42"/>
    <n v="-20"/>
    <n v="99"/>
    <n v="1.1000000000000001"/>
    <n v="2"/>
    <n v="1.175"/>
  </r>
  <r>
    <n v="351"/>
    <x v="11"/>
    <s v="East"/>
    <s v="Major Market"/>
    <s v="Regular Espresso"/>
    <s v="Espresso"/>
    <s v="Massachusetts"/>
    <s v="Regular"/>
    <n v="150"/>
    <n v="140"/>
    <n v="80"/>
    <n v="290"/>
    <n v="153"/>
    <n v="1319"/>
    <n v="153"/>
    <n v="42"/>
    <n v="87"/>
    <n v="306"/>
    <n v="1.0551724137931036"/>
    <n v="1.0874999999999999"/>
    <n v="1.02"/>
  </r>
  <r>
    <n v="351"/>
    <x v="11"/>
    <s v="East"/>
    <s v="Major Market"/>
    <s v="Columbian"/>
    <s v="Coffee"/>
    <s v="Massachusetts"/>
    <s v="Regular"/>
    <n v="60"/>
    <n v="390"/>
    <n v="360"/>
    <n v="450"/>
    <n v="67"/>
    <n v="-3534"/>
    <n v="443"/>
    <n v="22"/>
    <n v="390"/>
    <n v="510"/>
    <n v="1.1333333333333333"/>
    <n v="1.0833333333333333"/>
    <n v="1.1166666666666667"/>
  </r>
  <r>
    <n v="603"/>
    <x v="11"/>
    <s v="East"/>
    <s v="Small Market"/>
    <s v="Darjeeling"/>
    <s v="Tea"/>
    <s v="New Hampshire"/>
    <s v="Regular"/>
    <n v="10"/>
    <n v="30"/>
    <n v="20"/>
    <n v="40"/>
    <n v="16"/>
    <n v="851"/>
    <n v="25"/>
    <n v="4"/>
    <n v="10"/>
    <n v="41"/>
    <n v="1.0249999999999999"/>
    <n v="0.5"/>
    <n v="1.6"/>
  </r>
  <r>
    <n v="603"/>
    <x v="11"/>
    <s v="East"/>
    <s v="Small Market"/>
    <s v="Green Tea"/>
    <s v="Tea"/>
    <s v="New Hampshire"/>
    <s v="Regular"/>
    <n v="0"/>
    <n v="40"/>
    <n v="30"/>
    <n v="40"/>
    <n v="0"/>
    <n v="344"/>
    <n v="43"/>
    <n v="0"/>
    <n v="32"/>
    <n v="43"/>
    <n v="1.075"/>
    <n v="1.0666666666666667"/>
    <m/>
  </r>
  <r>
    <n v="603"/>
    <x v="11"/>
    <s v="East"/>
    <s v="Small Market"/>
    <s v="Lemon"/>
    <s v="Herbal Tea"/>
    <s v="New Hampshire"/>
    <s v="Decaf"/>
    <n v="20"/>
    <n v="40"/>
    <n v="10"/>
    <n v="60"/>
    <n v="39"/>
    <n v="250"/>
    <n v="49"/>
    <n v="14"/>
    <n v="2"/>
    <n v="88"/>
    <n v="1.4666666666666666"/>
    <n v="0.2"/>
    <n v="1.95"/>
  </r>
  <r>
    <n v="603"/>
    <x v="11"/>
    <s v="East"/>
    <s v="Small Market"/>
    <s v="Caffe Mocha"/>
    <s v="Espresso"/>
    <s v="New Hampshire"/>
    <s v="Regular"/>
    <n v="40"/>
    <n v="70"/>
    <n v="10"/>
    <n v="110"/>
    <n v="49"/>
    <n v="335"/>
    <n v="69"/>
    <n v="44"/>
    <n v="-4"/>
    <n v="118"/>
    <n v="1.0727272727272728"/>
    <n v="-0.4"/>
    <n v="1.2250000000000001"/>
  </r>
  <r>
    <n v="603"/>
    <x v="11"/>
    <s v="East"/>
    <s v="Small Market"/>
    <s v="Regular Espresso"/>
    <s v="Espresso"/>
    <s v="New Hampshire"/>
    <s v="Regular"/>
    <n v="10"/>
    <n v="30"/>
    <n v="0"/>
    <n v="40"/>
    <n v="20"/>
    <n v="218"/>
    <n v="25"/>
    <n v="7"/>
    <n v="-16"/>
    <n v="45"/>
    <n v="1.125"/>
    <m/>
    <n v="2"/>
  </r>
  <r>
    <n v="603"/>
    <x v="11"/>
    <s v="East"/>
    <s v="Small Market"/>
    <s v="Amaretto"/>
    <s v="Coffee"/>
    <s v="New Hampshire"/>
    <s v="Regular"/>
    <n v="40"/>
    <n v="70"/>
    <n v="50"/>
    <n v="110"/>
    <n v="52"/>
    <n v="327"/>
    <n v="75"/>
    <n v="16"/>
    <n v="37"/>
    <n v="127"/>
    <n v="1.1545454545454545"/>
    <n v="0.74"/>
    <n v="1.3"/>
  </r>
  <r>
    <n v="603"/>
    <x v="11"/>
    <s v="East"/>
    <s v="Small Market"/>
    <s v="Columbian"/>
    <s v="Coffee"/>
    <s v="New Hampshire"/>
    <s v="Regular"/>
    <n v="40"/>
    <n v="60"/>
    <n v="30"/>
    <n v="100"/>
    <n v="48"/>
    <n v="462"/>
    <n v="74"/>
    <n v="15"/>
    <n v="28"/>
    <n v="122"/>
    <n v="1.22"/>
    <n v="0.93333333333333335"/>
    <n v="1.2"/>
  </r>
  <r>
    <n v="716"/>
    <x v="11"/>
    <s v="East"/>
    <s v="Major Market"/>
    <s v="Darjeeling"/>
    <s v="Tea"/>
    <s v="New York"/>
    <s v="Regular"/>
    <n v="90"/>
    <n v="120"/>
    <n v="90"/>
    <n v="210"/>
    <n v="86"/>
    <n v="1003"/>
    <n v="124"/>
    <n v="24"/>
    <n v="89"/>
    <n v="210"/>
    <n v="1"/>
    <n v="0.98888888888888893"/>
    <n v="0.9555555555555556"/>
  </r>
  <r>
    <n v="718"/>
    <x v="11"/>
    <s v="East"/>
    <s v="Major Market"/>
    <s v="Earl Grey"/>
    <s v="Tea"/>
    <s v="New York"/>
    <s v="Regular"/>
    <n v="120"/>
    <n v="190"/>
    <n v="150"/>
    <n v="310"/>
    <n v="123"/>
    <n v="959"/>
    <n v="179"/>
    <n v="34"/>
    <n v="133"/>
    <n v="302"/>
    <n v="0.97419354838709682"/>
    <n v="0.88666666666666671"/>
    <n v="1.0249999999999999"/>
  </r>
  <r>
    <n v="518"/>
    <x v="11"/>
    <s v="East"/>
    <s v="Major Market"/>
    <s v="Green Tea"/>
    <s v="Tea"/>
    <s v="New York"/>
    <s v="Regular"/>
    <n v="50"/>
    <n v="80"/>
    <n v="60"/>
    <n v="130"/>
    <n v="54"/>
    <n v="601"/>
    <n v="79"/>
    <n v="15"/>
    <n v="52"/>
    <n v="133"/>
    <n v="1.023076923076923"/>
    <n v="0.8666666666666667"/>
    <n v="1.08"/>
  </r>
  <r>
    <n v="607"/>
    <x v="11"/>
    <s v="East"/>
    <s v="Major Market"/>
    <s v="Lemon"/>
    <s v="Herbal Tea"/>
    <s v="New York"/>
    <s v="Decaf"/>
    <n v="220"/>
    <n v="320"/>
    <n v="210"/>
    <n v="540"/>
    <n v="294"/>
    <n v="1727"/>
    <n v="453"/>
    <n v="111"/>
    <n v="309"/>
    <n v="747"/>
    <n v="1.3833333333333333"/>
    <n v="1.4714285714285715"/>
    <n v="1.3363636363636364"/>
  </r>
  <r>
    <n v="716"/>
    <x v="11"/>
    <s v="East"/>
    <s v="Major Market"/>
    <s v="Mint"/>
    <s v="Herbal Tea"/>
    <s v="New York"/>
    <s v="Decaf"/>
    <n v="180"/>
    <n v="-80"/>
    <n v="-150"/>
    <n v="100"/>
    <n v="241"/>
    <n v="5121"/>
    <n v="-93"/>
    <n v="74"/>
    <n v="-189"/>
    <n v="148"/>
    <n v="1.48"/>
    <n v="1.26"/>
    <n v="1.3388888888888888"/>
  </r>
  <r>
    <n v="212"/>
    <x v="11"/>
    <s v="East"/>
    <s v="Major Market"/>
    <s v="Caffe Mocha"/>
    <s v="Espresso"/>
    <s v="New York"/>
    <s v="Regular"/>
    <n v="130"/>
    <n v="-70"/>
    <n v="-210"/>
    <n v="60"/>
    <n v="135"/>
    <n v="3641"/>
    <n v="-69"/>
    <n v="122"/>
    <n v="-224"/>
    <n v="66"/>
    <n v="1.1000000000000001"/>
    <n v="1.0666666666666667"/>
    <n v="1.0384615384615385"/>
  </r>
  <r>
    <n v="718"/>
    <x v="11"/>
    <s v="East"/>
    <s v="Major Market"/>
    <s v="Regular Espresso"/>
    <s v="Espresso"/>
    <s v="New York"/>
    <s v="Regular"/>
    <n v="240"/>
    <n v="400"/>
    <n v="320"/>
    <n v="640"/>
    <n v="250"/>
    <n v="723"/>
    <n v="407"/>
    <n v="70"/>
    <n v="312"/>
    <n v="657"/>
    <n v="1.0265625"/>
    <n v="0.97499999999999998"/>
    <n v="1.0416666666666667"/>
  </r>
  <r>
    <n v="845"/>
    <x v="11"/>
    <s v="East"/>
    <s v="Major Market"/>
    <s v="Columbian"/>
    <s v="Coffee"/>
    <s v="New York"/>
    <s v="Regular"/>
    <n v="250"/>
    <n v="370"/>
    <n v="250"/>
    <n v="620"/>
    <n v="279"/>
    <n v="2642"/>
    <n v="420"/>
    <n v="97"/>
    <n v="271"/>
    <n v="699"/>
    <n v="1.1274193548387097"/>
    <n v="1.0840000000000001"/>
    <n v="1.1160000000000001"/>
  </r>
  <r>
    <n v="318"/>
    <x v="11"/>
    <s v="South"/>
    <s v="Small Market"/>
    <s v="Columbian"/>
    <s v="Coffee"/>
    <s v="Louisiana"/>
    <s v="Regular"/>
    <n v="50"/>
    <n v="90"/>
    <n v="70"/>
    <n v="140"/>
    <n v="49"/>
    <n v="845"/>
    <n v="71"/>
    <n v="13"/>
    <n v="46"/>
    <n v="120"/>
    <n v="0.8571428571428571"/>
    <n v="0.65714285714285714"/>
    <n v="0.98"/>
  </r>
  <r>
    <n v="225"/>
    <x v="11"/>
    <s v="South"/>
    <s v="Small Market"/>
    <s v="Decaf Irish Cream"/>
    <s v="Coffee"/>
    <s v="Louisiana"/>
    <s v="Decaf"/>
    <n v="40"/>
    <n v="60"/>
    <n v="50"/>
    <n v="100"/>
    <n v="34"/>
    <n v="863"/>
    <n v="51"/>
    <n v="9"/>
    <n v="31"/>
    <n v="85"/>
    <n v="0.85"/>
    <n v="0.62"/>
    <n v="0.85"/>
  </r>
  <r>
    <n v="225"/>
    <x v="11"/>
    <s v="South"/>
    <s v="Small Market"/>
    <s v="Chamomile"/>
    <s v="Herbal Tea"/>
    <s v="Louisiana"/>
    <s v="Decaf"/>
    <n v="80"/>
    <n v="110"/>
    <n v="70"/>
    <n v="190"/>
    <n v="94"/>
    <n v="540"/>
    <n v="120"/>
    <n v="31"/>
    <n v="77"/>
    <n v="214"/>
    <n v="1.1263157894736842"/>
    <n v="1.1000000000000001"/>
    <n v="1.175"/>
  </r>
  <r>
    <n v="985"/>
    <x v="11"/>
    <s v="South"/>
    <s v="Small Market"/>
    <s v="Lemon"/>
    <s v="Herbal Tea"/>
    <s v="Louisiana"/>
    <s v="Decaf"/>
    <n v="60"/>
    <n v="80"/>
    <n v="30"/>
    <n v="140"/>
    <n v="68"/>
    <n v="619"/>
    <n v="85"/>
    <n v="25"/>
    <n v="26"/>
    <n v="153"/>
    <n v="1.0928571428571427"/>
    <n v="0.8666666666666667"/>
    <n v="1.1333333333333333"/>
  </r>
  <r>
    <n v="985"/>
    <x v="11"/>
    <s v="South"/>
    <s v="Small Market"/>
    <s v="Caffe Latte"/>
    <s v="Espresso"/>
    <s v="Louisiana"/>
    <s v="Regular"/>
    <n v="40"/>
    <n v="60"/>
    <n v="0"/>
    <n v="100"/>
    <n v="55"/>
    <n v="-1053"/>
    <n v="76"/>
    <n v="49"/>
    <n v="-3"/>
    <n v="131"/>
    <n v="1.31"/>
    <m/>
    <n v="1.375"/>
  </r>
  <r>
    <n v="985"/>
    <x v="11"/>
    <s v="South"/>
    <s v="Small Market"/>
    <s v="Caffe Mocha"/>
    <s v="Espresso"/>
    <s v="Louisiana"/>
    <s v="Regular"/>
    <n v="30"/>
    <n v="50"/>
    <n v="20"/>
    <n v="80"/>
    <n v="41"/>
    <n v="320"/>
    <n v="66"/>
    <n v="12"/>
    <n v="31"/>
    <n v="107"/>
    <n v="1.3374999999999999"/>
    <n v="1.55"/>
    <n v="1.3666666666666667"/>
  </r>
  <r>
    <n v="225"/>
    <x v="11"/>
    <s v="South"/>
    <s v="Small Market"/>
    <s v="Decaf Espresso"/>
    <s v="Espresso"/>
    <s v="Louisiana"/>
    <s v="Decaf"/>
    <n v="30"/>
    <n v="50"/>
    <n v="20"/>
    <n v="80"/>
    <n v="43"/>
    <n v="466"/>
    <n v="63"/>
    <n v="13"/>
    <n v="27"/>
    <n v="106"/>
    <n v="1.325"/>
    <n v="1.35"/>
    <n v="1.4333333333333333"/>
  </r>
  <r>
    <n v="505"/>
    <x v="11"/>
    <s v="South"/>
    <s v="Small Market"/>
    <s v="Columbian"/>
    <s v="Coffee"/>
    <s v="New Mexico"/>
    <s v="Regular"/>
    <n v="50"/>
    <n v="90"/>
    <n v="50"/>
    <n v="140"/>
    <n v="48"/>
    <n v="462"/>
    <n v="74"/>
    <n v="15"/>
    <n v="27"/>
    <n v="122"/>
    <n v="0.87142857142857144"/>
    <n v="0.54"/>
    <n v="0.96"/>
  </r>
  <r>
    <n v="505"/>
    <x v="11"/>
    <s v="South"/>
    <s v="Small Market"/>
    <s v="Decaf Irish Cream"/>
    <s v="Coffee"/>
    <s v="New Mexico"/>
    <s v="Decaf"/>
    <n v="100"/>
    <n v="90"/>
    <n v="40"/>
    <n v="190"/>
    <n v="92"/>
    <n v="1898"/>
    <n v="68"/>
    <n v="28"/>
    <n v="16"/>
    <n v="160"/>
    <n v="0.84210526315789469"/>
    <n v="0.4"/>
    <n v="0.92"/>
  </r>
  <r>
    <n v="505"/>
    <x v="11"/>
    <s v="South"/>
    <s v="Small Market"/>
    <s v="Chamomile"/>
    <s v="Herbal Tea"/>
    <s v="New Mexico"/>
    <s v="Decaf"/>
    <n v="10"/>
    <n v="20"/>
    <n v="10"/>
    <n v="30"/>
    <n v="16"/>
    <n v="851"/>
    <n v="25"/>
    <n v="4"/>
    <n v="9"/>
    <n v="41"/>
    <n v="1.3666666666666667"/>
    <n v="0.9"/>
    <n v="1.6"/>
  </r>
  <r>
    <n v="505"/>
    <x v="11"/>
    <s v="South"/>
    <s v="Small Market"/>
    <s v="Lemon"/>
    <s v="Herbal Tea"/>
    <s v="New Mexico"/>
    <s v="Decaf"/>
    <n v="20"/>
    <n v="40"/>
    <n v="20"/>
    <n v="60"/>
    <n v="31"/>
    <n v="1009"/>
    <n v="38"/>
    <n v="9"/>
    <n v="7"/>
    <n v="69"/>
    <n v="1.1499999999999999"/>
    <n v="0.35"/>
    <n v="1.55"/>
  </r>
  <r>
    <n v="505"/>
    <x v="11"/>
    <s v="South"/>
    <s v="Small Market"/>
    <s v="Caffe Latte"/>
    <s v="Espresso"/>
    <s v="New Mexico"/>
    <s v="Regular"/>
    <n v="10"/>
    <n v="20"/>
    <n v="-10"/>
    <n v="30"/>
    <n v="20"/>
    <n v="-598"/>
    <n v="25"/>
    <n v="7"/>
    <n v="-15"/>
    <n v="45"/>
    <n v="1.5"/>
    <n v="1.5"/>
    <n v="2"/>
  </r>
  <r>
    <n v="505"/>
    <x v="11"/>
    <s v="South"/>
    <s v="Small Market"/>
    <s v="Caffe Mocha"/>
    <s v="Espresso"/>
    <s v="New Mexico"/>
    <s v="Regular"/>
    <n v="30"/>
    <n v="60"/>
    <n v="10"/>
    <n v="90"/>
    <n v="49"/>
    <n v="335"/>
    <n v="69"/>
    <n v="44"/>
    <n v="-5"/>
    <n v="118"/>
    <n v="1.3111111111111111"/>
    <n v="-0.5"/>
    <n v="1.6333333333333333"/>
  </r>
  <r>
    <n v="505"/>
    <x v="11"/>
    <s v="South"/>
    <s v="Small Market"/>
    <s v="Decaf Espresso"/>
    <s v="Espresso"/>
    <s v="New Mexico"/>
    <s v="Decaf"/>
    <n v="30"/>
    <n v="30"/>
    <n v="0"/>
    <n v="60"/>
    <n v="38"/>
    <n v="256"/>
    <n v="51"/>
    <n v="12"/>
    <n v="12"/>
    <n v="89"/>
    <n v="1.4833333333333334"/>
    <m/>
    <n v="1.2666666666666666"/>
  </r>
  <r>
    <n v="405"/>
    <x v="11"/>
    <s v="South"/>
    <s v="Small Market"/>
    <s v="Columbian"/>
    <s v="Coffee"/>
    <s v="Oklahoma"/>
    <s v="Regular"/>
    <n v="90"/>
    <n v="130"/>
    <n v="100"/>
    <n v="220"/>
    <n v="81"/>
    <n v="551"/>
    <n v="104"/>
    <n v="26"/>
    <n v="66"/>
    <n v="185"/>
    <n v="0.84090909090909094"/>
    <n v="0.66"/>
    <n v="0.9"/>
  </r>
  <r>
    <n v="580"/>
    <x v="11"/>
    <s v="South"/>
    <s v="Small Market"/>
    <s v="Decaf Irish Cream"/>
    <s v="Coffee"/>
    <s v="Oklahoma"/>
    <s v="Decaf"/>
    <n v="30"/>
    <n v="60"/>
    <n v="50"/>
    <n v="90"/>
    <n v="33"/>
    <n v="870"/>
    <n v="49"/>
    <n v="9"/>
    <n v="28"/>
    <n v="82"/>
    <n v="0.91111111111111109"/>
    <n v="0.56000000000000005"/>
    <n v="1.1000000000000001"/>
  </r>
  <r>
    <n v="405"/>
    <x v="11"/>
    <s v="South"/>
    <s v="Small Market"/>
    <s v="Chamomile"/>
    <s v="Herbal Tea"/>
    <s v="Oklahoma"/>
    <s v="Decaf"/>
    <n v="60"/>
    <n v="70"/>
    <n v="20"/>
    <n v="130"/>
    <n v="65"/>
    <n v="403"/>
    <n v="80"/>
    <n v="24"/>
    <n v="22"/>
    <n v="145"/>
    <n v="1.1153846153846154"/>
    <n v="1.1000000000000001"/>
    <n v="1.0833333333333333"/>
  </r>
  <r>
    <n v="580"/>
    <x v="11"/>
    <s v="South"/>
    <s v="Small Market"/>
    <s v="Lemon"/>
    <s v="Herbal Tea"/>
    <s v="Oklahoma"/>
    <s v="Decaf"/>
    <n v="90"/>
    <n v="140"/>
    <n v="30"/>
    <n v="230"/>
    <n v="105"/>
    <n v="716"/>
    <n v="145"/>
    <n v="95"/>
    <n v="20"/>
    <n v="250"/>
    <n v="1.0869565217391304"/>
    <n v="0.66666666666666663"/>
    <n v="1.1666666666666667"/>
  </r>
  <r>
    <n v="918"/>
    <x v="11"/>
    <s v="South"/>
    <s v="Small Market"/>
    <s v="Caffe Latte"/>
    <s v="Espresso"/>
    <s v="Oklahoma"/>
    <s v="Regular"/>
    <n v="100"/>
    <n v="140"/>
    <n v="90"/>
    <n v="240"/>
    <n v="134"/>
    <n v="-2248"/>
    <n v="186"/>
    <n v="41"/>
    <n v="121"/>
    <n v="320"/>
    <n v="1.3333333333333333"/>
    <n v="1.3444444444444446"/>
    <n v="1.34"/>
  </r>
  <r>
    <n v="580"/>
    <x v="11"/>
    <s v="South"/>
    <s v="Small Market"/>
    <s v="Caffe Mocha"/>
    <s v="Espresso"/>
    <s v="Oklahoma"/>
    <s v="Regular"/>
    <n v="20"/>
    <n v="30"/>
    <n v="20"/>
    <n v="50"/>
    <n v="29"/>
    <n v="490"/>
    <n v="44"/>
    <n v="8"/>
    <n v="24"/>
    <n v="73"/>
    <n v="1.46"/>
    <n v="1.2"/>
    <n v="1.45"/>
  </r>
  <r>
    <n v="405"/>
    <x v="11"/>
    <s v="South"/>
    <s v="Small Market"/>
    <s v="Decaf Espresso"/>
    <s v="Espresso"/>
    <s v="Oklahoma"/>
    <s v="Decaf"/>
    <n v="60"/>
    <n v="110"/>
    <n v="60"/>
    <n v="170"/>
    <n v="88"/>
    <n v="817"/>
    <n v="133"/>
    <n v="29"/>
    <n v="72"/>
    <n v="221"/>
    <n v="1.3"/>
    <n v="1.2"/>
    <n v="1.4666666666666666"/>
  </r>
  <r>
    <n v="972"/>
    <x v="11"/>
    <s v="South"/>
    <s v="Major Market"/>
    <s v="Columbian"/>
    <s v="Coffee"/>
    <s v="Texas"/>
    <s v="Regular"/>
    <n v="280"/>
    <n v="340"/>
    <n v="240"/>
    <n v="620"/>
    <n v="241"/>
    <n v="1321"/>
    <n v="284"/>
    <n v="74"/>
    <n v="188"/>
    <n v="525"/>
    <n v="0.84677419354838712"/>
    <n v="0.78333333333333333"/>
    <n v="0.86071428571428577"/>
  </r>
  <r>
    <n v="682"/>
    <x v="11"/>
    <s v="South"/>
    <s v="Major Market"/>
    <s v="Decaf Irish Cream"/>
    <s v="Coffee"/>
    <s v="Texas"/>
    <s v="Decaf"/>
    <n v="50"/>
    <n v="60"/>
    <n v="40"/>
    <n v="110"/>
    <n v="43"/>
    <n v="531"/>
    <n v="56"/>
    <n v="14"/>
    <n v="30"/>
    <n v="99"/>
    <n v="0.9"/>
    <n v="0.75"/>
    <n v="0.86"/>
  </r>
  <r>
    <n v="469"/>
    <x v="11"/>
    <s v="South"/>
    <s v="Major Market"/>
    <s v="Chamomile"/>
    <s v="Herbal Tea"/>
    <s v="Texas"/>
    <s v="Decaf"/>
    <n v="50"/>
    <n v="60"/>
    <n v="30"/>
    <n v="110"/>
    <n v="54"/>
    <n v="424"/>
    <n v="73"/>
    <n v="17"/>
    <n v="28"/>
    <n v="127"/>
    <n v="1.1545454545454545"/>
    <n v="0.93333333333333335"/>
    <n v="1.08"/>
  </r>
  <r>
    <n v="214"/>
    <x v="11"/>
    <s v="South"/>
    <s v="Major Market"/>
    <s v="Lemon"/>
    <s v="Herbal Tea"/>
    <s v="Texas"/>
    <s v="Decaf"/>
    <n v="30"/>
    <n v="60"/>
    <n v="30"/>
    <n v="90"/>
    <n v="41"/>
    <n v="435"/>
    <n v="60"/>
    <n v="13"/>
    <n v="24"/>
    <n v="101"/>
    <n v="1.1222222222222222"/>
    <n v="0.8"/>
    <n v="1.3666666666666667"/>
  </r>
  <r>
    <n v="512"/>
    <x v="11"/>
    <s v="South"/>
    <s v="Major Market"/>
    <s v="Caffe Latte"/>
    <s v="Espresso"/>
    <s v="Texas"/>
    <s v="Regular"/>
    <n v="50"/>
    <n v="70"/>
    <n v="30"/>
    <n v="120"/>
    <n v="67"/>
    <n v="-1239"/>
    <n v="101"/>
    <n v="22"/>
    <n v="47"/>
    <n v="168"/>
    <n v="1.4"/>
    <n v="1.5666666666666667"/>
    <n v="1.34"/>
  </r>
  <r>
    <n v="972"/>
    <x v="11"/>
    <s v="South"/>
    <s v="Major Market"/>
    <s v="Caffe Mocha"/>
    <s v="Espresso"/>
    <s v="Texas"/>
    <s v="Regular"/>
    <n v="90"/>
    <n v="140"/>
    <n v="110"/>
    <n v="230"/>
    <n v="123"/>
    <n v="959"/>
    <n v="179"/>
    <n v="34"/>
    <n v="133"/>
    <n v="302"/>
    <n v="1.3130434782608695"/>
    <n v="1.209090909090909"/>
    <n v="1.3666666666666667"/>
  </r>
  <r>
    <n v="214"/>
    <x v="11"/>
    <s v="South"/>
    <s v="Major Market"/>
    <s v="Decaf Espresso"/>
    <s v="Espresso"/>
    <s v="Texas"/>
    <s v="Decaf"/>
    <n v="40"/>
    <n v="60"/>
    <n v="40"/>
    <n v="100"/>
    <n v="54"/>
    <n v="601"/>
    <n v="79"/>
    <n v="15"/>
    <n v="52"/>
    <n v="133"/>
    <n v="1.33"/>
    <n v="1.3"/>
    <n v="1.35"/>
  </r>
  <r>
    <n v="435"/>
    <x v="11"/>
    <s v="West"/>
    <s v="Small Market"/>
    <s v="Chamomile"/>
    <s v="Herbal Tea"/>
    <s v="Utah"/>
    <s v="Decaf"/>
    <n v="40"/>
    <n v="70"/>
    <n v="40"/>
    <n v="110"/>
    <n v="52"/>
    <n v="327"/>
    <n v="75"/>
    <n v="16"/>
    <n v="36"/>
    <n v="127"/>
    <n v="1.1545454545454545"/>
    <n v="0.9"/>
    <n v="1.3"/>
  </r>
  <r>
    <n v="801"/>
    <x v="11"/>
    <s v="West"/>
    <s v="Small Market"/>
    <s v="Lemon"/>
    <s v="Herbal Tea"/>
    <s v="Utah"/>
    <s v="Decaf"/>
    <n v="40"/>
    <n v="70"/>
    <n v="40"/>
    <n v="110"/>
    <n v="48"/>
    <n v="462"/>
    <n v="74"/>
    <n v="15"/>
    <n v="28"/>
    <n v="122"/>
    <n v="1.1090909090909091"/>
    <n v="0.7"/>
    <n v="1.2"/>
  </r>
  <r>
    <n v="435"/>
    <x v="11"/>
    <s v="West"/>
    <s v="Small Market"/>
    <s v="Mint"/>
    <s v="Herbal Tea"/>
    <s v="Utah"/>
    <s v="Decaf"/>
    <n v="80"/>
    <n v="60"/>
    <n v="20"/>
    <n v="140"/>
    <n v="92"/>
    <n v="1898"/>
    <n v="68"/>
    <n v="28"/>
    <n v="17"/>
    <n v="160"/>
    <n v="1.1428571428571428"/>
    <n v="0.85"/>
    <n v="1.1499999999999999"/>
  </r>
  <r>
    <n v="435"/>
    <x v="11"/>
    <s v="West"/>
    <s v="Small Market"/>
    <s v="Darjeeling"/>
    <s v="Tea"/>
    <s v="Utah"/>
    <s v="Regular"/>
    <n v="30"/>
    <n v="50"/>
    <n v="0"/>
    <n v="80"/>
    <n v="49"/>
    <n v="335"/>
    <n v="69"/>
    <n v="44"/>
    <n v="-4"/>
    <n v="118"/>
    <n v="1.4750000000000001"/>
    <m/>
    <n v="1.6333333333333333"/>
  </r>
  <r>
    <n v="801"/>
    <x v="11"/>
    <s v="West"/>
    <s v="Small Market"/>
    <s v="Earl Grey"/>
    <s v="Tea"/>
    <s v="Utah"/>
    <s v="Regular"/>
    <n v="20"/>
    <n v="40"/>
    <n v="10"/>
    <n v="60"/>
    <n v="38"/>
    <n v="256"/>
    <n v="51"/>
    <n v="12"/>
    <n v="12"/>
    <n v="89"/>
    <n v="1.4833333333333334"/>
    <n v="1.2"/>
    <n v="1.9"/>
  </r>
  <r>
    <n v="435"/>
    <x v="11"/>
    <s v="West"/>
    <s v="Small Market"/>
    <s v="Green Tea"/>
    <s v="Tea"/>
    <s v="Utah"/>
    <s v="Regular"/>
    <n v="10"/>
    <n v="20"/>
    <n v="0"/>
    <n v="30"/>
    <n v="20"/>
    <n v="218"/>
    <n v="25"/>
    <n v="7"/>
    <n v="-15"/>
    <n v="45"/>
    <n v="1.5"/>
    <m/>
    <n v="2"/>
  </r>
  <r>
    <n v="435"/>
    <x v="11"/>
    <s v="West"/>
    <s v="Small Market"/>
    <s v="Amaretto"/>
    <s v="Coffee"/>
    <s v="Utah"/>
    <s v="Regular"/>
    <n v="70"/>
    <n v="90"/>
    <n v="50"/>
    <n v="160"/>
    <n v="63"/>
    <n v="1075"/>
    <n v="76"/>
    <n v="19"/>
    <n v="36"/>
    <n v="139"/>
    <n v="0.86875000000000002"/>
    <n v="0.72"/>
    <n v="0.9"/>
  </r>
  <r>
    <n v="801"/>
    <x v="11"/>
    <s v="West"/>
    <s v="Small Market"/>
    <s v="Columbian"/>
    <s v="Coffee"/>
    <s v="Utah"/>
    <s v="Regular"/>
    <n v="50"/>
    <n v="80"/>
    <n v="50"/>
    <n v="130"/>
    <n v="49"/>
    <n v="392"/>
    <n v="65"/>
    <n v="16"/>
    <n v="21"/>
    <n v="114"/>
    <n v="0.87692307692307692"/>
    <n v="0.42"/>
    <n v="0.98"/>
  </r>
  <r>
    <n v="435"/>
    <x v="11"/>
    <s v="West"/>
    <s v="Small Market"/>
    <s v="Decaf Irish Cream"/>
    <s v="Coffee"/>
    <s v="Utah"/>
    <s v="Decaf"/>
    <n v="80"/>
    <n v="100"/>
    <n v="50"/>
    <n v="180"/>
    <n v="68"/>
    <n v="619"/>
    <n v="85"/>
    <n v="25"/>
    <n v="26"/>
    <n v="153"/>
    <n v="0.85"/>
    <n v="0.52"/>
    <n v="0.85"/>
  </r>
  <r>
    <n v="435"/>
    <x v="11"/>
    <s v="West"/>
    <s v="Small Market"/>
    <s v="Caffe Latte"/>
    <s v="Espresso"/>
    <s v="Utah"/>
    <s v="Regular"/>
    <n v="30"/>
    <n v="40"/>
    <n v="30"/>
    <n v="70"/>
    <n v="31"/>
    <n v="844"/>
    <n v="46"/>
    <n v="8"/>
    <n v="26"/>
    <n v="77"/>
    <n v="1.1000000000000001"/>
    <n v="0.8666666666666667"/>
    <n v="1.0333333333333334"/>
  </r>
  <r>
    <n v="435"/>
    <x v="11"/>
    <s v="West"/>
    <s v="Small Market"/>
    <s v="Caffe Mocha"/>
    <s v="Espresso"/>
    <s v="Utah"/>
    <s v="Regular"/>
    <n v="90"/>
    <n v="110"/>
    <n v="70"/>
    <n v="200"/>
    <n v="94"/>
    <n v="540"/>
    <n v="120"/>
    <n v="31"/>
    <n v="77"/>
    <n v="214"/>
    <n v="1.07"/>
    <n v="1.1000000000000001"/>
    <n v="1.0444444444444445"/>
  </r>
  <r>
    <n v="435"/>
    <x v="11"/>
    <s v="West"/>
    <s v="Small Market"/>
    <s v="Decaf Espresso"/>
    <s v="Espresso"/>
    <s v="Utah"/>
    <s v="Decaf"/>
    <n v="40"/>
    <n v="70"/>
    <n v="50"/>
    <n v="110"/>
    <n v="50"/>
    <n v="898"/>
    <n v="73"/>
    <n v="14"/>
    <n v="47"/>
    <n v="123"/>
    <n v="1.1181818181818182"/>
    <n v="0.94"/>
    <n v="1.25"/>
  </r>
  <r>
    <n v="626"/>
    <x v="11"/>
    <s v="West"/>
    <s v="Major Market"/>
    <s v="Chamomile"/>
    <s v="Herbal Tea"/>
    <s v="California"/>
    <s v="Decaf"/>
    <n v="80"/>
    <n v="110"/>
    <n v="80"/>
    <n v="190"/>
    <n v="86"/>
    <n v="1003"/>
    <n v="124"/>
    <n v="24"/>
    <n v="89"/>
    <n v="210"/>
    <n v="1.1052631578947369"/>
    <n v="1.1125"/>
    <n v="1.075"/>
  </r>
  <r>
    <n v="415"/>
    <x v="11"/>
    <s v="West"/>
    <s v="Major Market"/>
    <s v="Lemon"/>
    <s v="Herbal Tea"/>
    <s v="California"/>
    <s v="Decaf"/>
    <n v="220"/>
    <n v="260"/>
    <n v="170"/>
    <n v="480"/>
    <n v="241"/>
    <n v="1321"/>
    <n v="284"/>
    <n v="74"/>
    <n v="188"/>
    <n v="525"/>
    <n v="1.09375"/>
    <n v="1.1058823529411765"/>
    <n v="1.0954545454545455"/>
  </r>
  <r>
    <n v="805"/>
    <x v="11"/>
    <s v="West"/>
    <s v="Major Market"/>
    <s v="Mint"/>
    <s v="Herbal Tea"/>
    <s v="California"/>
    <s v="Decaf"/>
    <n v="40"/>
    <n v="50"/>
    <n v="30"/>
    <n v="90"/>
    <n v="43"/>
    <n v="531"/>
    <n v="56"/>
    <n v="14"/>
    <n v="29"/>
    <n v="99"/>
    <n v="1.1000000000000001"/>
    <n v="0.96666666666666667"/>
    <n v="1.075"/>
  </r>
  <r>
    <n v="916"/>
    <x v="11"/>
    <s v="West"/>
    <s v="Major Market"/>
    <s v="Darjeeling"/>
    <s v="Tea"/>
    <s v="California"/>
    <s v="Regular"/>
    <n v="90"/>
    <n v="130"/>
    <n v="110"/>
    <n v="220"/>
    <n v="123"/>
    <n v="959"/>
    <n v="179"/>
    <n v="34"/>
    <n v="134"/>
    <n v="302"/>
    <n v="1.3727272727272728"/>
    <n v="1.2181818181818183"/>
    <n v="1.3666666666666667"/>
  </r>
  <r>
    <n v="619"/>
    <x v="11"/>
    <s v="West"/>
    <s v="Major Market"/>
    <s v="Earl Grey"/>
    <s v="Tea"/>
    <s v="California"/>
    <s v="Regular"/>
    <n v="30"/>
    <n v="60"/>
    <n v="50"/>
    <n v="90"/>
    <n v="54"/>
    <n v="601"/>
    <n v="79"/>
    <n v="15"/>
    <n v="53"/>
    <n v="133"/>
    <n v="1.4777777777777779"/>
    <n v="1.06"/>
    <n v="1.8"/>
  </r>
  <r>
    <n v="213"/>
    <x v="11"/>
    <s v="West"/>
    <s v="Major Market"/>
    <s v="Green Tea"/>
    <s v="Tea"/>
    <s v="California"/>
    <s v="Regular"/>
    <n v="40"/>
    <n v="80"/>
    <n v="50"/>
    <n v="120"/>
    <n v="67"/>
    <n v="677"/>
    <n v="101"/>
    <n v="22"/>
    <n v="47"/>
    <n v="168"/>
    <n v="1.4"/>
    <n v="0.94"/>
    <n v="1.675"/>
  </r>
  <r>
    <n v="951"/>
    <x v="11"/>
    <s v="West"/>
    <s v="Major Market"/>
    <s v="Amaretto"/>
    <s v="Coffee"/>
    <s v="California"/>
    <s v="Regular"/>
    <n v="150"/>
    <n v="-30"/>
    <n v="-90"/>
    <n v="120"/>
    <n v="127"/>
    <n v="2947"/>
    <n v="-25"/>
    <n v="40"/>
    <n v="-88"/>
    <n v="102"/>
    <n v="0.85"/>
    <n v="0.97777777777777775"/>
    <n v="0.84666666666666668"/>
  </r>
  <r>
    <n v="707"/>
    <x v="11"/>
    <s v="West"/>
    <s v="Major Market"/>
    <s v="Columbian"/>
    <s v="Coffee"/>
    <s v="California"/>
    <s v="Regular"/>
    <n v="330"/>
    <n v="500"/>
    <n v="350"/>
    <n v="830"/>
    <n v="279"/>
    <n v="2642"/>
    <n v="420"/>
    <n v="97"/>
    <n v="271"/>
    <n v="699"/>
    <n v="0.84216867469879519"/>
    <n v="0.77428571428571424"/>
    <n v="0.84545454545454546"/>
  </r>
  <r>
    <n v="714"/>
    <x v="11"/>
    <s v="West"/>
    <s v="Major Market"/>
    <s v="Decaf Irish Cream"/>
    <s v="Coffee"/>
    <s v="California"/>
    <s v="Decaf"/>
    <n v="260"/>
    <n v="-40"/>
    <n v="-150"/>
    <n v="220"/>
    <n v="224"/>
    <n v="4216"/>
    <n v="-32"/>
    <n v="73"/>
    <n v="-149"/>
    <n v="192"/>
    <n v="0.87272727272727268"/>
    <n v="0.99333333333333329"/>
    <n v="0.86153846153846159"/>
  </r>
  <r>
    <n v="916"/>
    <x v="11"/>
    <s v="West"/>
    <s v="Major Market"/>
    <s v="Caffe Latte"/>
    <s v="Espresso"/>
    <s v="California"/>
    <s v="Regular"/>
    <n v="240"/>
    <n v="240"/>
    <n v="160"/>
    <n v="480"/>
    <n v="250"/>
    <n v="1820"/>
    <n v="251"/>
    <n v="70"/>
    <n v="157"/>
    <n v="501"/>
    <n v="1.04375"/>
    <n v="0.98124999999999996"/>
    <n v="1.0416666666666667"/>
  </r>
  <r>
    <n v="530"/>
    <x v="11"/>
    <s v="West"/>
    <s v="Major Market"/>
    <s v="Caffe Mocha"/>
    <s v="Espresso"/>
    <s v="California"/>
    <s v="Regular"/>
    <n v="130"/>
    <n v="180"/>
    <n v="40"/>
    <n v="310"/>
    <n v="135"/>
    <n v="940"/>
    <n v="187"/>
    <n v="122"/>
    <n v="31"/>
    <n v="322"/>
    <n v="1.0387096774193549"/>
    <n v="0.77500000000000002"/>
    <n v="1.0384615384615385"/>
  </r>
  <r>
    <n v="209"/>
    <x v="11"/>
    <s v="West"/>
    <s v="Major Market"/>
    <s v="Decaf Espresso"/>
    <s v="Espresso"/>
    <s v="California"/>
    <s v="Decaf"/>
    <n v="240"/>
    <n v="310"/>
    <n v="210"/>
    <n v="550"/>
    <n v="247"/>
    <n v="1744"/>
    <n v="329"/>
    <n v="81"/>
    <n v="216"/>
    <n v="576"/>
    <n v="1.0472727272727274"/>
    <n v="1.0285714285714285"/>
    <n v="1.0291666666666666"/>
  </r>
  <r>
    <n v="702"/>
    <x v="11"/>
    <s v="West"/>
    <s v="Small Market"/>
    <s v="Chamomile"/>
    <s v="Herbal Tea"/>
    <s v="Nevada"/>
    <s v="Decaf"/>
    <n v="120"/>
    <n v="170"/>
    <n v="30"/>
    <n v="290"/>
    <n v="135"/>
    <n v="940"/>
    <n v="187"/>
    <n v="122"/>
    <n v="32"/>
    <n v="322"/>
    <n v="1.1103448275862069"/>
    <n v="1.0666666666666667"/>
    <n v="1.125"/>
  </r>
  <r>
    <n v="775"/>
    <x v="11"/>
    <s v="West"/>
    <s v="Small Market"/>
    <s v="Lemon"/>
    <s v="Herbal Tea"/>
    <s v="Nevada"/>
    <s v="Decaf"/>
    <n v="210"/>
    <n v="280"/>
    <n v="170"/>
    <n v="490"/>
    <n v="224"/>
    <n v="1191"/>
    <n v="310"/>
    <n v="73"/>
    <n v="194"/>
    <n v="534"/>
    <n v="1.0897959183673469"/>
    <n v="1.1411764705882352"/>
    <n v="1.0666666666666667"/>
  </r>
  <r>
    <n v="775"/>
    <x v="11"/>
    <s v="West"/>
    <s v="Small Market"/>
    <s v="Mint"/>
    <s v="Herbal Tea"/>
    <s v="Nevada"/>
    <s v="Decaf"/>
    <n v="120"/>
    <n v="170"/>
    <n v="120"/>
    <n v="290"/>
    <n v="127"/>
    <n v="830"/>
    <n v="185"/>
    <n v="40"/>
    <n v="122"/>
    <n v="312"/>
    <n v="1.0758620689655172"/>
    <n v="1.0166666666666666"/>
    <n v="1.0583333333333333"/>
  </r>
  <r>
    <n v="702"/>
    <x v="11"/>
    <s v="West"/>
    <s v="Small Market"/>
    <s v="Darjeeling"/>
    <s v="Tea"/>
    <s v="Nevada"/>
    <s v="Regular"/>
    <n v="180"/>
    <n v="240"/>
    <n v="150"/>
    <n v="420"/>
    <n v="247"/>
    <n v="1744"/>
    <n v="329"/>
    <n v="81"/>
    <n v="215"/>
    <n v="576"/>
    <n v="1.3714285714285714"/>
    <n v="1.4333333333333333"/>
    <n v="1.3722222222222222"/>
  </r>
  <r>
    <n v="702"/>
    <x v="11"/>
    <s v="West"/>
    <s v="Small Market"/>
    <s v="Earl Grey"/>
    <s v="Tea"/>
    <s v="Nevada"/>
    <s v="Regular"/>
    <n v="180"/>
    <n v="180"/>
    <n v="100"/>
    <n v="360"/>
    <n v="250"/>
    <n v="1820"/>
    <n v="251"/>
    <n v="70"/>
    <n v="157"/>
    <n v="501"/>
    <n v="1.3916666666666666"/>
    <n v="1.57"/>
    <n v="1.3888888888888888"/>
  </r>
  <r>
    <n v="775"/>
    <x v="11"/>
    <s v="West"/>
    <s v="Small Market"/>
    <s v="Green Tea"/>
    <s v="Tea"/>
    <s v="Nevada"/>
    <s v="Regular"/>
    <n v="210"/>
    <n v="-210"/>
    <n v="-320"/>
    <n v="0"/>
    <n v="294"/>
    <n v="8252"/>
    <n v="-294"/>
    <n v="111"/>
    <n v="-408"/>
    <n v="31"/>
    <m/>
    <n v="1.2749999999999999"/>
    <n v="1.4"/>
  </r>
  <r>
    <n v="775"/>
    <x v="11"/>
    <s v="West"/>
    <s v="Small Market"/>
    <s v="Columbian"/>
    <s v="Coffee"/>
    <s v="Nevada"/>
    <s v="Regular"/>
    <n v="40"/>
    <n v="60"/>
    <n v="20"/>
    <n v="100"/>
    <n v="39"/>
    <n v="250"/>
    <n v="49"/>
    <n v="14"/>
    <n v="1"/>
    <n v="88"/>
    <n v="0.88"/>
    <n v="0.05"/>
    <n v="0.97499999999999998"/>
  </r>
  <r>
    <n v="702"/>
    <x v="11"/>
    <s v="West"/>
    <s v="Small Market"/>
    <s v="Decaf Irish Cream"/>
    <s v="Coffee"/>
    <s v="Nevada"/>
    <s v="Decaf"/>
    <n v="30"/>
    <n v="50"/>
    <n v="30"/>
    <n v="80"/>
    <n v="31"/>
    <n v="1009"/>
    <n v="38"/>
    <n v="9"/>
    <n v="8"/>
    <n v="69"/>
    <n v="0.86250000000000004"/>
    <n v="0.26666666666666666"/>
    <n v="1.0333333333333334"/>
  </r>
  <r>
    <n v="702"/>
    <x v="11"/>
    <s v="West"/>
    <s v="Small Market"/>
    <s v="Caffe Latte"/>
    <s v="Espresso"/>
    <s v="Nevada"/>
    <s v="Regular"/>
    <n v="0"/>
    <n v="40"/>
    <n v="30"/>
    <n v="40"/>
    <n v="0"/>
    <n v="344"/>
    <n v="43"/>
    <n v="0"/>
    <n v="31"/>
    <n v="43"/>
    <n v="1.075"/>
    <n v="1.0333333333333334"/>
    <m/>
  </r>
  <r>
    <n v="775"/>
    <x v="11"/>
    <s v="West"/>
    <s v="Small Market"/>
    <s v="Caffe Mocha"/>
    <s v="Espresso"/>
    <s v="Nevada"/>
    <s v="Regular"/>
    <n v="10"/>
    <n v="20"/>
    <n v="10"/>
    <n v="30"/>
    <n v="16"/>
    <n v="851"/>
    <n v="25"/>
    <n v="4"/>
    <n v="10"/>
    <n v="41"/>
    <n v="1.3666666666666667"/>
    <n v="1"/>
    <n v="1.6"/>
  </r>
  <r>
    <n v="702"/>
    <x v="11"/>
    <s v="West"/>
    <s v="Small Market"/>
    <s v="Decaf Espresso"/>
    <s v="Espresso"/>
    <s v="Nevada"/>
    <s v="Decaf"/>
    <n v="20"/>
    <n v="30"/>
    <n v="20"/>
    <n v="50"/>
    <n v="23"/>
    <n v="807"/>
    <n v="35"/>
    <n v="6"/>
    <n v="17"/>
    <n v="58"/>
    <n v="1.1599999999999999"/>
    <n v="0.85"/>
    <n v="1.1499999999999999"/>
  </r>
  <r>
    <n v="541"/>
    <x v="11"/>
    <s v="West"/>
    <s v="Small Market"/>
    <s v="Chamomile"/>
    <s v="Herbal Tea"/>
    <s v="Oregon"/>
    <s v="Decaf"/>
    <n v="20"/>
    <n v="30"/>
    <n v="20"/>
    <n v="50"/>
    <n v="24"/>
    <n v="829"/>
    <n v="36"/>
    <n v="6"/>
    <n v="19"/>
    <n v="60"/>
    <n v="1.2"/>
    <n v="0.95"/>
    <n v="1.2"/>
  </r>
  <r>
    <n v="541"/>
    <x v="11"/>
    <s v="West"/>
    <s v="Small Market"/>
    <s v="Lemon"/>
    <s v="Herbal Tea"/>
    <s v="Oregon"/>
    <s v="Decaf"/>
    <n v="70"/>
    <n v="100"/>
    <n v="70"/>
    <n v="170"/>
    <n v="81"/>
    <n v="551"/>
    <n v="104"/>
    <n v="26"/>
    <n v="66"/>
    <n v="185"/>
    <n v="1.088235294117647"/>
    <n v="0.94285714285714284"/>
    <n v="1.1571428571428573"/>
  </r>
  <r>
    <n v="971"/>
    <x v="11"/>
    <s v="West"/>
    <s v="Small Market"/>
    <s v="Darjeeling"/>
    <s v="Tea"/>
    <s v="Oregon"/>
    <s v="Regular"/>
    <n v="20"/>
    <n v="30"/>
    <n v="30"/>
    <n v="50"/>
    <n v="29"/>
    <n v="490"/>
    <n v="44"/>
    <n v="8"/>
    <n v="25"/>
    <n v="73"/>
    <n v="1.46"/>
    <n v="0.83333333333333337"/>
    <n v="1.45"/>
  </r>
  <r>
    <n v="971"/>
    <x v="11"/>
    <s v="West"/>
    <s v="Small Market"/>
    <s v="Earl Grey"/>
    <s v="Tea"/>
    <s v="Oregon"/>
    <s v="Regular"/>
    <n v="60"/>
    <n v="100"/>
    <n v="60"/>
    <n v="160"/>
    <n v="88"/>
    <n v="817"/>
    <n v="133"/>
    <n v="29"/>
    <n v="73"/>
    <n v="221"/>
    <n v="1.3812500000000001"/>
    <n v="1.2166666666666666"/>
    <n v="1.4666666666666666"/>
  </r>
  <r>
    <n v="503"/>
    <x v="11"/>
    <s v="West"/>
    <s v="Small Market"/>
    <s v="Green Tea"/>
    <s v="Tea"/>
    <s v="Oregon"/>
    <s v="Regular"/>
    <n v="90"/>
    <n v="140"/>
    <n v="100"/>
    <n v="230"/>
    <n v="134"/>
    <n v="690"/>
    <n v="186"/>
    <n v="41"/>
    <n v="121"/>
    <n v="320"/>
    <n v="1.3913043478260869"/>
    <n v="1.21"/>
    <n v="1.4888888888888889"/>
  </r>
  <r>
    <n v="503"/>
    <x v="11"/>
    <s v="West"/>
    <s v="Small Market"/>
    <s v="Amaretto"/>
    <s v="Coffee"/>
    <s v="Oregon"/>
    <s v="Regular"/>
    <n v="50"/>
    <n v="80"/>
    <n v="20"/>
    <n v="130"/>
    <n v="47"/>
    <n v="521"/>
    <n v="65"/>
    <n v="42"/>
    <n v="-7"/>
    <n v="112"/>
    <n v="0.86153846153846159"/>
    <n v="-0.35"/>
    <n v="0.94"/>
  </r>
  <r>
    <n v="503"/>
    <x v="11"/>
    <s v="West"/>
    <s v="Small Market"/>
    <s v="Columbian"/>
    <s v="Coffee"/>
    <s v="Oregon"/>
    <s v="Regular"/>
    <n v="40"/>
    <n v="70"/>
    <n v="20"/>
    <n v="110"/>
    <n v="41"/>
    <n v="482"/>
    <n v="57"/>
    <n v="13"/>
    <n v="1"/>
    <n v="98"/>
    <n v="0.89090909090909087"/>
    <n v="0.05"/>
    <n v="1.0249999999999999"/>
  </r>
  <r>
    <n v="503"/>
    <x v="11"/>
    <s v="West"/>
    <s v="Small Market"/>
    <s v="Decaf Irish Cream"/>
    <s v="Coffee"/>
    <s v="Oregon"/>
    <s v="Decaf"/>
    <n v="40"/>
    <n v="80"/>
    <n v="50"/>
    <n v="120"/>
    <n v="41"/>
    <n v="435"/>
    <n v="60"/>
    <n v="13"/>
    <n v="25"/>
    <n v="101"/>
    <n v="0.84166666666666667"/>
    <n v="0.5"/>
    <n v="1.0249999999999999"/>
  </r>
  <r>
    <n v="971"/>
    <x v="11"/>
    <s v="West"/>
    <s v="Small Market"/>
    <s v="Caffe Latte"/>
    <s v="Espresso"/>
    <s v="Oregon"/>
    <s v="Regular"/>
    <n v="40"/>
    <n v="50"/>
    <n v="10"/>
    <n v="90"/>
    <n v="46"/>
    <n v="422"/>
    <n v="57"/>
    <n v="17"/>
    <n v="6"/>
    <n v="103"/>
    <n v="1.1444444444444444"/>
    <n v="0.6"/>
    <n v="1.1499999999999999"/>
  </r>
  <r>
    <n v="503"/>
    <x v="11"/>
    <s v="West"/>
    <s v="Small Market"/>
    <s v="Caffe Mocha"/>
    <s v="Espresso"/>
    <s v="Oregon"/>
    <s v="Regular"/>
    <n v="50"/>
    <n v="70"/>
    <n v="40"/>
    <n v="120"/>
    <n v="54"/>
    <n v="424"/>
    <n v="73"/>
    <n v="17"/>
    <n v="28"/>
    <n v="127"/>
    <n v="1.0583333333333333"/>
    <n v="0.7"/>
    <n v="1.08"/>
  </r>
  <r>
    <n v="971"/>
    <x v="11"/>
    <s v="West"/>
    <s v="Small Market"/>
    <s v="Decaf Espresso"/>
    <s v="Espresso"/>
    <s v="Oregon"/>
    <s v="Decaf"/>
    <n v="150"/>
    <n v="140"/>
    <n v="80"/>
    <n v="290"/>
    <n v="153"/>
    <n v="1319"/>
    <n v="153"/>
    <n v="42"/>
    <n v="87"/>
    <n v="306"/>
    <n v="1.0551724137931036"/>
    <n v="1.0874999999999999"/>
    <n v="1.02"/>
  </r>
  <r>
    <n v="509"/>
    <x v="11"/>
    <s v="West"/>
    <s v="Small Market"/>
    <s v="Chamomile"/>
    <s v="Herbal Tea"/>
    <s v="Washington"/>
    <s v="Decaf"/>
    <n v="100"/>
    <n v="160"/>
    <n v="110"/>
    <n v="260"/>
    <n v="115"/>
    <n v="1166"/>
    <n v="174"/>
    <n v="37"/>
    <n v="105"/>
    <n v="289"/>
    <n v="1.1115384615384616"/>
    <n v="0.95454545454545459"/>
    <n v="1.1499999999999999"/>
  </r>
  <r>
    <n v="425"/>
    <x v="11"/>
    <s v="West"/>
    <s v="Small Market"/>
    <s v="Lemon"/>
    <s v="Herbal Tea"/>
    <s v="Washington"/>
    <s v="Decaf"/>
    <n v="40"/>
    <n v="70"/>
    <n v="50"/>
    <n v="110"/>
    <n v="49"/>
    <n v="845"/>
    <n v="71"/>
    <n v="13"/>
    <n v="46"/>
    <n v="120"/>
    <n v="1.0909090909090908"/>
    <n v="0.92"/>
    <n v="1.2250000000000001"/>
  </r>
  <r>
    <n v="509"/>
    <x v="11"/>
    <s v="West"/>
    <s v="Small Market"/>
    <s v="Darjeeling"/>
    <s v="Tea"/>
    <s v="Washington"/>
    <s v="Regular"/>
    <n v="30"/>
    <n v="40"/>
    <n v="20"/>
    <n v="70"/>
    <n v="41"/>
    <n v="320"/>
    <n v="66"/>
    <n v="12"/>
    <n v="30"/>
    <n v="107"/>
    <n v="1.5285714285714285"/>
    <n v="1.5"/>
    <n v="1.3666666666666667"/>
  </r>
  <r>
    <n v="509"/>
    <x v="11"/>
    <s v="West"/>
    <s v="Small Market"/>
    <s v="Earl Grey"/>
    <s v="Tea"/>
    <s v="Washington"/>
    <s v="Regular"/>
    <n v="30"/>
    <n v="40"/>
    <n v="20"/>
    <n v="70"/>
    <n v="43"/>
    <n v="466"/>
    <n v="63"/>
    <n v="13"/>
    <n v="28"/>
    <n v="106"/>
    <n v="1.5142857142857142"/>
    <n v="1.4"/>
    <n v="1.4333333333333333"/>
  </r>
  <r>
    <n v="360"/>
    <x v="11"/>
    <s v="West"/>
    <s v="Small Market"/>
    <s v="Green Tea"/>
    <s v="Tea"/>
    <s v="Washington"/>
    <s v="Regular"/>
    <n v="40"/>
    <n v="50"/>
    <n v="-10"/>
    <n v="90"/>
    <n v="55"/>
    <n v="627"/>
    <n v="76"/>
    <n v="49"/>
    <n v="-3"/>
    <n v="131"/>
    <n v="1.4555555555555555"/>
    <n v="0.3"/>
    <n v="1.375"/>
  </r>
  <r>
    <n v="253"/>
    <x v="11"/>
    <s v="West"/>
    <s v="Small Market"/>
    <s v="Columbian"/>
    <s v="Coffee"/>
    <s v="Washington"/>
    <s v="Regular"/>
    <n v="80"/>
    <n v="120"/>
    <n v="80"/>
    <n v="200"/>
    <n v="72"/>
    <n v="461"/>
    <n v="104"/>
    <n v="23"/>
    <n v="58"/>
    <n v="176"/>
    <n v="0.88"/>
    <n v="0.72499999999999998"/>
    <n v="0.9"/>
  </r>
  <r>
    <n v="509"/>
    <x v="11"/>
    <s v="West"/>
    <s v="Small Market"/>
    <s v="Decaf Irish Cream"/>
    <s v="Coffee"/>
    <s v="Washington"/>
    <s v="Decaf"/>
    <n v="120"/>
    <n v="170"/>
    <n v="50"/>
    <n v="290"/>
    <n v="105"/>
    <n v="716"/>
    <n v="145"/>
    <n v="95"/>
    <n v="20"/>
    <n v="250"/>
    <n v="0.86206896551724133"/>
    <n v="0.4"/>
    <n v="0.875"/>
  </r>
  <r>
    <n v="253"/>
    <x v="11"/>
    <s v="West"/>
    <s v="Small Market"/>
    <s v="Caffe Latte"/>
    <s v="Espresso"/>
    <s v="Washington"/>
    <s v="Regular"/>
    <n v="20"/>
    <n v="30"/>
    <n v="20"/>
    <n v="50"/>
    <n v="24"/>
    <n v="567"/>
    <n v="32"/>
    <n v="7"/>
    <n v="13"/>
    <n v="56"/>
    <n v="1.1200000000000001"/>
    <n v="0.65"/>
    <n v="1.2"/>
  </r>
  <r>
    <n v="509"/>
    <x v="11"/>
    <s v="West"/>
    <s v="Small Market"/>
    <s v="Caffe Mocha"/>
    <s v="Espresso"/>
    <s v="Washington"/>
    <s v="Regular"/>
    <n v="60"/>
    <n v="80"/>
    <n v="30"/>
    <n v="140"/>
    <n v="65"/>
    <n v="403"/>
    <n v="80"/>
    <n v="24"/>
    <n v="23"/>
    <n v="145"/>
    <n v="1.0357142857142858"/>
    <n v="0.76666666666666672"/>
    <n v="1.0833333333333333"/>
  </r>
  <r>
    <n v="253"/>
    <x v="11"/>
    <s v="West"/>
    <s v="Small Market"/>
    <s v="Decaf Espresso"/>
    <s v="Espresso"/>
    <s v="Washington"/>
    <s v="Decaf"/>
    <n v="70"/>
    <n v="100"/>
    <n v="60"/>
    <n v="170"/>
    <n v="80"/>
    <n v="1079"/>
    <n v="96"/>
    <n v="24"/>
    <n v="51"/>
    <n v="176"/>
    <n v="1.0352941176470589"/>
    <n v="0.85"/>
    <n v="1.1428571428571428"/>
  </r>
  <r>
    <n v="720"/>
    <x v="12"/>
    <s v="Central"/>
    <s v="Major Market"/>
    <s v="Chamomile"/>
    <s v="Herbal Tea"/>
    <s v="Colorado"/>
    <s v="Decaf"/>
    <n v="140"/>
    <n v="160"/>
    <n v="110"/>
    <n v="300"/>
    <n v="170"/>
    <n v="1091"/>
    <n v="171"/>
    <n v="47"/>
    <n v="154"/>
    <n v="382"/>
    <n v="1.2733333333333334"/>
    <n v="1.4"/>
    <n v="1.2142857142857142"/>
  </r>
  <r>
    <n v="720"/>
    <x v="12"/>
    <s v="Central"/>
    <s v="Major Market"/>
    <s v="Lemon"/>
    <s v="Herbal Tea"/>
    <s v="Colorado"/>
    <s v="Decaf"/>
    <n v="50"/>
    <n v="80"/>
    <n v="20"/>
    <n v="130"/>
    <n v="63"/>
    <n v="435"/>
    <n v="87"/>
    <n v="57"/>
    <n v="0"/>
    <n v="168"/>
    <n v="1.2923076923076924"/>
    <n v="0"/>
    <n v="1.26"/>
  </r>
  <r>
    <n v="970"/>
    <x v="12"/>
    <s v="Central"/>
    <s v="Major Market"/>
    <s v="Mint"/>
    <s v="Herbal Tea"/>
    <s v="Colorado"/>
    <s v="Decaf"/>
    <n v="50"/>
    <n v="70"/>
    <n v="40"/>
    <n v="120"/>
    <n v="60"/>
    <n v="336"/>
    <n v="80"/>
    <n v="19"/>
    <n v="51"/>
    <n v="157"/>
    <n v="1.3083333333333333"/>
    <n v="1.2749999999999999"/>
    <n v="1.2"/>
  </r>
  <r>
    <n v="719"/>
    <x v="12"/>
    <s v="Central"/>
    <s v="Major Market"/>
    <s v="Darjeeling"/>
    <s v="Tea"/>
    <s v="Colorado"/>
    <s v="Regular"/>
    <n v="40"/>
    <n v="70"/>
    <n v="20"/>
    <n v="110"/>
    <n v="58"/>
    <n v="338"/>
    <n v="72"/>
    <n v="22"/>
    <n v="26"/>
    <n v="145"/>
    <n v="1.3181818181818181"/>
    <n v="1.3"/>
    <n v="1.45"/>
  </r>
  <r>
    <n v="719"/>
    <x v="12"/>
    <s v="Central"/>
    <s v="Major Market"/>
    <s v="Earl Grey"/>
    <s v="Tea"/>
    <s v="Colorado"/>
    <s v="Regular"/>
    <n v="50"/>
    <n v="70"/>
    <n v="40"/>
    <n v="120"/>
    <n v="64"/>
    <n v="965"/>
    <n v="76"/>
    <n v="19"/>
    <n v="56"/>
    <n v="157"/>
    <n v="1.3083333333333333"/>
    <n v="1.4"/>
    <n v="1.28"/>
  </r>
  <r>
    <n v="303"/>
    <x v="12"/>
    <s v="Central"/>
    <s v="Major Market"/>
    <s v="Green Tea"/>
    <s v="Tea"/>
    <s v="Colorado"/>
    <s v="Regular"/>
    <n v="30"/>
    <n v="50"/>
    <n v="30"/>
    <n v="80"/>
    <n v="44"/>
    <n v="623"/>
    <n v="56"/>
    <n v="14"/>
    <n v="47"/>
    <n v="112"/>
    <n v="1.4"/>
    <n v="1.5666666666666667"/>
    <n v="1.4666666666666666"/>
  </r>
  <r>
    <n v="720"/>
    <x v="12"/>
    <s v="Central"/>
    <s v="Major Market"/>
    <s v="Caffe Mocha"/>
    <s v="Espresso"/>
    <s v="Colorado"/>
    <s v="Regular"/>
    <n v="60"/>
    <n v="90"/>
    <n v="70"/>
    <n v="150"/>
    <n v="54"/>
    <n v="456"/>
    <n v="80"/>
    <n v="15"/>
    <n v="84"/>
    <n v="150"/>
    <n v="1"/>
    <n v="1.2"/>
    <n v="0.9"/>
  </r>
  <r>
    <n v="719"/>
    <x v="12"/>
    <s v="Central"/>
    <s v="Major Market"/>
    <s v="Decaf Espresso"/>
    <s v="Espresso"/>
    <s v="Colorado"/>
    <s v="Decaf"/>
    <n v="80"/>
    <n v="130"/>
    <n v="80"/>
    <n v="210"/>
    <n v="72"/>
    <n v="558"/>
    <n v="108"/>
    <n v="23"/>
    <n v="83"/>
    <n v="201"/>
    <n v="0.95714285714285718"/>
    <n v="1.0375000000000001"/>
    <n v="0.9"/>
  </r>
  <r>
    <n v="719"/>
    <x v="12"/>
    <s v="Central"/>
    <s v="Major Market"/>
    <s v="Amaretto"/>
    <s v="Coffee"/>
    <s v="Colorado"/>
    <s v="Regular"/>
    <n v="90"/>
    <n v="130"/>
    <n v="100"/>
    <n v="220"/>
    <n v="89"/>
    <n v="777"/>
    <n v="130"/>
    <n v="24"/>
    <n v="146"/>
    <n v="245"/>
    <n v="1.1136363636363635"/>
    <n v="1.46"/>
    <n v="0.98888888888888893"/>
  </r>
  <r>
    <n v="720"/>
    <x v="12"/>
    <s v="Central"/>
    <s v="Major Market"/>
    <s v="Columbian"/>
    <s v="Coffee"/>
    <s v="Colorado"/>
    <s v="Regular"/>
    <n v="80"/>
    <n v="110"/>
    <n v="80"/>
    <n v="190"/>
    <n v="83"/>
    <n v="623"/>
    <n v="107"/>
    <n v="27"/>
    <n v="106"/>
    <n v="213"/>
    <n v="1.1210526315789473"/>
    <n v="1.325"/>
    <n v="1.0375000000000001"/>
  </r>
  <r>
    <n v="719"/>
    <x v="12"/>
    <s v="Central"/>
    <s v="Major Market"/>
    <s v="Decaf Irish Cream"/>
    <s v="Coffee"/>
    <s v="Colorado"/>
    <s v="Decaf"/>
    <n v="100"/>
    <n v="140"/>
    <n v="110"/>
    <n v="240"/>
    <n v="95"/>
    <n v="821"/>
    <n v="139"/>
    <n v="26"/>
    <n v="157"/>
    <n v="262"/>
    <n v="1.0916666666666666"/>
    <n v="1.4272727272727272"/>
    <n v="0.95"/>
  </r>
  <r>
    <n v="773"/>
    <x v="12"/>
    <s v="Central"/>
    <s v="Major Market"/>
    <s v="Chamomile"/>
    <s v="Herbal Tea"/>
    <s v="Illinois"/>
    <s v="Decaf"/>
    <n v="70"/>
    <n v="120"/>
    <n v="100"/>
    <n v="190"/>
    <n v="89"/>
    <n v="777"/>
    <n v="130"/>
    <n v="24"/>
    <n v="148"/>
    <n v="245"/>
    <n v="1.2894736842105263"/>
    <n v="1.48"/>
    <n v="1.2714285714285714"/>
  </r>
  <r>
    <n v="773"/>
    <x v="12"/>
    <s v="Central"/>
    <s v="Major Market"/>
    <s v="Lemon"/>
    <s v="Herbal Tea"/>
    <s v="Illinois"/>
    <s v="Decaf"/>
    <n v="70"/>
    <n v="90"/>
    <n v="60"/>
    <n v="160"/>
    <n v="83"/>
    <n v="623"/>
    <n v="107"/>
    <n v="27"/>
    <n v="106"/>
    <n v="213"/>
    <n v="1.33125"/>
    <n v="1.7666666666666666"/>
    <n v="1.1857142857142857"/>
  </r>
  <r>
    <n v="224"/>
    <x v="12"/>
    <s v="Central"/>
    <s v="Major Market"/>
    <s v="Mint"/>
    <s v="Herbal Tea"/>
    <s v="Illinois"/>
    <s v="Decaf"/>
    <n v="80"/>
    <n v="120"/>
    <n v="100"/>
    <n v="200"/>
    <n v="95"/>
    <n v="821"/>
    <n v="139"/>
    <n v="26"/>
    <n v="157"/>
    <n v="262"/>
    <n v="1.31"/>
    <n v="1.57"/>
    <n v="1.1875"/>
  </r>
  <r>
    <n v="217"/>
    <x v="12"/>
    <s v="Central"/>
    <s v="Major Market"/>
    <s v="Darjeeling"/>
    <s v="Tea"/>
    <s v="Illinois"/>
    <s v="Regular"/>
    <n v="40"/>
    <n v="70"/>
    <n v="50"/>
    <n v="110"/>
    <n v="54"/>
    <n v="456"/>
    <n v="80"/>
    <n v="15"/>
    <n v="83"/>
    <n v="150"/>
    <n v="1.3636363636363635"/>
    <n v="1.66"/>
    <n v="1.35"/>
  </r>
  <r>
    <n v="815"/>
    <x v="12"/>
    <s v="Central"/>
    <s v="Major Market"/>
    <s v="Earl Grey"/>
    <s v="Tea"/>
    <s v="Illinois"/>
    <s v="Regular"/>
    <n v="60"/>
    <n v="90"/>
    <n v="40"/>
    <n v="150"/>
    <n v="72"/>
    <n v="558"/>
    <n v="108"/>
    <n v="23"/>
    <n v="84"/>
    <n v="201"/>
    <n v="1.34"/>
    <n v="2.1"/>
    <n v="1.2"/>
  </r>
  <r>
    <n v="312"/>
    <x v="12"/>
    <s v="Central"/>
    <s v="Major Market"/>
    <s v="Caffe Mocha"/>
    <s v="Espresso"/>
    <s v="Illinois"/>
    <s v="Regular"/>
    <n v="270"/>
    <n v="370"/>
    <n v="260"/>
    <n v="640"/>
    <n v="234"/>
    <n v="1310"/>
    <n v="312"/>
    <n v="77"/>
    <n v="316"/>
    <n v="611"/>
    <n v="0.95468750000000002"/>
    <n v="1.2153846153846153"/>
    <n v="0.8666666666666667"/>
  </r>
  <r>
    <n v="773"/>
    <x v="12"/>
    <s v="Central"/>
    <s v="Major Market"/>
    <s v="Decaf Espresso"/>
    <s v="Espresso"/>
    <s v="Illinois"/>
    <s v="Decaf"/>
    <n v="260"/>
    <n v="270"/>
    <n v="180"/>
    <n v="530"/>
    <n v="228"/>
    <n v="1459"/>
    <n v="228"/>
    <n v="63"/>
    <n v="218"/>
    <n v="510"/>
    <n v="0.96226415094339623"/>
    <n v="1.211111111111111"/>
    <n v="0.87692307692307692"/>
  </r>
  <r>
    <n v="815"/>
    <x v="12"/>
    <s v="Central"/>
    <s v="Major Market"/>
    <s v="Columbian"/>
    <s v="Coffee"/>
    <s v="Illinois"/>
    <s v="Regular"/>
    <n v="150"/>
    <n v="210"/>
    <n v="130"/>
    <n v="360"/>
    <n v="144"/>
    <n v="862"/>
    <n v="201"/>
    <n v="47"/>
    <n v="173"/>
    <n v="386"/>
    <n v="1.0722222222222222"/>
    <n v="1.3307692307692307"/>
    <n v="0.96"/>
  </r>
  <r>
    <n v="217"/>
    <x v="12"/>
    <s v="Central"/>
    <s v="Major Market"/>
    <s v="Decaf Irish Cream"/>
    <s v="Coffee"/>
    <s v="Illinois"/>
    <s v="Decaf"/>
    <n v="100"/>
    <n v="140"/>
    <n v="100"/>
    <n v="240"/>
    <n v="95"/>
    <n v="608"/>
    <n v="139"/>
    <n v="30"/>
    <n v="136"/>
    <n v="262"/>
    <n v="1.0916666666666666"/>
    <n v="1.36"/>
    <n v="0.95"/>
  </r>
  <r>
    <n v="641"/>
    <x v="12"/>
    <s v="Central"/>
    <s v="Small Market"/>
    <s v="Chamomile"/>
    <s v="Herbal Tea"/>
    <s v="Iowa"/>
    <s v="Decaf"/>
    <n v="200"/>
    <n v="280"/>
    <n v="200"/>
    <n v="480"/>
    <n v="234"/>
    <n v="1310"/>
    <n v="312"/>
    <n v="77"/>
    <n v="315"/>
    <n v="611"/>
    <n v="1.2729166666666667"/>
    <n v="1.575"/>
    <n v="1.17"/>
  </r>
  <r>
    <n v="641"/>
    <x v="12"/>
    <s v="Central"/>
    <s v="Small Market"/>
    <s v="Lemon"/>
    <s v="Herbal Tea"/>
    <s v="Iowa"/>
    <s v="Decaf"/>
    <n v="80"/>
    <n v="120"/>
    <n v="90"/>
    <n v="200"/>
    <n v="95"/>
    <n v="608"/>
    <n v="139"/>
    <n v="30"/>
    <n v="134"/>
    <n v="262"/>
    <n v="1.31"/>
    <n v="1.4888888888888889"/>
    <n v="1.1875"/>
  </r>
  <r>
    <n v="319"/>
    <x v="12"/>
    <s v="Central"/>
    <s v="Small Market"/>
    <s v="Darjeeling"/>
    <s v="Tea"/>
    <s v="Iowa"/>
    <s v="Regular"/>
    <n v="190"/>
    <n v="210"/>
    <n v="140"/>
    <n v="400"/>
    <n v="228"/>
    <n v="1459"/>
    <n v="228"/>
    <n v="63"/>
    <n v="220"/>
    <n v="510"/>
    <n v="1.2749999999999999"/>
    <n v="1.5714285714285714"/>
    <n v="1.2"/>
  </r>
  <r>
    <n v="641"/>
    <x v="12"/>
    <s v="Central"/>
    <s v="Small Market"/>
    <s v="Earl Grey"/>
    <s v="Tea"/>
    <s v="Iowa"/>
    <s v="Regular"/>
    <n v="210"/>
    <n v="270"/>
    <n v="160"/>
    <n v="480"/>
    <n v="245"/>
    <n v="1419"/>
    <n v="301"/>
    <n v="93"/>
    <n v="273"/>
    <n v="611"/>
    <n v="1.2729166666666667"/>
    <n v="1.70625"/>
    <n v="1.1666666666666667"/>
  </r>
  <r>
    <n v="563"/>
    <x v="12"/>
    <s v="Central"/>
    <s v="Small Market"/>
    <s v="Caffe Mocha"/>
    <s v="Espresso"/>
    <s v="Iowa"/>
    <s v="Regular"/>
    <n v="10"/>
    <n v="40"/>
    <n v="30"/>
    <n v="50"/>
    <n v="17"/>
    <n v="777"/>
    <n v="26"/>
    <n v="4"/>
    <n v="17"/>
    <n v="48"/>
    <n v="0.96"/>
    <n v="0.56666666666666665"/>
    <n v="1.7"/>
  </r>
  <r>
    <n v="515"/>
    <x v="12"/>
    <s v="Central"/>
    <s v="Small Market"/>
    <s v="Decaf Espresso"/>
    <s v="Espresso"/>
    <s v="Iowa"/>
    <s v="Decaf"/>
    <n v="10"/>
    <n v="40"/>
    <n v="30"/>
    <n v="50"/>
    <n v="17"/>
    <n v="777"/>
    <n v="26"/>
    <n v="4"/>
    <n v="16"/>
    <n v="48"/>
    <n v="0.96"/>
    <n v="0.53333333333333333"/>
    <n v="1.7"/>
  </r>
  <r>
    <n v="563"/>
    <x v="12"/>
    <s v="Central"/>
    <s v="Small Market"/>
    <s v="Amaretto"/>
    <s v="Coffee"/>
    <s v="Iowa"/>
    <s v="Regular"/>
    <n v="10"/>
    <n v="30"/>
    <n v="20"/>
    <n v="40"/>
    <n v="18"/>
    <n v="821"/>
    <n v="27"/>
    <n v="5"/>
    <n v="17"/>
    <n v="50"/>
    <n v="1.25"/>
    <n v="0.85"/>
    <n v="1.8"/>
  </r>
  <r>
    <n v="641"/>
    <x v="12"/>
    <s v="Central"/>
    <s v="Small Market"/>
    <s v="Columbian"/>
    <s v="Coffee"/>
    <s v="Iowa"/>
    <s v="Regular"/>
    <n v="20"/>
    <n v="40"/>
    <n v="20"/>
    <n v="60"/>
    <n v="28"/>
    <n v="965"/>
    <n v="34"/>
    <n v="8"/>
    <n v="8"/>
    <n v="69"/>
    <n v="1.1499999999999999"/>
    <n v="0.4"/>
    <n v="1.4"/>
  </r>
  <r>
    <n v="515"/>
    <x v="12"/>
    <s v="Central"/>
    <s v="Small Market"/>
    <s v="Decaf Irish Cream"/>
    <s v="Coffee"/>
    <s v="Iowa"/>
    <s v="Decaf"/>
    <n v="20"/>
    <n v="30"/>
    <n v="20"/>
    <n v="50"/>
    <n v="23"/>
    <n v="623"/>
    <n v="31"/>
    <n v="7"/>
    <n v="19"/>
    <n v="60"/>
    <n v="1.2"/>
    <n v="0.95"/>
    <n v="1.1499999999999999"/>
  </r>
  <r>
    <n v="573"/>
    <x v="12"/>
    <s v="Central"/>
    <s v="Small Market"/>
    <s v="Chamomile"/>
    <s v="Herbal Tea"/>
    <s v="Missouri"/>
    <s v="Decaf"/>
    <n v="30"/>
    <n v="40"/>
    <n v="0"/>
    <n v="70"/>
    <n v="37"/>
    <n v="261"/>
    <n v="53"/>
    <n v="34"/>
    <n v="-17"/>
    <n v="101"/>
    <n v="1.4428571428571428"/>
    <m/>
    <n v="1.2333333333333334"/>
  </r>
  <r>
    <n v="314"/>
    <x v="12"/>
    <s v="Central"/>
    <s v="Small Market"/>
    <s v="Lemon"/>
    <s v="Herbal Tea"/>
    <s v="Missouri"/>
    <s v="Decaf"/>
    <n v="70"/>
    <n v="10"/>
    <n v="-20"/>
    <n v="80"/>
    <n v="88"/>
    <n v="525"/>
    <n v="11"/>
    <n v="27"/>
    <n v="-61"/>
    <n v="111"/>
    <n v="1.3875"/>
    <n v="3.05"/>
    <n v="1.2571428571428571"/>
  </r>
  <r>
    <n v="573"/>
    <x v="12"/>
    <s v="Central"/>
    <s v="Small Market"/>
    <s v="Darjeeling"/>
    <s v="Tea"/>
    <s v="Missouri"/>
    <s v="Regular"/>
    <n v="30"/>
    <n v="40"/>
    <n v="10"/>
    <n v="70"/>
    <n v="35"/>
    <n v="196"/>
    <n v="47"/>
    <n v="11"/>
    <n v="14"/>
    <n v="92"/>
    <n v="1.3142857142857143"/>
    <n v="1.4"/>
    <n v="1.1666666666666667"/>
  </r>
  <r>
    <n v="660"/>
    <x v="12"/>
    <s v="Central"/>
    <s v="Small Market"/>
    <s v="Earl Grey"/>
    <s v="Tea"/>
    <s v="Missouri"/>
    <s v="Regular"/>
    <n v="20"/>
    <n v="30"/>
    <n v="-10"/>
    <n v="50"/>
    <n v="29"/>
    <n v="169"/>
    <n v="36"/>
    <n v="11"/>
    <n v="-14"/>
    <n v="73"/>
    <n v="1.46"/>
    <n v="1.4"/>
    <n v="1.45"/>
  </r>
  <r>
    <n v="816"/>
    <x v="12"/>
    <s v="Central"/>
    <s v="Small Market"/>
    <s v="Green Tea"/>
    <s v="Tea"/>
    <s v="Missouri"/>
    <s v="Regular"/>
    <n v="20"/>
    <n v="40"/>
    <n v="0"/>
    <n v="60"/>
    <n v="34"/>
    <n v="197"/>
    <n v="42"/>
    <n v="12"/>
    <n v="-6"/>
    <n v="85"/>
    <n v="1.4166666666666667"/>
    <m/>
    <n v="1.7"/>
  </r>
  <r>
    <n v="573"/>
    <x v="12"/>
    <s v="Central"/>
    <s v="Small Market"/>
    <s v="Caffe Mocha"/>
    <s v="Espresso"/>
    <s v="Missouri"/>
    <s v="Regular"/>
    <n v="50"/>
    <n v="90"/>
    <n v="70"/>
    <n v="140"/>
    <n v="50"/>
    <n v="821"/>
    <n v="73"/>
    <n v="14"/>
    <n v="75"/>
    <n v="138"/>
    <n v="0.98571428571428577"/>
    <n v="1.0714285714285714"/>
    <n v="1"/>
  </r>
  <r>
    <n v="573"/>
    <x v="12"/>
    <s v="Central"/>
    <s v="Small Market"/>
    <s v="Decaf Espresso"/>
    <s v="Espresso"/>
    <s v="Missouri"/>
    <s v="Decaf"/>
    <n v="50"/>
    <n v="80"/>
    <n v="60"/>
    <n v="130"/>
    <n v="46"/>
    <n v="777"/>
    <n v="68"/>
    <n v="12"/>
    <n v="70"/>
    <n v="128"/>
    <n v="0.98461538461538467"/>
    <n v="1.1666666666666667"/>
    <n v="0.92"/>
  </r>
  <r>
    <n v="314"/>
    <x v="12"/>
    <s v="Central"/>
    <s v="Small Market"/>
    <s v="Columbian"/>
    <s v="Coffee"/>
    <s v="Missouri"/>
    <s v="Regular"/>
    <n v="90"/>
    <n v="100"/>
    <n v="40"/>
    <n v="190"/>
    <n v="85"/>
    <n v="494"/>
    <n v="105"/>
    <n v="32"/>
    <n v="61"/>
    <n v="213"/>
    <n v="1.1210526315789473"/>
    <n v="1.5249999999999999"/>
    <n v="0.94444444444444442"/>
  </r>
  <r>
    <n v="314"/>
    <x v="12"/>
    <s v="Central"/>
    <s v="Small Market"/>
    <s v="Decaf Irish Cream"/>
    <s v="Coffee"/>
    <s v="Missouri"/>
    <s v="Decaf"/>
    <n v="80"/>
    <n v="90"/>
    <n v="50"/>
    <n v="170"/>
    <n v="78"/>
    <n v="965"/>
    <n v="92"/>
    <n v="24"/>
    <n v="73"/>
    <n v="190"/>
    <n v="1.1176470588235294"/>
    <n v="1.46"/>
    <n v="0.97499999999999998"/>
  </r>
  <r>
    <n v="567"/>
    <x v="12"/>
    <s v="Central"/>
    <s v="Major Market"/>
    <s v="Chamomile"/>
    <s v="Herbal Tea"/>
    <s v="Ohio"/>
    <s v="Decaf"/>
    <n v="20"/>
    <n v="50"/>
    <n v="50"/>
    <n v="70"/>
    <n v="32"/>
    <n v="456"/>
    <n v="48"/>
    <n v="8"/>
    <n v="45"/>
    <n v="90"/>
    <n v="1.2857142857142858"/>
    <n v="0.9"/>
    <n v="1.6"/>
  </r>
  <r>
    <n v="614"/>
    <x v="12"/>
    <s v="Central"/>
    <s v="Major Market"/>
    <s v="Lemon"/>
    <s v="Herbal Tea"/>
    <s v="Ohio"/>
    <s v="Decaf"/>
    <n v="20"/>
    <n v="50"/>
    <n v="50"/>
    <n v="70"/>
    <n v="32"/>
    <n v="821"/>
    <n v="48"/>
    <n v="8"/>
    <n v="45"/>
    <n v="90"/>
    <n v="1.2857142857142858"/>
    <n v="0.9"/>
    <n v="1.6"/>
  </r>
  <r>
    <n v="513"/>
    <x v="12"/>
    <s v="Central"/>
    <s v="Major Market"/>
    <s v="Darjeeling"/>
    <s v="Tea"/>
    <s v="Ohio"/>
    <s v="Regular"/>
    <n v="70"/>
    <n v="110"/>
    <n v="60"/>
    <n v="180"/>
    <n v="84"/>
    <n v="651"/>
    <n v="126"/>
    <n v="27"/>
    <n v="106"/>
    <n v="235"/>
    <n v="1.3055555555555556"/>
    <n v="1.7666666666666666"/>
    <n v="1.2"/>
  </r>
  <r>
    <n v="567"/>
    <x v="12"/>
    <s v="Central"/>
    <s v="Major Market"/>
    <s v="Earl Grey"/>
    <s v="Tea"/>
    <s v="Ohio"/>
    <s v="Regular"/>
    <n v="70"/>
    <n v="100"/>
    <n v="60"/>
    <n v="170"/>
    <n v="84"/>
    <n v="500"/>
    <n v="116"/>
    <n v="26"/>
    <n v="104"/>
    <n v="224"/>
    <n v="1.3176470588235294"/>
    <n v="1.7333333333333334"/>
    <n v="1.2"/>
  </r>
  <r>
    <n v="234"/>
    <x v="12"/>
    <s v="Central"/>
    <s v="Major Market"/>
    <s v="Caffe Mocha"/>
    <s v="Espresso"/>
    <s v="Ohio"/>
    <s v="Regular"/>
    <n v="190"/>
    <n v="210"/>
    <n v="140"/>
    <n v="400"/>
    <n v="170"/>
    <n v="1091"/>
    <n v="171"/>
    <n v="47"/>
    <n v="154"/>
    <n v="382"/>
    <n v="0.95499999999999996"/>
    <n v="1.1000000000000001"/>
    <n v="0.89473684210526316"/>
  </r>
  <r>
    <n v="937"/>
    <x v="12"/>
    <s v="Central"/>
    <s v="Major Market"/>
    <s v="Decaf Espresso"/>
    <s v="Espresso"/>
    <s v="Ohio"/>
    <s v="Decaf"/>
    <n v="60"/>
    <n v="90"/>
    <n v="40"/>
    <n v="150"/>
    <n v="58"/>
    <n v="338"/>
    <n v="72"/>
    <n v="22"/>
    <n v="25"/>
    <n v="145"/>
    <n v="0.96666666666666667"/>
    <n v="0.625"/>
    <n v="0.96666666666666667"/>
  </r>
  <r>
    <n v="330"/>
    <x v="12"/>
    <s v="Central"/>
    <s v="Major Market"/>
    <s v="Amaretto"/>
    <s v="Coffee"/>
    <s v="Ohio"/>
    <s v="Regular"/>
    <n v="60"/>
    <n v="80"/>
    <n v="50"/>
    <n v="140"/>
    <n v="60"/>
    <n v="336"/>
    <n v="80"/>
    <n v="19"/>
    <n v="53"/>
    <n v="157"/>
    <n v="1.1214285714285714"/>
    <n v="1.06"/>
    <n v="1"/>
  </r>
  <r>
    <n v="614"/>
    <x v="12"/>
    <s v="Central"/>
    <s v="Major Market"/>
    <s v="Columbian"/>
    <s v="Coffee"/>
    <s v="Ohio"/>
    <s v="Regular"/>
    <n v="60"/>
    <n v="80"/>
    <n v="50"/>
    <n v="140"/>
    <n v="57"/>
    <n v="364"/>
    <n v="83"/>
    <n v="18"/>
    <n v="65"/>
    <n v="157"/>
    <n v="1.1214285714285714"/>
    <n v="1.3"/>
    <n v="0.95"/>
  </r>
  <r>
    <n v="513"/>
    <x v="12"/>
    <s v="Central"/>
    <s v="Major Market"/>
    <s v="Decaf Irish Cream"/>
    <s v="Coffee"/>
    <s v="Ohio"/>
    <s v="Decaf"/>
    <n v="60"/>
    <n v="90"/>
    <n v="20"/>
    <n v="150"/>
    <n v="63"/>
    <n v="435"/>
    <n v="87"/>
    <n v="57"/>
    <n v="0"/>
    <n v="168"/>
    <n v="1.1200000000000001"/>
    <n v="0"/>
    <n v="1.05"/>
  </r>
  <r>
    <n v="715"/>
    <x v="12"/>
    <s v="Central"/>
    <s v="Small Market"/>
    <s v="Chamomile"/>
    <s v="Herbal Tea"/>
    <s v="Wisconsin"/>
    <s v="Decaf"/>
    <n v="50"/>
    <n v="100"/>
    <n v="80"/>
    <n v="150"/>
    <n v="67"/>
    <n v="400"/>
    <n v="113"/>
    <n v="20"/>
    <n v="109"/>
    <n v="201"/>
    <n v="1.34"/>
    <n v="1.3625"/>
    <n v="1.34"/>
  </r>
  <r>
    <n v="608"/>
    <x v="12"/>
    <s v="Central"/>
    <s v="Small Market"/>
    <s v="Lemon"/>
    <s v="Herbal Tea"/>
    <s v="Wisconsin"/>
    <s v="Decaf"/>
    <n v="20"/>
    <n v="50"/>
    <n v="50"/>
    <n v="70"/>
    <n v="33"/>
    <n v="777"/>
    <n v="48"/>
    <n v="9"/>
    <n v="44"/>
    <n v="91"/>
    <n v="1.3"/>
    <n v="0.88"/>
    <n v="1.65"/>
  </r>
  <r>
    <n v="608"/>
    <x v="12"/>
    <s v="Central"/>
    <s v="Small Market"/>
    <s v="Darjeeling"/>
    <s v="Tea"/>
    <s v="Wisconsin"/>
    <s v="Regular"/>
    <n v="50"/>
    <n v="80"/>
    <n v="50"/>
    <n v="130"/>
    <n v="61"/>
    <n v="390"/>
    <n v="89"/>
    <n v="19"/>
    <n v="73"/>
    <n v="168"/>
    <n v="1.2923076923076924"/>
    <n v="1.46"/>
    <n v="1.22"/>
  </r>
  <r>
    <n v="262"/>
    <x v="12"/>
    <s v="Central"/>
    <s v="Small Market"/>
    <s v="Earl Grey"/>
    <s v="Tea"/>
    <s v="Wisconsin"/>
    <s v="Regular"/>
    <n v="60"/>
    <n v="90"/>
    <n v="10"/>
    <n v="150"/>
    <n v="75"/>
    <n v="522"/>
    <n v="105"/>
    <n v="68"/>
    <n v="11"/>
    <n v="201"/>
    <n v="1.34"/>
    <n v="1.1000000000000001"/>
    <n v="1.25"/>
  </r>
  <r>
    <n v="262"/>
    <x v="12"/>
    <s v="Central"/>
    <s v="Small Market"/>
    <s v="Caffe Mocha"/>
    <s v="Espresso"/>
    <s v="Wisconsin"/>
    <s v="Regular"/>
    <n v="80"/>
    <n v="90"/>
    <n v="50"/>
    <n v="170"/>
    <n v="69"/>
    <n v="965"/>
    <n v="81"/>
    <n v="21"/>
    <n v="59"/>
    <n v="168"/>
    <n v="0.9882352941176471"/>
    <n v="1.18"/>
    <n v="0.86250000000000004"/>
  </r>
  <r>
    <n v="715"/>
    <x v="12"/>
    <s v="Central"/>
    <s v="Small Market"/>
    <s v="Decaf Espresso"/>
    <s v="Espresso"/>
    <s v="Wisconsin"/>
    <s v="Decaf"/>
    <n v="50"/>
    <n v="70"/>
    <n v="50"/>
    <n v="120"/>
    <n v="48"/>
    <n v="623"/>
    <n v="62"/>
    <n v="15"/>
    <n v="53"/>
    <n v="123"/>
    <n v="1.0249999999999999"/>
    <n v="1.06"/>
    <n v="0.96"/>
  </r>
  <r>
    <n v="608"/>
    <x v="12"/>
    <s v="Central"/>
    <s v="Small Market"/>
    <s v="Amaretto"/>
    <s v="Coffee"/>
    <s v="Wisconsin"/>
    <s v="Regular"/>
    <n v="50"/>
    <n v="70"/>
    <n v="30"/>
    <n v="120"/>
    <n v="54"/>
    <n v="312"/>
    <n v="66"/>
    <n v="20"/>
    <n v="20"/>
    <n v="134"/>
    <n v="1.1166666666666667"/>
    <n v="0.66666666666666663"/>
    <n v="1.08"/>
  </r>
  <r>
    <n v="715"/>
    <x v="12"/>
    <s v="Central"/>
    <s v="Small Market"/>
    <s v="Columbian"/>
    <s v="Coffee"/>
    <s v="Wisconsin"/>
    <s v="Regular"/>
    <n v="80"/>
    <n v="110"/>
    <n v="20"/>
    <n v="190"/>
    <n v="79"/>
    <n v="551"/>
    <n v="111"/>
    <n v="72"/>
    <n v="14"/>
    <n v="213"/>
    <n v="1.1210526315789473"/>
    <n v="0.7"/>
    <n v="0.98750000000000004"/>
  </r>
  <r>
    <n v="414"/>
    <x v="12"/>
    <s v="Central"/>
    <s v="Small Market"/>
    <s v="Decaf Irish Cream"/>
    <s v="Coffee"/>
    <s v="Wisconsin"/>
    <s v="Decaf"/>
    <n v="80"/>
    <n v="100"/>
    <n v="60"/>
    <n v="180"/>
    <n v="77"/>
    <n v="432"/>
    <n v="103"/>
    <n v="25"/>
    <n v="79"/>
    <n v="201"/>
    <n v="1.1166666666666667"/>
    <n v="1.3166666666666667"/>
    <n v="0.96250000000000002"/>
  </r>
  <r>
    <n v="860"/>
    <x v="12"/>
    <s v="East"/>
    <s v="Small Market"/>
    <s v="Lemon"/>
    <s v="Herbal Tea"/>
    <s v="Connecticut"/>
    <s v="Decaf"/>
    <n v="60"/>
    <n v="80"/>
    <n v="40"/>
    <n v="140"/>
    <n v="85"/>
    <n v="494"/>
    <n v="105"/>
    <n v="32"/>
    <n v="62"/>
    <n v="213"/>
    <n v="1.5214285714285714"/>
    <n v="1.55"/>
    <n v="1.4166666666666667"/>
  </r>
  <r>
    <n v="860"/>
    <x v="12"/>
    <s v="East"/>
    <s v="Small Market"/>
    <s v="Mint"/>
    <s v="Herbal Tea"/>
    <s v="Connecticut"/>
    <s v="Decaf"/>
    <n v="50"/>
    <n v="80"/>
    <n v="50"/>
    <n v="130"/>
    <n v="78"/>
    <n v="965"/>
    <n v="92"/>
    <n v="24"/>
    <n v="73"/>
    <n v="190"/>
    <n v="1.4615384615384615"/>
    <n v="1.46"/>
    <n v="1.56"/>
  </r>
  <r>
    <n v="959"/>
    <x v="12"/>
    <s v="East"/>
    <s v="Small Market"/>
    <s v="Darjeeling"/>
    <s v="Tea"/>
    <s v="Connecticut"/>
    <s v="Regular"/>
    <n v="50"/>
    <n v="80"/>
    <n v="60"/>
    <n v="130"/>
    <n v="50"/>
    <n v="821"/>
    <n v="73"/>
    <n v="14"/>
    <n v="73"/>
    <n v="138"/>
    <n v="1.0615384615384615"/>
    <n v="1.2166666666666666"/>
    <n v="1"/>
  </r>
  <r>
    <n v="475"/>
    <x v="12"/>
    <s v="East"/>
    <s v="Small Market"/>
    <s v="Green Tea"/>
    <s v="Tea"/>
    <s v="Connecticut"/>
    <s v="Regular"/>
    <n v="40"/>
    <n v="60"/>
    <n v="40"/>
    <n v="100"/>
    <n v="38"/>
    <n v="777"/>
    <n v="56"/>
    <n v="10"/>
    <n v="55"/>
    <n v="105"/>
    <n v="1.05"/>
    <n v="1.375"/>
    <n v="0.95"/>
  </r>
  <r>
    <n v="203"/>
    <x v="12"/>
    <s v="East"/>
    <s v="Small Market"/>
    <s v="Caffe Mocha"/>
    <s v="Espresso"/>
    <s v="Connecticut"/>
    <s v="Regular"/>
    <n v="70"/>
    <n v="100"/>
    <n v="20"/>
    <n v="170"/>
    <n v="75"/>
    <n v="522"/>
    <n v="105"/>
    <n v="68"/>
    <n v="11"/>
    <n v="201"/>
    <n v="1.1823529411764706"/>
    <n v="0.55000000000000004"/>
    <n v="1.0714285714285714"/>
  </r>
  <r>
    <n v="203"/>
    <x v="12"/>
    <s v="East"/>
    <s v="Small Market"/>
    <s v="Decaf Espresso"/>
    <s v="Espresso"/>
    <s v="Connecticut"/>
    <s v="Decaf"/>
    <n v="50"/>
    <n v="70"/>
    <n v="40"/>
    <n v="120"/>
    <n v="55"/>
    <n v="312"/>
    <n v="75"/>
    <n v="18"/>
    <n v="47"/>
    <n v="145"/>
    <n v="1.2083333333333333"/>
    <n v="1.175"/>
    <n v="1.1000000000000001"/>
  </r>
  <r>
    <n v="959"/>
    <x v="12"/>
    <s v="East"/>
    <s v="Small Market"/>
    <s v="Columbian"/>
    <s v="Coffee"/>
    <s v="Connecticut"/>
    <s v="Regular"/>
    <n v="110"/>
    <n v="180"/>
    <n v="130"/>
    <n v="290"/>
    <n v="124"/>
    <n v="961"/>
    <n v="186"/>
    <n v="40"/>
    <n v="179"/>
    <n v="347"/>
    <n v="1.1965517241379311"/>
    <n v="1.3769230769230769"/>
    <n v="1.1272727272727272"/>
  </r>
  <r>
    <n v="850"/>
    <x v="12"/>
    <s v="East"/>
    <s v="Major Market"/>
    <s v="Chamomile"/>
    <s v="Herbal Tea"/>
    <s v="Florida"/>
    <s v="Decaf"/>
    <n v="30"/>
    <n v="50"/>
    <n v="30"/>
    <n v="80"/>
    <n v="48"/>
    <n v="623"/>
    <n v="62"/>
    <n v="15"/>
    <n v="53"/>
    <n v="123"/>
    <n v="1.5375000000000001"/>
    <n v="1.7666666666666666"/>
    <n v="1.6"/>
  </r>
  <r>
    <n v="904"/>
    <x v="12"/>
    <s v="East"/>
    <s v="Major Market"/>
    <s v="Lemon"/>
    <s v="Herbal Tea"/>
    <s v="Florida"/>
    <s v="Decaf"/>
    <n v="40"/>
    <n v="50"/>
    <n v="20"/>
    <n v="90"/>
    <n v="54"/>
    <n v="312"/>
    <n v="66"/>
    <n v="20"/>
    <n v="20"/>
    <n v="134"/>
    <n v="1.4888888888888889"/>
    <n v="1"/>
    <n v="1.35"/>
  </r>
  <r>
    <n v="321"/>
    <x v="12"/>
    <s v="East"/>
    <s v="Major Market"/>
    <s v="Mint"/>
    <s v="Herbal Tea"/>
    <s v="Florida"/>
    <s v="Decaf"/>
    <n v="50"/>
    <n v="60"/>
    <n v="40"/>
    <n v="110"/>
    <n v="69"/>
    <n v="965"/>
    <n v="81"/>
    <n v="21"/>
    <n v="61"/>
    <n v="168"/>
    <n v="1.5272727272727273"/>
    <n v="1.5249999999999999"/>
    <n v="1.38"/>
  </r>
  <r>
    <n v="239"/>
    <x v="12"/>
    <s v="East"/>
    <s v="Major Market"/>
    <s v="Darjeeling"/>
    <s v="Tea"/>
    <s v="Florida"/>
    <s v="Regular"/>
    <n v="30"/>
    <n v="50"/>
    <n v="40"/>
    <n v="80"/>
    <n v="32"/>
    <n v="821"/>
    <n v="48"/>
    <n v="8"/>
    <n v="44"/>
    <n v="90"/>
    <n v="1.125"/>
    <n v="1.1000000000000001"/>
    <n v="1.0666666666666667"/>
  </r>
  <r>
    <n v="239"/>
    <x v="12"/>
    <s v="East"/>
    <s v="Major Market"/>
    <s v="Green Tea"/>
    <s v="Tea"/>
    <s v="Florida"/>
    <s v="Regular"/>
    <n v="30"/>
    <n v="50"/>
    <n v="40"/>
    <n v="80"/>
    <n v="33"/>
    <n v="777"/>
    <n v="48"/>
    <n v="9"/>
    <n v="44"/>
    <n v="91"/>
    <n v="1.1375"/>
    <n v="1.1000000000000001"/>
    <n v="1.1000000000000001"/>
  </r>
  <r>
    <n v="239"/>
    <x v="12"/>
    <s v="East"/>
    <s v="Major Market"/>
    <s v="Caffe Mocha"/>
    <s v="Espresso"/>
    <s v="Florida"/>
    <s v="Regular"/>
    <n v="70"/>
    <n v="110"/>
    <n v="30"/>
    <n v="180"/>
    <n v="79"/>
    <n v="551"/>
    <n v="111"/>
    <n v="72"/>
    <n v="14"/>
    <n v="213"/>
    <n v="1.1833333333333333"/>
    <n v="0.46666666666666667"/>
    <n v="1.1285714285714286"/>
  </r>
  <r>
    <n v="305"/>
    <x v="12"/>
    <s v="East"/>
    <s v="Major Market"/>
    <s v="Decaf Espresso"/>
    <s v="Espresso"/>
    <s v="Florida"/>
    <s v="Decaf"/>
    <n v="70"/>
    <n v="100"/>
    <n v="60"/>
    <n v="170"/>
    <n v="77"/>
    <n v="432"/>
    <n v="103"/>
    <n v="25"/>
    <n v="78"/>
    <n v="201"/>
    <n v="1.1823529411764706"/>
    <n v="1.3"/>
    <n v="1.1000000000000001"/>
  </r>
  <r>
    <n v="813"/>
    <x v="12"/>
    <s v="East"/>
    <s v="Major Market"/>
    <s v="Columbian"/>
    <s v="Coffee"/>
    <s v="Florida"/>
    <s v="Regular"/>
    <n v="80"/>
    <n v="110"/>
    <n v="70"/>
    <n v="190"/>
    <n v="84"/>
    <n v="651"/>
    <n v="126"/>
    <n v="27"/>
    <n v="106"/>
    <n v="235"/>
    <n v="1.236842105263158"/>
    <n v="1.5142857142857142"/>
    <n v="1.05"/>
  </r>
  <r>
    <n v="386"/>
    <x v="12"/>
    <s v="East"/>
    <s v="Major Market"/>
    <s v="Decaf Irish Cream"/>
    <s v="Coffee"/>
    <s v="Florida"/>
    <s v="Decaf"/>
    <n v="80"/>
    <n v="110"/>
    <n v="70"/>
    <n v="190"/>
    <n v="84"/>
    <n v="500"/>
    <n v="116"/>
    <n v="26"/>
    <n v="104"/>
    <n v="224"/>
    <n v="1.1789473684210525"/>
    <n v="1.4857142857142858"/>
    <n v="1.05"/>
  </r>
  <r>
    <n v="781"/>
    <x v="12"/>
    <s v="East"/>
    <s v="Major Market"/>
    <s v="Lemon"/>
    <s v="Herbal Tea"/>
    <s v="Massachusetts"/>
    <s v="Decaf"/>
    <n v="40"/>
    <n v="60"/>
    <n v="30"/>
    <n v="100"/>
    <n v="58"/>
    <n v="338"/>
    <n v="72"/>
    <n v="22"/>
    <n v="26"/>
    <n v="145"/>
    <n v="1.45"/>
    <n v="0.8666666666666667"/>
    <n v="1.45"/>
  </r>
  <r>
    <n v="781"/>
    <x v="12"/>
    <s v="East"/>
    <s v="Major Market"/>
    <s v="Darjeeling"/>
    <s v="Tea"/>
    <s v="Massachusetts"/>
    <s v="Regular"/>
    <n v="30"/>
    <n v="50"/>
    <n v="40"/>
    <n v="80"/>
    <n v="32"/>
    <n v="821"/>
    <n v="48"/>
    <n v="8"/>
    <n v="45"/>
    <n v="90"/>
    <n v="1.125"/>
    <n v="1.125"/>
    <n v="1.0666666666666667"/>
  </r>
  <r>
    <n v="978"/>
    <x v="12"/>
    <s v="East"/>
    <s v="Major Market"/>
    <s v="Green Tea"/>
    <s v="Tea"/>
    <s v="Massachusetts"/>
    <s v="Regular"/>
    <n v="30"/>
    <n v="50"/>
    <n v="40"/>
    <n v="80"/>
    <n v="32"/>
    <n v="456"/>
    <n v="48"/>
    <n v="8"/>
    <n v="45"/>
    <n v="90"/>
    <n v="1.125"/>
    <n v="1.125"/>
    <n v="1.0666666666666667"/>
  </r>
  <r>
    <n v="617"/>
    <x v="12"/>
    <s v="East"/>
    <s v="Major Market"/>
    <s v="Caffe Mocha"/>
    <s v="Espresso"/>
    <s v="Massachusetts"/>
    <s v="Regular"/>
    <n v="60"/>
    <n v="60"/>
    <n v="-10"/>
    <n v="120"/>
    <n v="63"/>
    <n v="435"/>
    <n v="63"/>
    <n v="57"/>
    <n v="-36"/>
    <n v="141"/>
    <n v="1.175"/>
    <n v="3.6"/>
    <n v="1.05"/>
  </r>
  <r>
    <n v="617"/>
    <x v="12"/>
    <s v="East"/>
    <s v="Major Market"/>
    <s v="Regular Espresso"/>
    <s v="Espresso"/>
    <s v="Massachusetts"/>
    <s v="Regular"/>
    <n v="160"/>
    <n v="170"/>
    <n v="110"/>
    <n v="330"/>
    <n v="170"/>
    <n v="1091"/>
    <n v="171"/>
    <n v="47"/>
    <n v="156"/>
    <n v="382"/>
    <n v="1.1575757575757575"/>
    <n v="1.4181818181818182"/>
    <n v="1.0625"/>
  </r>
  <r>
    <n v="413"/>
    <x v="12"/>
    <s v="East"/>
    <s v="Major Market"/>
    <s v="Columbian"/>
    <s v="Coffee"/>
    <s v="Massachusetts"/>
    <s v="Regular"/>
    <n v="60"/>
    <n v="400"/>
    <n v="360"/>
    <n v="460"/>
    <n v="72"/>
    <n v="558"/>
    <n v="422"/>
    <n v="23"/>
    <n v="572"/>
    <n v="553"/>
    <n v="1.2021739130434783"/>
    <n v="1.5888888888888888"/>
    <n v="1.2"/>
  </r>
  <r>
    <n v="603"/>
    <x v="12"/>
    <s v="East"/>
    <s v="Small Market"/>
    <s v="Lemon"/>
    <s v="Herbal Tea"/>
    <s v="New Hampshire"/>
    <s v="Decaf"/>
    <n v="20"/>
    <n v="30"/>
    <n v="0"/>
    <n v="50"/>
    <n v="34"/>
    <n v="197"/>
    <n v="42"/>
    <n v="12"/>
    <n v="-6"/>
    <n v="85"/>
    <n v="1.7"/>
    <m/>
    <n v="1.7"/>
  </r>
  <r>
    <n v="603"/>
    <x v="12"/>
    <s v="East"/>
    <s v="Small Market"/>
    <s v="Darjeeling"/>
    <s v="Tea"/>
    <s v="New Hampshire"/>
    <s v="Regular"/>
    <n v="10"/>
    <n v="30"/>
    <n v="20"/>
    <n v="40"/>
    <n v="18"/>
    <n v="821"/>
    <n v="27"/>
    <n v="5"/>
    <n v="16"/>
    <n v="50"/>
    <n v="1.25"/>
    <n v="0.8"/>
    <n v="1.8"/>
  </r>
  <r>
    <n v="603"/>
    <x v="12"/>
    <s v="East"/>
    <s v="Small Market"/>
    <s v="Green Tea"/>
    <s v="Tea"/>
    <s v="New Hampshire"/>
    <s v="Regular"/>
    <n v="10"/>
    <n v="30"/>
    <n v="20"/>
    <n v="40"/>
    <n v="17"/>
    <n v="777"/>
    <n v="26"/>
    <n v="4"/>
    <n v="17"/>
    <n v="48"/>
    <n v="1.2"/>
    <n v="0.85"/>
    <n v="1.7"/>
  </r>
  <r>
    <n v="603"/>
    <x v="12"/>
    <s v="East"/>
    <s v="Small Market"/>
    <s v="Caffe Mocha"/>
    <s v="Espresso"/>
    <s v="New Hampshire"/>
    <s v="Regular"/>
    <n v="30"/>
    <n v="50"/>
    <n v="0"/>
    <n v="80"/>
    <n v="37"/>
    <n v="261"/>
    <n v="53"/>
    <n v="34"/>
    <n v="-16"/>
    <n v="101"/>
    <n v="1.2625"/>
    <m/>
    <n v="1.2333333333333334"/>
  </r>
  <r>
    <n v="603"/>
    <x v="12"/>
    <s v="East"/>
    <s v="Small Market"/>
    <s v="Regular Espresso"/>
    <s v="Espresso"/>
    <s v="New Hampshire"/>
    <s v="Regular"/>
    <n v="20"/>
    <n v="40"/>
    <n v="0"/>
    <n v="60"/>
    <n v="29"/>
    <n v="169"/>
    <n v="36"/>
    <n v="11"/>
    <n v="-12"/>
    <n v="73"/>
    <n v="1.2166666666666666"/>
    <m/>
    <n v="1.45"/>
  </r>
  <r>
    <n v="603"/>
    <x v="12"/>
    <s v="East"/>
    <s v="Small Market"/>
    <s v="Amaretto"/>
    <s v="Coffee"/>
    <s v="New Hampshire"/>
    <s v="Regular"/>
    <n v="30"/>
    <n v="50"/>
    <n v="30"/>
    <n v="80"/>
    <n v="38"/>
    <n v="241"/>
    <n v="55"/>
    <n v="12"/>
    <n v="31"/>
    <n v="104"/>
    <n v="1.3"/>
    <n v="1.0333333333333334"/>
    <n v="1.2666666666666666"/>
  </r>
  <r>
    <n v="603"/>
    <x v="12"/>
    <s v="East"/>
    <s v="Small Market"/>
    <s v="Columbian"/>
    <s v="Coffee"/>
    <s v="New Hampshire"/>
    <s v="Regular"/>
    <n v="40"/>
    <n v="70"/>
    <n v="40"/>
    <n v="110"/>
    <n v="48"/>
    <n v="372"/>
    <n v="72"/>
    <n v="15"/>
    <n v="39"/>
    <n v="134"/>
    <n v="1.2181818181818183"/>
    <n v="0.97499999999999998"/>
    <n v="1.2"/>
  </r>
  <r>
    <n v="516"/>
    <x v="12"/>
    <s v="East"/>
    <s v="Major Market"/>
    <s v="Lemon"/>
    <s v="Herbal Tea"/>
    <s v="New York"/>
    <s v="Decaf"/>
    <n v="180"/>
    <n v="190"/>
    <n v="100"/>
    <n v="370"/>
    <n v="245"/>
    <n v="1419"/>
    <n v="238"/>
    <n v="93"/>
    <n v="173"/>
    <n v="540"/>
    <n v="1.4594594594594594"/>
    <n v="1.73"/>
    <n v="1.3611111111111112"/>
  </r>
  <r>
    <n v="516"/>
    <x v="12"/>
    <s v="East"/>
    <s v="Major Market"/>
    <s v="Mint"/>
    <s v="Herbal Tea"/>
    <s v="New York"/>
    <s v="Decaf"/>
    <n v="150"/>
    <n v="-10"/>
    <n v="-70"/>
    <n v="140"/>
    <n v="207"/>
    <n v="965"/>
    <n v="-27"/>
    <n v="64"/>
    <n v="-176"/>
    <n v="201"/>
    <n v="1.4357142857142857"/>
    <n v="2.5142857142857142"/>
    <n v="1.38"/>
  </r>
  <r>
    <n v="607"/>
    <x v="12"/>
    <s v="East"/>
    <s v="Major Market"/>
    <s v="Darjeeling"/>
    <s v="Tea"/>
    <s v="New York"/>
    <s v="Regular"/>
    <n v="100"/>
    <n v="150"/>
    <n v="120"/>
    <n v="250"/>
    <n v="95"/>
    <n v="821"/>
    <n v="139"/>
    <n v="26"/>
    <n v="157"/>
    <n v="262"/>
    <n v="1.048"/>
    <n v="1.3083333333333333"/>
    <n v="0.95"/>
  </r>
  <r>
    <n v="716"/>
    <x v="12"/>
    <s v="East"/>
    <s v="Major Market"/>
    <s v="Earl Grey"/>
    <s v="Tea"/>
    <s v="New York"/>
    <s v="Regular"/>
    <n v="90"/>
    <n v="140"/>
    <n v="110"/>
    <n v="230"/>
    <n v="89"/>
    <n v="777"/>
    <n v="130"/>
    <n v="24"/>
    <n v="146"/>
    <n v="245"/>
    <n v="1.0652173913043479"/>
    <n v="1.3272727272727274"/>
    <n v="0.98888888888888893"/>
  </r>
  <r>
    <n v="212"/>
    <x v="12"/>
    <s v="East"/>
    <s v="Major Market"/>
    <s v="Green Tea"/>
    <s v="Tea"/>
    <s v="New York"/>
    <s v="Regular"/>
    <n v="50"/>
    <n v="90"/>
    <n v="70"/>
    <n v="140"/>
    <n v="54"/>
    <n v="456"/>
    <n v="80"/>
    <n v="15"/>
    <n v="84"/>
    <n v="150"/>
    <n v="1.0714285714285714"/>
    <n v="1.2"/>
    <n v="1.08"/>
  </r>
  <r>
    <n v="516"/>
    <x v="12"/>
    <s v="East"/>
    <s v="Major Market"/>
    <s v="Caffe Mocha"/>
    <s v="Espresso"/>
    <s v="New York"/>
    <s v="Regular"/>
    <n v="100"/>
    <n v="-50"/>
    <n v="-170"/>
    <n v="50"/>
    <n v="105"/>
    <n v="725"/>
    <n v="-44"/>
    <n v="95"/>
    <n v="-268"/>
    <n v="68"/>
    <n v="1.36"/>
    <n v="1.5764705882352941"/>
    <n v="1.05"/>
  </r>
  <r>
    <n v="516"/>
    <x v="12"/>
    <s v="East"/>
    <s v="Major Market"/>
    <s v="Regular Espresso"/>
    <s v="Espresso"/>
    <s v="New York"/>
    <s v="Regular"/>
    <n v="210"/>
    <n v="270"/>
    <n v="200"/>
    <n v="480"/>
    <n v="228"/>
    <n v="1459"/>
    <n v="262"/>
    <n v="63"/>
    <n v="273"/>
    <n v="548"/>
    <n v="1.1416666666666666"/>
    <n v="1.365"/>
    <n v="1.0857142857142856"/>
  </r>
  <r>
    <n v="518"/>
    <x v="12"/>
    <s v="East"/>
    <s v="Major Market"/>
    <s v="Columbian"/>
    <s v="Coffee"/>
    <s v="New York"/>
    <s v="Regular"/>
    <n v="260"/>
    <n v="380"/>
    <n v="260"/>
    <n v="640"/>
    <n v="271"/>
    <n v="2101"/>
    <n v="407"/>
    <n v="94"/>
    <n v="408"/>
    <n v="759"/>
    <n v="1.1859375000000001"/>
    <n v="1.5692307692307692"/>
    <n v="1.0423076923076924"/>
  </r>
  <r>
    <n v="318"/>
    <x v="12"/>
    <s v="South"/>
    <s v="Small Market"/>
    <s v="Chamomile"/>
    <s v="Herbal Tea"/>
    <s v="Louisiana"/>
    <s v="Decaf"/>
    <n v="40"/>
    <n v="60"/>
    <n v="40"/>
    <n v="100"/>
    <n v="49"/>
    <n v="623"/>
    <n v="63"/>
    <n v="16"/>
    <n v="55"/>
    <n v="125"/>
    <n v="1.25"/>
    <n v="1.375"/>
    <n v="1.2250000000000001"/>
  </r>
  <r>
    <n v="318"/>
    <x v="12"/>
    <s v="South"/>
    <s v="Small Market"/>
    <s v="Lemon"/>
    <s v="Herbal Tea"/>
    <s v="Louisiana"/>
    <s v="Decaf"/>
    <n v="80"/>
    <n v="100"/>
    <n v="40"/>
    <n v="180"/>
    <n v="85"/>
    <n v="494"/>
    <n v="105"/>
    <n v="32"/>
    <n v="62"/>
    <n v="213"/>
    <n v="1.1833333333333333"/>
    <n v="1.55"/>
    <n v="1.0625"/>
  </r>
  <r>
    <n v="337"/>
    <x v="12"/>
    <s v="South"/>
    <s v="Small Market"/>
    <s v="Columbian"/>
    <s v="Coffee"/>
    <s v="Louisiana"/>
    <s v="Regular"/>
    <n v="40"/>
    <n v="60"/>
    <n v="50"/>
    <n v="100"/>
    <n v="34"/>
    <n v="777"/>
    <n v="51"/>
    <n v="9"/>
    <n v="47"/>
    <n v="95"/>
    <n v="0.95"/>
    <n v="0.94"/>
    <n v="0.85"/>
  </r>
  <r>
    <n v="318"/>
    <x v="12"/>
    <s v="South"/>
    <s v="Small Market"/>
    <s v="Decaf Irish Cream"/>
    <s v="Coffee"/>
    <s v="Louisiana"/>
    <s v="Decaf"/>
    <n v="40"/>
    <n v="60"/>
    <n v="50"/>
    <n v="100"/>
    <n v="33"/>
    <n v="777"/>
    <n v="48"/>
    <n v="9"/>
    <n v="44"/>
    <n v="91"/>
    <n v="0.91"/>
    <n v="0.88"/>
    <n v="0.82499999999999996"/>
  </r>
  <r>
    <n v="504"/>
    <x v="12"/>
    <s v="South"/>
    <s v="Small Market"/>
    <s v="Caffe Latte"/>
    <s v="Espresso"/>
    <s v="Louisiana"/>
    <s v="Regular"/>
    <n v="60"/>
    <n v="90"/>
    <n v="10"/>
    <n v="150"/>
    <n v="75"/>
    <n v="522"/>
    <n v="105"/>
    <n v="68"/>
    <n v="12"/>
    <n v="201"/>
    <n v="1.34"/>
    <n v="1.2"/>
    <n v="1.25"/>
  </r>
  <r>
    <n v="225"/>
    <x v="12"/>
    <s v="South"/>
    <s v="Small Market"/>
    <s v="Caffe Mocha"/>
    <s v="Espresso"/>
    <s v="Louisiana"/>
    <s v="Regular"/>
    <n v="50"/>
    <n v="100"/>
    <n v="80"/>
    <n v="150"/>
    <n v="67"/>
    <n v="400"/>
    <n v="113"/>
    <n v="20"/>
    <n v="109"/>
    <n v="201"/>
    <n v="1.34"/>
    <n v="1.3625"/>
    <n v="1.34"/>
  </r>
  <r>
    <n v="337"/>
    <x v="12"/>
    <s v="South"/>
    <s v="Small Market"/>
    <s v="Decaf Espresso"/>
    <s v="Espresso"/>
    <s v="Louisiana"/>
    <s v="Decaf"/>
    <n v="50"/>
    <n v="70"/>
    <n v="50"/>
    <n v="120"/>
    <n v="61"/>
    <n v="390"/>
    <n v="89"/>
    <n v="19"/>
    <n v="75"/>
    <n v="168"/>
    <n v="1.4"/>
    <n v="1.5"/>
    <n v="1.22"/>
  </r>
  <r>
    <n v="505"/>
    <x v="12"/>
    <s v="South"/>
    <s v="Small Market"/>
    <s v="Chamomile"/>
    <s v="Herbal Tea"/>
    <s v="New Mexico"/>
    <s v="Decaf"/>
    <n v="10"/>
    <n v="30"/>
    <n v="20"/>
    <n v="40"/>
    <n v="18"/>
    <n v="821"/>
    <n v="27"/>
    <n v="5"/>
    <n v="17"/>
    <n v="50"/>
    <n v="1.25"/>
    <n v="0.85"/>
    <n v="1.8"/>
  </r>
  <r>
    <n v="505"/>
    <x v="12"/>
    <s v="South"/>
    <s v="Small Market"/>
    <s v="Lemon"/>
    <s v="Herbal Tea"/>
    <s v="New Mexico"/>
    <s v="Decaf"/>
    <n v="20"/>
    <n v="40"/>
    <n v="20"/>
    <n v="60"/>
    <n v="28"/>
    <n v="965"/>
    <n v="34"/>
    <n v="8"/>
    <n v="6"/>
    <n v="69"/>
    <n v="1.1499999999999999"/>
    <n v="0.3"/>
    <n v="1.4"/>
  </r>
  <r>
    <n v="505"/>
    <x v="12"/>
    <s v="South"/>
    <s v="Small Market"/>
    <s v="Columbian"/>
    <s v="Coffee"/>
    <s v="New Mexico"/>
    <s v="Regular"/>
    <n v="60"/>
    <n v="90"/>
    <n v="50"/>
    <n v="150"/>
    <n v="48"/>
    <n v="372"/>
    <n v="72"/>
    <n v="15"/>
    <n v="41"/>
    <n v="134"/>
    <n v="0.89333333333333331"/>
    <n v="0.82"/>
    <n v="0.8"/>
  </r>
  <r>
    <n v="505"/>
    <x v="12"/>
    <s v="South"/>
    <s v="Small Market"/>
    <s v="Decaf Irish Cream"/>
    <s v="Coffee"/>
    <s v="New Mexico"/>
    <s v="Decaf"/>
    <n v="110"/>
    <n v="10"/>
    <n v="-30"/>
    <n v="120"/>
    <n v="88"/>
    <n v="525"/>
    <n v="11"/>
    <n v="27"/>
    <n v="-61"/>
    <n v="111"/>
    <n v="0.92500000000000004"/>
    <n v="2.0333333333333332"/>
    <n v="0.8"/>
  </r>
  <r>
    <n v="505"/>
    <x v="12"/>
    <s v="South"/>
    <s v="Small Market"/>
    <s v="Caffe Latte"/>
    <s v="Espresso"/>
    <s v="New Mexico"/>
    <s v="Regular"/>
    <n v="20"/>
    <n v="30"/>
    <n v="0"/>
    <n v="50"/>
    <n v="29"/>
    <n v="169"/>
    <n v="36"/>
    <n v="11"/>
    <n v="-12"/>
    <n v="73"/>
    <n v="1.46"/>
    <m/>
    <n v="1.45"/>
  </r>
  <r>
    <n v="505"/>
    <x v="12"/>
    <s v="South"/>
    <s v="Small Market"/>
    <s v="Caffe Mocha"/>
    <s v="Espresso"/>
    <s v="New Mexico"/>
    <s v="Regular"/>
    <n v="30"/>
    <n v="40"/>
    <n v="-10"/>
    <n v="70"/>
    <n v="37"/>
    <n v="261"/>
    <n v="53"/>
    <n v="34"/>
    <n v="-16"/>
    <n v="101"/>
    <n v="1.4428571428571428"/>
    <n v="1.6"/>
    <n v="1.2333333333333334"/>
  </r>
  <r>
    <n v="505"/>
    <x v="12"/>
    <s v="South"/>
    <s v="Small Market"/>
    <s v="Decaf Espresso"/>
    <s v="Espresso"/>
    <s v="New Mexico"/>
    <s v="Decaf"/>
    <n v="30"/>
    <n v="40"/>
    <n v="10"/>
    <n v="70"/>
    <n v="35"/>
    <n v="196"/>
    <n v="47"/>
    <n v="11"/>
    <n v="14"/>
    <n v="92"/>
    <n v="1.3142857142857143"/>
    <n v="1.4"/>
    <n v="1.1666666666666667"/>
  </r>
  <r>
    <n v="918"/>
    <x v="12"/>
    <s v="South"/>
    <s v="Small Market"/>
    <s v="Chamomile"/>
    <s v="Herbal Tea"/>
    <s v="Oklahoma"/>
    <s v="Decaf"/>
    <n v="50"/>
    <n v="60"/>
    <n v="20"/>
    <n v="110"/>
    <n v="54"/>
    <n v="312"/>
    <n v="66"/>
    <n v="20"/>
    <n v="20"/>
    <n v="134"/>
    <n v="1.2181818181818183"/>
    <n v="1"/>
    <n v="1.08"/>
  </r>
  <r>
    <n v="405"/>
    <x v="12"/>
    <s v="South"/>
    <s v="Small Market"/>
    <s v="Lemon"/>
    <s v="Herbal Tea"/>
    <s v="Oklahoma"/>
    <s v="Decaf"/>
    <n v="70"/>
    <n v="110"/>
    <n v="30"/>
    <n v="180"/>
    <n v="79"/>
    <n v="551"/>
    <n v="111"/>
    <n v="72"/>
    <n v="16"/>
    <n v="213"/>
    <n v="1.1833333333333333"/>
    <n v="0.53333333333333333"/>
    <n v="1.1285714285714286"/>
  </r>
  <r>
    <n v="580"/>
    <x v="12"/>
    <s v="South"/>
    <s v="Small Market"/>
    <s v="Columbian"/>
    <s v="Coffee"/>
    <s v="Oklahoma"/>
    <s v="Regular"/>
    <n v="50"/>
    <n v="70"/>
    <n v="50"/>
    <n v="120"/>
    <n v="44"/>
    <n v="623"/>
    <n v="56"/>
    <n v="14"/>
    <n v="45"/>
    <n v="112"/>
    <n v="0.93333333333333335"/>
    <n v="0.9"/>
    <n v="0.88"/>
  </r>
  <r>
    <n v="918"/>
    <x v="12"/>
    <s v="South"/>
    <s v="Small Market"/>
    <s v="Decaf Irish Cream"/>
    <s v="Coffee"/>
    <s v="Oklahoma"/>
    <s v="Decaf"/>
    <n v="40"/>
    <n v="60"/>
    <n v="50"/>
    <n v="100"/>
    <n v="32"/>
    <n v="821"/>
    <n v="48"/>
    <n v="8"/>
    <n v="44"/>
    <n v="90"/>
    <n v="0.9"/>
    <n v="0.88"/>
    <n v="0.8"/>
  </r>
  <r>
    <n v="405"/>
    <x v="12"/>
    <s v="South"/>
    <s v="Small Market"/>
    <s v="Caffe Latte"/>
    <s v="Espresso"/>
    <s v="Oklahoma"/>
    <s v="Regular"/>
    <n v="70"/>
    <n v="100"/>
    <n v="70"/>
    <n v="170"/>
    <n v="84"/>
    <n v="500"/>
    <n v="116"/>
    <n v="26"/>
    <n v="103"/>
    <n v="224"/>
    <n v="1.3176470588235294"/>
    <n v="1.4714285714285715"/>
    <n v="1.2"/>
  </r>
  <r>
    <n v="580"/>
    <x v="12"/>
    <s v="South"/>
    <s v="Small Market"/>
    <s v="Caffe Mocha"/>
    <s v="Espresso"/>
    <s v="Oklahoma"/>
    <s v="Regular"/>
    <n v="20"/>
    <n v="40"/>
    <n v="40"/>
    <n v="60"/>
    <n v="32"/>
    <n v="456"/>
    <n v="48"/>
    <n v="8"/>
    <n v="44"/>
    <n v="90"/>
    <n v="1.5"/>
    <n v="1.1000000000000001"/>
    <n v="1.6"/>
  </r>
  <r>
    <n v="405"/>
    <x v="12"/>
    <s v="South"/>
    <s v="Small Market"/>
    <s v="Decaf Espresso"/>
    <s v="Espresso"/>
    <s v="Oklahoma"/>
    <s v="Decaf"/>
    <n v="70"/>
    <n v="110"/>
    <n v="70"/>
    <n v="180"/>
    <n v="84"/>
    <n v="651"/>
    <n v="126"/>
    <n v="27"/>
    <n v="104"/>
    <n v="235"/>
    <n v="1.3055555555555556"/>
    <n v="1.4857142857142858"/>
    <n v="1.2"/>
  </r>
  <r>
    <n v="281"/>
    <x v="12"/>
    <s v="South"/>
    <s v="Major Market"/>
    <s v="Chamomile"/>
    <s v="Herbal Tea"/>
    <s v="Texas"/>
    <s v="Decaf"/>
    <n v="50"/>
    <n v="80"/>
    <n v="50"/>
    <n v="130"/>
    <n v="60"/>
    <n v="336"/>
    <n v="80"/>
    <n v="19"/>
    <n v="51"/>
    <n v="157"/>
    <n v="1.2076923076923076"/>
    <n v="1.02"/>
    <n v="1.2"/>
  </r>
  <r>
    <n v="254"/>
    <x v="12"/>
    <s v="South"/>
    <s v="Major Market"/>
    <s v="Lemon"/>
    <s v="Herbal Tea"/>
    <s v="Texas"/>
    <s v="Decaf"/>
    <n v="50"/>
    <n v="80"/>
    <n v="50"/>
    <n v="130"/>
    <n v="57"/>
    <n v="364"/>
    <n v="83"/>
    <n v="18"/>
    <n v="65"/>
    <n v="157"/>
    <n v="1.2076923076923076"/>
    <n v="1.3"/>
    <n v="1.1399999999999999"/>
  </r>
  <r>
    <n v="682"/>
    <x v="12"/>
    <s v="South"/>
    <s v="Major Market"/>
    <s v="Columbian"/>
    <s v="Coffee"/>
    <s v="Texas"/>
    <s v="Regular"/>
    <n v="260"/>
    <n v="300"/>
    <n v="220"/>
    <n v="560"/>
    <n v="207"/>
    <n v="965"/>
    <n v="245"/>
    <n v="64"/>
    <n v="248"/>
    <n v="506"/>
    <n v="0.90357142857142858"/>
    <n v="1.1272727272727272"/>
    <n v="0.7961538461538461"/>
  </r>
  <r>
    <n v="361"/>
    <x v="12"/>
    <s v="South"/>
    <s v="Major Market"/>
    <s v="Decaf Irish Cream"/>
    <s v="Coffee"/>
    <s v="Texas"/>
    <s v="Decaf"/>
    <n v="100"/>
    <n v="130"/>
    <n v="100"/>
    <n v="230"/>
    <n v="83"/>
    <n v="623"/>
    <n v="107"/>
    <n v="27"/>
    <n v="106"/>
    <n v="213"/>
    <n v="0.92608695652173911"/>
    <n v="1.06"/>
    <n v="0.83"/>
  </r>
  <r>
    <n v="806"/>
    <x v="12"/>
    <s v="South"/>
    <s v="Major Market"/>
    <s v="Caffe Latte"/>
    <s v="Espresso"/>
    <s v="Texas"/>
    <s v="Regular"/>
    <n v="60"/>
    <n v="90"/>
    <n v="50"/>
    <n v="150"/>
    <n v="72"/>
    <n v="558"/>
    <n v="108"/>
    <n v="23"/>
    <n v="83"/>
    <n v="201"/>
    <n v="1.34"/>
    <n v="1.66"/>
    <n v="1.2"/>
  </r>
  <r>
    <n v="512"/>
    <x v="12"/>
    <s v="South"/>
    <s v="Major Market"/>
    <s v="Caffe Mocha"/>
    <s v="Espresso"/>
    <s v="Texas"/>
    <s v="Regular"/>
    <n v="70"/>
    <n v="110"/>
    <n v="90"/>
    <n v="180"/>
    <n v="89"/>
    <n v="777"/>
    <n v="130"/>
    <n v="24"/>
    <n v="148"/>
    <n v="245"/>
    <n v="1.3611111111111112"/>
    <n v="1.6444444444444444"/>
    <n v="1.2714285714285714"/>
  </r>
  <r>
    <n v="409"/>
    <x v="12"/>
    <s v="South"/>
    <s v="Major Market"/>
    <s v="Decaf Espresso"/>
    <s v="Espresso"/>
    <s v="Texas"/>
    <s v="Decaf"/>
    <n v="40"/>
    <n v="70"/>
    <n v="60"/>
    <n v="110"/>
    <n v="54"/>
    <n v="456"/>
    <n v="80"/>
    <n v="15"/>
    <n v="84"/>
    <n v="150"/>
    <n v="1.3636363636363635"/>
    <n v="1.4"/>
    <n v="1.35"/>
  </r>
  <r>
    <n v="435"/>
    <x v="12"/>
    <s v="West"/>
    <s v="Small Market"/>
    <s v="Chamomile"/>
    <s v="Herbal Tea"/>
    <s v="Utah"/>
    <s v="Decaf"/>
    <n v="30"/>
    <n v="50"/>
    <n v="30"/>
    <n v="80"/>
    <n v="38"/>
    <n v="241"/>
    <n v="55"/>
    <n v="12"/>
    <n v="33"/>
    <n v="104"/>
    <n v="1.3"/>
    <n v="1.1000000000000001"/>
    <n v="1.2666666666666666"/>
  </r>
  <r>
    <n v="435"/>
    <x v="12"/>
    <s v="West"/>
    <s v="Small Market"/>
    <s v="Lemon"/>
    <s v="Herbal Tea"/>
    <s v="Utah"/>
    <s v="Decaf"/>
    <n v="40"/>
    <n v="60"/>
    <n v="30"/>
    <n v="100"/>
    <n v="48"/>
    <n v="372"/>
    <n v="72"/>
    <n v="15"/>
    <n v="39"/>
    <n v="134"/>
    <n v="1.34"/>
    <n v="1.3"/>
    <n v="1.2"/>
  </r>
  <r>
    <n v="435"/>
    <x v="12"/>
    <s v="West"/>
    <s v="Small Market"/>
    <s v="Mint"/>
    <s v="Herbal Tea"/>
    <s v="Utah"/>
    <s v="Decaf"/>
    <n v="70"/>
    <n v="10"/>
    <n v="-30"/>
    <n v="80"/>
    <n v="88"/>
    <n v="525"/>
    <n v="11"/>
    <n v="27"/>
    <n v="-62"/>
    <n v="111"/>
    <n v="1.3875"/>
    <n v="2.0666666666666669"/>
    <n v="1.2571428571428571"/>
  </r>
  <r>
    <n v="435"/>
    <x v="12"/>
    <s v="West"/>
    <s v="Small Market"/>
    <s v="Darjeeling"/>
    <s v="Tea"/>
    <s v="Utah"/>
    <s v="Regular"/>
    <n v="20"/>
    <n v="40"/>
    <n v="0"/>
    <n v="60"/>
    <n v="37"/>
    <n v="261"/>
    <n v="53"/>
    <n v="34"/>
    <n v="-16"/>
    <n v="101"/>
    <n v="1.6833333333333333"/>
    <m/>
    <n v="1.85"/>
  </r>
  <r>
    <n v="801"/>
    <x v="12"/>
    <s v="West"/>
    <s v="Small Market"/>
    <s v="Earl Grey"/>
    <s v="Tea"/>
    <s v="Utah"/>
    <s v="Regular"/>
    <n v="20"/>
    <n v="30"/>
    <n v="10"/>
    <n v="50"/>
    <n v="35"/>
    <n v="196"/>
    <n v="47"/>
    <n v="11"/>
    <n v="14"/>
    <n v="92"/>
    <n v="1.84"/>
    <n v="1.4"/>
    <n v="1.75"/>
  </r>
  <r>
    <n v="435"/>
    <x v="12"/>
    <s v="West"/>
    <s v="Small Market"/>
    <s v="Green Tea"/>
    <s v="Tea"/>
    <s v="Utah"/>
    <s v="Regular"/>
    <n v="10"/>
    <n v="30"/>
    <n v="10"/>
    <n v="40"/>
    <n v="29"/>
    <n v="169"/>
    <n v="36"/>
    <n v="11"/>
    <n v="-14"/>
    <n v="73"/>
    <n v="1.825"/>
    <n v="-1.4"/>
    <n v="2.9"/>
  </r>
  <r>
    <n v="435"/>
    <x v="12"/>
    <s v="West"/>
    <s v="Small Market"/>
    <s v="Decaf Espresso"/>
    <s v="Espresso"/>
    <s v="Utah"/>
    <s v="Decaf"/>
    <n v="40"/>
    <n v="70"/>
    <n v="50"/>
    <n v="110"/>
    <n v="50"/>
    <n v="821"/>
    <n v="73"/>
    <n v="14"/>
    <n v="73"/>
    <n v="138"/>
    <n v="1.2545454545454546"/>
    <n v="1.46"/>
    <n v="1.25"/>
  </r>
  <r>
    <n v="801"/>
    <x v="12"/>
    <s v="West"/>
    <s v="Small Market"/>
    <s v="Amaretto"/>
    <s v="Coffee"/>
    <s v="Utah"/>
    <s v="Regular"/>
    <n v="90"/>
    <n v="120"/>
    <n v="80"/>
    <n v="210"/>
    <n v="78"/>
    <n v="965"/>
    <n v="92"/>
    <n v="24"/>
    <n v="73"/>
    <n v="190"/>
    <n v="0.90476190476190477"/>
    <n v="0.91249999999999998"/>
    <n v="0.8666666666666667"/>
  </r>
  <r>
    <n v="435"/>
    <x v="12"/>
    <s v="West"/>
    <s v="Small Market"/>
    <s v="Columbian"/>
    <s v="Coffee"/>
    <s v="Utah"/>
    <s v="Regular"/>
    <n v="60"/>
    <n v="100"/>
    <n v="70"/>
    <n v="160"/>
    <n v="55"/>
    <n v="312"/>
    <n v="75"/>
    <n v="18"/>
    <n v="47"/>
    <n v="145"/>
    <n v="0.90625"/>
    <n v="0.67142857142857137"/>
    <n v="0.91666666666666663"/>
  </r>
  <r>
    <n v="801"/>
    <x v="12"/>
    <s v="West"/>
    <s v="Small Market"/>
    <s v="Decaf Irish Cream"/>
    <s v="Coffee"/>
    <s v="Utah"/>
    <s v="Decaf"/>
    <n v="100"/>
    <n v="130"/>
    <n v="70"/>
    <n v="230"/>
    <n v="85"/>
    <n v="494"/>
    <n v="105"/>
    <n v="32"/>
    <n v="61"/>
    <n v="213"/>
    <n v="0.92608695652173911"/>
    <n v="0.87142857142857144"/>
    <n v="0.85"/>
  </r>
  <r>
    <n v="435"/>
    <x v="12"/>
    <s v="West"/>
    <s v="Small Market"/>
    <s v="Caffe Latte"/>
    <s v="Espresso"/>
    <s v="Utah"/>
    <s v="Regular"/>
    <n v="40"/>
    <n v="60"/>
    <n v="40"/>
    <n v="100"/>
    <n v="46"/>
    <n v="777"/>
    <n v="68"/>
    <n v="12"/>
    <n v="69"/>
    <n v="128"/>
    <n v="1.28"/>
    <n v="1.7250000000000001"/>
    <n v="1.1499999999999999"/>
  </r>
  <r>
    <n v="435"/>
    <x v="12"/>
    <s v="West"/>
    <s v="Small Market"/>
    <s v="Caffe Mocha"/>
    <s v="Espresso"/>
    <s v="Utah"/>
    <s v="Regular"/>
    <n v="40"/>
    <n v="60"/>
    <n v="40"/>
    <n v="100"/>
    <n v="49"/>
    <n v="623"/>
    <n v="63"/>
    <n v="16"/>
    <n v="53"/>
    <n v="125"/>
    <n v="1.25"/>
    <n v="1.325"/>
    <n v="1.2250000000000001"/>
  </r>
  <r>
    <n v="650"/>
    <x v="12"/>
    <s v="West"/>
    <s v="Major Market"/>
    <s v="Chamomile"/>
    <s v="Herbal Tea"/>
    <s v="California"/>
    <s v="Decaf"/>
    <n v="80"/>
    <n v="120"/>
    <n v="100"/>
    <n v="200"/>
    <n v="95"/>
    <n v="821"/>
    <n v="139"/>
    <n v="26"/>
    <n v="159"/>
    <n v="262"/>
    <n v="1.31"/>
    <n v="1.59"/>
    <n v="1.1875"/>
  </r>
  <r>
    <n v="530"/>
    <x v="12"/>
    <s v="West"/>
    <s v="Major Market"/>
    <s v="Lemon"/>
    <s v="Herbal Tea"/>
    <s v="California"/>
    <s v="Decaf"/>
    <n v="170"/>
    <n v="220"/>
    <n v="160"/>
    <n v="390"/>
    <n v="207"/>
    <n v="965"/>
    <n v="245"/>
    <n v="64"/>
    <n v="249"/>
    <n v="506"/>
    <n v="1.2974358974358975"/>
    <n v="1.5562499999999999"/>
    <n v="1.2176470588235293"/>
  </r>
  <r>
    <n v="650"/>
    <x v="12"/>
    <s v="West"/>
    <s v="Major Market"/>
    <s v="Mint"/>
    <s v="Herbal Tea"/>
    <s v="California"/>
    <s v="Decaf"/>
    <n v="70"/>
    <n v="90"/>
    <n v="60"/>
    <n v="160"/>
    <n v="83"/>
    <n v="623"/>
    <n v="107"/>
    <n v="27"/>
    <n v="104"/>
    <n v="213"/>
    <n v="1.33125"/>
    <n v="1.7333333333333334"/>
    <n v="1.1857142857142857"/>
  </r>
  <r>
    <n v="562"/>
    <x v="12"/>
    <s v="West"/>
    <s v="Major Market"/>
    <s v="Darjeeling"/>
    <s v="Tea"/>
    <s v="California"/>
    <s v="Regular"/>
    <n v="50"/>
    <n v="90"/>
    <n v="80"/>
    <n v="140"/>
    <n v="89"/>
    <n v="777"/>
    <n v="130"/>
    <n v="24"/>
    <n v="146"/>
    <n v="245"/>
    <n v="1.75"/>
    <n v="1.825"/>
    <n v="1.78"/>
  </r>
  <r>
    <n v="707"/>
    <x v="12"/>
    <s v="West"/>
    <s v="Major Market"/>
    <s v="Earl Grey"/>
    <s v="Tea"/>
    <s v="California"/>
    <s v="Regular"/>
    <n v="30"/>
    <n v="60"/>
    <n v="60"/>
    <n v="90"/>
    <n v="54"/>
    <n v="456"/>
    <n v="80"/>
    <n v="15"/>
    <n v="84"/>
    <n v="150"/>
    <n v="1.6666666666666667"/>
    <n v="1.4"/>
    <n v="1.8"/>
  </r>
  <r>
    <n v="650"/>
    <x v="12"/>
    <s v="West"/>
    <s v="Major Market"/>
    <s v="Green Tea"/>
    <s v="Tea"/>
    <s v="California"/>
    <s v="Regular"/>
    <n v="40"/>
    <n v="80"/>
    <n v="50"/>
    <n v="120"/>
    <n v="72"/>
    <n v="558"/>
    <n v="108"/>
    <n v="23"/>
    <n v="84"/>
    <n v="201"/>
    <n v="1.675"/>
    <n v="1.68"/>
    <n v="1.8"/>
  </r>
  <r>
    <n v="951"/>
    <x v="12"/>
    <s v="West"/>
    <s v="Major Market"/>
    <s v="Decaf Espresso"/>
    <s v="Espresso"/>
    <s v="California"/>
    <s v="Decaf"/>
    <n v="220"/>
    <n v="300"/>
    <n v="200"/>
    <n v="520"/>
    <n v="234"/>
    <n v="1310"/>
    <n v="312"/>
    <n v="77"/>
    <n v="316"/>
    <n v="611"/>
    <n v="1.175"/>
    <n v="1.58"/>
    <n v="1.0636363636363637"/>
  </r>
  <r>
    <n v="209"/>
    <x v="12"/>
    <s v="West"/>
    <s v="Major Market"/>
    <s v="Amaretto"/>
    <s v="Coffee"/>
    <s v="California"/>
    <s v="Regular"/>
    <n v="110"/>
    <n v="70"/>
    <n v="30"/>
    <n v="180"/>
    <n v="95"/>
    <n v="608"/>
    <n v="50"/>
    <n v="30"/>
    <n v="-3"/>
    <n v="162"/>
    <n v="0.9"/>
    <n v="-0.1"/>
    <n v="0.86363636363636365"/>
  </r>
  <r>
    <n v="949"/>
    <x v="12"/>
    <s v="West"/>
    <s v="Major Market"/>
    <s v="Columbian"/>
    <s v="Coffee"/>
    <s v="California"/>
    <s v="Regular"/>
    <n v="340"/>
    <n v="500"/>
    <n v="370"/>
    <n v="840"/>
    <n v="271"/>
    <n v="2101"/>
    <n v="407"/>
    <n v="94"/>
    <n v="408"/>
    <n v="759"/>
    <n v="0.90357142857142858"/>
    <n v="1.1027027027027028"/>
    <n v="0.79705882352941182"/>
  </r>
  <r>
    <n v="310"/>
    <x v="12"/>
    <s v="West"/>
    <s v="Major Market"/>
    <s v="Decaf Irish Cream"/>
    <s v="Coffee"/>
    <s v="California"/>
    <s v="Decaf"/>
    <n v="180"/>
    <n v="-40"/>
    <n v="-120"/>
    <n v="140"/>
    <n v="144"/>
    <n v="862"/>
    <n v="-26"/>
    <n v="47"/>
    <n v="-182"/>
    <n v="132"/>
    <n v="0.94285714285714284"/>
    <n v="1.5166666666666666"/>
    <n v="0.8"/>
  </r>
  <r>
    <n v="323"/>
    <x v="12"/>
    <s v="West"/>
    <s v="Major Market"/>
    <s v="Caffe Latte"/>
    <s v="Espresso"/>
    <s v="California"/>
    <s v="Regular"/>
    <n v="210"/>
    <n v="220"/>
    <n v="150"/>
    <n v="430"/>
    <n v="228"/>
    <n v="1459"/>
    <n v="228"/>
    <n v="63"/>
    <n v="218"/>
    <n v="510"/>
    <n v="1.1860465116279071"/>
    <n v="1.4533333333333334"/>
    <n v="1.0857142857142856"/>
  </r>
  <r>
    <n v="530"/>
    <x v="12"/>
    <s v="West"/>
    <s v="Major Market"/>
    <s v="Caffe Mocha"/>
    <s v="Espresso"/>
    <s v="California"/>
    <s v="Regular"/>
    <n v="100"/>
    <n v="140"/>
    <n v="20"/>
    <n v="240"/>
    <n v="105"/>
    <n v="725"/>
    <n v="145"/>
    <n v="95"/>
    <n v="26"/>
    <n v="280"/>
    <n v="1.1666666666666667"/>
    <n v="1.3"/>
    <n v="1.05"/>
  </r>
  <r>
    <n v="775"/>
    <x v="12"/>
    <s v="West"/>
    <s v="Small Market"/>
    <s v="Chamomile"/>
    <s v="Herbal Tea"/>
    <s v="Nevada"/>
    <s v="Decaf"/>
    <n v="90"/>
    <n v="130"/>
    <n v="30"/>
    <n v="220"/>
    <n v="105"/>
    <n v="725"/>
    <n v="145"/>
    <n v="95"/>
    <n v="25"/>
    <n v="280"/>
    <n v="1.2727272727272727"/>
    <n v="0.83333333333333337"/>
    <n v="1.1666666666666667"/>
  </r>
  <r>
    <n v="775"/>
    <x v="12"/>
    <s v="West"/>
    <s v="Small Market"/>
    <s v="Lemon"/>
    <s v="Herbal Tea"/>
    <s v="Nevada"/>
    <s v="Decaf"/>
    <n v="120"/>
    <n v="180"/>
    <n v="120"/>
    <n v="300"/>
    <n v="144"/>
    <n v="862"/>
    <n v="201"/>
    <n v="47"/>
    <n v="173"/>
    <n v="386"/>
    <n v="1.2866666666666666"/>
    <n v="1.4416666666666667"/>
    <n v="1.2"/>
  </r>
  <r>
    <n v="775"/>
    <x v="12"/>
    <s v="West"/>
    <s v="Small Market"/>
    <s v="Mint"/>
    <s v="Herbal Tea"/>
    <s v="Nevada"/>
    <s v="Decaf"/>
    <n v="80"/>
    <n v="120"/>
    <n v="90"/>
    <n v="200"/>
    <n v="95"/>
    <n v="608"/>
    <n v="139"/>
    <n v="30"/>
    <n v="134"/>
    <n v="262"/>
    <n v="1.31"/>
    <n v="1.4888888888888889"/>
    <n v="1.1875"/>
  </r>
  <r>
    <n v="702"/>
    <x v="12"/>
    <s v="West"/>
    <s v="Small Market"/>
    <s v="Darjeeling"/>
    <s v="Tea"/>
    <s v="Nevada"/>
    <s v="Regular"/>
    <n v="150"/>
    <n v="220"/>
    <n v="150"/>
    <n v="370"/>
    <n v="234"/>
    <n v="1310"/>
    <n v="312"/>
    <n v="77"/>
    <n v="316"/>
    <n v="611"/>
    <n v="1.6513513513513514"/>
    <n v="2.1066666666666665"/>
    <n v="1.56"/>
  </r>
  <r>
    <n v="775"/>
    <x v="12"/>
    <s v="West"/>
    <s v="Small Market"/>
    <s v="Earl Grey"/>
    <s v="Tea"/>
    <s v="Nevada"/>
    <s v="Regular"/>
    <n v="150"/>
    <n v="160"/>
    <n v="100"/>
    <n v="310"/>
    <n v="228"/>
    <n v="1459"/>
    <n v="228"/>
    <n v="63"/>
    <n v="220"/>
    <n v="510"/>
    <n v="1.6451612903225807"/>
    <n v="2.2000000000000002"/>
    <n v="1.52"/>
  </r>
  <r>
    <n v="775"/>
    <x v="12"/>
    <s v="West"/>
    <s v="Small Market"/>
    <s v="Green Tea"/>
    <s v="Tea"/>
    <s v="Nevada"/>
    <s v="Regular"/>
    <n v="160"/>
    <n v="-160"/>
    <n v="-240"/>
    <n v="0"/>
    <n v="245"/>
    <n v="1419"/>
    <n v="-245"/>
    <n v="93"/>
    <n v="-552"/>
    <n v="19"/>
    <m/>
    <n v="2.2999999999999998"/>
    <n v="1.53125"/>
  </r>
  <r>
    <n v="702"/>
    <x v="12"/>
    <s v="West"/>
    <s v="Small Market"/>
    <s v="Decaf Espresso"/>
    <s v="Espresso"/>
    <s v="Nevada"/>
    <s v="Decaf"/>
    <n v="10"/>
    <n v="30"/>
    <n v="20"/>
    <n v="40"/>
    <n v="17"/>
    <n v="777"/>
    <n v="26"/>
    <n v="4"/>
    <n v="17"/>
    <n v="48"/>
    <n v="1.2"/>
    <n v="0.85"/>
    <n v="1.7"/>
  </r>
  <r>
    <n v="775"/>
    <x v="12"/>
    <s v="West"/>
    <s v="Small Market"/>
    <s v="Columbian"/>
    <s v="Coffee"/>
    <s v="Nevada"/>
    <s v="Regular"/>
    <n v="40"/>
    <n v="50"/>
    <n v="10"/>
    <n v="90"/>
    <n v="34"/>
    <n v="197"/>
    <n v="42"/>
    <n v="12"/>
    <n v="-5"/>
    <n v="85"/>
    <n v="0.94444444444444442"/>
    <n v="-0.5"/>
    <n v="0.85"/>
  </r>
  <r>
    <n v="702"/>
    <x v="12"/>
    <s v="West"/>
    <s v="Small Market"/>
    <s v="Decaf Irish Cream"/>
    <s v="Coffee"/>
    <s v="Nevada"/>
    <s v="Decaf"/>
    <n v="30"/>
    <n v="40"/>
    <n v="20"/>
    <n v="70"/>
    <n v="28"/>
    <n v="965"/>
    <n v="34"/>
    <n v="8"/>
    <n v="6"/>
    <n v="69"/>
    <n v="0.98571428571428577"/>
    <n v="0.3"/>
    <n v="0.93333333333333335"/>
  </r>
  <r>
    <n v="702"/>
    <x v="12"/>
    <s v="West"/>
    <s v="Small Market"/>
    <s v="Caffe Latte"/>
    <s v="Espresso"/>
    <s v="Nevada"/>
    <s v="Regular"/>
    <n v="10"/>
    <n v="30"/>
    <n v="20"/>
    <n v="40"/>
    <n v="17"/>
    <n v="777"/>
    <n v="26"/>
    <n v="4"/>
    <n v="17"/>
    <n v="48"/>
    <n v="1.2"/>
    <n v="0.85"/>
    <n v="1.7"/>
  </r>
  <r>
    <n v="775"/>
    <x v="12"/>
    <s v="West"/>
    <s v="Small Market"/>
    <s v="Caffe Mocha"/>
    <s v="Espresso"/>
    <s v="Nevada"/>
    <s v="Regular"/>
    <n v="10"/>
    <n v="30"/>
    <n v="20"/>
    <n v="40"/>
    <n v="18"/>
    <n v="821"/>
    <n v="27"/>
    <n v="5"/>
    <n v="16"/>
    <n v="50"/>
    <n v="1.25"/>
    <n v="0.8"/>
    <n v="1.8"/>
  </r>
  <r>
    <n v="503"/>
    <x v="12"/>
    <s v="West"/>
    <s v="Small Market"/>
    <s v="Chamomile"/>
    <s v="Herbal Tea"/>
    <s v="Oregon"/>
    <s v="Decaf"/>
    <n v="30"/>
    <n v="40"/>
    <n v="40"/>
    <n v="70"/>
    <n v="36"/>
    <n v="777"/>
    <n v="54"/>
    <n v="10"/>
    <n v="51"/>
    <n v="101"/>
    <n v="1.4428571428571428"/>
    <n v="1.2749999999999999"/>
    <n v="1.2"/>
  </r>
  <r>
    <n v="503"/>
    <x v="12"/>
    <s v="West"/>
    <s v="Small Market"/>
    <s v="Lemon"/>
    <s v="Herbal Tea"/>
    <s v="Oregon"/>
    <s v="Decaf"/>
    <n v="30"/>
    <n v="50"/>
    <n v="30"/>
    <n v="80"/>
    <n v="44"/>
    <n v="623"/>
    <n v="56"/>
    <n v="14"/>
    <n v="45"/>
    <n v="112"/>
    <n v="1.4"/>
    <n v="1.5"/>
    <n v="1.4666666666666666"/>
  </r>
  <r>
    <n v="541"/>
    <x v="12"/>
    <s v="West"/>
    <s v="Small Market"/>
    <s v="Darjeeling"/>
    <s v="Tea"/>
    <s v="Oregon"/>
    <s v="Regular"/>
    <n v="20"/>
    <n v="30"/>
    <n v="30"/>
    <n v="50"/>
    <n v="32"/>
    <n v="456"/>
    <n v="48"/>
    <n v="8"/>
    <n v="44"/>
    <n v="90"/>
    <n v="1.8"/>
    <n v="1.4666666666666666"/>
    <n v="1.6"/>
  </r>
  <r>
    <n v="503"/>
    <x v="12"/>
    <s v="West"/>
    <s v="Small Market"/>
    <s v="Earl Grey"/>
    <s v="Tea"/>
    <s v="Oregon"/>
    <s v="Regular"/>
    <n v="50"/>
    <n v="90"/>
    <n v="60"/>
    <n v="140"/>
    <n v="84"/>
    <n v="651"/>
    <n v="126"/>
    <n v="27"/>
    <n v="106"/>
    <n v="235"/>
    <n v="1.6785714285714286"/>
    <n v="1.7666666666666666"/>
    <n v="1.68"/>
  </r>
  <r>
    <n v="541"/>
    <x v="12"/>
    <s v="West"/>
    <s v="Small Market"/>
    <s v="Green Tea"/>
    <s v="Tea"/>
    <s v="Oregon"/>
    <s v="Regular"/>
    <n v="50"/>
    <n v="80"/>
    <n v="50"/>
    <n v="130"/>
    <n v="84"/>
    <n v="500"/>
    <n v="116"/>
    <n v="26"/>
    <n v="104"/>
    <n v="224"/>
    <n v="1.7230769230769232"/>
    <n v="2.08"/>
    <n v="1.68"/>
  </r>
  <r>
    <n v="971"/>
    <x v="12"/>
    <s v="West"/>
    <s v="Small Market"/>
    <s v="Decaf Espresso"/>
    <s v="Espresso"/>
    <s v="Oregon"/>
    <s v="Decaf"/>
    <n v="160"/>
    <n v="160"/>
    <n v="100"/>
    <n v="320"/>
    <n v="170"/>
    <n v="1091"/>
    <n v="171"/>
    <n v="47"/>
    <n v="154"/>
    <n v="382"/>
    <n v="1.1937500000000001"/>
    <n v="1.54"/>
    <n v="1.0625"/>
  </r>
  <r>
    <n v="503"/>
    <x v="12"/>
    <s v="West"/>
    <s v="Small Market"/>
    <s v="Amaretto"/>
    <s v="Coffee"/>
    <s v="Oregon"/>
    <s v="Regular"/>
    <n v="70"/>
    <n v="110"/>
    <n v="40"/>
    <n v="180"/>
    <n v="63"/>
    <n v="435"/>
    <n v="87"/>
    <n v="57"/>
    <n v="2"/>
    <n v="168"/>
    <n v="0.93333333333333335"/>
    <n v="0.05"/>
    <n v="0.9"/>
  </r>
  <r>
    <n v="503"/>
    <x v="12"/>
    <s v="West"/>
    <s v="Small Market"/>
    <s v="Columbian"/>
    <s v="Coffee"/>
    <s v="Oregon"/>
    <s v="Regular"/>
    <n v="80"/>
    <n v="120"/>
    <n v="60"/>
    <n v="200"/>
    <n v="67"/>
    <n v="400"/>
    <n v="93"/>
    <n v="22"/>
    <n v="44"/>
    <n v="179"/>
    <n v="0.89500000000000002"/>
    <n v="0.73333333333333328"/>
    <n v="0.83750000000000002"/>
  </r>
  <r>
    <n v="971"/>
    <x v="12"/>
    <s v="West"/>
    <s v="Small Market"/>
    <s v="Decaf Irish Cream"/>
    <s v="Coffee"/>
    <s v="Oregon"/>
    <s v="Decaf"/>
    <n v="70"/>
    <n v="100"/>
    <n v="70"/>
    <n v="170"/>
    <n v="57"/>
    <n v="364"/>
    <n v="83"/>
    <n v="18"/>
    <n v="65"/>
    <n v="157"/>
    <n v="0.92352941176470593"/>
    <n v="0.9285714285714286"/>
    <n v="0.81428571428571428"/>
  </r>
  <r>
    <n v="503"/>
    <x v="12"/>
    <s v="West"/>
    <s v="Small Market"/>
    <s v="Caffe Latte"/>
    <s v="Espresso"/>
    <s v="Oregon"/>
    <s v="Regular"/>
    <n v="50"/>
    <n v="70"/>
    <n v="20"/>
    <n v="120"/>
    <n v="58"/>
    <n v="338"/>
    <n v="72"/>
    <n v="22"/>
    <n v="25"/>
    <n v="145"/>
    <n v="1.2083333333333333"/>
    <n v="1.25"/>
    <n v="1.1599999999999999"/>
  </r>
  <r>
    <n v="503"/>
    <x v="12"/>
    <s v="West"/>
    <s v="Small Market"/>
    <s v="Caffe Mocha"/>
    <s v="Espresso"/>
    <s v="Oregon"/>
    <s v="Regular"/>
    <n v="50"/>
    <n v="80"/>
    <n v="50"/>
    <n v="130"/>
    <n v="60"/>
    <n v="336"/>
    <n v="80"/>
    <n v="19"/>
    <n v="51"/>
    <n v="157"/>
    <n v="1.2076923076923076"/>
    <n v="1.02"/>
    <n v="1.2"/>
  </r>
  <r>
    <n v="509"/>
    <x v="12"/>
    <s v="West"/>
    <s v="Small Market"/>
    <s v="Chamomile"/>
    <s v="Herbal Tea"/>
    <s v="Washington"/>
    <s v="Decaf"/>
    <n v="100"/>
    <n v="170"/>
    <n v="120"/>
    <n v="270"/>
    <n v="124"/>
    <n v="961"/>
    <n v="186"/>
    <n v="40"/>
    <n v="179"/>
    <n v="347"/>
    <n v="1.2851851851851852"/>
    <n v="1.4916666666666667"/>
    <n v="1.24"/>
  </r>
  <r>
    <n v="360"/>
    <x v="12"/>
    <s v="West"/>
    <s v="Small Market"/>
    <s v="Lemon"/>
    <s v="Herbal Tea"/>
    <s v="Washington"/>
    <s v="Decaf"/>
    <n v="20"/>
    <n v="50"/>
    <n v="50"/>
    <n v="70"/>
    <n v="34"/>
    <n v="777"/>
    <n v="51"/>
    <n v="9"/>
    <n v="47"/>
    <n v="95"/>
    <n v="1.3571428571428572"/>
    <n v="0.94"/>
    <n v="1.7"/>
  </r>
  <r>
    <n v="253"/>
    <x v="12"/>
    <s v="West"/>
    <s v="Small Market"/>
    <s v="Darjeeling"/>
    <s v="Tea"/>
    <s v="Washington"/>
    <s v="Regular"/>
    <n v="40"/>
    <n v="80"/>
    <n v="50"/>
    <n v="120"/>
    <n v="67"/>
    <n v="400"/>
    <n v="113"/>
    <n v="20"/>
    <n v="109"/>
    <n v="201"/>
    <n v="1.675"/>
    <n v="2.1800000000000002"/>
    <n v="1.675"/>
  </r>
  <r>
    <n v="206"/>
    <x v="12"/>
    <s v="West"/>
    <s v="Small Market"/>
    <s v="Earl Grey"/>
    <s v="Tea"/>
    <s v="Washington"/>
    <s v="Regular"/>
    <n v="40"/>
    <n v="60"/>
    <n v="40"/>
    <n v="100"/>
    <n v="61"/>
    <n v="390"/>
    <n v="89"/>
    <n v="19"/>
    <n v="75"/>
    <n v="168"/>
    <n v="1.68"/>
    <n v="1.875"/>
    <n v="1.5249999999999999"/>
  </r>
  <r>
    <n v="425"/>
    <x v="12"/>
    <s v="West"/>
    <s v="Small Market"/>
    <s v="Green Tea"/>
    <s v="Tea"/>
    <s v="Washington"/>
    <s v="Regular"/>
    <n v="40"/>
    <n v="80"/>
    <n v="20"/>
    <n v="120"/>
    <n v="75"/>
    <n v="522"/>
    <n v="105"/>
    <n v="68"/>
    <n v="12"/>
    <n v="201"/>
    <n v="1.675"/>
    <n v="0.6"/>
    <n v="1.875"/>
  </r>
  <r>
    <n v="206"/>
    <x v="12"/>
    <s v="West"/>
    <s v="Small Market"/>
    <s v="Caffe Latte"/>
    <s v="Espresso"/>
    <s v="Washington"/>
    <s v="Regular"/>
    <n v="40"/>
    <n v="60"/>
    <n v="40"/>
    <n v="100"/>
    <n v="48"/>
    <n v="623"/>
    <n v="62"/>
    <n v="15"/>
    <n v="55"/>
    <n v="123"/>
    <n v="1.23"/>
    <n v="1.375"/>
    <n v="1.2"/>
  </r>
  <r>
    <n v="206"/>
    <x v="12"/>
    <s v="West"/>
    <s v="Small Market"/>
    <s v="Caffe Mocha"/>
    <s v="Espresso"/>
    <s v="Washington"/>
    <s v="Regular"/>
    <n v="50"/>
    <n v="60"/>
    <n v="20"/>
    <n v="110"/>
    <n v="54"/>
    <n v="312"/>
    <n v="66"/>
    <n v="20"/>
    <n v="20"/>
    <n v="134"/>
    <n v="1.2181818181818183"/>
    <n v="1"/>
    <n v="1.08"/>
  </r>
  <r>
    <n v="425"/>
    <x v="12"/>
    <s v="West"/>
    <s v="Small Market"/>
    <s v="Decaf Espresso"/>
    <s v="Espresso"/>
    <s v="Washington"/>
    <s v="Decaf"/>
    <n v="60"/>
    <n v="80"/>
    <n v="60"/>
    <n v="140"/>
    <n v="69"/>
    <n v="965"/>
    <n v="81"/>
    <n v="21"/>
    <n v="61"/>
    <n v="168"/>
    <n v="1.2"/>
    <n v="1.0166666666666666"/>
    <n v="1.1499999999999999"/>
  </r>
  <r>
    <n v="206"/>
    <x v="12"/>
    <s v="West"/>
    <s v="Small Market"/>
    <s v="Columbian"/>
    <s v="Coffee"/>
    <s v="Washington"/>
    <s v="Regular"/>
    <n v="60"/>
    <n v="100"/>
    <n v="70"/>
    <n v="160"/>
    <n v="53"/>
    <n v="338"/>
    <n v="77"/>
    <n v="16"/>
    <n v="59"/>
    <n v="145"/>
    <n v="0.90625"/>
    <n v="0.84285714285714286"/>
    <n v="0.8833333333333333"/>
  </r>
  <r>
    <n v="509"/>
    <x v="12"/>
    <s v="West"/>
    <s v="Small Market"/>
    <s v="Decaf Irish Cream"/>
    <s v="Coffee"/>
    <s v="Washington"/>
    <s v="Decaf"/>
    <n v="90"/>
    <n v="140"/>
    <n v="60"/>
    <n v="230"/>
    <n v="79"/>
    <n v="551"/>
    <n v="111"/>
    <n v="72"/>
    <n v="14"/>
    <n v="213"/>
    <n v="0.92608695652173911"/>
    <n v="0.23333333333333334"/>
    <n v="0.87777777777777777"/>
  </r>
  <r>
    <n v="970"/>
    <x v="13"/>
    <s v="Central"/>
    <s v="Major Market"/>
    <s v="Chamomile"/>
    <s v="Herbal Tea"/>
    <s v="Colorado"/>
    <s v="Decaf"/>
    <n v="140"/>
    <n v="150"/>
    <n v="100"/>
    <n v="290"/>
    <n v="170"/>
    <n v="1073"/>
    <n v="170"/>
    <n v="47"/>
    <n v="147"/>
    <n v="362"/>
    <n v="1.2482758620689656"/>
    <n v="1.47"/>
    <n v="1.2142857142857142"/>
  </r>
  <r>
    <n v="970"/>
    <x v="13"/>
    <s v="Central"/>
    <s v="Major Market"/>
    <s v="Lemon"/>
    <s v="Herbal Tea"/>
    <s v="Colorado"/>
    <s v="Decaf"/>
    <n v="40"/>
    <n v="70"/>
    <n v="10"/>
    <n v="110"/>
    <n v="54"/>
    <n v="427"/>
    <n v="75"/>
    <n v="49"/>
    <n v="-4"/>
    <n v="137"/>
    <n v="1.2454545454545454"/>
    <n v="-0.4"/>
    <n v="1.35"/>
  </r>
  <r>
    <n v="719"/>
    <x v="13"/>
    <s v="Central"/>
    <s v="Major Market"/>
    <s v="Mint"/>
    <s v="Herbal Tea"/>
    <s v="Colorado"/>
    <s v="Decaf"/>
    <n v="50"/>
    <n v="70"/>
    <n v="40"/>
    <n v="120"/>
    <n v="60"/>
    <n v="329"/>
    <n v="80"/>
    <n v="19"/>
    <n v="49"/>
    <n v="149"/>
    <n v="1.2416666666666667"/>
    <n v="1.2250000000000001"/>
    <n v="1.2"/>
  </r>
  <r>
    <n v="970"/>
    <x v="13"/>
    <s v="Central"/>
    <s v="Major Market"/>
    <s v="Darjeeling"/>
    <s v="Tea"/>
    <s v="Colorado"/>
    <s v="Regular"/>
    <n v="50"/>
    <n v="60"/>
    <n v="10"/>
    <n v="110"/>
    <n v="59"/>
    <n v="331"/>
    <n v="73"/>
    <n v="22"/>
    <n v="27"/>
    <n v="141"/>
    <n v="1.2818181818181817"/>
    <n v="2.7"/>
    <n v="1.18"/>
  </r>
  <r>
    <n v="970"/>
    <x v="13"/>
    <s v="Central"/>
    <s v="Major Market"/>
    <s v="Earl Grey"/>
    <s v="Tea"/>
    <s v="Colorado"/>
    <s v="Regular"/>
    <n v="50"/>
    <n v="60"/>
    <n v="30"/>
    <n v="110"/>
    <n v="62"/>
    <n v="958"/>
    <n v="74"/>
    <n v="19"/>
    <n v="50"/>
    <n v="145"/>
    <n v="1.3181818181818181"/>
    <n v="1.6666666666666667"/>
    <n v="1.24"/>
  </r>
  <r>
    <n v="970"/>
    <x v="13"/>
    <s v="Central"/>
    <s v="Major Market"/>
    <s v="Green Tea"/>
    <s v="Tea"/>
    <s v="Colorado"/>
    <s v="Regular"/>
    <n v="30"/>
    <n v="50"/>
    <n v="30"/>
    <n v="80"/>
    <n v="44"/>
    <n v="618"/>
    <n v="56"/>
    <n v="14"/>
    <n v="45"/>
    <n v="107"/>
    <n v="1.3374999999999999"/>
    <n v="1.5"/>
    <n v="1.4666666666666666"/>
  </r>
  <r>
    <n v="303"/>
    <x v="13"/>
    <s v="Central"/>
    <s v="Major Market"/>
    <s v="Caffe Mocha"/>
    <s v="Espresso"/>
    <s v="Colorado"/>
    <s v="Regular"/>
    <n v="80"/>
    <n v="140"/>
    <n v="110"/>
    <n v="220"/>
    <n v="77"/>
    <n v="449"/>
    <n v="112"/>
    <n v="21"/>
    <n v="119"/>
    <n v="201"/>
    <n v="0.91363636363636369"/>
    <n v="1.0818181818181818"/>
    <n v="0.96250000000000002"/>
  </r>
  <r>
    <n v="970"/>
    <x v="13"/>
    <s v="Central"/>
    <s v="Major Market"/>
    <s v="Decaf Espresso"/>
    <s v="Espresso"/>
    <s v="Colorado"/>
    <s v="Decaf"/>
    <n v="80"/>
    <n v="140"/>
    <n v="90"/>
    <n v="220"/>
    <n v="75"/>
    <n v="549"/>
    <n v="114"/>
    <n v="24"/>
    <n v="88"/>
    <n v="201"/>
    <n v="0.91363636363636369"/>
    <n v="0.97777777777777775"/>
    <n v="0.9375"/>
  </r>
  <r>
    <n v="720"/>
    <x v="13"/>
    <s v="Central"/>
    <s v="Major Market"/>
    <s v="Amaretto"/>
    <s v="Coffee"/>
    <s v="Colorado"/>
    <s v="Regular"/>
    <n v="100"/>
    <n v="150"/>
    <n v="120"/>
    <n v="250"/>
    <n v="99"/>
    <n v="766"/>
    <n v="144"/>
    <n v="27"/>
    <n v="156"/>
    <n v="259"/>
    <n v="1.036"/>
    <n v="1.3"/>
    <n v="0.99"/>
  </r>
  <r>
    <n v="303"/>
    <x v="13"/>
    <s v="Central"/>
    <s v="Major Market"/>
    <s v="Columbian"/>
    <s v="Coffee"/>
    <s v="Colorado"/>
    <s v="Regular"/>
    <n v="80"/>
    <n v="110"/>
    <n v="80"/>
    <n v="190"/>
    <n v="83"/>
    <n v="613"/>
    <n v="107"/>
    <n v="27"/>
    <n v="101"/>
    <n v="202"/>
    <n v="1.0631578947368421"/>
    <n v="1.2625"/>
    <n v="1.0375000000000001"/>
  </r>
  <r>
    <n v="303"/>
    <x v="13"/>
    <s v="Central"/>
    <s v="Major Market"/>
    <s v="Decaf Irish Cream"/>
    <s v="Coffee"/>
    <s v="Colorado"/>
    <s v="Decaf"/>
    <n v="100"/>
    <n v="140"/>
    <n v="110"/>
    <n v="240"/>
    <n v="95"/>
    <n v="809"/>
    <n v="137"/>
    <n v="26"/>
    <n v="147"/>
    <n v="247"/>
    <n v="1.0291666666666666"/>
    <n v="1.3363636363636364"/>
    <n v="0.95"/>
  </r>
  <r>
    <n v="630"/>
    <x v="13"/>
    <s v="Central"/>
    <s v="Major Market"/>
    <s v="Chamomile"/>
    <s v="Herbal Tea"/>
    <s v="Illinois"/>
    <s v="Decaf"/>
    <n v="80"/>
    <n v="130"/>
    <n v="110"/>
    <n v="210"/>
    <n v="99"/>
    <n v="766"/>
    <n v="144"/>
    <n v="27"/>
    <n v="156"/>
    <n v="259"/>
    <n v="1.2333333333333334"/>
    <n v="1.4181818181818182"/>
    <n v="1.2375"/>
  </r>
  <r>
    <n v="773"/>
    <x v="13"/>
    <s v="Central"/>
    <s v="Major Market"/>
    <s v="Lemon"/>
    <s v="Herbal Tea"/>
    <s v="Illinois"/>
    <s v="Decaf"/>
    <n v="70"/>
    <n v="90"/>
    <n v="60"/>
    <n v="160"/>
    <n v="83"/>
    <n v="613"/>
    <n v="107"/>
    <n v="27"/>
    <n v="101"/>
    <n v="202"/>
    <n v="1.2625"/>
    <n v="1.6833333333333333"/>
    <n v="1.1857142857142857"/>
  </r>
  <r>
    <n v="815"/>
    <x v="13"/>
    <s v="Central"/>
    <s v="Major Market"/>
    <s v="Mint"/>
    <s v="Herbal Tea"/>
    <s v="Illinois"/>
    <s v="Decaf"/>
    <n v="80"/>
    <n v="120"/>
    <n v="100"/>
    <n v="200"/>
    <n v="95"/>
    <n v="809"/>
    <n v="137"/>
    <n v="26"/>
    <n v="147"/>
    <n v="247"/>
    <n v="1.2350000000000001"/>
    <n v="1.47"/>
    <n v="1.1875"/>
  </r>
  <r>
    <n v="708"/>
    <x v="13"/>
    <s v="Central"/>
    <s v="Major Market"/>
    <s v="Darjeeling"/>
    <s v="Tea"/>
    <s v="Illinois"/>
    <s v="Regular"/>
    <n v="60"/>
    <n v="100"/>
    <n v="80"/>
    <n v="160"/>
    <n v="77"/>
    <n v="449"/>
    <n v="112"/>
    <n v="21"/>
    <n v="117"/>
    <n v="201"/>
    <n v="1.2562500000000001"/>
    <n v="1.4624999999999999"/>
    <n v="1.2833333333333334"/>
  </r>
  <r>
    <n v="708"/>
    <x v="13"/>
    <s v="Central"/>
    <s v="Major Market"/>
    <s v="Earl Grey"/>
    <s v="Tea"/>
    <s v="Illinois"/>
    <s v="Regular"/>
    <n v="60"/>
    <n v="100"/>
    <n v="50"/>
    <n v="160"/>
    <n v="75"/>
    <n v="549"/>
    <n v="114"/>
    <n v="24"/>
    <n v="88"/>
    <n v="201"/>
    <n v="1.2562500000000001"/>
    <n v="1.76"/>
    <n v="1.25"/>
  </r>
  <r>
    <n v="815"/>
    <x v="13"/>
    <s v="Central"/>
    <s v="Major Market"/>
    <s v="Caffe Mocha"/>
    <s v="Espresso"/>
    <s v="Illinois"/>
    <s v="Regular"/>
    <n v="270"/>
    <n v="370"/>
    <n v="260"/>
    <n v="640"/>
    <n v="234"/>
    <n v="1282"/>
    <n v="311"/>
    <n v="77"/>
    <n v="298"/>
    <n v="581"/>
    <n v="0.90781250000000002"/>
    <n v="1.1461538461538461"/>
    <n v="0.8666666666666667"/>
  </r>
  <r>
    <n v="630"/>
    <x v="13"/>
    <s v="Central"/>
    <s v="Major Market"/>
    <s v="Decaf Espresso"/>
    <s v="Espresso"/>
    <s v="Illinois"/>
    <s v="Decaf"/>
    <n v="260"/>
    <n v="270"/>
    <n v="180"/>
    <n v="530"/>
    <n v="228"/>
    <n v="1436"/>
    <n v="229"/>
    <n v="63"/>
    <n v="211"/>
    <n v="487"/>
    <n v="0.9188679245283019"/>
    <n v="1.1722222222222223"/>
    <n v="0.87692307692307692"/>
  </r>
  <r>
    <n v="312"/>
    <x v="13"/>
    <s v="Central"/>
    <s v="Major Market"/>
    <s v="Columbian"/>
    <s v="Coffee"/>
    <s v="Illinois"/>
    <s v="Regular"/>
    <n v="150"/>
    <n v="220"/>
    <n v="140"/>
    <n v="370"/>
    <n v="148"/>
    <n v="844"/>
    <n v="206"/>
    <n v="48"/>
    <n v="171"/>
    <n v="377"/>
    <n v="1.0189189189189189"/>
    <n v="1.2214285714285715"/>
    <n v="0.98666666666666669"/>
  </r>
  <r>
    <n v="773"/>
    <x v="13"/>
    <s v="Central"/>
    <s v="Major Market"/>
    <s v="Decaf Irish Cream"/>
    <s v="Coffee"/>
    <s v="Illinois"/>
    <s v="Decaf"/>
    <n v="110"/>
    <n v="150"/>
    <n v="100"/>
    <n v="260"/>
    <n v="104"/>
    <n v="596"/>
    <n v="150"/>
    <n v="33"/>
    <n v="141"/>
    <n v="271"/>
    <n v="1.0423076923076924"/>
    <n v="1.41"/>
    <n v="0.94545454545454544"/>
  </r>
  <r>
    <n v="563"/>
    <x v="13"/>
    <s v="Central"/>
    <s v="Small Market"/>
    <s v="Chamomile"/>
    <s v="Herbal Tea"/>
    <s v="Iowa"/>
    <s v="Decaf"/>
    <n v="200"/>
    <n v="270"/>
    <n v="190"/>
    <n v="470"/>
    <n v="234"/>
    <n v="1282"/>
    <n v="311"/>
    <n v="77"/>
    <n v="298"/>
    <n v="581"/>
    <n v="1.2361702127659575"/>
    <n v="1.5684210526315789"/>
    <n v="1.17"/>
  </r>
  <r>
    <n v="712"/>
    <x v="13"/>
    <s v="Central"/>
    <s v="Small Market"/>
    <s v="Lemon"/>
    <s v="Herbal Tea"/>
    <s v="Iowa"/>
    <s v="Decaf"/>
    <n v="80"/>
    <n v="140"/>
    <n v="110"/>
    <n v="220"/>
    <n v="104"/>
    <n v="596"/>
    <n v="150"/>
    <n v="33"/>
    <n v="141"/>
    <n v="271"/>
    <n v="1.2318181818181819"/>
    <n v="1.2818181818181817"/>
    <n v="1.3"/>
  </r>
  <r>
    <n v="641"/>
    <x v="13"/>
    <s v="Central"/>
    <s v="Small Market"/>
    <s v="Darjeeling"/>
    <s v="Tea"/>
    <s v="Iowa"/>
    <s v="Regular"/>
    <n v="190"/>
    <n v="210"/>
    <n v="140"/>
    <n v="400"/>
    <n v="228"/>
    <n v="1436"/>
    <n v="229"/>
    <n v="63"/>
    <n v="209"/>
    <n v="487"/>
    <n v="1.2175"/>
    <n v="1.4928571428571429"/>
    <n v="1.2"/>
  </r>
  <r>
    <n v="641"/>
    <x v="13"/>
    <s v="Central"/>
    <s v="Small Market"/>
    <s v="Earl Grey"/>
    <s v="Tea"/>
    <s v="Iowa"/>
    <s v="Regular"/>
    <n v="200"/>
    <n v="260"/>
    <n v="150"/>
    <n v="460"/>
    <n v="240"/>
    <n v="1391"/>
    <n v="294"/>
    <n v="91"/>
    <n v="251"/>
    <n v="569"/>
    <n v="1.2369565217391305"/>
    <n v="1.6733333333333333"/>
    <n v="1.2"/>
  </r>
  <r>
    <n v="712"/>
    <x v="13"/>
    <s v="Central"/>
    <s v="Small Market"/>
    <s v="Caffe Mocha"/>
    <s v="Espresso"/>
    <s v="Iowa"/>
    <s v="Regular"/>
    <n v="20"/>
    <n v="30"/>
    <n v="20"/>
    <n v="50"/>
    <n v="19"/>
    <n v="774"/>
    <n v="28"/>
    <n v="5"/>
    <n v="16"/>
    <n v="50"/>
    <n v="1"/>
    <n v="0.8"/>
    <n v="0.95"/>
  </r>
  <r>
    <n v="319"/>
    <x v="13"/>
    <s v="Central"/>
    <s v="Small Market"/>
    <s v="Decaf Espresso"/>
    <s v="Espresso"/>
    <s v="Iowa"/>
    <s v="Decaf"/>
    <n v="0"/>
    <n v="50"/>
    <n v="40"/>
    <n v="50"/>
    <n v="0"/>
    <n v="774"/>
    <n v="43"/>
    <n v="0"/>
    <n v="47"/>
    <n v="46"/>
    <n v="0.92"/>
    <n v="1.175"/>
    <m/>
  </r>
  <r>
    <n v="319"/>
    <x v="13"/>
    <s v="Central"/>
    <s v="Small Market"/>
    <s v="Amaretto"/>
    <s v="Coffee"/>
    <s v="Iowa"/>
    <s v="Regular"/>
    <n v="10"/>
    <n v="30"/>
    <n v="20"/>
    <n v="40"/>
    <n v="18"/>
    <n v="818"/>
    <n v="27"/>
    <n v="5"/>
    <n v="15"/>
    <n v="48"/>
    <n v="1.2"/>
    <n v="0.75"/>
    <n v="1.8"/>
  </r>
  <r>
    <n v="641"/>
    <x v="13"/>
    <s v="Central"/>
    <s v="Small Market"/>
    <s v="Columbian"/>
    <s v="Coffee"/>
    <s v="Iowa"/>
    <s v="Regular"/>
    <n v="20"/>
    <n v="40"/>
    <n v="20"/>
    <n v="60"/>
    <n v="28"/>
    <n v="961"/>
    <n v="35"/>
    <n v="8"/>
    <n v="9"/>
    <n v="67"/>
    <n v="1.1166666666666667"/>
    <n v="0.45"/>
    <n v="1.4"/>
  </r>
  <r>
    <n v="641"/>
    <x v="13"/>
    <s v="Central"/>
    <s v="Small Market"/>
    <s v="Decaf Irish Cream"/>
    <s v="Coffee"/>
    <s v="Iowa"/>
    <s v="Decaf"/>
    <n v="20"/>
    <n v="30"/>
    <n v="20"/>
    <n v="50"/>
    <n v="23"/>
    <n v="620"/>
    <n v="31"/>
    <n v="7"/>
    <n v="18"/>
    <n v="58"/>
    <n v="1.1599999999999999"/>
    <n v="0.9"/>
    <n v="1.1499999999999999"/>
  </r>
  <r>
    <n v="573"/>
    <x v="13"/>
    <s v="Central"/>
    <s v="Small Market"/>
    <s v="Chamomile"/>
    <s v="Herbal Tea"/>
    <s v="Missouri"/>
    <s v="Decaf"/>
    <n v="30"/>
    <n v="60"/>
    <n v="10"/>
    <n v="90"/>
    <n v="43"/>
    <n v="256"/>
    <n v="61"/>
    <n v="39"/>
    <n v="-12"/>
    <n v="111"/>
    <n v="1.2333333333333334"/>
    <n v="-1.2"/>
    <n v="1.4333333333333333"/>
  </r>
  <r>
    <n v="573"/>
    <x v="13"/>
    <s v="Central"/>
    <s v="Small Market"/>
    <s v="Lemon"/>
    <s v="Herbal Tea"/>
    <s v="Missouri"/>
    <s v="Decaf"/>
    <n v="70"/>
    <n v="10"/>
    <n v="-20"/>
    <n v="80"/>
    <n v="84"/>
    <n v="625"/>
    <n v="18"/>
    <n v="26"/>
    <n v="-47"/>
    <n v="109"/>
    <n v="1.3625"/>
    <n v="2.35"/>
    <n v="1.2"/>
  </r>
  <r>
    <n v="417"/>
    <x v="13"/>
    <s v="Central"/>
    <s v="Small Market"/>
    <s v="Darjeeling"/>
    <s v="Tea"/>
    <s v="Missouri"/>
    <s v="Regular"/>
    <n v="30"/>
    <n v="40"/>
    <n v="10"/>
    <n v="70"/>
    <n v="35"/>
    <n v="191"/>
    <n v="47"/>
    <n v="11"/>
    <n v="13"/>
    <n v="87"/>
    <n v="1.2428571428571429"/>
    <n v="1.3"/>
    <n v="1.1666666666666667"/>
  </r>
  <r>
    <n v="573"/>
    <x v="13"/>
    <s v="Central"/>
    <s v="Small Market"/>
    <s v="Earl Grey"/>
    <s v="Tea"/>
    <s v="Missouri"/>
    <s v="Regular"/>
    <n v="20"/>
    <n v="30"/>
    <n v="-10"/>
    <n v="50"/>
    <n v="30"/>
    <n v="165"/>
    <n v="38"/>
    <n v="11"/>
    <n v="-10"/>
    <n v="72"/>
    <n v="1.44"/>
    <n v="1"/>
    <n v="1.5"/>
  </r>
  <r>
    <n v="573"/>
    <x v="13"/>
    <s v="Central"/>
    <s v="Small Market"/>
    <s v="Green Tea"/>
    <s v="Tea"/>
    <s v="Missouri"/>
    <s v="Regular"/>
    <n v="20"/>
    <n v="40"/>
    <n v="0"/>
    <n v="60"/>
    <n v="33"/>
    <n v="193"/>
    <n v="41"/>
    <n v="12"/>
    <n v="-6"/>
    <n v="79"/>
    <n v="1.3166666666666667"/>
    <m/>
    <n v="1.65"/>
  </r>
  <r>
    <n v="314"/>
    <x v="13"/>
    <s v="Central"/>
    <s v="Small Market"/>
    <s v="Caffe Mocha"/>
    <s v="Espresso"/>
    <s v="Missouri"/>
    <s v="Regular"/>
    <n v="50"/>
    <n v="90"/>
    <n v="70"/>
    <n v="140"/>
    <n v="50"/>
    <n v="814"/>
    <n v="73"/>
    <n v="14"/>
    <n v="71"/>
    <n v="131"/>
    <n v="0.93571428571428572"/>
    <n v="1.0142857142857142"/>
    <n v="1"/>
  </r>
  <r>
    <n v="636"/>
    <x v="13"/>
    <s v="Central"/>
    <s v="Small Market"/>
    <s v="Decaf Espresso"/>
    <s v="Espresso"/>
    <s v="Missouri"/>
    <s v="Decaf"/>
    <n v="40"/>
    <n v="80"/>
    <n v="60"/>
    <n v="120"/>
    <n v="42"/>
    <n v="771"/>
    <n v="61"/>
    <n v="11"/>
    <n v="56"/>
    <n v="110"/>
    <n v="0.91666666666666663"/>
    <n v="0.93333333333333335"/>
    <n v="1.05"/>
  </r>
  <r>
    <n v="573"/>
    <x v="13"/>
    <s v="Central"/>
    <s v="Small Market"/>
    <s v="Columbian"/>
    <s v="Coffee"/>
    <s v="Missouri"/>
    <s v="Regular"/>
    <n v="90"/>
    <n v="110"/>
    <n v="50"/>
    <n v="200"/>
    <n v="86"/>
    <n v="484"/>
    <n v="107"/>
    <n v="32"/>
    <n v="62"/>
    <n v="206"/>
    <n v="1.03"/>
    <n v="1.24"/>
    <n v="0.9555555555555556"/>
  </r>
  <r>
    <n v="636"/>
    <x v="13"/>
    <s v="Central"/>
    <s v="Small Market"/>
    <s v="Decaf Irish Cream"/>
    <s v="Coffee"/>
    <s v="Missouri"/>
    <s v="Decaf"/>
    <n v="70"/>
    <n v="100"/>
    <n v="60"/>
    <n v="170"/>
    <n v="75"/>
    <n v="956"/>
    <n v="90"/>
    <n v="23"/>
    <n v="68"/>
    <n v="176"/>
    <n v="1.0352941176470589"/>
    <n v="1.1333333333333333"/>
    <n v="1.0714285714285714"/>
  </r>
  <r>
    <n v="419"/>
    <x v="13"/>
    <s v="Central"/>
    <s v="Major Market"/>
    <s v="Chamomile"/>
    <s v="Herbal Tea"/>
    <s v="Ohio"/>
    <s v="Decaf"/>
    <n v="10"/>
    <n v="30"/>
    <n v="30"/>
    <n v="40"/>
    <n v="22"/>
    <n v="452"/>
    <n v="34"/>
    <n v="6"/>
    <n v="25"/>
    <n v="60"/>
    <n v="1.5"/>
    <n v="0.83333333333333337"/>
    <n v="2.2000000000000002"/>
  </r>
  <r>
    <n v="513"/>
    <x v="13"/>
    <s v="Central"/>
    <s v="Major Market"/>
    <s v="Lemon"/>
    <s v="Herbal Tea"/>
    <s v="Ohio"/>
    <s v="Decaf"/>
    <n v="20"/>
    <n v="50"/>
    <n v="50"/>
    <n v="70"/>
    <n v="32"/>
    <n v="817"/>
    <n v="48"/>
    <n v="8"/>
    <n v="42"/>
    <n v="85"/>
    <n v="1.2142857142857142"/>
    <n v="0.84"/>
    <n v="1.6"/>
  </r>
  <r>
    <n v="614"/>
    <x v="13"/>
    <s v="Central"/>
    <s v="Major Market"/>
    <s v="Darjeeling"/>
    <s v="Tea"/>
    <s v="Ohio"/>
    <s v="Regular"/>
    <n v="60"/>
    <n v="110"/>
    <n v="60"/>
    <n v="170"/>
    <n v="80"/>
    <n v="640"/>
    <n v="120"/>
    <n v="26"/>
    <n v="92"/>
    <n v="213"/>
    <n v="1.2529411764705882"/>
    <n v="1.5333333333333334"/>
    <n v="1.3333333333333333"/>
  </r>
  <r>
    <n v="740"/>
    <x v="13"/>
    <s v="Central"/>
    <s v="Major Market"/>
    <s v="Earl Grey"/>
    <s v="Tea"/>
    <s v="Ohio"/>
    <s v="Regular"/>
    <n v="70"/>
    <n v="110"/>
    <n v="70"/>
    <n v="180"/>
    <n v="86"/>
    <n v="490"/>
    <n v="120"/>
    <n v="26"/>
    <n v="105"/>
    <n v="220"/>
    <n v="1.2222222222222223"/>
    <n v="1.5"/>
    <n v="1.2285714285714286"/>
  </r>
  <r>
    <n v="513"/>
    <x v="13"/>
    <s v="Central"/>
    <s v="Major Market"/>
    <s v="Caffe Mocha"/>
    <s v="Espresso"/>
    <s v="Ohio"/>
    <s v="Regular"/>
    <n v="190"/>
    <n v="210"/>
    <n v="140"/>
    <n v="400"/>
    <n v="170"/>
    <n v="1073"/>
    <n v="170"/>
    <n v="47"/>
    <n v="145"/>
    <n v="362"/>
    <n v="0.90500000000000003"/>
    <n v="1.0357142857142858"/>
    <n v="0.89473684210526316"/>
  </r>
  <r>
    <n v="513"/>
    <x v="13"/>
    <s v="Central"/>
    <s v="Major Market"/>
    <s v="Decaf Espresso"/>
    <s v="Espresso"/>
    <s v="Ohio"/>
    <s v="Decaf"/>
    <n v="60"/>
    <n v="90"/>
    <n v="40"/>
    <n v="150"/>
    <n v="59"/>
    <n v="331"/>
    <n v="73"/>
    <n v="22"/>
    <n v="27"/>
    <n v="141"/>
    <n v="0.94"/>
    <n v="0.67500000000000004"/>
    <n v="0.98333333333333328"/>
  </r>
  <r>
    <n v="330"/>
    <x v="13"/>
    <s v="Central"/>
    <s v="Major Market"/>
    <s v="Amaretto"/>
    <s v="Coffee"/>
    <s v="Ohio"/>
    <s v="Regular"/>
    <n v="60"/>
    <n v="80"/>
    <n v="50"/>
    <n v="140"/>
    <n v="60"/>
    <n v="329"/>
    <n v="80"/>
    <n v="19"/>
    <n v="49"/>
    <n v="149"/>
    <n v="1.0642857142857143"/>
    <n v="0.98"/>
    <n v="1"/>
  </r>
  <r>
    <n v="330"/>
    <x v="13"/>
    <s v="Central"/>
    <s v="Major Market"/>
    <s v="Columbian"/>
    <s v="Coffee"/>
    <s v="Ohio"/>
    <s v="Regular"/>
    <n v="50"/>
    <n v="80"/>
    <n v="50"/>
    <n v="130"/>
    <n v="52"/>
    <n v="357"/>
    <n v="76"/>
    <n v="16"/>
    <n v="56"/>
    <n v="136"/>
    <n v="1.0461538461538462"/>
    <n v="1.1200000000000001"/>
    <n v="1.04"/>
  </r>
  <r>
    <n v="513"/>
    <x v="13"/>
    <s v="Central"/>
    <s v="Major Market"/>
    <s v="Decaf Irish Cream"/>
    <s v="Coffee"/>
    <s v="Ohio"/>
    <s v="Decaf"/>
    <n v="50"/>
    <n v="80"/>
    <n v="20"/>
    <n v="130"/>
    <n v="54"/>
    <n v="427"/>
    <n v="75"/>
    <n v="49"/>
    <n v="-4"/>
    <n v="137"/>
    <n v="1.0538461538461539"/>
    <n v="-0.2"/>
    <n v="1.08"/>
  </r>
  <r>
    <n v="715"/>
    <x v="13"/>
    <s v="Central"/>
    <s v="Small Market"/>
    <s v="Chamomile"/>
    <s v="Herbal Tea"/>
    <s v="Wisconsin"/>
    <s v="Decaf"/>
    <n v="50"/>
    <n v="100"/>
    <n v="80"/>
    <n v="150"/>
    <n v="65"/>
    <n v="372"/>
    <n v="109"/>
    <n v="20"/>
    <n v="98"/>
    <n v="185"/>
    <n v="1.2333333333333334"/>
    <n v="1.2250000000000001"/>
    <n v="1.3"/>
  </r>
  <r>
    <n v="920"/>
    <x v="13"/>
    <s v="Central"/>
    <s v="Small Market"/>
    <s v="Lemon"/>
    <s v="Herbal Tea"/>
    <s v="Wisconsin"/>
    <s v="Decaf"/>
    <n v="40"/>
    <n v="60"/>
    <n v="50"/>
    <n v="100"/>
    <n v="47"/>
    <n v="772"/>
    <n v="68"/>
    <n v="13"/>
    <n v="64"/>
    <n v="123"/>
    <n v="1.23"/>
    <n v="1.28"/>
    <n v="1.175"/>
  </r>
  <r>
    <n v="715"/>
    <x v="13"/>
    <s v="Central"/>
    <s v="Small Market"/>
    <s v="Darjeeling"/>
    <s v="Tea"/>
    <s v="Wisconsin"/>
    <s v="Regular"/>
    <n v="40"/>
    <n v="80"/>
    <n v="50"/>
    <n v="120"/>
    <n v="56"/>
    <n v="382"/>
    <n v="81"/>
    <n v="17"/>
    <n v="61"/>
    <n v="146"/>
    <n v="1.2166666666666666"/>
    <n v="1.22"/>
    <n v="1.4"/>
  </r>
  <r>
    <n v="920"/>
    <x v="13"/>
    <s v="Central"/>
    <s v="Small Market"/>
    <s v="Earl Grey"/>
    <s v="Tea"/>
    <s v="Wisconsin"/>
    <s v="Regular"/>
    <n v="50"/>
    <n v="80"/>
    <n v="10"/>
    <n v="130"/>
    <n v="65"/>
    <n v="513"/>
    <n v="90"/>
    <n v="58"/>
    <n v="4"/>
    <n v="165"/>
    <n v="1.2692307692307692"/>
    <n v="0.4"/>
    <n v="1.3"/>
  </r>
  <r>
    <n v="262"/>
    <x v="13"/>
    <s v="Central"/>
    <s v="Small Market"/>
    <s v="Caffe Mocha"/>
    <s v="Espresso"/>
    <s v="Wisconsin"/>
    <s v="Regular"/>
    <n v="80"/>
    <n v="100"/>
    <n v="60"/>
    <n v="180"/>
    <n v="70"/>
    <n v="957"/>
    <n v="84"/>
    <n v="21"/>
    <n v="62"/>
    <n v="164"/>
    <n v="0.91111111111111109"/>
    <n v="1.0333333333333334"/>
    <n v="0.875"/>
  </r>
  <r>
    <n v="715"/>
    <x v="13"/>
    <s v="Central"/>
    <s v="Small Market"/>
    <s v="Decaf Espresso"/>
    <s v="Espresso"/>
    <s v="Wisconsin"/>
    <s v="Decaf"/>
    <n v="50"/>
    <n v="70"/>
    <n v="50"/>
    <n v="120"/>
    <n v="48"/>
    <n v="617"/>
    <n v="62"/>
    <n v="15"/>
    <n v="52"/>
    <n v="117"/>
    <n v="0.97499999999999998"/>
    <n v="1.04"/>
    <n v="0.96"/>
  </r>
  <r>
    <n v="715"/>
    <x v="13"/>
    <s v="Central"/>
    <s v="Small Market"/>
    <s v="Amaretto"/>
    <s v="Coffee"/>
    <s v="Wisconsin"/>
    <s v="Regular"/>
    <n v="50"/>
    <n v="70"/>
    <n v="30"/>
    <n v="120"/>
    <n v="53"/>
    <n v="306"/>
    <n v="65"/>
    <n v="20"/>
    <n v="18"/>
    <n v="126"/>
    <n v="1.05"/>
    <n v="0.6"/>
    <n v="1.06"/>
  </r>
  <r>
    <n v="715"/>
    <x v="13"/>
    <s v="Central"/>
    <s v="Small Market"/>
    <s v="Columbian"/>
    <s v="Coffee"/>
    <s v="Wisconsin"/>
    <s v="Regular"/>
    <n v="90"/>
    <n v="140"/>
    <n v="40"/>
    <n v="230"/>
    <n v="92"/>
    <n v="541"/>
    <n v="128"/>
    <n v="83"/>
    <n v="22"/>
    <n v="234"/>
    <n v="1.017391304347826"/>
    <n v="0.55000000000000004"/>
    <n v="1.0222222222222221"/>
  </r>
  <r>
    <n v="262"/>
    <x v="13"/>
    <s v="Central"/>
    <s v="Small Market"/>
    <s v="Decaf Irish Cream"/>
    <s v="Coffee"/>
    <s v="Wisconsin"/>
    <s v="Decaf"/>
    <n v="80"/>
    <n v="100"/>
    <n v="60"/>
    <n v="180"/>
    <n v="77"/>
    <n v="423"/>
    <n v="103"/>
    <n v="25"/>
    <n v="74"/>
    <n v="192"/>
    <n v="1.0666666666666667"/>
    <n v="1.2333333333333334"/>
    <n v="0.96250000000000002"/>
  </r>
  <r>
    <n v="475"/>
    <x v="13"/>
    <s v="East"/>
    <s v="Small Market"/>
    <s v="Lemon"/>
    <s v="Herbal Tea"/>
    <s v="Connecticut"/>
    <s v="Decaf"/>
    <n v="60"/>
    <n v="90"/>
    <n v="50"/>
    <n v="150"/>
    <n v="86"/>
    <n v="484"/>
    <n v="107"/>
    <n v="32"/>
    <n v="61"/>
    <n v="206"/>
    <n v="1.3733333333333333"/>
    <n v="1.22"/>
    <n v="1.4333333333333333"/>
  </r>
  <r>
    <n v="203"/>
    <x v="13"/>
    <s v="East"/>
    <s v="Small Market"/>
    <s v="Mint"/>
    <s v="Herbal Tea"/>
    <s v="Connecticut"/>
    <s v="Decaf"/>
    <n v="50"/>
    <n v="70"/>
    <n v="50"/>
    <n v="120"/>
    <n v="75"/>
    <n v="956"/>
    <n v="90"/>
    <n v="23"/>
    <n v="68"/>
    <n v="176"/>
    <n v="1.4666666666666666"/>
    <n v="1.36"/>
    <n v="1.5"/>
  </r>
  <r>
    <n v="475"/>
    <x v="13"/>
    <s v="East"/>
    <s v="Small Market"/>
    <s v="Darjeeling"/>
    <s v="Tea"/>
    <s v="Connecticut"/>
    <s v="Regular"/>
    <n v="50"/>
    <n v="80"/>
    <n v="60"/>
    <n v="130"/>
    <n v="50"/>
    <n v="814"/>
    <n v="73"/>
    <n v="14"/>
    <n v="71"/>
    <n v="131"/>
    <n v="1.0076923076923077"/>
    <n v="1.1833333333333333"/>
    <n v="1"/>
  </r>
  <r>
    <n v="959"/>
    <x v="13"/>
    <s v="East"/>
    <s v="Small Market"/>
    <s v="Green Tea"/>
    <s v="Tea"/>
    <s v="Connecticut"/>
    <s v="Regular"/>
    <n v="20"/>
    <n v="50"/>
    <n v="40"/>
    <n v="70"/>
    <n v="27"/>
    <n v="772"/>
    <n v="39"/>
    <n v="7"/>
    <n v="31"/>
    <n v="70"/>
    <n v="1"/>
    <n v="0.77500000000000002"/>
    <n v="1.35"/>
  </r>
  <r>
    <n v="203"/>
    <x v="13"/>
    <s v="East"/>
    <s v="Small Market"/>
    <s v="Caffe Mocha"/>
    <s v="Espresso"/>
    <s v="Connecticut"/>
    <s v="Regular"/>
    <n v="60"/>
    <n v="90"/>
    <n v="20"/>
    <n v="150"/>
    <n v="65"/>
    <n v="513"/>
    <n v="90"/>
    <n v="58"/>
    <n v="4"/>
    <n v="165"/>
    <n v="1.1000000000000001"/>
    <n v="0.2"/>
    <n v="1.0833333333333333"/>
  </r>
  <r>
    <n v="959"/>
    <x v="13"/>
    <s v="East"/>
    <s v="Small Market"/>
    <s v="Decaf Espresso"/>
    <s v="Espresso"/>
    <s v="Connecticut"/>
    <s v="Decaf"/>
    <n v="50"/>
    <n v="70"/>
    <n v="40"/>
    <n v="120"/>
    <n v="55"/>
    <n v="305"/>
    <n v="75"/>
    <n v="18"/>
    <n v="43"/>
    <n v="139"/>
    <n v="1.1583333333333334"/>
    <n v="1.075"/>
    <n v="1.1000000000000001"/>
  </r>
  <r>
    <n v="860"/>
    <x v="13"/>
    <s v="East"/>
    <s v="Small Market"/>
    <s v="Columbian"/>
    <s v="Coffee"/>
    <s v="Connecticut"/>
    <s v="Regular"/>
    <n v="120"/>
    <n v="180"/>
    <n v="130"/>
    <n v="300"/>
    <n v="130"/>
    <n v="945"/>
    <n v="195"/>
    <n v="42"/>
    <n v="180"/>
    <n v="346"/>
    <n v="1.1533333333333333"/>
    <n v="1.3846153846153846"/>
    <n v="1.0833333333333333"/>
  </r>
  <r>
    <n v="754"/>
    <x v="13"/>
    <s v="East"/>
    <s v="Major Market"/>
    <s v="Chamomile"/>
    <s v="Herbal Tea"/>
    <s v="Florida"/>
    <s v="Decaf"/>
    <n v="30"/>
    <n v="50"/>
    <n v="30"/>
    <n v="80"/>
    <n v="48"/>
    <n v="617"/>
    <n v="62"/>
    <n v="15"/>
    <n v="50"/>
    <n v="117"/>
    <n v="1.4624999999999999"/>
    <n v="1.6666666666666667"/>
    <n v="1.6"/>
  </r>
  <r>
    <n v="904"/>
    <x v="13"/>
    <s v="East"/>
    <s v="Major Market"/>
    <s v="Lemon"/>
    <s v="Herbal Tea"/>
    <s v="Florida"/>
    <s v="Decaf"/>
    <n v="40"/>
    <n v="50"/>
    <n v="20"/>
    <n v="90"/>
    <n v="53"/>
    <n v="306"/>
    <n v="65"/>
    <n v="20"/>
    <n v="18"/>
    <n v="126"/>
    <n v="1.4"/>
    <n v="0.9"/>
    <n v="1.325"/>
  </r>
  <r>
    <n v="352"/>
    <x v="13"/>
    <s v="East"/>
    <s v="Major Market"/>
    <s v="Mint"/>
    <s v="Herbal Tea"/>
    <s v="Florida"/>
    <s v="Decaf"/>
    <n v="50"/>
    <n v="70"/>
    <n v="50"/>
    <n v="120"/>
    <n v="70"/>
    <n v="957"/>
    <n v="84"/>
    <n v="21"/>
    <n v="62"/>
    <n v="164"/>
    <n v="1.3666666666666667"/>
    <n v="1.24"/>
    <n v="1.4"/>
  </r>
  <r>
    <n v="850"/>
    <x v="13"/>
    <s v="East"/>
    <s v="Major Market"/>
    <s v="Darjeeling"/>
    <s v="Tea"/>
    <s v="Florida"/>
    <s v="Regular"/>
    <n v="30"/>
    <n v="50"/>
    <n v="40"/>
    <n v="80"/>
    <n v="32"/>
    <n v="817"/>
    <n v="48"/>
    <n v="8"/>
    <n v="42"/>
    <n v="85"/>
    <n v="1.0625"/>
    <n v="1.05"/>
    <n v="1.0666666666666667"/>
  </r>
  <r>
    <n v="850"/>
    <x v="13"/>
    <s v="East"/>
    <s v="Major Market"/>
    <s v="Green Tea"/>
    <s v="Tea"/>
    <s v="Florida"/>
    <s v="Regular"/>
    <n v="40"/>
    <n v="80"/>
    <n v="60"/>
    <n v="120"/>
    <n v="47"/>
    <n v="772"/>
    <n v="68"/>
    <n v="13"/>
    <n v="65"/>
    <n v="123"/>
    <n v="1.0249999999999999"/>
    <n v="1.0833333333333333"/>
    <n v="1.175"/>
  </r>
  <r>
    <n v="850"/>
    <x v="13"/>
    <s v="East"/>
    <s v="Major Market"/>
    <s v="Caffe Mocha"/>
    <s v="Espresso"/>
    <s v="Florida"/>
    <s v="Regular"/>
    <n v="80"/>
    <n v="130"/>
    <n v="40"/>
    <n v="210"/>
    <n v="92"/>
    <n v="541"/>
    <n v="128"/>
    <n v="83"/>
    <n v="24"/>
    <n v="234"/>
    <n v="1.1142857142857143"/>
    <n v="0.6"/>
    <n v="1.1499999999999999"/>
  </r>
  <r>
    <n v="352"/>
    <x v="13"/>
    <s v="East"/>
    <s v="Major Market"/>
    <s v="Decaf Espresso"/>
    <s v="Espresso"/>
    <s v="Florida"/>
    <s v="Decaf"/>
    <n v="70"/>
    <n v="100"/>
    <n v="60"/>
    <n v="170"/>
    <n v="77"/>
    <n v="423"/>
    <n v="103"/>
    <n v="25"/>
    <n v="76"/>
    <n v="192"/>
    <n v="1.1294117647058823"/>
    <n v="1.2666666666666666"/>
    <n v="1.1000000000000001"/>
  </r>
  <r>
    <n v="561"/>
    <x v="13"/>
    <s v="East"/>
    <s v="Major Market"/>
    <s v="Columbian"/>
    <s v="Coffee"/>
    <s v="Florida"/>
    <s v="Regular"/>
    <n v="70"/>
    <n v="120"/>
    <n v="80"/>
    <n v="190"/>
    <n v="80"/>
    <n v="640"/>
    <n v="120"/>
    <n v="26"/>
    <n v="93"/>
    <n v="213"/>
    <n v="1.1210526315789473"/>
    <n v="1.1625000000000001"/>
    <n v="1.1428571428571428"/>
  </r>
  <r>
    <n v="352"/>
    <x v="13"/>
    <s v="East"/>
    <s v="Major Market"/>
    <s v="Decaf Irish Cream"/>
    <s v="Coffee"/>
    <s v="Florida"/>
    <s v="Decaf"/>
    <n v="80"/>
    <n v="110"/>
    <n v="70"/>
    <n v="190"/>
    <n v="86"/>
    <n v="490"/>
    <n v="120"/>
    <n v="26"/>
    <n v="105"/>
    <n v="220"/>
    <n v="1.1578947368421053"/>
    <n v="1.5"/>
    <n v="1.075"/>
  </r>
  <r>
    <n v="508"/>
    <x v="13"/>
    <s v="East"/>
    <s v="Major Market"/>
    <s v="Lemon"/>
    <s v="Herbal Tea"/>
    <s v="Massachusetts"/>
    <s v="Decaf"/>
    <n v="40"/>
    <n v="60"/>
    <n v="30"/>
    <n v="100"/>
    <n v="59"/>
    <n v="331"/>
    <n v="73"/>
    <n v="22"/>
    <n v="27"/>
    <n v="141"/>
    <n v="1.41"/>
    <n v="0.9"/>
    <n v="1.4750000000000001"/>
  </r>
  <r>
    <n v="508"/>
    <x v="13"/>
    <s v="East"/>
    <s v="Major Market"/>
    <s v="Darjeeling"/>
    <s v="Tea"/>
    <s v="Massachusetts"/>
    <s v="Regular"/>
    <n v="30"/>
    <n v="50"/>
    <n v="40"/>
    <n v="80"/>
    <n v="32"/>
    <n v="817"/>
    <n v="48"/>
    <n v="8"/>
    <n v="42"/>
    <n v="85"/>
    <n v="1.0625"/>
    <n v="1.05"/>
    <n v="1.0666666666666667"/>
  </r>
  <r>
    <n v="978"/>
    <x v="13"/>
    <s v="East"/>
    <s v="Major Market"/>
    <s v="Green Tea"/>
    <s v="Tea"/>
    <s v="Massachusetts"/>
    <s v="Regular"/>
    <n v="20"/>
    <n v="40"/>
    <n v="30"/>
    <n v="60"/>
    <n v="22"/>
    <n v="452"/>
    <n v="34"/>
    <n v="6"/>
    <n v="25"/>
    <n v="60"/>
    <n v="1"/>
    <n v="0.83333333333333337"/>
    <n v="1.1000000000000001"/>
  </r>
  <r>
    <n v="774"/>
    <x v="13"/>
    <s v="East"/>
    <s v="Major Market"/>
    <s v="Caffe Mocha"/>
    <s v="Espresso"/>
    <s v="Massachusetts"/>
    <s v="Regular"/>
    <n v="50"/>
    <n v="70"/>
    <n v="10"/>
    <n v="120"/>
    <n v="54"/>
    <n v="451"/>
    <n v="74"/>
    <n v="49"/>
    <n v="-6"/>
    <n v="136"/>
    <n v="1.1333333333333333"/>
    <n v="-0.6"/>
    <n v="1.08"/>
  </r>
  <r>
    <n v="774"/>
    <x v="13"/>
    <s v="East"/>
    <s v="Major Market"/>
    <s v="Regular Espresso"/>
    <s v="Espresso"/>
    <s v="Massachusetts"/>
    <s v="Regular"/>
    <n v="160"/>
    <n v="170"/>
    <n v="110"/>
    <n v="330"/>
    <n v="170"/>
    <n v="1073"/>
    <n v="170"/>
    <n v="47"/>
    <n v="147"/>
    <n v="362"/>
    <n v="1.0969696969696969"/>
    <n v="1.3363636363636364"/>
    <n v="1.0625"/>
  </r>
  <r>
    <n v="857"/>
    <x v="13"/>
    <s v="East"/>
    <s v="Major Market"/>
    <s v="Columbian"/>
    <s v="Coffee"/>
    <s v="Massachusetts"/>
    <s v="Regular"/>
    <n v="70"/>
    <n v="370"/>
    <n v="330"/>
    <n v="440"/>
    <n v="75"/>
    <n v="235"/>
    <n v="395"/>
    <n v="24"/>
    <n v="505"/>
    <n v="501"/>
    <n v="1.1386363636363637"/>
    <n v="1.5303030303030303"/>
    <n v="1.0714285714285714"/>
  </r>
  <r>
    <n v="603"/>
    <x v="13"/>
    <s v="East"/>
    <s v="Small Market"/>
    <s v="Lemon"/>
    <s v="Herbal Tea"/>
    <s v="New Hampshire"/>
    <s v="Decaf"/>
    <n v="20"/>
    <n v="30"/>
    <n v="0"/>
    <n v="50"/>
    <n v="33"/>
    <n v="193"/>
    <n v="41"/>
    <n v="12"/>
    <n v="-6"/>
    <n v="79"/>
    <n v="1.58"/>
    <m/>
    <n v="1.65"/>
  </r>
  <r>
    <n v="603"/>
    <x v="13"/>
    <s v="East"/>
    <s v="Small Market"/>
    <s v="Darjeeling"/>
    <s v="Tea"/>
    <s v="New Hampshire"/>
    <s v="Regular"/>
    <n v="10"/>
    <n v="30"/>
    <n v="20"/>
    <n v="40"/>
    <n v="18"/>
    <n v="818"/>
    <n v="27"/>
    <n v="5"/>
    <n v="16"/>
    <n v="48"/>
    <n v="1.2"/>
    <n v="0.8"/>
    <n v="1.8"/>
  </r>
  <r>
    <n v="603"/>
    <x v="13"/>
    <s v="East"/>
    <s v="Small Market"/>
    <s v="Green Tea"/>
    <s v="Tea"/>
    <s v="New Hampshire"/>
    <s v="Regular"/>
    <n v="0"/>
    <n v="40"/>
    <n v="30"/>
    <n v="40"/>
    <n v="0"/>
    <n v="774"/>
    <n v="43"/>
    <n v="0"/>
    <n v="47"/>
    <n v="46"/>
    <n v="1.1499999999999999"/>
    <n v="1.5666666666666667"/>
    <m/>
  </r>
  <r>
    <n v="603"/>
    <x v="13"/>
    <s v="East"/>
    <s v="Small Market"/>
    <s v="Caffe Mocha"/>
    <s v="Espresso"/>
    <s v="New Hampshire"/>
    <s v="Regular"/>
    <n v="40"/>
    <n v="60"/>
    <n v="10"/>
    <n v="100"/>
    <n v="43"/>
    <n v="256"/>
    <n v="61"/>
    <n v="39"/>
    <n v="-10"/>
    <n v="111"/>
    <n v="1.1100000000000001"/>
    <n v="-1"/>
    <n v="1.075"/>
  </r>
  <r>
    <n v="603"/>
    <x v="13"/>
    <s v="East"/>
    <s v="Small Market"/>
    <s v="Regular Espresso"/>
    <s v="Espresso"/>
    <s v="New Hampshire"/>
    <s v="Regular"/>
    <n v="20"/>
    <n v="40"/>
    <n v="0"/>
    <n v="60"/>
    <n v="30"/>
    <n v="165"/>
    <n v="38"/>
    <n v="11"/>
    <n v="-9"/>
    <n v="72"/>
    <n v="1.2"/>
    <m/>
    <n v="1.5"/>
  </r>
  <r>
    <n v="603"/>
    <x v="13"/>
    <s v="East"/>
    <s v="Small Market"/>
    <s v="Amaretto"/>
    <s v="Coffee"/>
    <s v="New Hampshire"/>
    <s v="Regular"/>
    <n v="30"/>
    <n v="60"/>
    <n v="40"/>
    <n v="90"/>
    <n v="41"/>
    <n v="236"/>
    <n v="60"/>
    <n v="13"/>
    <n v="37"/>
    <n v="108"/>
    <n v="1.2"/>
    <n v="0.92500000000000004"/>
    <n v="1.3666666666666667"/>
  </r>
  <r>
    <n v="603"/>
    <x v="13"/>
    <s v="East"/>
    <s v="Small Market"/>
    <s v="Columbian"/>
    <s v="Coffee"/>
    <s v="New Hampshire"/>
    <s v="Regular"/>
    <n v="40"/>
    <n v="60"/>
    <n v="30"/>
    <n v="100"/>
    <n v="45"/>
    <n v="366"/>
    <n v="69"/>
    <n v="14"/>
    <n v="34"/>
    <n v="121"/>
    <n v="1.21"/>
    <n v="1.1333333333333333"/>
    <n v="1.125"/>
  </r>
  <r>
    <n v="518"/>
    <x v="13"/>
    <s v="East"/>
    <s v="Major Market"/>
    <s v="Lemon"/>
    <s v="Herbal Tea"/>
    <s v="New York"/>
    <s v="Decaf"/>
    <n v="180"/>
    <n v="200"/>
    <n v="110"/>
    <n v="380"/>
    <n v="240"/>
    <n v="1454"/>
    <n v="255"/>
    <n v="91"/>
    <n v="194"/>
    <n v="528"/>
    <n v="1.3894736842105264"/>
    <n v="1.7636363636363637"/>
    <n v="1.3333333333333333"/>
  </r>
  <r>
    <n v="845"/>
    <x v="13"/>
    <s v="East"/>
    <s v="Major Market"/>
    <s v="Mint"/>
    <s v="Herbal Tea"/>
    <s v="New York"/>
    <s v="Decaf"/>
    <n v="160"/>
    <n v="-20"/>
    <n v="-80"/>
    <n v="140"/>
    <n v="213"/>
    <n v="1214"/>
    <n v="-33"/>
    <n v="66"/>
    <n v="-178"/>
    <n v="192"/>
    <n v="1.3714285714285714"/>
    <n v="2.2250000000000001"/>
    <n v="1.33125"/>
  </r>
  <r>
    <n v="347"/>
    <x v="13"/>
    <s v="East"/>
    <s v="Major Market"/>
    <s v="Darjeeling"/>
    <s v="Tea"/>
    <s v="New York"/>
    <s v="Regular"/>
    <n v="100"/>
    <n v="150"/>
    <n v="120"/>
    <n v="250"/>
    <n v="95"/>
    <n v="809"/>
    <n v="137"/>
    <n v="26"/>
    <n v="148"/>
    <n v="247"/>
    <n v="0.98799999999999999"/>
    <n v="1.2333333333333334"/>
    <n v="0.95"/>
  </r>
  <r>
    <n v="631"/>
    <x v="13"/>
    <s v="East"/>
    <s v="Major Market"/>
    <s v="Earl Grey"/>
    <s v="Tea"/>
    <s v="New York"/>
    <s v="Regular"/>
    <n v="100"/>
    <n v="160"/>
    <n v="130"/>
    <n v="260"/>
    <n v="99"/>
    <n v="766"/>
    <n v="144"/>
    <n v="27"/>
    <n v="156"/>
    <n v="259"/>
    <n v="0.99615384615384617"/>
    <n v="1.2"/>
    <n v="0.99"/>
  </r>
  <r>
    <n v="347"/>
    <x v="13"/>
    <s v="East"/>
    <s v="Major Market"/>
    <s v="Green Tea"/>
    <s v="Tea"/>
    <s v="New York"/>
    <s v="Regular"/>
    <n v="80"/>
    <n v="120"/>
    <n v="90"/>
    <n v="200"/>
    <n v="77"/>
    <n v="449"/>
    <n v="112"/>
    <n v="21"/>
    <n v="117"/>
    <n v="201"/>
    <n v="1.0049999999999999"/>
    <n v="1.3"/>
    <n v="0.96250000000000002"/>
  </r>
  <r>
    <n v="585"/>
    <x v="13"/>
    <s v="East"/>
    <s v="Major Market"/>
    <s v="Caffe Mocha"/>
    <s v="Espresso"/>
    <s v="New York"/>
    <s v="Regular"/>
    <n v="110"/>
    <n v="-60"/>
    <n v="-190"/>
    <n v="50"/>
    <n v="121"/>
    <n v="901"/>
    <n v="-60"/>
    <n v="110"/>
    <n v="-301"/>
    <n v="65"/>
    <n v="1.3"/>
    <n v="1.5842105263157895"/>
    <n v="1.1000000000000001"/>
  </r>
  <r>
    <n v="917"/>
    <x v="13"/>
    <s v="East"/>
    <s v="Major Market"/>
    <s v="Regular Espresso"/>
    <s v="Espresso"/>
    <s v="New York"/>
    <s v="Regular"/>
    <n v="210"/>
    <n v="350"/>
    <n v="280"/>
    <n v="560"/>
    <n v="228"/>
    <n v="1402"/>
    <n v="352"/>
    <n v="63"/>
    <n v="392"/>
    <n v="618"/>
    <n v="1.1035714285714286"/>
    <n v="1.4"/>
    <n v="1.0857142857142856"/>
  </r>
  <r>
    <n v="718"/>
    <x v="13"/>
    <s v="East"/>
    <s v="Major Market"/>
    <s v="Columbian"/>
    <s v="Coffee"/>
    <s v="New York"/>
    <s v="Regular"/>
    <n v="240"/>
    <n v="370"/>
    <n v="250"/>
    <n v="610"/>
    <n v="258"/>
    <n v="2067"/>
    <n v="387"/>
    <n v="90"/>
    <n v="364"/>
    <n v="687"/>
    <n v="1.1262295081967213"/>
    <n v="1.456"/>
    <n v="1.075"/>
  </r>
  <r>
    <n v="318"/>
    <x v="13"/>
    <s v="South"/>
    <s v="Small Market"/>
    <s v="Chamomile"/>
    <s v="Herbal Tea"/>
    <s v="Louisiana"/>
    <s v="Decaf"/>
    <n v="40"/>
    <n v="60"/>
    <n v="40"/>
    <n v="100"/>
    <n v="49"/>
    <n v="617"/>
    <n v="63"/>
    <n v="16"/>
    <n v="52"/>
    <n v="119"/>
    <n v="1.19"/>
    <n v="1.3"/>
    <n v="1.2250000000000001"/>
  </r>
  <r>
    <n v="985"/>
    <x v="13"/>
    <s v="South"/>
    <s v="Small Market"/>
    <s v="Lemon"/>
    <s v="Herbal Tea"/>
    <s v="Louisiana"/>
    <s v="Decaf"/>
    <n v="80"/>
    <n v="100"/>
    <n v="40"/>
    <n v="180"/>
    <n v="86"/>
    <n v="484"/>
    <n v="107"/>
    <n v="32"/>
    <n v="62"/>
    <n v="206"/>
    <n v="1.1444444444444444"/>
    <n v="1.55"/>
    <n v="1.075"/>
  </r>
  <r>
    <n v="504"/>
    <x v="13"/>
    <s v="South"/>
    <s v="Small Market"/>
    <s v="Columbian"/>
    <s v="Coffee"/>
    <s v="Louisiana"/>
    <s v="Regular"/>
    <n v="40"/>
    <n v="70"/>
    <n v="60"/>
    <n v="110"/>
    <n v="38"/>
    <n v="772"/>
    <n v="56"/>
    <n v="10"/>
    <n v="50"/>
    <n v="100"/>
    <n v="0.90909090909090906"/>
    <n v="0.83333333333333337"/>
    <n v="0.95"/>
  </r>
  <r>
    <n v="504"/>
    <x v="13"/>
    <s v="South"/>
    <s v="Small Market"/>
    <s v="Decaf Irish Cream"/>
    <s v="Coffee"/>
    <s v="Louisiana"/>
    <s v="Decaf"/>
    <n v="50"/>
    <n v="90"/>
    <n v="70"/>
    <n v="140"/>
    <n v="47"/>
    <n v="772"/>
    <n v="68"/>
    <n v="13"/>
    <n v="65"/>
    <n v="123"/>
    <n v="0.87857142857142856"/>
    <n v="0.9285714285714286"/>
    <n v="0.94"/>
  </r>
  <r>
    <n v="318"/>
    <x v="13"/>
    <s v="South"/>
    <s v="Small Market"/>
    <s v="Caffe Latte"/>
    <s v="Espresso"/>
    <s v="Louisiana"/>
    <s v="Regular"/>
    <n v="50"/>
    <n v="80"/>
    <n v="10"/>
    <n v="130"/>
    <n v="65"/>
    <n v="342"/>
    <n v="90"/>
    <n v="58"/>
    <n v="3"/>
    <n v="165"/>
    <n v="1.2692307692307692"/>
    <n v="0.3"/>
    <n v="1.3"/>
  </r>
  <r>
    <n v="225"/>
    <x v="13"/>
    <s v="South"/>
    <s v="Small Market"/>
    <s v="Caffe Mocha"/>
    <s v="Espresso"/>
    <s v="Louisiana"/>
    <s v="Regular"/>
    <n v="50"/>
    <n v="90"/>
    <n v="70"/>
    <n v="140"/>
    <n v="65"/>
    <n v="372"/>
    <n v="109"/>
    <n v="20"/>
    <n v="96"/>
    <n v="185"/>
    <n v="1.3214285714285714"/>
    <n v="1.3714285714285714"/>
    <n v="1.3"/>
  </r>
  <r>
    <n v="985"/>
    <x v="13"/>
    <s v="South"/>
    <s v="Small Market"/>
    <s v="Decaf Espresso"/>
    <s v="Espresso"/>
    <s v="Louisiana"/>
    <s v="Decaf"/>
    <n v="40"/>
    <n v="70"/>
    <n v="50"/>
    <n v="110"/>
    <n v="56"/>
    <n v="382"/>
    <n v="81"/>
    <n v="17"/>
    <n v="61"/>
    <n v="146"/>
    <n v="1.3272727272727274"/>
    <n v="1.22"/>
    <n v="1.4"/>
  </r>
  <r>
    <n v="505"/>
    <x v="13"/>
    <s v="South"/>
    <s v="Small Market"/>
    <s v="Chamomile"/>
    <s v="Herbal Tea"/>
    <s v="New Mexico"/>
    <s v="Decaf"/>
    <n v="10"/>
    <n v="30"/>
    <n v="20"/>
    <n v="40"/>
    <n v="18"/>
    <n v="818"/>
    <n v="27"/>
    <n v="5"/>
    <n v="15"/>
    <n v="48"/>
    <n v="1.2"/>
    <n v="0.75"/>
    <n v="1.8"/>
  </r>
  <r>
    <n v="505"/>
    <x v="13"/>
    <s v="South"/>
    <s v="Small Market"/>
    <s v="Lemon"/>
    <s v="Herbal Tea"/>
    <s v="New Mexico"/>
    <s v="Decaf"/>
    <n v="20"/>
    <n v="40"/>
    <n v="20"/>
    <n v="60"/>
    <n v="28"/>
    <n v="961"/>
    <n v="35"/>
    <n v="8"/>
    <n v="7"/>
    <n v="67"/>
    <n v="1.1166666666666667"/>
    <n v="0.35"/>
    <n v="1.4"/>
  </r>
  <r>
    <n v="505"/>
    <x v="13"/>
    <s v="South"/>
    <s v="Small Market"/>
    <s v="Columbian"/>
    <s v="Coffee"/>
    <s v="New Mexico"/>
    <s v="Regular"/>
    <n v="50"/>
    <n v="90"/>
    <n v="50"/>
    <n v="140"/>
    <n v="45"/>
    <n v="366"/>
    <n v="69"/>
    <n v="14"/>
    <n v="36"/>
    <n v="121"/>
    <n v="0.86428571428571432"/>
    <n v="0.72"/>
    <n v="0.9"/>
  </r>
  <r>
    <n v="505"/>
    <x v="13"/>
    <s v="South"/>
    <s v="Small Market"/>
    <s v="Decaf Irish Cream"/>
    <s v="Coffee"/>
    <s v="New Mexico"/>
    <s v="Decaf"/>
    <n v="100"/>
    <n v="20"/>
    <n v="-20"/>
    <n v="120"/>
    <n v="84"/>
    <n v="625"/>
    <n v="18"/>
    <n v="26"/>
    <n v="-46"/>
    <n v="109"/>
    <n v="0.90833333333333333"/>
    <n v="2.2999999999999998"/>
    <n v="0.84"/>
  </r>
  <r>
    <n v="505"/>
    <x v="13"/>
    <s v="South"/>
    <s v="Small Market"/>
    <s v="Caffe Latte"/>
    <s v="Espresso"/>
    <s v="New Mexico"/>
    <s v="Regular"/>
    <n v="20"/>
    <n v="30"/>
    <n v="0"/>
    <n v="50"/>
    <n v="30"/>
    <n v="104"/>
    <n v="38"/>
    <n v="11"/>
    <n v="-10"/>
    <n v="72"/>
    <n v="1.44"/>
    <m/>
    <n v="1.5"/>
  </r>
  <r>
    <n v="505"/>
    <x v="13"/>
    <s v="South"/>
    <s v="Small Market"/>
    <s v="Caffe Mocha"/>
    <s v="Espresso"/>
    <s v="New Mexico"/>
    <s v="Regular"/>
    <n v="30"/>
    <n v="50"/>
    <n v="0"/>
    <n v="80"/>
    <n v="43"/>
    <n v="256"/>
    <n v="61"/>
    <n v="39"/>
    <n v="-10"/>
    <n v="111"/>
    <n v="1.3875"/>
    <m/>
    <n v="1.4333333333333333"/>
  </r>
  <r>
    <n v="505"/>
    <x v="13"/>
    <s v="South"/>
    <s v="Small Market"/>
    <s v="Decaf Espresso"/>
    <s v="Espresso"/>
    <s v="New Mexico"/>
    <s v="Decaf"/>
    <n v="30"/>
    <n v="40"/>
    <n v="10"/>
    <n v="70"/>
    <n v="35"/>
    <n v="191"/>
    <n v="47"/>
    <n v="11"/>
    <n v="12"/>
    <n v="87"/>
    <n v="1.2428571428571429"/>
    <n v="1.2"/>
    <n v="1.1666666666666667"/>
  </r>
  <r>
    <n v="580"/>
    <x v="13"/>
    <s v="South"/>
    <s v="Small Market"/>
    <s v="Chamomile"/>
    <s v="Herbal Tea"/>
    <s v="Oklahoma"/>
    <s v="Decaf"/>
    <n v="50"/>
    <n v="60"/>
    <n v="20"/>
    <n v="110"/>
    <n v="53"/>
    <n v="306"/>
    <n v="65"/>
    <n v="20"/>
    <n v="16"/>
    <n v="126"/>
    <n v="1.1454545454545455"/>
    <n v="0.8"/>
    <n v="1.06"/>
  </r>
  <r>
    <n v="405"/>
    <x v="13"/>
    <s v="South"/>
    <s v="Small Market"/>
    <s v="Lemon"/>
    <s v="Herbal Tea"/>
    <s v="Oklahoma"/>
    <s v="Decaf"/>
    <n v="80"/>
    <n v="130"/>
    <n v="40"/>
    <n v="210"/>
    <n v="92"/>
    <n v="541"/>
    <n v="128"/>
    <n v="83"/>
    <n v="22"/>
    <n v="234"/>
    <n v="1.1142857142857143"/>
    <n v="0.55000000000000004"/>
    <n v="1.1499999999999999"/>
  </r>
  <r>
    <n v="405"/>
    <x v="13"/>
    <s v="South"/>
    <s v="Small Market"/>
    <s v="Columbian"/>
    <s v="Coffee"/>
    <s v="Oklahoma"/>
    <s v="Regular"/>
    <n v="50"/>
    <n v="70"/>
    <n v="50"/>
    <n v="120"/>
    <n v="44"/>
    <n v="618"/>
    <n v="56"/>
    <n v="14"/>
    <n v="43"/>
    <n v="107"/>
    <n v="0.89166666666666672"/>
    <n v="0.86"/>
    <n v="0.88"/>
  </r>
  <r>
    <n v="580"/>
    <x v="13"/>
    <s v="South"/>
    <s v="Small Market"/>
    <s v="Decaf Irish Cream"/>
    <s v="Coffee"/>
    <s v="Oklahoma"/>
    <s v="Decaf"/>
    <n v="40"/>
    <n v="60"/>
    <n v="50"/>
    <n v="100"/>
    <n v="32"/>
    <n v="817"/>
    <n v="48"/>
    <n v="8"/>
    <n v="43"/>
    <n v="85"/>
    <n v="0.85"/>
    <n v="0.86"/>
    <n v="0.8"/>
  </r>
  <r>
    <n v="580"/>
    <x v="13"/>
    <s v="South"/>
    <s v="Small Market"/>
    <s v="Caffe Latte"/>
    <s v="Espresso"/>
    <s v="Oklahoma"/>
    <s v="Regular"/>
    <n v="70"/>
    <n v="100"/>
    <n v="70"/>
    <n v="170"/>
    <n v="86"/>
    <n v="300"/>
    <n v="120"/>
    <n v="26"/>
    <n v="104"/>
    <n v="220"/>
    <n v="1.2941176470588236"/>
    <n v="1.4857142857142858"/>
    <n v="1.2285714285714286"/>
  </r>
  <r>
    <n v="580"/>
    <x v="13"/>
    <s v="South"/>
    <s v="Small Market"/>
    <s v="Caffe Mocha"/>
    <s v="Espresso"/>
    <s v="Oklahoma"/>
    <s v="Regular"/>
    <n v="10"/>
    <n v="30"/>
    <n v="30"/>
    <n v="40"/>
    <n v="22"/>
    <n v="452"/>
    <n v="34"/>
    <n v="6"/>
    <n v="25"/>
    <n v="60"/>
    <n v="1.5"/>
    <n v="0.83333333333333337"/>
    <n v="2.2000000000000002"/>
  </r>
  <r>
    <n v="405"/>
    <x v="13"/>
    <s v="South"/>
    <s v="Small Market"/>
    <s v="Decaf Espresso"/>
    <s v="Espresso"/>
    <s v="Oklahoma"/>
    <s v="Decaf"/>
    <n v="60"/>
    <n v="110"/>
    <n v="70"/>
    <n v="170"/>
    <n v="80"/>
    <n v="640"/>
    <n v="120"/>
    <n v="26"/>
    <n v="93"/>
    <n v="213"/>
    <n v="1.2529411764705882"/>
    <n v="1.3285714285714285"/>
    <n v="1.3333333333333333"/>
  </r>
  <r>
    <n v="915"/>
    <x v="13"/>
    <s v="South"/>
    <s v="Major Market"/>
    <s v="Chamomile"/>
    <s v="Herbal Tea"/>
    <s v="Texas"/>
    <s v="Decaf"/>
    <n v="50"/>
    <n v="80"/>
    <n v="50"/>
    <n v="130"/>
    <n v="60"/>
    <n v="329"/>
    <n v="80"/>
    <n v="19"/>
    <n v="49"/>
    <n v="149"/>
    <n v="1.1461538461538461"/>
    <n v="0.98"/>
    <n v="1.2"/>
  </r>
  <r>
    <n v="325"/>
    <x v="13"/>
    <s v="South"/>
    <s v="Major Market"/>
    <s v="Lemon"/>
    <s v="Herbal Tea"/>
    <s v="Texas"/>
    <s v="Decaf"/>
    <n v="40"/>
    <n v="80"/>
    <n v="50"/>
    <n v="120"/>
    <n v="52"/>
    <n v="357"/>
    <n v="76"/>
    <n v="16"/>
    <n v="56"/>
    <n v="136"/>
    <n v="1.1333333333333333"/>
    <n v="1.1200000000000001"/>
    <n v="1.3"/>
  </r>
  <r>
    <n v="430"/>
    <x v="13"/>
    <s v="South"/>
    <s v="Major Market"/>
    <s v="Columbian"/>
    <s v="Coffee"/>
    <s v="Texas"/>
    <s v="Regular"/>
    <n v="260"/>
    <n v="320"/>
    <n v="240"/>
    <n v="580"/>
    <n v="213"/>
    <n v="942"/>
    <n v="252"/>
    <n v="66"/>
    <n v="243"/>
    <n v="496"/>
    <n v="0.85517241379310349"/>
    <n v="1.0125"/>
    <n v="0.81923076923076921"/>
  </r>
  <r>
    <n v="430"/>
    <x v="13"/>
    <s v="South"/>
    <s v="Major Market"/>
    <s v="Decaf Irish Cream"/>
    <s v="Coffee"/>
    <s v="Texas"/>
    <s v="Decaf"/>
    <n v="100"/>
    <n v="130"/>
    <n v="100"/>
    <n v="230"/>
    <n v="83"/>
    <n v="613"/>
    <n v="107"/>
    <n v="27"/>
    <n v="101"/>
    <n v="202"/>
    <n v="0.87826086956521743"/>
    <n v="1.01"/>
    <n v="0.83"/>
  </r>
  <r>
    <n v="956"/>
    <x v="13"/>
    <s v="South"/>
    <s v="Major Market"/>
    <s v="Caffe Latte"/>
    <s v="Espresso"/>
    <s v="Texas"/>
    <s v="Regular"/>
    <n v="60"/>
    <n v="100"/>
    <n v="60"/>
    <n v="160"/>
    <n v="75"/>
    <n v="378"/>
    <n v="114"/>
    <n v="24"/>
    <n v="86"/>
    <n v="201"/>
    <n v="1.2562500000000001"/>
    <n v="1.4333333333333333"/>
    <n v="1.25"/>
  </r>
  <r>
    <n v="409"/>
    <x v="13"/>
    <s v="South"/>
    <s v="Major Market"/>
    <s v="Caffe Mocha"/>
    <s v="Espresso"/>
    <s v="Texas"/>
    <s v="Regular"/>
    <n v="80"/>
    <n v="120"/>
    <n v="100"/>
    <n v="200"/>
    <n v="99"/>
    <n v="766"/>
    <n v="144"/>
    <n v="27"/>
    <n v="157"/>
    <n v="259"/>
    <n v="1.2949999999999999"/>
    <n v="1.57"/>
    <n v="1.2375"/>
  </r>
  <r>
    <n v="214"/>
    <x v="13"/>
    <s v="South"/>
    <s v="Major Market"/>
    <s v="Decaf Espresso"/>
    <s v="Espresso"/>
    <s v="Texas"/>
    <s v="Decaf"/>
    <n v="60"/>
    <n v="100"/>
    <n v="90"/>
    <n v="160"/>
    <n v="77"/>
    <n v="449"/>
    <n v="112"/>
    <n v="21"/>
    <n v="119"/>
    <n v="201"/>
    <n v="1.2562500000000001"/>
    <n v="1.3222222222222222"/>
    <n v="1.2833333333333334"/>
  </r>
  <r>
    <n v="435"/>
    <x v="13"/>
    <s v="West"/>
    <s v="Small Market"/>
    <s v="Chamomile"/>
    <s v="Herbal Tea"/>
    <s v="Utah"/>
    <s v="Decaf"/>
    <n v="30"/>
    <n v="50"/>
    <n v="30"/>
    <n v="80"/>
    <n v="41"/>
    <n v="236"/>
    <n v="60"/>
    <n v="13"/>
    <n v="36"/>
    <n v="108"/>
    <n v="1.35"/>
    <n v="1.2"/>
    <n v="1.3666666666666667"/>
  </r>
  <r>
    <n v="435"/>
    <x v="13"/>
    <s v="West"/>
    <s v="Small Market"/>
    <s v="Lemon"/>
    <s v="Herbal Tea"/>
    <s v="Utah"/>
    <s v="Decaf"/>
    <n v="30"/>
    <n v="70"/>
    <n v="40"/>
    <n v="100"/>
    <n v="45"/>
    <n v="366"/>
    <n v="69"/>
    <n v="14"/>
    <n v="36"/>
    <n v="121"/>
    <n v="1.21"/>
    <n v="0.9"/>
    <n v="1.5"/>
  </r>
  <r>
    <n v="435"/>
    <x v="13"/>
    <s v="West"/>
    <s v="Small Market"/>
    <s v="Mint"/>
    <s v="Herbal Tea"/>
    <s v="Utah"/>
    <s v="Decaf"/>
    <n v="70"/>
    <n v="10"/>
    <n v="-30"/>
    <n v="80"/>
    <n v="84"/>
    <n v="625"/>
    <n v="18"/>
    <n v="26"/>
    <n v="-46"/>
    <n v="109"/>
    <n v="1.3625"/>
    <n v="1.5333333333333334"/>
    <n v="1.2"/>
  </r>
  <r>
    <n v="801"/>
    <x v="13"/>
    <s v="West"/>
    <s v="Small Market"/>
    <s v="Darjeeling"/>
    <s v="Tea"/>
    <s v="Utah"/>
    <s v="Regular"/>
    <n v="20"/>
    <n v="50"/>
    <n v="10"/>
    <n v="70"/>
    <n v="43"/>
    <n v="256"/>
    <n v="61"/>
    <n v="39"/>
    <n v="-10"/>
    <n v="111"/>
    <n v="1.5857142857142856"/>
    <n v="-1"/>
    <n v="2.15"/>
  </r>
  <r>
    <n v="801"/>
    <x v="13"/>
    <s v="West"/>
    <s v="Small Market"/>
    <s v="Earl Grey"/>
    <s v="Tea"/>
    <s v="Utah"/>
    <s v="Regular"/>
    <n v="20"/>
    <n v="30"/>
    <n v="10"/>
    <n v="50"/>
    <n v="35"/>
    <n v="191"/>
    <n v="47"/>
    <n v="11"/>
    <n v="13"/>
    <n v="87"/>
    <n v="1.74"/>
    <n v="1.3"/>
    <n v="1.75"/>
  </r>
  <r>
    <n v="435"/>
    <x v="13"/>
    <s v="West"/>
    <s v="Small Market"/>
    <s v="Green Tea"/>
    <s v="Tea"/>
    <s v="Utah"/>
    <s v="Regular"/>
    <n v="10"/>
    <n v="30"/>
    <n v="10"/>
    <n v="40"/>
    <n v="30"/>
    <n v="165"/>
    <n v="38"/>
    <n v="11"/>
    <n v="-9"/>
    <n v="72"/>
    <n v="1.8"/>
    <n v="-0.9"/>
    <n v="3"/>
  </r>
  <r>
    <n v="435"/>
    <x v="13"/>
    <s v="West"/>
    <s v="Small Market"/>
    <s v="Decaf Espresso"/>
    <s v="Espresso"/>
    <s v="Utah"/>
    <s v="Decaf"/>
    <n v="40"/>
    <n v="70"/>
    <n v="50"/>
    <n v="110"/>
    <n v="50"/>
    <n v="814"/>
    <n v="73"/>
    <n v="14"/>
    <n v="71"/>
    <n v="131"/>
    <n v="1.1909090909090909"/>
    <n v="1.42"/>
    <n v="1.25"/>
  </r>
  <r>
    <n v="801"/>
    <x v="13"/>
    <s v="West"/>
    <s v="Small Market"/>
    <s v="Amaretto"/>
    <s v="Coffee"/>
    <s v="Utah"/>
    <s v="Regular"/>
    <n v="90"/>
    <n v="110"/>
    <n v="70"/>
    <n v="200"/>
    <n v="75"/>
    <n v="956"/>
    <n v="90"/>
    <n v="23"/>
    <n v="68"/>
    <n v="176"/>
    <n v="0.88"/>
    <n v="0.97142857142857142"/>
    <n v="0.83333333333333337"/>
  </r>
  <r>
    <n v="435"/>
    <x v="13"/>
    <s v="West"/>
    <s v="Small Market"/>
    <s v="Columbian"/>
    <s v="Coffee"/>
    <s v="Utah"/>
    <s v="Regular"/>
    <n v="60"/>
    <n v="100"/>
    <n v="70"/>
    <n v="160"/>
    <n v="55"/>
    <n v="305"/>
    <n v="75"/>
    <n v="18"/>
    <n v="45"/>
    <n v="139"/>
    <n v="0.86875000000000002"/>
    <n v="0.6428571428571429"/>
    <n v="0.91666666666666663"/>
  </r>
  <r>
    <n v="435"/>
    <x v="13"/>
    <s v="West"/>
    <s v="Small Market"/>
    <s v="Decaf Irish Cream"/>
    <s v="Coffee"/>
    <s v="Utah"/>
    <s v="Decaf"/>
    <n v="100"/>
    <n v="140"/>
    <n v="80"/>
    <n v="240"/>
    <n v="86"/>
    <n v="484"/>
    <n v="107"/>
    <n v="32"/>
    <n v="61"/>
    <n v="206"/>
    <n v="0.85833333333333328"/>
    <n v="0.76249999999999996"/>
    <n v="0.86"/>
  </r>
  <r>
    <n v="435"/>
    <x v="13"/>
    <s v="West"/>
    <s v="Small Market"/>
    <s v="Caffe Latte"/>
    <s v="Espresso"/>
    <s v="Utah"/>
    <s v="Regular"/>
    <n v="40"/>
    <n v="50"/>
    <n v="30"/>
    <n v="90"/>
    <n v="42"/>
    <n v="771"/>
    <n v="61"/>
    <n v="11"/>
    <n v="56"/>
    <n v="110"/>
    <n v="1.2222222222222223"/>
    <n v="1.8666666666666667"/>
    <n v="1.05"/>
  </r>
  <r>
    <n v="435"/>
    <x v="13"/>
    <s v="West"/>
    <s v="Small Market"/>
    <s v="Caffe Mocha"/>
    <s v="Espresso"/>
    <s v="Utah"/>
    <s v="Regular"/>
    <n v="40"/>
    <n v="60"/>
    <n v="40"/>
    <n v="100"/>
    <n v="49"/>
    <n v="617"/>
    <n v="63"/>
    <n v="16"/>
    <n v="52"/>
    <n v="119"/>
    <n v="1.19"/>
    <n v="1.3"/>
    <n v="1.2250000000000001"/>
  </r>
  <r>
    <n v="209"/>
    <x v="13"/>
    <s v="West"/>
    <s v="Major Market"/>
    <s v="Chamomile"/>
    <s v="Herbal Tea"/>
    <s v="California"/>
    <s v="Decaf"/>
    <n v="80"/>
    <n v="120"/>
    <n v="100"/>
    <n v="200"/>
    <n v="95"/>
    <n v="809"/>
    <n v="137"/>
    <n v="26"/>
    <n v="148"/>
    <n v="247"/>
    <n v="1.2350000000000001"/>
    <n v="1.48"/>
    <n v="1.1875"/>
  </r>
  <r>
    <n v="559"/>
    <x v="13"/>
    <s v="West"/>
    <s v="Major Market"/>
    <s v="Lemon"/>
    <s v="Herbal Tea"/>
    <s v="California"/>
    <s v="Decaf"/>
    <n v="180"/>
    <n v="220"/>
    <n v="160"/>
    <n v="400"/>
    <n v="213"/>
    <n v="942"/>
    <n v="252"/>
    <n v="66"/>
    <n v="243"/>
    <n v="496"/>
    <n v="1.24"/>
    <n v="1.51875"/>
    <n v="1.1833333333333333"/>
  </r>
  <r>
    <n v="408"/>
    <x v="13"/>
    <s v="West"/>
    <s v="Major Market"/>
    <s v="Mint"/>
    <s v="Herbal Tea"/>
    <s v="California"/>
    <s v="Decaf"/>
    <n v="70"/>
    <n v="90"/>
    <n v="60"/>
    <n v="160"/>
    <n v="83"/>
    <n v="613"/>
    <n v="107"/>
    <n v="27"/>
    <n v="101"/>
    <n v="202"/>
    <n v="1.2625"/>
    <n v="1.6833333333333333"/>
    <n v="1.1857142857142857"/>
  </r>
  <r>
    <n v="805"/>
    <x v="13"/>
    <s v="West"/>
    <s v="Major Market"/>
    <s v="Darjeeling"/>
    <s v="Tea"/>
    <s v="California"/>
    <s v="Regular"/>
    <n v="60"/>
    <n v="100"/>
    <n v="90"/>
    <n v="160"/>
    <n v="99"/>
    <n v="766"/>
    <n v="144"/>
    <n v="27"/>
    <n v="157"/>
    <n v="259"/>
    <n v="1.6187499999999999"/>
    <n v="1.7444444444444445"/>
    <n v="1.65"/>
  </r>
  <r>
    <n v="707"/>
    <x v="13"/>
    <s v="West"/>
    <s v="Major Market"/>
    <s v="Earl Grey"/>
    <s v="Tea"/>
    <s v="California"/>
    <s v="Regular"/>
    <n v="50"/>
    <n v="70"/>
    <n v="60"/>
    <n v="120"/>
    <n v="77"/>
    <n v="449"/>
    <n v="112"/>
    <n v="21"/>
    <n v="119"/>
    <n v="201"/>
    <n v="1.675"/>
    <n v="1.9833333333333334"/>
    <n v="1.54"/>
  </r>
  <r>
    <n v="530"/>
    <x v="13"/>
    <s v="West"/>
    <s v="Major Market"/>
    <s v="Green Tea"/>
    <s v="Tea"/>
    <s v="California"/>
    <s v="Regular"/>
    <n v="40"/>
    <n v="80"/>
    <n v="50"/>
    <n v="120"/>
    <n v="75"/>
    <n v="549"/>
    <n v="114"/>
    <n v="24"/>
    <n v="86"/>
    <n v="201"/>
    <n v="1.675"/>
    <n v="1.72"/>
    <n v="1.875"/>
  </r>
  <r>
    <n v="707"/>
    <x v="13"/>
    <s v="West"/>
    <s v="Major Market"/>
    <s v="Decaf Espresso"/>
    <s v="Espresso"/>
    <s v="California"/>
    <s v="Decaf"/>
    <n v="220"/>
    <n v="300"/>
    <n v="200"/>
    <n v="520"/>
    <n v="234"/>
    <n v="1282"/>
    <n v="311"/>
    <n v="77"/>
    <n v="300"/>
    <n v="581"/>
    <n v="1.1173076923076923"/>
    <n v="1.5"/>
    <n v="1.0636363636363637"/>
  </r>
  <r>
    <n v="626"/>
    <x v="13"/>
    <s v="West"/>
    <s v="Major Market"/>
    <s v="Amaretto"/>
    <s v="Coffee"/>
    <s v="California"/>
    <s v="Regular"/>
    <n v="130"/>
    <n v="30"/>
    <n v="-20"/>
    <n v="160"/>
    <n v="104"/>
    <n v="685"/>
    <n v="28"/>
    <n v="33"/>
    <n v="-40"/>
    <n v="141"/>
    <n v="0.88124999999999998"/>
    <n v="2"/>
    <n v="0.8"/>
  </r>
  <r>
    <n v="213"/>
    <x v="13"/>
    <s v="West"/>
    <s v="Major Market"/>
    <s v="Columbian"/>
    <s v="Coffee"/>
    <s v="California"/>
    <s v="Regular"/>
    <n v="320"/>
    <n v="480"/>
    <n v="360"/>
    <n v="800"/>
    <n v="258"/>
    <n v="2067"/>
    <n v="387"/>
    <n v="90"/>
    <n v="364"/>
    <n v="687"/>
    <n v="0.85875000000000001"/>
    <n v="1.0111111111111111"/>
    <n v="0.80625000000000002"/>
  </r>
  <r>
    <n v="925"/>
    <x v="13"/>
    <s v="West"/>
    <s v="Major Market"/>
    <s v="Decaf Irish Cream"/>
    <s v="Coffee"/>
    <s v="California"/>
    <s v="Decaf"/>
    <n v="180"/>
    <n v="-30"/>
    <n v="-110"/>
    <n v="150"/>
    <n v="148"/>
    <n v="1071"/>
    <n v="-26"/>
    <n v="48"/>
    <n v="-174"/>
    <n v="130"/>
    <n v="0.8666666666666667"/>
    <n v="1.5818181818181818"/>
    <n v="0.82222222222222219"/>
  </r>
  <r>
    <n v="619"/>
    <x v="13"/>
    <s v="West"/>
    <s v="Major Market"/>
    <s v="Caffe Latte"/>
    <s v="Espresso"/>
    <s v="California"/>
    <s v="Regular"/>
    <n v="210"/>
    <n v="220"/>
    <n v="150"/>
    <n v="430"/>
    <n v="228"/>
    <n v="1436"/>
    <n v="229"/>
    <n v="63"/>
    <n v="211"/>
    <n v="487"/>
    <n v="1.1325581395348838"/>
    <n v="1.4066666666666667"/>
    <n v="1.0857142857142856"/>
  </r>
  <r>
    <n v="916"/>
    <x v="13"/>
    <s v="West"/>
    <s v="Major Market"/>
    <s v="Caffe Mocha"/>
    <s v="Espresso"/>
    <s v="California"/>
    <s v="Regular"/>
    <n v="110"/>
    <n v="160"/>
    <n v="30"/>
    <n v="270"/>
    <n v="121"/>
    <n v="712"/>
    <n v="169"/>
    <n v="110"/>
    <n v="39"/>
    <n v="309"/>
    <n v="1.1444444444444444"/>
    <n v="1.3"/>
    <n v="1.1000000000000001"/>
  </r>
  <r>
    <n v="702"/>
    <x v="13"/>
    <s v="West"/>
    <s v="Small Market"/>
    <s v="Chamomile"/>
    <s v="Herbal Tea"/>
    <s v="Nevada"/>
    <s v="Decaf"/>
    <n v="100"/>
    <n v="150"/>
    <n v="40"/>
    <n v="250"/>
    <n v="121"/>
    <n v="712"/>
    <n v="169"/>
    <n v="110"/>
    <n v="39"/>
    <n v="309"/>
    <n v="1.236"/>
    <n v="0.97499999999999998"/>
    <n v="1.21"/>
  </r>
  <r>
    <n v="775"/>
    <x v="13"/>
    <s v="West"/>
    <s v="Small Market"/>
    <s v="Lemon"/>
    <s v="Herbal Tea"/>
    <s v="Nevada"/>
    <s v="Decaf"/>
    <n v="120"/>
    <n v="190"/>
    <n v="120"/>
    <n v="310"/>
    <n v="148"/>
    <n v="844"/>
    <n v="206"/>
    <n v="48"/>
    <n v="171"/>
    <n v="377"/>
    <n v="1.2161290322580645"/>
    <n v="1.425"/>
    <n v="1.2333333333333334"/>
  </r>
  <r>
    <n v="775"/>
    <x v="13"/>
    <s v="West"/>
    <s v="Small Market"/>
    <s v="Mint"/>
    <s v="Herbal Tea"/>
    <s v="Nevada"/>
    <s v="Decaf"/>
    <n v="80"/>
    <n v="140"/>
    <n v="110"/>
    <n v="220"/>
    <n v="104"/>
    <n v="596"/>
    <n v="150"/>
    <n v="33"/>
    <n v="140"/>
    <n v="271"/>
    <n v="1.2318181818181819"/>
    <n v="1.2727272727272727"/>
    <n v="1.3"/>
  </r>
  <r>
    <n v="702"/>
    <x v="13"/>
    <s v="West"/>
    <s v="Small Market"/>
    <s v="Darjeeling"/>
    <s v="Tea"/>
    <s v="Nevada"/>
    <s v="Regular"/>
    <n v="150"/>
    <n v="220"/>
    <n v="150"/>
    <n v="370"/>
    <n v="234"/>
    <n v="1282"/>
    <n v="311"/>
    <n v="77"/>
    <n v="300"/>
    <n v="581"/>
    <n v="1.5702702702702702"/>
    <n v="2"/>
    <n v="1.56"/>
  </r>
  <r>
    <n v="775"/>
    <x v="13"/>
    <s v="West"/>
    <s v="Small Market"/>
    <s v="Earl Grey"/>
    <s v="Tea"/>
    <s v="Nevada"/>
    <s v="Regular"/>
    <n v="150"/>
    <n v="160"/>
    <n v="100"/>
    <n v="310"/>
    <n v="228"/>
    <n v="1436"/>
    <n v="229"/>
    <n v="63"/>
    <n v="211"/>
    <n v="487"/>
    <n v="1.5709677419354839"/>
    <n v="2.11"/>
    <n v="1.52"/>
  </r>
  <r>
    <n v="775"/>
    <x v="13"/>
    <s v="West"/>
    <s v="Small Market"/>
    <s v="Green Tea"/>
    <s v="Tea"/>
    <s v="Nevada"/>
    <s v="Regular"/>
    <n v="150"/>
    <n v="-150"/>
    <n v="-220"/>
    <n v="0"/>
    <n v="240"/>
    <n v="1937"/>
    <n v="-240"/>
    <n v="91"/>
    <n v="-508"/>
    <n v="25"/>
    <m/>
    <n v="2.3090909090909091"/>
    <n v="1.6"/>
  </r>
  <r>
    <n v="702"/>
    <x v="13"/>
    <s v="West"/>
    <s v="Small Market"/>
    <s v="Decaf Espresso"/>
    <s v="Espresso"/>
    <s v="Nevada"/>
    <s v="Decaf"/>
    <n v="10"/>
    <n v="30"/>
    <n v="20"/>
    <n v="40"/>
    <n v="19"/>
    <n v="774"/>
    <n v="28"/>
    <n v="5"/>
    <n v="16"/>
    <n v="50"/>
    <n v="1.25"/>
    <n v="0.8"/>
    <n v="1.9"/>
  </r>
  <r>
    <n v="702"/>
    <x v="13"/>
    <s v="West"/>
    <s v="Small Market"/>
    <s v="Columbian"/>
    <s v="Coffee"/>
    <s v="Nevada"/>
    <s v="Regular"/>
    <n v="40"/>
    <n v="50"/>
    <n v="10"/>
    <n v="90"/>
    <n v="33"/>
    <n v="193"/>
    <n v="41"/>
    <n v="12"/>
    <n v="-7"/>
    <n v="79"/>
    <n v="0.87777777777777777"/>
    <n v="-0.7"/>
    <n v="0.82499999999999996"/>
  </r>
  <r>
    <n v="775"/>
    <x v="13"/>
    <s v="West"/>
    <s v="Small Market"/>
    <s v="Decaf Irish Cream"/>
    <s v="Coffee"/>
    <s v="Nevada"/>
    <s v="Decaf"/>
    <n v="30"/>
    <n v="40"/>
    <n v="20"/>
    <n v="70"/>
    <n v="28"/>
    <n v="961"/>
    <n v="35"/>
    <n v="8"/>
    <n v="9"/>
    <n v="67"/>
    <n v="0.95714285714285718"/>
    <n v="0.45"/>
    <n v="0.93333333333333335"/>
  </r>
  <r>
    <n v="775"/>
    <x v="13"/>
    <s v="West"/>
    <s v="Small Market"/>
    <s v="Caffe Latte"/>
    <s v="Espresso"/>
    <s v="Nevada"/>
    <s v="Regular"/>
    <n v="0"/>
    <n v="40"/>
    <n v="30"/>
    <n v="40"/>
    <n v="0"/>
    <n v="774"/>
    <n v="43"/>
    <n v="0"/>
    <n v="46"/>
    <n v="46"/>
    <n v="1.1499999999999999"/>
    <n v="1.5333333333333334"/>
    <m/>
  </r>
  <r>
    <n v="775"/>
    <x v="13"/>
    <s v="West"/>
    <s v="Small Market"/>
    <s v="Caffe Mocha"/>
    <s v="Espresso"/>
    <s v="Nevada"/>
    <s v="Regular"/>
    <n v="10"/>
    <n v="30"/>
    <n v="20"/>
    <n v="40"/>
    <n v="18"/>
    <n v="818"/>
    <n v="27"/>
    <n v="5"/>
    <n v="15"/>
    <n v="48"/>
    <n v="1.2"/>
    <n v="0.75"/>
    <n v="1.8"/>
  </r>
  <r>
    <n v="503"/>
    <x v="13"/>
    <s v="West"/>
    <s v="Small Market"/>
    <s v="Chamomile"/>
    <s v="Herbal Tea"/>
    <s v="Oregon"/>
    <s v="Decaf"/>
    <n v="20"/>
    <n v="50"/>
    <n v="50"/>
    <n v="70"/>
    <n v="33"/>
    <n v="772"/>
    <n v="48"/>
    <n v="9"/>
    <n v="42"/>
    <n v="86"/>
    <n v="1.2285714285714286"/>
    <n v="0.84"/>
    <n v="1.65"/>
  </r>
  <r>
    <n v="503"/>
    <x v="13"/>
    <s v="West"/>
    <s v="Small Market"/>
    <s v="Lemon"/>
    <s v="Herbal Tea"/>
    <s v="Oregon"/>
    <s v="Decaf"/>
    <n v="30"/>
    <n v="50"/>
    <n v="30"/>
    <n v="80"/>
    <n v="44"/>
    <n v="618"/>
    <n v="56"/>
    <n v="14"/>
    <n v="45"/>
    <n v="107"/>
    <n v="1.3374999999999999"/>
    <n v="1.5"/>
    <n v="1.4666666666666666"/>
  </r>
  <r>
    <n v="503"/>
    <x v="13"/>
    <s v="West"/>
    <s v="Small Market"/>
    <s v="Darjeeling"/>
    <s v="Tea"/>
    <s v="Oregon"/>
    <s v="Regular"/>
    <n v="10"/>
    <n v="20"/>
    <n v="20"/>
    <n v="30"/>
    <n v="22"/>
    <n v="452"/>
    <n v="34"/>
    <n v="6"/>
    <n v="25"/>
    <n v="60"/>
    <n v="2"/>
    <n v="1.25"/>
    <n v="2.2000000000000002"/>
  </r>
  <r>
    <n v="503"/>
    <x v="13"/>
    <s v="West"/>
    <s v="Small Market"/>
    <s v="Earl Grey"/>
    <s v="Tea"/>
    <s v="Oregon"/>
    <s v="Regular"/>
    <n v="50"/>
    <n v="80"/>
    <n v="50"/>
    <n v="130"/>
    <n v="80"/>
    <n v="640"/>
    <n v="120"/>
    <n v="26"/>
    <n v="92"/>
    <n v="213"/>
    <n v="1.6384615384615384"/>
    <n v="1.84"/>
    <n v="1.6"/>
  </r>
  <r>
    <n v="971"/>
    <x v="13"/>
    <s v="West"/>
    <s v="Small Market"/>
    <s v="Green Tea"/>
    <s v="Tea"/>
    <s v="Oregon"/>
    <s v="Regular"/>
    <n v="50"/>
    <n v="90"/>
    <n v="60"/>
    <n v="140"/>
    <n v="86"/>
    <n v="490"/>
    <n v="120"/>
    <n v="26"/>
    <n v="105"/>
    <n v="220"/>
    <n v="1.5714285714285714"/>
    <n v="1.75"/>
    <n v="1.72"/>
  </r>
  <r>
    <n v="503"/>
    <x v="13"/>
    <s v="West"/>
    <s v="Small Market"/>
    <s v="Decaf Espresso"/>
    <s v="Espresso"/>
    <s v="Oregon"/>
    <s v="Decaf"/>
    <n v="160"/>
    <n v="160"/>
    <n v="100"/>
    <n v="320"/>
    <n v="170"/>
    <n v="1073"/>
    <n v="170"/>
    <n v="47"/>
    <n v="147"/>
    <n v="362"/>
    <n v="1.1312500000000001"/>
    <n v="1.47"/>
    <n v="1.0625"/>
  </r>
  <r>
    <n v="541"/>
    <x v="13"/>
    <s v="West"/>
    <s v="Small Market"/>
    <s v="Amaretto"/>
    <s v="Coffee"/>
    <s v="Oregon"/>
    <s v="Regular"/>
    <n v="60"/>
    <n v="100"/>
    <n v="40"/>
    <n v="160"/>
    <n v="54"/>
    <n v="427"/>
    <n v="75"/>
    <n v="49"/>
    <n v="-6"/>
    <n v="137"/>
    <n v="0.85624999999999996"/>
    <n v="-0.15"/>
    <n v="0.9"/>
  </r>
  <r>
    <n v="503"/>
    <x v="13"/>
    <s v="West"/>
    <s v="Small Market"/>
    <s v="Columbian"/>
    <s v="Coffee"/>
    <s v="Oregon"/>
    <s v="Regular"/>
    <n v="80"/>
    <n v="110"/>
    <n v="50"/>
    <n v="190"/>
    <n v="65"/>
    <n v="392"/>
    <n v="90"/>
    <n v="21"/>
    <n v="37"/>
    <n v="165"/>
    <n v="0.86842105263157898"/>
    <n v="0.74"/>
    <n v="0.8125"/>
  </r>
  <r>
    <n v="971"/>
    <x v="13"/>
    <s v="West"/>
    <s v="Small Market"/>
    <s v="Decaf Irish Cream"/>
    <s v="Coffee"/>
    <s v="Oregon"/>
    <s v="Decaf"/>
    <n v="60"/>
    <n v="100"/>
    <n v="70"/>
    <n v="160"/>
    <n v="52"/>
    <n v="357"/>
    <n v="76"/>
    <n v="16"/>
    <n v="56"/>
    <n v="136"/>
    <n v="0.85"/>
    <n v="0.8"/>
    <n v="0.8666666666666667"/>
  </r>
  <r>
    <n v="541"/>
    <x v="13"/>
    <s v="West"/>
    <s v="Small Market"/>
    <s v="Caffe Latte"/>
    <s v="Espresso"/>
    <s v="Oregon"/>
    <s v="Regular"/>
    <n v="50"/>
    <n v="70"/>
    <n v="20"/>
    <n v="120"/>
    <n v="59"/>
    <n v="331"/>
    <n v="73"/>
    <n v="22"/>
    <n v="27"/>
    <n v="141"/>
    <n v="1.175"/>
    <n v="1.35"/>
    <n v="1.18"/>
  </r>
  <r>
    <n v="541"/>
    <x v="13"/>
    <s v="West"/>
    <s v="Small Market"/>
    <s v="Caffe Mocha"/>
    <s v="Espresso"/>
    <s v="Oregon"/>
    <s v="Regular"/>
    <n v="50"/>
    <n v="80"/>
    <n v="50"/>
    <n v="130"/>
    <n v="60"/>
    <n v="329"/>
    <n v="80"/>
    <n v="19"/>
    <n v="49"/>
    <n v="149"/>
    <n v="1.1461538461538461"/>
    <n v="0.98"/>
    <n v="1.2"/>
  </r>
  <r>
    <n v="206"/>
    <x v="13"/>
    <s v="West"/>
    <s v="Small Market"/>
    <s v="Chamomile"/>
    <s v="Herbal Tea"/>
    <s v="Washington"/>
    <s v="Decaf"/>
    <n v="110"/>
    <n v="170"/>
    <n v="120"/>
    <n v="280"/>
    <n v="130"/>
    <n v="945"/>
    <n v="195"/>
    <n v="42"/>
    <n v="180"/>
    <n v="346"/>
    <n v="1.2357142857142858"/>
    <n v="1.5"/>
    <n v="1.1818181818181819"/>
  </r>
  <r>
    <n v="509"/>
    <x v="13"/>
    <s v="West"/>
    <s v="Small Market"/>
    <s v="Lemon"/>
    <s v="Herbal Tea"/>
    <s v="Washington"/>
    <s v="Decaf"/>
    <n v="30"/>
    <n v="50"/>
    <n v="50"/>
    <n v="80"/>
    <n v="38"/>
    <n v="772"/>
    <n v="56"/>
    <n v="10"/>
    <n v="50"/>
    <n v="100"/>
    <n v="1.25"/>
    <n v="1"/>
    <n v="1.2666666666666666"/>
  </r>
  <r>
    <n v="206"/>
    <x v="13"/>
    <s v="West"/>
    <s v="Small Market"/>
    <s v="Darjeeling"/>
    <s v="Tea"/>
    <s v="Washington"/>
    <s v="Regular"/>
    <n v="40"/>
    <n v="70"/>
    <n v="40"/>
    <n v="110"/>
    <n v="65"/>
    <n v="372"/>
    <n v="109"/>
    <n v="20"/>
    <n v="98"/>
    <n v="185"/>
    <n v="1.6818181818181819"/>
    <n v="2.4500000000000002"/>
    <n v="1.625"/>
  </r>
  <r>
    <n v="425"/>
    <x v="13"/>
    <s v="West"/>
    <s v="Small Market"/>
    <s v="Earl Grey"/>
    <s v="Tea"/>
    <s v="Washington"/>
    <s v="Regular"/>
    <n v="30"/>
    <n v="60"/>
    <n v="40"/>
    <n v="90"/>
    <n v="56"/>
    <n v="382"/>
    <n v="81"/>
    <n v="17"/>
    <n v="61"/>
    <n v="146"/>
    <n v="1.6222222222222222"/>
    <n v="1.5249999999999999"/>
    <n v="1.8666666666666667"/>
  </r>
  <r>
    <n v="425"/>
    <x v="13"/>
    <s v="West"/>
    <s v="Small Market"/>
    <s v="Green Tea"/>
    <s v="Tea"/>
    <s v="Washington"/>
    <s v="Regular"/>
    <n v="40"/>
    <n v="60"/>
    <n v="10"/>
    <n v="100"/>
    <n v="65"/>
    <n v="513"/>
    <n v="90"/>
    <n v="58"/>
    <n v="4"/>
    <n v="165"/>
    <n v="1.65"/>
    <n v="0.4"/>
    <n v="1.625"/>
  </r>
  <r>
    <n v="253"/>
    <x v="13"/>
    <s v="West"/>
    <s v="Small Market"/>
    <s v="Caffe Latte"/>
    <s v="Espresso"/>
    <s v="Washington"/>
    <s v="Regular"/>
    <n v="40"/>
    <n v="60"/>
    <n v="40"/>
    <n v="100"/>
    <n v="48"/>
    <n v="617"/>
    <n v="62"/>
    <n v="15"/>
    <n v="52"/>
    <n v="117"/>
    <n v="1.17"/>
    <n v="1.3"/>
    <n v="1.2"/>
  </r>
  <r>
    <n v="206"/>
    <x v="13"/>
    <s v="West"/>
    <s v="Small Market"/>
    <s v="Caffe Mocha"/>
    <s v="Espresso"/>
    <s v="Washington"/>
    <s v="Regular"/>
    <n v="50"/>
    <n v="60"/>
    <n v="20"/>
    <n v="110"/>
    <n v="53"/>
    <n v="306"/>
    <n v="65"/>
    <n v="20"/>
    <n v="18"/>
    <n v="126"/>
    <n v="1.1454545454545455"/>
    <n v="0.9"/>
    <n v="1.06"/>
  </r>
  <r>
    <n v="425"/>
    <x v="13"/>
    <s v="West"/>
    <s v="Small Market"/>
    <s v="Decaf Espresso"/>
    <s v="Espresso"/>
    <s v="Washington"/>
    <s v="Decaf"/>
    <n v="60"/>
    <n v="80"/>
    <n v="60"/>
    <n v="140"/>
    <n v="70"/>
    <n v="957"/>
    <n v="84"/>
    <n v="21"/>
    <n v="61"/>
    <n v="164"/>
    <n v="1.1714285714285715"/>
    <n v="1.0166666666666666"/>
    <n v="1.1666666666666667"/>
  </r>
  <r>
    <n v="360"/>
    <x v="13"/>
    <s v="West"/>
    <s v="Small Market"/>
    <s v="Columbian"/>
    <s v="Coffee"/>
    <s v="Washington"/>
    <s v="Regular"/>
    <n v="70"/>
    <n v="100"/>
    <n v="70"/>
    <n v="170"/>
    <n v="58"/>
    <n v="331"/>
    <n v="84"/>
    <n v="18"/>
    <n v="65"/>
    <n v="151"/>
    <n v="0.88823529411764701"/>
    <n v="0.9285714285714286"/>
    <n v="0.82857142857142863"/>
  </r>
  <r>
    <n v="253"/>
    <x v="13"/>
    <s v="West"/>
    <s v="Small Market"/>
    <s v="Decaf Irish Cream"/>
    <s v="Coffee"/>
    <s v="Washington"/>
    <s v="Decaf"/>
    <n v="110"/>
    <n v="160"/>
    <n v="60"/>
    <n v="270"/>
    <n v="92"/>
    <n v="541"/>
    <n v="128"/>
    <n v="83"/>
    <n v="22"/>
    <n v="234"/>
    <n v="0.8666666666666667"/>
    <n v="0.36666666666666664"/>
    <n v="0.83636363636363631"/>
  </r>
  <r>
    <n v="970"/>
    <x v="14"/>
    <s v="Central"/>
    <s v="Major Market"/>
    <s v="Chamomile"/>
    <s v="Herbal Tea"/>
    <s v="Colorado"/>
    <s v="Decaf"/>
    <n v="130"/>
    <n v="150"/>
    <n v="100"/>
    <n v="280"/>
    <n v="162"/>
    <n v="1059"/>
    <n v="163"/>
    <n v="45"/>
    <n v="140"/>
    <n v="346"/>
    <n v="1.2357142857142858"/>
    <n v="1.4"/>
    <n v="1.2461538461538462"/>
  </r>
  <r>
    <n v="303"/>
    <x v="14"/>
    <s v="Central"/>
    <s v="Major Market"/>
    <s v="Lemon"/>
    <s v="Herbal Tea"/>
    <s v="Colorado"/>
    <s v="Decaf"/>
    <n v="40"/>
    <n v="70"/>
    <n v="20"/>
    <n v="110"/>
    <n v="52"/>
    <n v="421"/>
    <n v="73"/>
    <n v="47"/>
    <n v="-6"/>
    <n v="133"/>
    <n v="1.209090909090909"/>
    <n v="-0.3"/>
    <n v="1.3"/>
  </r>
  <r>
    <n v="970"/>
    <x v="14"/>
    <s v="Central"/>
    <s v="Major Market"/>
    <s v="Mint"/>
    <s v="Herbal Tea"/>
    <s v="Colorado"/>
    <s v="Decaf"/>
    <n v="40"/>
    <n v="70"/>
    <n v="40"/>
    <n v="110"/>
    <n v="57"/>
    <n v="323"/>
    <n v="77"/>
    <n v="18"/>
    <n v="46"/>
    <n v="143"/>
    <n v="1.3"/>
    <n v="1.1499999999999999"/>
    <n v="1.425"/>
  </r>
  <r>
    <n v="970"/>
    <x v="14"/>
    <s v="Central"/>
    <s v="Major Market"/>
    <s v="Darjeeling"/>
    <s v="Tea"/>
    <s v="Colorado"/>
    <s v="Regular"/>
    <n v="40"/>
    <n v="70"/>
    <n v="20"/>
    <n v="110"/>
    <n v="58"/>
    <n v="325"/>
    <n v="71"/>
    <n v="22"/>
    <n v="24"/>
    <n v="137"/>
    <n v="1.2454545454545454"/>
    <n v="1.2"/>
    <n v="1.45"/>
  </r>
  <r>
    <n v="970"/>
    <x v="14"/>
    <s v="Central"/>
    <s v="Major Market"/>
    <s v="Earl Grey"/>
    <s v="Tea"/>
    <s v="Colorado"/>
    <s v="Regular"/>
    <n v="50"/>
    <n v="60"/>
    <n v="30"/>
    <n v="110"/>
    <n v="62"/>
    <n v="952"/>
    <n v="73"/>
    <n v="19"/>
    <n v="47"/>
    <n v="144"/>
    <n v="1.3090909090909091"/>
    <n v="1.5666666666666667"/>
    <n v="1.24"/>
  </r>
  <r>
    <n v="719"/>
    <x v="14"/>
    <s v="Central"/>
    <s v="Major Market"/>
    <s v="Green Tea"/>
    <s v="Tea"/>
    <s v="Colorado"/>
    <s v="Regular"/>
    <n v="30"/>
    <n v="50"/>
    <n v="30"/>
    <n v="80"/>
    <n v="43"/>
    <n v="613"/>
    <n v="55"/>
    <n v="14"/>
    <n v="43"/>
    <n v="104"/>
    <n v="1.3"/>
    <n v="1.4333333333333333"/>
    <n v="1.4333333333333333"/>
  </r>
  <r>
    <n v="720"/>
    <x v="14"/>
    <s v="Central"/>
    <s v="Major Market"/>
    <s v="Caffe Mocha"/>
    <s v="Espresso"/>
    <s v="Colorado"/>
    <s v="Regular"/>
    <n v="90"/>
    <n v="140"/>
    <n v="110"/>
    <n v="230"/>
    <n v="81"/>
    <n v="441"/>
    <n v="117"/>
    <n v="22"/>
    <n v="125"/>
    <n v="211"/>
    <n v="0.91739130434782612"/>
    <n v="1.1363636363636365"/>
    <n v="0.9"/>
  </r>
  <r>
    <n v="970"/>
    <x v="14"/>
    <s v="Central"/>
    <s v="Major Market"/>
    <s v="Decaf Espresso"/>
    <s v="Espresso"/>
    <s v="Colorado"/>
    <s v="Decaf"/>
    <n v="80"/>
    <n v="130"/>
    <n v="80"/>
    <n v="210"/>
    <n v="72"/>
    <n v="541"/>
    <n v="108"/>
    <n v="23"/>
    <n v="80"/>
    <n v="192"/>
    <n v="0.91428571428571426"/>
    <n v="1"/>
    <n v="0.9"/>
  </r>
  <r>
    <n v="303"/>
    <x v="14"/>
    <s v="Central"/>
    <s v="Major Market"/>
    <s v="Amaretto"/>
    <s v="Coffee"/>
    <s v="Colorado"/>
    <s v="Regular"/>
    <n v="90"/>
    <n v="130"/>
    <n v="100"/>
    <n v="220"/>
    <n v="87"/>
    <n v="756"/>
    <n v="126"/>
    <n v="24"/>
    <n v="134"/>
    <n v="227"/>
    <n v="1.0318181818181817"/>
    <n v="1.34"/>
    <n v="0.96666666666666667"/>
  </r>
  <r>
    <n v="970"/>
    <x v="14"/>
    <s v="Central"/>
    <s v="Major Market"/>
    <s v="Columbian"/>
    <s v="Coffee"/>
    <s v="Colorado"/>
    <s v="Regular"/>
    <n v="80"/>
    <n v="120"/>
    <n v="90"/>
    <n v="200"/>
    <n v="84"/>
    <n v="603"/>
    <n v="109"/>
    <n v="27"/>
    <n v="102"/>
    <n v="206"/>
    <n v="1.03"/>
    <n v="1.1333333333333333"/>
    <n v="1.05"/>
  </r>
  <r>
    <n v="303"/>
    <x v="14"/>
    <s v="Central"/>
    <s v="Major Market"/>
    <s v="Decaf Irish Cream"/>
    <s v="Coffee"/>
    <s v="Colorado"/>
    <s v="Decaf"/>
    <n v="100"/>
    <n v="140"/>
    <n v="110"/>
    <n v="240"/>
    <n v="95"/>
    <n v="799"/>
    <n v="139"/>
    <n v="26"/>
    <n v="150"/>
    <n v="249"/>
    <n v="1.0375000000000001"/>
    <n v="1.3636363636363635"/>
    <n v="0.95"/>
  </r>
  <r>
    <n v="312"/>
    <x v="14"/>
    <s v="Central"/>
    <s v="Major Market"/>
    <s v="Chamomile"/>
    <s v="Herbal Tea"/>
    <s v="Illinois"/>
    <s v="Decaf"/>
    <n v="70"/>
    <n v="110"/>
    <n v="90"/>
    <n v="180"/>
    <n v="87"/>
    <n v="756"/>
    <n v="126"/>
    <n v="24"/>
    <n v="135"/>
    <n v="227"/>
    <n v="1.2611111111111111"/>
    <n v="1.5"/>
    <n v="1.2428571428571429"/>
  </r>
  <r>
    <n v="630"/>
    <x v="14"/>
    <s v="Central"/>
    <s v="Major Market"/>
    <s v="Lemon"/>
    <s v="Herbal Tea"/>
    <s v="Illinois"/>
    <s v="Decaf"/>
    <n v="70"/>
    <n v="90"/>
    <n v="60"/>
    <n v="160"/>
    <n v="84"/>
    <n v="603"/>
    <n v="109"/>
    <n v="27"/>
    <n v="104"/>
    <n v="206"/>
    <n v="1.2875000000000001"/>
    <n v="1.7333333333333334"/>
    <n v="1.2"/>
  </r>
  <r>
    <n v="309"/>
    <x v="14"/>
    <s v="Central"/>
    <s v="Major Market"/>
    <s v="Mint"/>
    <s v="Herbal Tea"/>
    <s v="Illinois"/>
    <s v="Decaf"/>
    <n v="80"/>
    <n v="120"/>
    <n v="100"/>
    <n v="200"/>
    <n v="95"/>
    <n v="799"/>
    <n v="139"/>
    <n v="26"/>
    <n v="151"/>
    <n v="249"/>
    <n v="1.2450000000000001"/>
    <n v="1.51"/>
    <n v="1.1875"/>
  </r>
  <r>
    <n v="708"/>
    <x v="14"/>
    <s v="Central"/>
    <s v="Major Market"/>
    <s v="Darjeeling"/>
    <s v="Tea"/>
    <s v="Illinois"/>
    <s v="Regular"/>
    <n v="60"/>
    <n v="110"/>
    <n v="80"/>
    <n v="170"/>
    <n v="81"/>
    <n v="441"/>
    <n v="117"/>
    <n v="22"/>
    <n v="125"/>
    <n v="211"/>
    <n v="1.2411764705882353"/>
    <n v="1.5625"/>
    <n v="1.35"/>
  </r>
  <r>
    <n v="815"/>
    <x v="14"/>
    <s v="Central"/>
    <s v="Major Market"/>
    <s v="Earl Grey"/>
    <s v="Tea"/>
    <s v="Illinois"/>
    <s v="Regular"/>
    <n v="60"/>
    <n v="90"/>
    <n v="40"/>
    <n v="150"/>
    <n v="72"/>
    <n v="541"/>
    <n v="108"/>
    <n v="23"/>
    <n v="79"/>
    <n v="192"/>
    <n v="1.28"/>
    <n v="1.9750000000000001"/>
    <n v="1.2"/>
  </r>
  <r>
    <n v="217"/>
    <x v="14"/>
    <s v="Central"/>
    <s v="Major Market"/>
    <s v="Caffe Mocha"/>
    <s v="Espresso"/>
    <s v="Illinois"/>
    <s v="Regular"/>
    <n v="280"/>
    <n v="380"/>
    <n v="260"/>
    <n v="660"/>
    <n v="243"/>
    <n v="1260"/>
    <n v="324"/>
    <n v="80"/>
    <n v="313"/>
    <n v="604"/>
    <n v="0.91515151515151516"/>
    <n v="1.2038461538461538"/>
    <n v="0.86785714285714288"/>
  </r>
  <r>
    <n v="630"/>
    <x v="14"/>
    <s v="Central"/>
    <s v="Major Market"/>
    <s v="Decaf Espresso"/>
    <s v="Espresso"/>
    <s v="Illinois"/>
    <s v="Decaf"/>
    <n v="270"/>
    <n v="290"/>
    <n v="200"/>
    <n v="560"/>
    <n v="239"/>
    <n v="1417"/>
    <n v="239"/>
    <n v="66"/>
    <n v="220"/>
    <n v="509"/>
    <n v="0.90892857142857142"/>
    <n v="1.1000000000000001"/>
    <n v="0.88518518518518519"/>
  </r>
  <r>
    <n v="773"/>
    <x v="14"/>
    <s v="Central"/>
    <s v="Major Market"/>
    <s v="Columbian"/>
    <s v="Coffee"/>
    <s v="Illinois"/>
    <s v="Regular"/>
    <n v="160"/>
    <n v="220"/>
    <n v="140"/>
    <n v="380"/>
    <n v="154"/>
    <n v="829"/>
    <n v="213"/>
    <n v="50"/>
    <n v="177"/>
    <n v="391"/>
    <n v="1.0289473684210526"/>
    <n v="1.2642857142857142"/>
    <n v="0.96250000000000002"/>
  </r>
  <r>
    <n v="815"/>
    <x v="14"/>
    <s v="Central"/>
    <s v="Major Market"/>
    <s v="Decaf Irish Cream"/>
    <s v="Coffee"/>
    <s v="Illinois"/>
    <s v="Decaf"/>
    <n v="110"/>
    <n v="170"/>
    <n v="120"/>
    <n v="280"/>
    <n v="109"/>
    <n v="585"/>
    <n v="158"/>
    <n v="34"/>
    <n v="151"/>
    <n v="285"/>
    <n v="1.0178571428571428"/>
    <n v="1.2583333333333333"/>
    <n v="0.99090909090909096"/>
  </r>
  <r>
    <n v="563"/>
    <x v="14"/>
    <s v="Central"/>
    <s v="Small Market"/>
    <s v="Chamomile"/>
    <s v="Herbal Tea"/>
    <s v="Iowa"/>
    <s v="Decaf"/>
    <n v="200"/>
    <n v="290"/>
    <n v="210"/>
    <n v="490"/>
    <n v="243"/>
    <n v="1260"/>
    <n v="324"/>
    <n v="80"/>
    <n v="315"/>
    <n v="604"/>
    <n v="1.2326530612244897"/>
    <n v="1.5"/>
    <n v="1.2150000000000001"/>
  </r>
  <r>
    <n v="641"/>
    <x v="14"/>
    <s v="Central"/>
    <s v="Small Market"/>
    <s v="Lemon"/>
    <s v="Herbal Tea"/>
    <s v="Iowa"/>
    <s v="Decaf"/>
    <n v="90"/>
    <n v="140"/>
    <n v="110"/>
    <n v="230"/>
    <n v="109"/>
    <n v="585"/>
    <n v="158"/>
    <n v="34"/>
    <n v="151"/>
    <n v="285"/>
    <n v="1.2391304347826086"/>
    <n v="1.3727272727272728"/>
    <n v="1.211111111111111"/>
  </r>
  <r>
    <n v="712"/>
    <x v="14"/>
    <s v="Central"/>
    <s v="Small Market"/>
    <s v="Darjeeling"/>
    <s v="Tea"/>
    <s v="Iowa"/>
    <s v="Regular"/>
    <n v="200"/>
    <n v="220"/>
    <n v="140"/>
    <n v="420"/>
    <n v="239"/>
    <n v="1417"/>
    <n v="239"/>
    <n v="66"/>
    <n v="220"/>
    <n v="509"/>
    <n v="1.2119047619047618"/>
    <n v="1.5714285714285714"/>
    <n v="1.1950000000000001"/>
  </r>
  <r>
    <n v="563"/>
    <x v="14"/>
    <s v="Central"/>
    <s v="Small Market"/>
    <s v="Earl Grey"/>
    <s v="Tea"/>
    <s v="Iowa"/>
    <s v="Regular"/>
    <n v="210"/>
    <n v="270"/>
    <n v="160"/>
    <n v="480"/>
    <n v="245"/>
    <n v="1369"/>
    <n v="301"/>
    <n v="93"/>
    <n v="260"/>
    <n v="582"/>
    <n v="1.2124999999999999"/>
    <n v="1.625"/>
    <n v="1.1666666666666667"/>
  </r>
  <r>
    <n v="515"/>
    <x v="14"/>
    <s v="Central"/>
    <s v="Small Market"/>
    <s v="Caffe Mocha"/>
    <s v="Espresso"/>
    <s v="Iowa"/>
    <s v="Regular"/>
    <n v="10"/>
    <n v="30"/>
    <n v="20"/>
    <n v="40"/>
    <n v="16"/>
    <n v="772"/>
    <n v="25"/>
    <n v="4"/>
    <n v="13"/>
    <n v="44"/>
    <n v="1.1000000000000001"/>
    <n v="0.65"/>
    <n v="1.6"/>
  </r>
  <r>
    <n v="712"/>
    <x v="14"/>
    <s v="Central"/>
    <s v="Small Market"/>
    <s v="Decaf Espresso"/>
    <s v="Espresso"/>
    <s v="Iowa"/>
    <s v="Decaf"/>
    <n v="0"/>
    <n v="50"/>
    <n v="40"/>
    <n v="50"/>
    <n v="0"/>
    <n v="731"/>
    <n v="43"/>
    <n v="0"/>
    <n v="47"/>
    <n v="46"/>
    <n v="0.92"/>
    <n v="1.175"/>
    <m/>
  </r>
  <r>
    <n v="712"/>
    <x v="14"/>
    <s v="Central"/>
    <s v="Small Market"/>
    <s v="Amaretto"/>
    <s v="Coffee"/>
    <s v="Iowa"/>
    <s v="Regular"/>
    <n v="10"/>
    <n v="30"/>
    <n v="20"/>
    <n v="40"/>
    <n v="18"/>
    <n v="816"/>
    <n v="27"/>
    <n v="5"/>
    <n v="15"/>
    <n v="48"/>
    <n v="1.2"/>
    <n v="0.75"/>
    <n v="1.8"/>
  </r>
  <r>
    <n v="515"/>
    <x v="14"/>
    <s v="Central"/>
    <s v="Small Market"/>
    <s v="Columbian"/>
    <s v="Coffee"/>
    <s v="Iowa"/>
    <s v="Regular"/>
    <n v="20"/>
    <n v="40"/>
    <n v="20"/>
    <n v="60"/>
    <n v="28"/>
    <n v="958"/>
    <n v="35"/>
    <n v="8"/>
    <n v="9"/>
    <n v="67"/>
    <n v="1.1166666666666667"/>
    <n v="0.45"/>
    <n v="1.4"/>
  </r>
  <r>
    <n v="319"/>
    <x v="14"/>
    <s v="Central"/>
    <s v="Small Market"/>
    <s v="Decaf Irish Cream"/>
    <s v="Coffee"/>
    <s v="Iowa"/>
    <s v="Decaf"/>
    <n v="20"/>
    <n v="30"/>
    <n v="20"/>
    <n v="50"/>
    <n v="23"/>
    <n v="617"/>
    <n v="31"/>
    <n v="7"/>
    <n v="18"/>
    <n v="58"/>
    <n v="1.1599999999999999"/>
    <n v="0.9"/>
    <n v="1.1499999999999999"/>
  </r>
  <r>
    <n v="417"/>
    <x v="14"/>
    <s v="Central"/>
    <s v="Small Market"/>
    <s v="Chamomile"/>
    <s v="Herbal Tea"/>
    <s v="Missouri"/>
    <s v="Decaf"/>
    <n v="30"/>
    <n v="60"/>
    <n v="10"/>
    <n v="90"/>
    <n v="44"/>
    <n v="251"/>
    <n v="63"/>
    <n v="40"/>
    <n v="-9"/>
    <n v="114"/>
    <n v="1.2666666666666666"/>
    <n v="-0.9"/>
    <n v="1.4666666666666666"/>
  </r>
  <r>
    <n v="816"/>
    <x v="14"/>
    <s v="Central"/>
    <s v="Small Market"/>
    <s v="Lemon"/>
    <s v="Herbal Tea"/>
    <s v="Missouri"/>
    <s v="Decaf"/>
    <n v="70"/>
    <n v="20"/>
    <n v="-10"/>
    <n v="90"/>
    <n v="88"/>
    <n v="715"/>
    <n v="18"/>
    <n v="27"/>
    <n v="-47"/>
    <n v="113"/>
    <n v="1.2555555555555555"/>
    <n v="4.7"/>
    <n v="1.2571428571428571"/>
  </r>
  <r>
    <n v="314"/>
    <x v="14"/>
    <s v="Central"/>
    <s v="Small Market"/>
    <s v="Darjeeling"/>
    <s v="Tea"/>
    <s v="Missouri"/>
    <s v="Regular"/>
    <n v="30"/>
    <n v="40"/>
    <n v="10"/>
    <n v="70"/>
    <n v="36"/>
    <n v="187"/>
    <n v="49"/>
    <n v="11"/>
    <n v="16"/>
    <n v="91"/>
    <n v="1.3"/>
    <n v="1.6"/>
    <n v="1.2"/>
  </r>
  <r>
    <n v="660"/>
    <x v="14"/>
    <s v="Central"/>
    <s v="Small Market"/>
    <s v="Earl Grey"/>
    <s v="Tea"/>
    <s v="Missouri"/>
    <s v="Regular"/>
    <n v="20"/>
    <n v="40"/>
    <n v="0"/>
    <n v="60"/>
    <n v="33"/>
    <n v="162"/>
    <n v="42"/>
    <n v="12"/>
    <n v="-4"/>
    <n v="80"/>
    <n v="1.3333333333333333"/>
    <m/>
    <n v="1.65"/>
  </r>
  <r>
    <n v="636"/>
    <x v="14"/>
    <s v="Central"/>
    <s v="Small Market"/>
    <s v="Green Tea"/>
    <s v="Tea"/>
    <s v="Missouri"/>
    <s v="Regular"/>
    <n v="20"/>
    <n v="40"/>
    <n v="0"/>
    <n v="60"/>
    <n v="33"/>
    <n v="190"/>
    <n v="42"/>
    <n v="12"/>
    <n v="-6"/>
    <n v="80"/>
    <n v="1.3333333333333333"/>
    <m/>
    <n v="1.65"/>
  </r>
  <r>
    <n v="573"/>
    <x v="14"/>
    <s v="Central"/>
    <s v="Small Market"/>
    <s v="Caffe Mocha"/>
    <s v="Espresso"/>
    <s v="Missouri"/>
    <s v="Regular"/>
    <n v="50"/>
    <n v="90"/>
    <n v="70"/>
    <n v="140"/>
    <n v="49"/>
    <n v="809"/>
    <n v="72"/>
    <n v="13"/>
    <n v="70"/>
    <n v="129"/>
    <n v="0.92142857142857137"/>
    <n v="1"/>
    <n v="0.98"/>
  </r>
  <r>
    <n v="573"/>
    <x v="14"/>
    <s v="Central"/>
    <s v="Small Market"/>
    <s v="Decaf Espresso"/>
    <s v="Espresso"/>
    <s v="Missouri"/>
    <s v="Decaf"/>
    <n v="50"/>
    <n v="80"/>
    <n v="60"/>
    <n v="130"/>
    <n v="48"/>
    <n v="766"/>
    <n v="70"/>
    <n v="13"/>
    <n v="67"/>
    <n v="126"/>
    <n v="0.96923076923076923"/>
    <n v="1.1166666666666667"/>
    <n v="0.96"/>
  </r>
  <r>
    <n v="314"/>
    <x v="14"/>
    <s v="Central"/>
    <s v="Small Market"/>
    <s v="Columbian"/>
    <s v="Coffee"/>
    <s v="Missouri"/>
    <s v="Regular"/>
    <n v="90"/>
    <n v="100"/>
    <n v="40"/>
    <n v="190"/>
    <n v="85"/>
    <n v="476"/>
    <n v="104"/>
    <n v="32"/>
    <n v="58"/>
    <n v="201"/>
    <n v="1.0578947368421052"/>
    <n v="1.45"/>
    <n v="0.94444444444444442"/>
  </r>
  <r>
    <n v="314"/>
    <x v="14"/>
    <s v="Central"/>
    <s v="Small Market"/>
    <s v="Decaf Irish Cream"/>
    <s v="Coffee"/>
    <s v="Missouri"/>
    <s v="Decaf"/>
    <n v="70"/>
    <n v="100"/>
    <n v="60"/>
    <n v="170"/>
    <n v="74"/>
    <n v="949"/>
    <n v="89"/>
    <n v="22"/>
    <n v="67"/>
    <n v="174"/>
    <n v="1.0235294117647058"/>
    <n v="1.1166666666666667"/>
    <n v="1.0571428571428572"/>
  </r>
  <r>
    <n v="234"/>
    <x v="14"/>
    <s v="Central"/>
    <s v="Major Market"/>
    <s v="Chamomile"/>
    <s v="Herbal Tea"/>
    <s v="Ohio"/>
    <s v="Decaf"/>
    <n v="10"/>
    <n v="30"/>
    <n v="30"/>
    <n v="40"/>
    <n v="21"/>
    <n v="449"/>
    <n v="32"/>
    <n v="5"/>
    <n v="22"/>
    <n v="56"/>
    <n v="1.4"/>
    <n v="0.73333333333333328"/>
    <n v="2.1"/>
  </r>
  <r>
    <n v="513"/>
    <x v="14"/>
    <s v="Central"/>
    <s v="Major Market"/>
    <s v="Lemon"/>
    <s v="Herbal Tea"/>
    <s v="Ohio"/>
    <s v="Decaf"/>
    <n v="20"/>
    <n v="40"/>
    <n v="40"/>
    <n v="60"/>
    <n v="32"/>
    <n v="813"/>
    <n v="47"/>
    <n v="8"/>
    <n v="42"/>
    <n v="84"/>
    <n v="1.4"/>
    <n v="1.05"/>
    <n v="1.6"/>
  </r>
  <r>
    <n v="513"/>
    <x v="14"/>
    <s v="Central"/>
    <s v="Major Market"/>
    <s v="Darjeeling"/>
    <s v="Tea"/>
    <s v="Ohio"/>
    <s v="Regular"/>
    <n v="70"/>
    <n v="110"/>
    <n v="60"/>
    <n v="180"/>
    <n v="84"/>
    <n v="632"/>
    <n v="126"/>
    <n v="27"/>
    <n v="101"/>
    <n v="224"/>
    <n v="1.2444444444444445"/>
    <n v="1.6833333333333333"/>
    <n v="1.2"/>
  </r>
  <r>
    <n v="419"/>
    <x v="14"/>
    <s v="Central"/>
    <s v="Major Market"/>
    <s v="Earl Grey"/>
    <s v="Tea"/>
    <s v="Ohio"/>
    <s v="Regular"/>
    <n v="70"/>
    <n v="110"/>
    <n v="70"/>
    <n v="180"/>
    <n v="89"/>
    <n v="481"/>
    <n v="125"/>
    <n v="27"/>
    <n v="110"/>
    <n v="228"/>
    <n v="1.2666666666666666"/>
    <n v="1.5714285714285714"/>
    <n v="1.2714285714285714"/>
  </r>
  <r>
    <n v="614"/>
    <x v="14"/>
    <s v="Central"/>
    <s v="Major Market"/>
    <s v="Caffe Mocha"/>
    <s v="Espresso"/>
    <s v="Ohio"/>
    <s v="Regular"/>
    <n v="180"/>
    <n v="200"/>
    <n v="130"/>
    <n v="380"/>
    <n v="162"/>
    <n v="1059"/>
    <n v="163"/>
    <n v="45"/>
    <n v="140"/>
    <n v="346"/>
    <n v="0.91052631578947374"/>
    <n v="1.0769230769230769"/>
    <n v="0.9"/>
  </r>
  <r>
    <n v="330"/>
    <x v="14"/>
    <s v="Central"/>
    <s v="Major Market"/>
    <s v="Decaf Espresso"/>
    <s v="Espresso"/>
    <s v="Ohio"/>
    <s v="Decaf"/>
    <n v="60"/>
    <n v="90"/>
    <n v="40"/>
    <n v="150"/>
    <n v="58"/>
    <n v="325"/>
    <n v="71"/>
    <n v="22"/>
    <n v="22"/>
    <n v="137"/>
    <n v="0.91333333333333333"/>
    <n v="0.55000000000000004"/>
    <n v="0.96666666666666667"/>
  </r>
  <r>
    <n v="614"/>
    <x v="14"/>
    <s v="Central"/>
    <s v="Major Market"/>
    <s v="Amaretto"/>
    <s v="Coffee"/>
    <s v="Ohio"/>
    <s v="Regular"/>
    <n v="60"/>
    <n v="80"/>
    <n v="50"/>
    <n v="140"/>
    <n v="57"/>
    <n v="323"/>
    <n v="77"/>
    <n v="18"/>
    <n v="47"/>
    <n v="143"/>
    <n v="1.0214285714285714"/>
    <n v="0.94"/>
    <n v="0.95"/>
  </r>
  <r>
    <n v="330"/>
    <x v="14"/>
    <s v="Central"/>
    <s v="Major Market"/>
    <s v="Columbian"/>
    <s v="Coffee"/>
    <s v="Ohio"/>
    <s v="Regular"/>
    <n v="50"/>
    <n v="70"/>
    <n v="40"/>
    <n v="120"/>
    <n v="49"/>
    <n v="351"/>
    <n v="72"/>
    <n v="15"/>
    <n v="52"/>
    <n v="129"/>
    <n v="1.075"/>
    <n v="1.3"/>
    <n v="0.98"/>
  </r>
  <r>
    <n v="440"/>
    <x v="14"/>
    <s v="Central"/>
    <s v="Major Market"/>
    <s v="Decaf Irish Cream"/>
    <s v="Coffee"/>
    <s v="Ohio"/>
    <s v="Decaf"/>
    <n v="50"/>
    <n v="80"/>
    <n v="20"/>
    <n v="130"/>
    <n v="52"/>
    <n v="421"/>
    <n v="73"/>
    <n v="47"/>
    <n v="-6"/>
    <n v="133"/>
    <n v="1.023076923076923"/>
    <n v="-0.3"/>
    <n v="1.04"/>
  </r>
  <r>
    <n v="920"/>
    <x v="14"/>
    <s v="Central"/>
    <s v="Small Market"/>
    <s v="Chamomile"/>
    <s v="Herbal Tea"/>
    <s v="Wisconsin"/>
    <s v="Decaf"/>
    <n v="50"/>
    <n v="90"/>
    <n v="70"/>
    <n v="140"/>
    <n v="62"/>
    <n v="346"/>
    <n v="105"/>
    <n v="19"/>
    <n v="93"/>
    <n v="178"/>
    <n v="1.2714285714285714"/>
    <n v="1.3285714285714285"/>
    <n v="1.24"/>
  </r>
  <r>
    <n v="715"/>
    <x v="14"/>
    <s v="Central"/>
    <s v="Small Market"/>
    <s v="Lemon"/>
    <s v="Herbal Tea"/>
    <s v="Wisconsin"/>
    <s v="Decaf"/>
    <n v="40"/>
    <n v="60"/>
    <n v="50"/>
    <n v="100"/>
    <n v="49"/>
    <n v="767"/>
    <n v="72"/>
    <n v="13"/>
    <n v="70"/>
    <n v="129"/>
    <n v="1.29"/>
    <n v="1.4"/>
    <n v="1.2250000000000001"/>
  </r>
  <r>
    <n v="608"/>
    <x v="14"/>
    <s v="Central"/>
    <s v="Small Market"/>
    <s v="Darjeeling"/>
    <s v="Tea"/>
    <s v="Wisconsin"/>
    <s v="Regular"/>
    <n v="40"/>
    <n v="70"/>
    <n v="40"/>
    <n v="110"/>
    <n v="52"/>
    <n v="376"/>
    <n v="77"/>
    <n v="16"/>
    <n v="56"/>
    <n v="137"/>
    <n v="1.2454545454545454"/>
    <n v="1.4"/>
    <n v="1.3"/>
  </r>
  <r>
    <n v="262"/>
    <x v="14"/>
    <s v="Central"/>
    <s v="Small Market"/>
    <s v="Earl Grey"/>
    <s v="Tea"/>
    <s v="Wisconsin"/>
    <s v="Regular"/>
    <n v="50"/>
    <n v="80"/>
    <n v="10"/>
    <n v="130"/>
    <n v="63"/>
    <n v="506"/>
    <n v="87"/>
    <n v="57"/>
    <n v="1"/>
    <n v="160"/>
    <n v="1.2307692307692308"/>
    <n v="0.1"/>
    <n v="1.26"/>
  </r>
  <r>
    <n v="414"/>
    <x v="14"/>
    <s v="Central"/>
    <s v="Small Market"/>
    <s v="Caffe Mocha"/>
    <s v="Espresso"/>
    <s v="Wisconsin"/>
    <s v="Regular"/>
    <n v="80"/>
    <n v="100"/>
    <n v="60"/>
    <n v="180"/>
    <n v="71"/>
    <n v="950"/>
    <n v="84"/>
    <n v="22"/>
    <n v="61"/>
    <n v="165"/>
    <n v="0.91666666666666663"/>
    <n v="1.0166666666666666"/>
    <n v="0.88749999999999996"/>
  </r>
  <r>
    <n v="262"/>
    <x v="14"/>
    <s v="Central"/>
    <s v="Small Market"/>
    <s v="Decaf Espresso"/>
    <s v="Espresso"/>
    <s v="Wisconsin"/>
    <s v="Decaf"/>
    <n v="50"/>
    <n v="80"/>
    <n v="60"/>
    <n v="130"/>
    <n v="49"/>
    <n v="611"/>
    <n v="63"/>
    <n v="16"/>
    <n v="50"/>
    <n v="119"/>
    <n v="0.91538461538461535"/>
    <n v="0.83333333333333337"/>
    <n v="0.98"/>
  </r>
  <r>
    <n v="262"/>
    <x v="14"/>
    <s v="Central"/>
    <s v="Small Market"/>
    <s v="Amaretto"/>
    <s v="Coffee"/>
    <s v="Wisconsin"/>
    <s v="Regular"/>
    <n v="50"/>
    <n v="70"/>
    <n v="30"/>
    <n v="120"/>
    <n v="54"/>
    <n v="301"/>
    <n v="66"/>
    <n v="20"/>
    <n v="19"/>
    <n v="128"/>
    <n v="1.0666666666666667"/>
    <n v="0.6333333333333333"/>
    <n v="1.08"/>
  </r>
  <r>
    <n v="715"/>
    <x v="14"/>
    <s v="Central"/>
    <s v="Small Market"/>
    <s v="Columbian"/>
    <s v="Coffee"/>
    <s v="Wisconsin"/>
    <s v="Regular"/>
    <n v="100"/>
    <n v="130"/>
    <n v="30"/>
    <n v="230"/>
    <n v="95"/>
    <n v="532"/>
    <n v="132"/>
    <n v="86"/>
    <n v="25"/>
    <n v="242"/>
    <n v="1.0521739130434782"/>
    <n v="0.83333333333333337"/>
    <n v="0.95"/>
  </r>
  <r>
    <n v="715"/>
    <x v="14"/>
    <s v="Central"/>
    <s v="Small Market"/>
    <s v="Decaf Irish Cream"/>
    <s v="Coffee"/>
    <s v="Wisconsin"/>
    <s v="Decaf"/>
    <n v="80"/>
    <n v="110"/>
    <n v="70"/>
    <n v="190"/>
    <n v="80"/>
    <n v="415"/>
    <n v="108"/>
    <n v="26"/>
    <n v="82"/>
    <n v="200"/>
    <n v="1.0526315789473684"/>
    <n v="1.1714285714285715"/>
    <n v="1"/>
  </r>
  <r>
    <n v="959"/>
    <x v="14"/>
    <s v="East"/>
    <s v="Small Market"/>
    <s v="Lemon"/>
    <s v="Herbal Tea"/>
    <s v="Connecticut"/>
    <s v="Decaf"/>
    <n v="60"/>
    <n v="80"/>
    <n v="40"/>
    <n v="140"/>
    <n v="85"/>
    <n v="476"/>
    <n v="104"/>
    <n v="32"/>
    <n v="58"/>
    <n v="201"/>
    <n v="1.4357142857142857"/>
    <n v="1.45"/>
    <n v="1.4166666666666667"/>
  </r>
  <r>
    <n v="475"/>
    <x v="14"/>
    <s v="East"/>
    <s v="Small Market"/>
    <s v="Mint"/>
    <s v="Herbal Tea"/>
    <s v="Connecticut"/>
    <s v="Decaf"/>
    <n v="50"/>
    <n v="70"/>
    <n v="50"/>
    <n v="120"/>
    <n v="74"/>
    <n v="949"/>
    <n v="89"/>
    <n v="22"/>
    <n v="68"/>
    <n v="174"/>
    <n v="1.45"/>
    <n v="1.36"/>
    <n v="1.48"/>
  </r>
  <r>
    <n v="860"/>
    <x v="14"/>
    <s v="East"/>
    <s v="Small Market"/>
    <s v="Darjeeling"/>
    <s v="Tea"/>
    <s v="Connecticut"/>
    <s v="Regular"/>
    <n v="50"/>
    <n v="80"/>
    <n v="60"/>
    <n v="130"/>
    <n v="49"/>
    <n v="809"/>
    <n v="72"/>
    <n v="13"/>
    <n v="70"/>
    <n v="129"/>
    <n v="0.99230769230769234"/>
    <n v="1.1666666666666667"/>
    <n v="0.98"/>
  </r>
  <r>
    <n v="475"/>
    <x v="14"/>
    <s v="East"/>
    <s v="Small Market"/>
    <s v="Green Tea"/>
    <s v="Tea"/>
    <s v="Connecticut"/>
    <s v="Regular"/>
    <n v="20"/>
    <n v="40"/>
    <n v="30"/>
    <n v="60"/>
    <n v="25"/>
    <n v="769"/>
    <n v="37"/>
    <n v="7"/>
    <n v="27"/>
    <n v="66"/>
    <n v="1.1000000000000001"/>
    <n v="0.9"/>
    <n v="1.25"/>
  </r>
  <r>
    <n v="203"/>
    <x v="14"/>
    <s v="East"/>
    <s v="Small Market"/>
    <s v="Caffe Mocha"/>
    <s v="Espresso"/>
    <s v="Connecticut"/>
    <s v="Regular"/>
    <n v="60"/>
    <n v="80"/>
    <n v="10"/>
    <n v="140"/>
    <n v="63"/>
    <n v="506"/>
    <n v="87"/>
    <n v="57"/>
    <n v="0"/>
    <n v="160"/>
    <n v="1.1428571428571428"/>
    <n v="0"/>
    <n v="1.05"/>
  </r>
  <r>
    <n v="203"/>
    <x v="14"/>
    <s v="East"/>
    <s v="Small Market"/>
    <s v="Decaf Espresso"/>
    <s v="Espresso"/>
    <s v="Connecticut"/>
    <s v="Decaf"/>
    <n v="50"/>
    <n v="70"/>
    <n v="40"/>
    <n v="120"/>
    <n v="53"/>
    <n v="299"/>
    <n v="71"/>
    <n v="17"/>
    <n v="39"/>
    <n v="132"/>
    <n v="1.1000000000000001"/>
    <n v="0.97499999999999998"/>
    <n v="1.06"/>
  </r>
  <r>
    <n v="860"/>
    <x v="14"/>
    <s v="East"/>
    <s v="Small Market"/>
    <s v="Columbian"/>
    <s v="Coffee"/>
    <s v="Connecticut"/>
    <s v="Regular"/>
    <n v="110"/>
    <n v="180"/>
    <n v="130"/>
    <n v="290"/>
    <n v="123"/>
    <n v="932"/>
    <n v="186"/>
    <n v="40"/>
    <n v="169"/>
    <n v="329"/>
    <n v="1.1344827586206896"/>
    <n v="1.3"/>
    <n v="1.1181818181818182"/>
  </r>
  <r>
    <n v="352"/>
    <x v="14"/>
    <s v="East"/>
    <s v="Major Market"/>
    <s v="Chamomile"/>
    <s v="Herbal Tea"/>
    <s v="Florida"/>
    <s v="Decaf"/>
    <n v="30"/>
    <n v="50"/>
    <n v="30"/>
    <n v="80"/>
    <n v="49"/>
    <n v="611"/>
    <n v="63"/>
    <n v="16"/>
    <n v="52"/>
    <n v="119"/>
    <n v="1.4875"/>
    <n v="1.7333333333333334"/>
    <n v="1.6333333333333333"/>
  </r>
  <r>
    <n v="727"/>
    <x v="14"/>
    <s v="East"/>
    <s v="Major Market"/>
    <s v="Lemon"/>
    <s v="Herbal Tea"/>
    <s v="Florida"/>
    <s v="Decaf"/>
    <n v="40"/>
    <n v="50"/>
    <n v="20"/>
    <n v="90"/>
    <n v="54"/>
    <n v="301"/>
    <n v="66"/>
    <n v="20"/>
    <n v="18"/>
    <n v="128"/>
    <n v="1.4222222222222223"/>
    <n v="0.9"/>
    <n v="1.35"/>
  </r>
  <r>
    <n v="813"/>
    <x v="14"/>
    <s v="East"/>
    <s v="Major Market"/>
    <s v="Mint"/>
    <s v="Herbal Tea"/>
    <s v="Florida"/>
    <s v="Decaf"/>
    <n v="50"/>
    <n v="70"/>
    <n v="50"/>
    <n v="120"/>
    <n v="71"/>
    <n v="950"/>
    <n v="84"/>
    <n v="22"/>
    <n v="59"/>
    <n v="165"/>
    <n v="1.375"/>
    <n v="1.18"/>
    <n v="1.42"/>
  </r>
  <r>
    <n v="863"/>
    <x v="14"/>
    <s v="East"/>
    <s v="Major Market"/>
    <s v="Darjeeling"/>
    <s v="Tea"/>
    <s v="Florida"/>
    <s v="Regular"/>
    <n v="30"/>
    <n v="50"/>
    <n v="40"/>
    <n v="80"/>
    <n v="33"/>
    <n v="813"/>
    <n v="48"/>
    <n v="9"/>
    <n v="40"/>
    <n v="86"/>
    <n v="1.075"/>
    <n v="1"/>
    <n v="1.1000000000000001"/>
  </r>
  <r>
    <n v="904"/>
    <x v="14"/>
    <s v="East"/>
    <s v="Major Market"/>
    <s v="Green Tea"/>
    <s v="Tea"/>
    <s v="Florida"/>
    <s v="Regular"/>
    <n v="50"/>
    <n v="80"/>
    <n v="60"/>
    <n v="130"/>
    <n v="49"/>
    <n v="767"/>
    <n v="72"/>
    <n v="13"/>
    <n v="70"/>
    <n v="129"/>
    <n v="0.99230769230769234"/>
    <n v="1.1666666666666667"/>
    <n v="0.98"/>
  </r>
  <r>
    <n v="863"/>
    <x v="14"/>
    <s v="East"/>
    <s v="Major Market"/>
    <s v="Decaf Irish Cream"/>
    <s v="Coffee"/>
    <s v="Florida"/>
    <s v="Decaf"/>
    <n v="80"/>
    <n v="120"/>
    <n v="80"/>
    <n v="200"/>
    <n v="89"/>
    <n v="481"/>
    <n v="125"/>
    <n v="27"/>
    <n v="110"/>
    <n v="228"/>
    <n v="1.1399999999999999"/>
    <n v="1.375"/>
    <n v="1.1125"/>
  </r>
  <r>
    <n v="321"/>
    <x v="14"/>
    <s v="East"/>
    <s v="Major Market"/>
    <s v="Caffe Mocha"/>
    <s v="Espresso"/>
    <s v="Florida"/>
    <s v="Regular"/>
    <n v="90"/>
    <n v="130"/>
    <n v="30"/>
    <n v="220"/>
    <n v="95"/>
    <n v="532"/>
    <n v="132"/>
    <n v="86"/>
    <n v="25"/>
    <n v="242"/>
    <n v="1.1000000000000001"/>
    <n v="0.83333333333333337"/>
    <n v="1.0555555555555556"/>
  </r>
  <r>
    <n v="813"/>
    <x v="14"/>
    <s v="East"/>
    <s v="Major Market"/>
    <s v="Decaf Espresso"/>
    <s v="Espresso"/>
    <s v="Florida"/>
    <s v="Decaf"/>
    <n v="70"/>
    <n v="110"/>
    <n v="70"/>
    <n v="180"/>
    <n v="80"/>
    <n v="415"/>
    <n v="108"/>
    <n v="26"/>
    <n v="80"/>
    <n v="200"/>
    <n v="1.1111111111111112"/>
    <n v="1.1428571428571428"/>
    <n v="1.1428571428571428"/>
  </r>
  <r>
    <n v="904"/>
    <x v="14"/>
    <s v="East"/>
    <s v="Major Market"/>
    <s v="Columbian"/>
    <s v="Coffee"/>
    <s v="Florida"/>
    <s v="Regular"/>
    <n v="80"/>
    <n v="110"/>
    <n v="70"/>
    <n v="190"/>
    <n v="84"/>
    <n v="632"/>
    <n v="126"/>
    <n v="27"/>
    <n v="99"/>
    <n v="224"/>
    <n v="1.1789473684210525"/>
    <n v="1.4142857142857144"/>
    <n v="1.05"/>
  </r>
  <r>
    <n v="781"/>
    <x v="14"/>
    <s v="East"/>
    <s v="Major Market"/>
    <s v="Lemon"/>
    <s v="Herbal Tea"/>
    <s v="Massachusetts"/>
    <s v="Decaf"/>
    <n v="40"/>
    <n v="60"/>
    <n v="30"/>
    <n v="100"/>
    <n v="58"/>
    <n v="325"/>
    <n v="71"/>
    <n v="22"/>
    <n v="24"/>
    <n v="137"/>
    <n v="1.37"/>
    <n v="0.8"/>
    <n v="1.45"/>
  </r>
  <r>
    <n v="413"/>
    <x v="14"/>
    <s v="East"/>
    <s v="Major Market"/>
    <s v="Darjeeling"/>
    <s v="Tea"/>
    <s v="Massachusetts"/>
    <s v="Regular"/>
    <n v="30"/>
    <n v="50"/>
    <n v="40"/>
    <n v="80"/>
    <n v="32"/>
    <n v="813"/>
    <n v="47"/>
    <n v="8"/>
    <n v="42"/>
    <n v="84"/>
    <n v="1.05"/>
    <n v="1.05"/>
    <n v="1.0666666666666667"/>
  </r>
  <r>
    <n v="781"/>
    <x v="14"/>
    <s v="East"/>
    <s v="Major Market"/>
    <s v="Green Tea"/>
    <s v="Tea"/>
    <s v="Massachusetts"/>
    <s v="Regular"/>
    <n v="20"/>
    <n v="30"/>
    <n v="20"/>
    <n v="50"/>
    <n v="21"/>
    <n v="449"/>
    <n v="32"/>
    <n v="5"/>
    <n v="22"/>
    <n v="56"/>
    <n v="1.1200000000000001"/>
    <n v="1.1000000000000001"/>
    <n v="1.05"/>
  </r>
  <r>
    <n v="774"/>
    <x v="14"/>
    <s v="East"/>
    <s v="Major Market"/>
    <s v="Caffe Mocha"/>
    <s v="Espresso"/>
    <s v="Massachusetts"/>
    <s v="Regular"/>
    <n v="40"/>
    <n v="80"/>
    <n v="20"/>
    <n v="120"/>
    <n v="52"/>
    <n v="446"/>
    <n v="73"/>
    <n v="47"/>
    <n v="-6"/>
    <n v="133"/>
    <n v="1.1083333333333334"/>
    <n v="-0.3"/>
    <n v="1.3"/>
  </r>
  <r>
    <n v="774"/>
    <x v="14"/>
    <s v="East"/>
    <s v="Major Market"/>
    <s v="Regular Espresso"/>
    <s v="Espresso"/>
    <s v="Massachusetts"/>
    <s v="Regular"/>
    <n v="150"/>
    <n v="160"/>
    <n v="100"/>
    <n v="310"/>
    <n v="162"/>
    <n v="1059"/>
    <n v="163"/>
    <n v="45"/>
    <n v="140"/>
    <n v="346"/>
    <n v="1.1161290322580646"/>
    <n v="1.4"/>
    <n v="1.08"/>
  </r>
  <r>
    <n v="774"/>
    <x v="14"/>
    <s v="East"/>
    <s v="Major Market"/>
    <s v="Columbian"/>
    <s v="Coffee"/>
    <s v="Massachusetts"/>
    <s v="Regular"/>
    <n v="60"/>
    <n v="400"/>
    <n v="360"/>
    <n v="460"/>
    <n v="72"/>
    <n v="-54"/>
    <n v="420"/>
    <n v="23"/>
    <n v="543"/>
    <n v="524"/>
    <n v="1.1391304347826088"/>
    <n v="1.5083333333333333"/>
    <n v="1.2"/>
  </r>
  <r>
    <n v="603"/>
    <x v="14"/>
    <s v="East"/>
    <s v="Small Market"/>
    <s v="Lemon"/>
    <s v="Herbal Tea"/>
    <s v="New Hampshire"/>
    <s v="Decaf"/>
    <n v="20"/>
    <n v="30"/>
    <n v="0"/>
    <n v="50"/>
    <n v="33"/>
    <n v="190"/>
    <n v="42"/>
    <n v="12"/>
    <n v="-4"/>
    <n v="80"/>
    <n v="1.6"/>
    <m/>
    <n v="1.65"/>
  </r>
  <r>
    <n v="603"/>
    <x v="14"/>
    <s v="East"/>
    <s v="Small Market"/>
    <s v="Darjeeling"/>
    <s v="Tea"/>
    <s v="New Hampshire"/>
    <s v="Regular"/>
    <n v="10"/>
    <n v="30"/>
    <n v="20"/>
    <n v="40"/>
    <n v="18"/>
    <n v="816"/>
    <n v="27"/>
    <n v="5"/>
    <n v="16"/>
    <n v="48"/>
    <n v="1.2"/>
    <n v="0.8"/>
    <n v="1.8"/>
  </r>
  <r>
    <n v="603"/>
    <x v="14"/>
    <s v="East"/>
    <s v="Small Market"/>
    <s v="Green Tea"/>
    <s v="Tea"/>
    <s v="New Hampshire"/>
    <s v="Regular"/>
    <n v="0"/>
    <n v="40"/>
    <n v="30"/>
    <n v="40"/>
    <n v="0"/>
    <n v="731"/>
    <n v="43"/>
    <n v="0"/>
    <n v="47"/>
    <n v="46"/>
    <n v="1.1499999999999999"/>
    <n v="1.5666666666666667"/>
    <m/>
  </r>
  <r>
    <n v="603"/>
    <x v="14"/>
    <s v="East"/>
    <s v="Small Market"/>
    <s v="Caffe Mocha"/>
    <s v="Espresso"/>
    <s v="New Hampshire"/>
    <s v="Regular"/>
    <n v="40"/>
    <n v="60"/>
    <n v="10"/>
    <n v="100"/>
    <n v="44"/>
    <n v="251"/>
    <n v="63"/>
    <n v="40"/>
    <n v="-10"/>
    <n v="114"/>
    <n v="1.1399999999999999"/>
    <n v="-1"/>
    <n v="1.1000000000000001"/>
  </r>
  <r>
    <n v="603"/>
    <x v="14"/>
    <s v="East"/>
    <s v="Small Market"/>
    <s v="Regular Espresso"/>
    <s v="Espresso"/>
    <s v="New Hampshire"/>
    <s v="Regular"/>
    <n v="30"/>
    <n v="40"/>
    <n v="0"/>
    <n v="70"/>
    <n v="33"/>
    <n v="162"/>
    <n v="42"/>
    <n v="12"/>
    <n v="-6"/>
    <n v="80"/>
    <n v="1.1428571428571428"/>
    <m/>
    <n v="1.1000000000000001"/>
  </r>
  <r>
    <n v="603"/>
    <x v="14"/>
    <s v="East"/>
    <s v="Small Market"/>
    <s v="Amaretto"/>
    <s v="Coffee"/>
    <s v="New Hampshire"/>
    <s v="Regular"/>
    <n v="40"/>
    <n v="60"/>
    <n v="40"/>
    <n v="100"/>
    <n v="43"/>
    <n v="231"/>
    <n v="64"/>
    <n v="13"/>
    <n v="43"/>
    <n v="114"/>
    <n v="1.1399999999999999"/>
    <n v="1.075"/>
    <n v="1.075"/>
  </r>
  <r>
    <n v="603"/>
    <x v="14"/>
    <s v="East"/>
    <s v="Small Market"/>
    <s v="Columbian"/>
    <s v="Coffee"/>
    <s v="New Hampshire"/>
    <s v="Regular"/>
    <n v="40"/>
    <n v="70"/>
    <n v="40"/>
    <n v="110"/>
    <n v="47"/>
    <n v="361"/>
    <n v="72"/>
    <n v="15"/>
    <n v="39"/>
    <n v="127"/>
    <n v="1.1545454545454545"/>
    <n v="0.97499999999999998"/>
    <n v="1.175"/>
  </r>
  <r>
    <n v="718"/>
    <x v="14"/>
    <s v="East"/>
    <s v="Major Market"/>
    <s v="Lemon"/>
    <s v="Herbal Tea"/>
    <s v="New York"/>
    <s v="Decaf"/>
    <n v="180"/>
    <n v="220"/>
    <n v="130"/>
    <n v="400"/>
    <n v="245"/>
    <n v="1471"/>
    <n v="268"/>
    <n v="93"/>
    <n v="209"/>
    <n v="547"/>
    <n v="1.3674999999999999"/>
    <n v="1.6076923076923078"/>
    <n v="1.3611111111111112"/>
  </r>
  <r>
    <n v="347"/>
    <x v="14"/>
    <s v="East"/>
    <s v="Major Market"/>
    <s v="Mint"/>
    <s v="Herbal Tea"/>
    <s v="New York"/>
    <s v="Decaf"/>
    <n v="160"/>
    <n v="-20"/>
    <n v="-80"/>
    <n v="140"/>
    <n v="214"/>
    <n v="1480"/>
    <n v="-32"/>
    <n v="66"/>
    <n v="-177"/>
    <n v="194"/>
    <n v="1.3857142857142857"/>
    <n v="2.2124999999999999"/>
    <n v="1.3374999999999999"/>
  </r>
  <r>
    <n v="347"/>
    <x v="14"/>
    <s v="East"/>
    <s v="Major Market"/>
    <s v="Darjeeling"/>
    <s v="Tea"/>
    <s v="New York"/>
    <s v="Regular"/>
    <n v="100"/>
    <n v="150"/>
    <n v="120"/>
    <n v="250"/>
    <n v="95"/>
    <n v="799"/>
    <n v="139"/>
    <n v="26"/>
    <n v="151"/>
    <n v="249"/>
    <n v="0.996"/>
    <n v="1.2583333333333333"/>
    <n v="0.95"/>
  </r>
  <r>
    <n v="585"/>
    <x v="14"/>
    <s v="East"/>
    <s v="Major Market"/>
    <s v="Earl Grey"/>
    <s v="Tea"/>
    <s v="New York"/>
    <s v="Regular"/>
    <n v="90"/>
    <n v="140"/>
    <n v="110"/>
    <n v="230"/>
    <n v="87"/>
    <n v="756"/>
    <n v="126"/>
    <n v="24"/>
    <n v="135"/>
    <n v="227"/>
    <n v="0.9869565217391304"/>
    <n v="1.2272727272727273"/>
    <n v="0.96666666666666667"/>
  </r>
  <r>
    <n v="646"/>
    <x v="14"/>
    <s v="East"/>
    <s v="Major Market"/>
    <s v="Green Tea"/>
    <s v="Tea"/>
    <s v="New York"/>
    <s v="Regular"/>
    <n v="80"/>
    <n v="130"/>
    <n v="100"/>
    <n v="210"/>
    <n v="81"/>
    <n v="441"/>
    <n v="117"/>
    <n v="22"/>
    <n v="123"/>
    <n v="211"/>
    <n v="1.0047619047619047"/>
    <n v="1.23"/>
    <n v="1.0125"/>
  </r>
  <r>
    <n v="845"/>
    <x v="14"/>
    <s v="East"/>
    <s v="Major Market"/>
    <s v="Caffe Mocha"/>
    <s v="Espresso"/>
    <s v="New York"/>
    <s v="Regular"/>
    <n v="120"/>
    <n v="-60"/>
    <n v="-190"/>
    <n v="60"/>
    <n v="125"/>
    <n v="1118"/>
    <n v="-62"/>
    <n v="113"/>
    <n v="-309"/>
    <n v="67"/>
    <n v="1.1166666666666667"/>
    <n v="1.6263157894736842"/>
    <n v="1.0416666666666667"/>
  </r>
  <r>
    <n v="347"/>
    <x v="14"/>
    <s v="East"/>
    <s v="Major Market"/>
    <s v="Regular Espresso"/>
    <s v="Espresso"/>
    <s v="New York"/>
    <s v="Regular"/>
    <n v="220"/>
    <n v="290"/>
    <n v="210"/>
    <n v="510"/>
    <n v="239"/>
    <n v="1260"/>
    <n v="284"/>
    <n v="66"/>
    <n v="288"/>
    <n v="557"/>
    <n v="1.0921568627450979"/>
    <n v="1.3714285714285714"/>
    <n v="1.0863636363636364"/>
  </r>
  <r>
    <n v="718"/>
    <x v="14"/>
    <s v="East"/>
    <s v="Major Market"/>
    <s v="Columbian"/>
    <s v="Coffee"/>
    <s v="New York"/>
    <s v="Regular"/>
    <n v="250"/>
    <n v="390"/>
    <n v="270"/>
    <n v="640"/>
    <n v="270"/>
    <n v="2041"/>
    <n v="405"/>
    <n v="94"/>
    <n v="384"/>
    <n v="719"/>
    <n v="1.1234375000000001"/>
    <n v="1.4222222222222223"/>
    <n v="1.08"/>
  </r>
  <r>
    <n v="318"/>
    <x v="14"/>
    <s v="South"/>
    <s v="Small Market"/>
    <s v="Chamomile"/>
    <s v="Herbal Tea"/>
    <s v="Louisiana"/>
    <s v="Decaf"/>
    <n v="40"/>
    <n v="60"/>
    <n v="40"/>
    <n v="100"/>
    <n v="48"/>
    <n v="611"/>
    <n v="62"/>
    <n v="15"/>
    <n v="50"/>
    <n v="117"/>
    <n v="1.17"/>
    <n v="1.25"/>
    <n v="1.2"/>
  </r>
  <r>
    <n v="504"/>
    <x v="14"/>
    <s v="South"/>
    <s v="Small Market"/>
    <s v="Lemon"/>
    <s v="Herbal Tea"/>
    <s v="Louisiana"/>
    <s v="Decaf"/>
    <n v="80"/>
    <n v="100"/>
    <n v="40"/>
    <n v="180"/>
    <n v="85"/>
    <n v="476"/>
    <n v="104"/>
    <n v="32"/>
    <n v="58"/>
    <n v="201"/>
    <n v="1.1166666666666667"/>
    <n v="1.45"/>
    <n v="1.0625"/>
  </r>
  <r>
    <n v="337"/>
    <x v="14"/>
    <s v="South"/>
    <s v="Small Market"/>
    <s v="Columbian"/>
    <s v="Coffee"/>
    <s v="Louisiana"/>
    <s v="Regular"/>
    <n v="40"/>
    <n v="60"/>
    <n v="50"/>
    <n v="100"/>
    <n v="33"/>
    <n v="768"/>
    <n v="49"/>
    <n v="9"/>
    <n v="43"/>
    <n v="87"/>
    <n v="0.87"/>
    <n v="0.86"/>
    <n v="0.82499999999999996"/>
  </r>
  <r>
    <n v="985"/>
    <x v="14"/>
    <s v="South"/>
    <s v="Small Market"/>
    <s v="Decaf Irish Cream"/>
    <s v="Coffee"/>
    <s v="Louisiana"/>
    <s v="Decaf"/>
    <n v="60"/>
    <n v="90"/>
    <n v="70"/>
    <n v="150"/>
    <n v="49"/>
    <n v="767"/>
    <n v="72"/>
    <n v="13"/>
    <n v="70"/>
    <n v="129"/>
    <n v="0.86"/>
    <n v="1"/>
    <n v="0.81666666666666665"/>
  </r>
  <r>
    <n v="225"/>
    <x v="14"/>
    <s v="South"/>
    <s v="Small Market"/>
    <s v="Caffe Latte"/>
    <s v="Espresso"/>
    <s v="Louisiana"/>
    <s v="Regular"/>
    <n v="50"/>
    <n v="70"/>
    <n v="0"/>
    <n v="120"/>
    <n v="63"/>
    <n v="187"/>
    <n v="87"/>
    <n v="57"/>
    <n v="1"/>
    <n v="160"/>
    <n v="1.3333333333333333"/>
    <m/>
    <n v="1.26"/>
  </r>
  <r>
    <n v="504"/>
    <x v="14"/>
    <s v="South"/>
    <s v="Small Market"/>
    <s v="Caffe Mocha"/>
    <s v="Espresso"/>
    <s v="Louisiana"/>
    <s v="Regular"/>
    <n v="50"/>
    <n v="90"/>
    <n v="70"/>
    <n v="140"/>
    <n v="62"/>
    <n v="346"/>
    <n v="105"/>
    <n v="19"/>
    <n v="93"/>
    <n v="178"/>
    <n v="1.2714285714285714"/>
    <n v="1.3285714285714285"/>
    <n v="1.24"/>
  </r>
  <r>
    <n v="985"/>
    <x v="14"/>
    <s v="South"/>
    <s v="Small Market"/>
    <s v="Decaf Espresso"/>
    <s v="Espresso"/>
    <s v="Louisiana"/>
    <s v="Decaf"/>
    <n v="40"/>
    <n v="70"/>
    <n v="50"/>
    <n v="110"/>
    <n v="52"/>
    <n v="376"/>
    <n v="77"/>
    <n v="16"/>
    <n v="56"/>
    <n v="137"/>
    <n v="1.2454545454545454"/>
    <n v="1.1200000000000001"/>
    <n v="1.3"/>
  </r>
  <r>
    <n v="505"/>
    <x v="14"/>
    <s v="South"/>
    <s v="Small Market"/>
    <s v="Chamomile"/>
    <s v="Herbal Tea"/>
    <s v="New Mexico"/>
    <s v="Decaf"/>
    <n v="10"/>
    <n v="30"/>
    <n v="20"/>
    <n v="40"/>
    <n v="18"/>
    <n v="816"/>
    <n v="27"/>
    <n v="5"/>
    <n v="15"/>
    <n v="48"/>
    <n v="1.2"/>
    <n v="0.75"/>
    <n v="1.8"/>
  </r>
  <r>
    <n v="505"/>
    <x v="14"/>
    <s v="South"/>
    <s v="Small Market"/>
    <s v="Lemon"/>
    <s v="Herbal Tea"/>
    <s v="New Mexico"/>
    <s v="Decaf"/>
    <n v="20"/>
    <n v="40"/>
    <n v="20"/>
    <n v="60"/>
    <n v="28"/>
    <n v="958"/>
    <n v="35"/>
    <n v="8"/>
    <n v="7"/>
    <n v="67"/>
    <n v="1.1166666666666667"/>
    <n v="0.35"/>
    <n v="1.4"/>
  </r>
  <r>
    <n v="505"/>
    <x v="14"/>
    <s v="South"/>
    <s v="Small Market"/>
    <s v="Columbian"/>
    <s v="Coffee"/>
    <s v="New Mexico"/>
    <s v="Regular"/>
    <n v="50"/>
    <n v="90"/>
    <n v="50"/>
    <n v="140"/>
    <n v="47"/>
    <n v="361"/>
    <n v="72"/>
    <n v="15"/>
    <n v="39"/>
    <n v="127"/>
    <n v="0.90714285714285714"/>
    <n v="0.78"/>
    <n v="0.94"/>
  </r>
  <r>
    <n v="505"/>
    <x v="14"/>
    <s v="South"/>
    <s v="Small Market"/>
    <s v="Decaf Irish Cream"/>
    <s v="Coffee"/>
    <s v="New Mexico"/>
    <s v="Decaf"/>
    <n v="110"/>
    <n v="20"/>
    <n v="-20"/>
    <n v="130"/>
    <n v="88"/>
    <n v="715"/>
    <n v="18"/>
    <n v="27"/>
    <n v="-49"/>
    <n v="113"/>
    <n v="0.86923076923076925"/>
    <n v="2.4500000000000002"/>
    <n v="0.8"/>
  </r>
  <r>
    <n v="505"/>
    <x v="14"/>
    <s v="South"/>
    <s v="Small Market"/>
    <s v="Caffe Latte"/>
    <s v="Espresso"/>
    <s v="New Mexico"/>
    <s v="Regular"/>
    <n v="20"/>
    <n v="40"/>
    <n v="10"/>
    <n v="60"/>
    <n v="33"/>
    <n v="36"/>
    <n v="42"/>
    <n v="12"/>
    <n v="-4"/>
    <n v="80"/>
    <n v="1.3333333333333333"/>
    <n v="-0.4"/>
    <n v="1.65"/>
  </r>
  <r>
    <n v="505"/>
    <x v="14"/>
    <s v="South"/>
    <s v="Small Market"/>
    <s v="Caffe Mocha"/>
    <s v="Espresso"/>
    <s v="New Mexico"/>
    <s v="Regular"/>
    <n v="30"/>
    <n v="60"/>
    <n v="10"/>
    <n v="90"/>
    <n v="44"/>
    <n v="251"/>
    <n v="63"/>
    <n v="40"/>
    <n v="-10"/>
    <n v="114"/>
    <n v="1.2666666666666666"/>
    <n v="-1"/>
    <n v="1.4666666666666666"/>
  </r>
  <r>
    <n v="505"/>
    <x v="14"/>
    <s v="South"/>
    <s v="Small Market"/>
    <s v="Decaf Espresso"/>
    <s v="Espresso"/>
    <s v="New Mexico"/>
    <s v="Decaf"/>
    <n v="30"/>
    <n v="40"/>
    <n v="10"/>
    <n v="70"/>
    <n v="36"/>
    <n v="187"/>
    <n v="49"/>
    <n v="11"/>
    <n v="16"/>
    <n v="91"/>
    <n v="1.3"/>
    <n v="1.6"/>
    <n v="1.2"/>
  </r>
  <r>
    <n v="918"/>
    <x v="14"/>
    <s v="South"/>
    <s v="Small Market"/>
    <s v="Chamomile"/>
    <s v="Herbal Tea"/>
    <s v="Oklahoma"/>
    <s v="Decaf"/>
    <n v="50"/>
    <n v="60"/>
    <n v="20"/>
    <n v="110"/>
    <n v="54"/>
    <n v="301"/>
    <n v="66"/>
    <n v="20"/>
    <n v="19"/>
    <n v="128"/>
    <n v="1.1636363636363636"/>
    <n v="0.95"/>
    <n v="1.08"/>
  </r>
  <r>
    <n v="918"/>
    <x v="14"/>
    <s v="South"/>
    <s v="Small Market"/>
    <s v="Lemon"/>
    <s v="Herbal Tea"/>
    <s v="Oklahoma"/>
    <s v="Decaf"/>
    <n v="90"/>
    <n v="130"/>
    <n v="30"/>
    <n v="220"/>
    <n v="95"/>
    <n v="532"/>
    <n v="132"/>
    <n v="86"/>
    <n v="25"/>
    <n v="242"/>
    <n v="1.1000000000000001"/>
    <n v="0.83333333333333337"/>
    <n v="1.0555555555555556"/>
  </r>
  <r>
    <n v="405"/>
    <x v="14"/>
    <s v="South"/>
    <s v="Small Market"/>
    <s v="Columbian"/>
    <s v="Coffee"/>
    <s v="Oklahoma"/>
    <s v="Regular"/>
    <n v="50"/>
    <n v="70"/>
    <n v="50"/>
    <n v="120"/>
    <n v="43"/>
    <n v="613"/>
    <n v="55"/>
    <n v="14"/>
    <n v="43"/>
    <n v="104"/>
    <n v="0.8666666666666667"/>
    <n v="0.86"/>
    <n v="0.86"/>
  </r>
  <r>
    <n v="405"/>
    <x v="14"/>
    <s v="South"/>
    <s v="Small Market"/>
    <s v="Decaf Irish Cream"/>
    <s v="Coffee"/>
    <s v="Oklahoma"/>
    <s v="Decaf"/>
    <n v="40"/>
    <n v="50"/>
    <n v="40"/>
    <n v="90"/>
    <n v="32"/>
    <n v="813"/>
    <n v="47"/>
    <n v="8"/>
    <n v="40"/>
    <n v="84"/>
    <n v="0.93333333333333335"/>
    <n v="1"/>
    <n v="0.8"/>
  </r>
  <r>
    <n v="405"/>
    <x v="14"/>
    <s v="South"/>
    <s v="Small Market"/>
    <s v="Caffe Latte"/>
    <s v="Espresso"/>
    <s v="Oklahoma"/>
    <s v="Regular"/>
    <n v="70"/>
    <n v="110"/>
    <n v="80"/>
    <n v="180"/>
    <n v="89"/>
    <n v="94"/>
    <n v="125"/>
    <n v="27"/>
    <n v="110"/>
    <n v="228"/>
    <n v="1.2666666666666666"/>
    <n v="1.375"/>
    <n v="1.2714285714285714"/>
  </r>
  <r>
    <n v="580"/>
    <x v="14"/>
    <s v="South"/>
    <s v="Small Market"/>
    <s v="Caffe Mocha"/>
    <s v="Espresso"/>
    <s v="Oklahoma"/>
    <s v="Regular"/>
    <n v="10"/>
    <n v="30"/>
    <n v="30"/>
    <n v="40"/>
    <n v="21"/>
    <n v="449"/>
    <n v="32"/>
    <n v="5"/>
    <n v="22"/>
    <n v="56"/>
    <n v="1.4"/>
    <n v="0.73333333333333328"/>
    <n v="2.1"/>
  </r>
  <r>
    <n v="580"/>
    <x v="14"/>
    <s v="South"/>
    <s v="Small Market"/>
    <s v="Decaf Espresso"/>
    <s v="Espresso"/>
    <s v="Oklahoma"/>
    <s v="Decaf"/>
    <n v="70"/>
    <n v="110"/>
    <n v="70"/>
    <n v="180"/>
    <n v="84"/>
    <n v="632"/>
    <n v="126"/>
    <n v="27"/>
    <n v="101"/>
    <n v="224"/>
    <n v="1.2444444444444445"/>
    <n v="1.4428571428571428"/>
    <n v="1.2"/>
  </r>
  <r>
    <n v="940"/>
    <x v="14"/>
    <s v="South"/>
    <s v="Major Market"/>
    <s v="Chamomile"/>
    <s v="Herbal Tea"/>
    <s v="Texas"/>
    <s v="Decaf"/>
    <n v="50"/>
    <n v="80"/>
    <n v="50"/>
    <n v="130"/>
    <n v="57"/>
    <n v="323"/>
    <n v="77"/>
    <n v="18"/>
    <n v="46"/>
    <n v="143"/>
    <n v="1.1000000000000001"/>
    <n v="0.92"/>
    <n v="1.1399999999999999"/>
  </r>
  <r>
    <n v="915"/>
    <x v="14"/>
    <s v="South"/>
    <s v="Major Market"/>
    <s v="Lemon"/>
    <s v="Herbal Tea"/>
    <s v="Texas"/>
    <s v="Decaf"/>
    <n v="40"/>
    <n v="70"/>
    <n v="40"/>
    <n v="110"/>
    <n v="49"/>
    <n v="351"/>
    <n v="72"/>
    <n v="15"/>
    <n v="52"/>
    <n v="129"/>
    <n v="1.1727272727272726"/>
    <n v="1.3"/>
    <n v="1.2250000000000001"/>
  </r>
  <r>
    <n v="830"/>
    <x v="14"/>
    <s v="South"/>
    <s v="Major Market"/>
    <s v="Columbian"/>
    <s v="Coffee"/>
    <s v="Texas"/>
    <s v="Regular"/>
    <n v="260"/>
    <n v="320"/>
    <n v="240"/>
    <n v="580"/>
    <n v="214"/>
    <n v="923"/>
    <n v="253"/>
    <n v="66"/>
    <n v="246"/>
    <n v="498"/>
    <n v="0.85862068965517246"/>
    <n v="1.0249999999999999"/>
    <n v="0.82307692307692304"/>
  </r>
  <r>
    <n v="915"/>
    <x v="14"/>
    <s v="South"/>
    <s v="Major Market"/>
    <s v="Decaf Irish Cream"/>
    <s v="Coffee"/>
    <s v="Texas"/>
    <s v="Decaf"/>
    <n v="100"/>
    <n v="140"/>
    <n v="110"/>
    <n v="240"/>
    <n v="84"/>
    <n v="603"/>
    <n v="109"/>
    <n v="27"/>
    <n v="104"/>
    <n v="206"/>
    <n v="0.85833333333333328"/>
    <n v="0.94545454545454544"/>
    <n v="0.84"/>
  </r>
  <r>
    <n v="979"/>
    <x v="14"/>
    <s v="South"/>
    <s v="Major Market"/>
    <s v="Caffe Latte"/>
    <s v="Espresso"/>
    <s v="Texas"/>
    <s v="Regular"/>
    <n v="60"/>
    <n v="90"/>
    <n v="50"/>
    <n v="150"/>
    <n v="72"/>
    <n v="189"/>
    <n v="108"/>
    <n v="23"/>
    <n v="80"/>
    <n v="192"/>
    <n v="1.28"/>
    <n v="1.6"/>
    <n v="1.2"/>
  </r>
  <r>
    <n v="409"/>
    <x v="14"/>
    <s v="South"/>
    <s v="Major Market"/>
    <s v="Caffe Mocha"/>
    <s v="Espresso"/>
    <s v="Texas"/>
    <s v="Regular"/>
    <n v="70"/>
    <n v="110"/>
    <n v="90"/>
    <n v="180"/>
    <n v="87"/>
    <n v="756"/>
    <n v="126"/>
    <n v="24"/>
    <n v="135"/>
    <n v="227"/>
    <n v="1.2611111111111111"/>
    <n v="1.5"/>
    <n v="1.2428571428571429"/>
  </r>
  <r>
    <n v="361"/>
    <x v="14"/>
    <s v="South"/>
    <s v="Major Market"/>
    <s v="Decaf Espresso"/>
    <s v="Espresso"/>
    <s v="Texas"/>
    <s v="Decaf"/>
    <n v="60"/>
    <n v="110"/>
    <n v="90"/>
    <n v="170"/>
    <n v="81"/>
    <n v="441"/>
    <n v="117"/>
    <n v="22"/>
    <n v="125"/>
    <n v="211"/>
    <n v="1.2411764705882353"/>
    <n v="1.3888888888888888"/>
    <n v="1.35"/>
  </r>
  <r>
    <n v="435"/>
    <x v="14"/>
    <s v="West"/>
    <s v="Small Market"/>
    <s v="Chamomile"/>
    <s v="Herbal Tea"/>
    <s v="Utah"/>
    <s v="Decaf"/>
    <n v="30"/>
    <n v="60"/>
    <n v="40"/>
    <n v="90"/>
    <n v="43"/>
    <n v="231"/>
    <n v="64"/>
    <n v="13"/>
    <n v="42"/>
    <n v="114"/>
    <n v="1.2666666666666666"/>
    <n v="1.05"/>
    <n v="1.4333333333333333"/>
  </r>
  <r>
    <n v="435"/>
    <x v="14"/>
    <s v="West"/>
    <s v="Small Market"/>
    <s v="Lemon"/>
    <s v="Herbal Tea"/>
    <s v="Utah"/>
    <s v="Decaf"/>
    <n v="40"/>
    <n v="60"/>
    <n v="30"/>
    <n v="100"/>
    <n v="47"/>
    <n v="361"/>
    <n v="72"/>
    <n v="15"/>
    <n v="39"/>
    <n v="127"/>
    <n v="1.27"/>
    <n v="1.3"/>
    <n v="1.175"/>
  </r>
  <r>
    <n v="801"/>
    <x v="14"/>
    <s v="West"/>
    <s v="Small Market"/>
    <s v="Mint"/>
    <s v="Herbal Tea"/>
    <s v="Utah"/>
    <s v="Decaf"/>
    <n v="70"/>
    <n v="20"/>
    <n v="-20"/>
    <n v="90"/>
    <n v="88"/>
    <n v="715"/>
    <n v="18"/>
    <n v="27"/>
    <n v="-47"/>
    <n v="113"/>
    <n v="1.2555555555555555"/>
    <n v="2.35"/>
    <n v="1.2571428571428571"/>
  </r>
  <r>
    <n v="435"/>
    <x v="14"/>
    <s v="West"/>
    <s v="Small Market"/>
    <s v="Darjeeling"/>
    <s v="Tea"/>
    <s v="Utah"/>
    <s v="Regular"/>
    <n v="20"/>
    <n v="50"/>
    <n v="10"/>
    <n v="70"/>
    <n v="44"/>
    <n v="251"/>
    <n v="63"/>
    <n v="40"/>
    <n v="-10"/>
    <n v="114"/>
    <n v="1.6285714285714286"/>
    <n v="-1"/>
    <n v="2.2000000000000002"/>
  </r>
  <r>
    <n v="801"/>
    <x v="14"/>
    <s v="West"/>
    <s v="Small Market"/>
    <s v="Earl Grey"/>
    <s v="Tea"/>
    <s v="Utah"/>
    <s v="Regular"/>
    <n v="20"/>
    <n v="30"/>
    <n v="10"/>
    <n v="50"/>
    <n v="36"/>
    <n v="187"/>
    <n v="49"/>
    <n v="11"/>
    <n v="15"/>
    <n v="91"/>
    <n v="1.82"/>
    <n v="1.5"/>
    <n v="1.8"/>
  </r>
  <r>
    <n v="435"/>
    <x v="14"/>
    <s v="West"/>
    <s v="Small Market"/>
    <s v="Green Tea"/>
    <s v="Tea"/>
    <s v="Utah"/>
    <s v="Regular"/>
    <n v="20"/>
    <n v="30"/>
    <n v="10"/>
    <n v="50"/>
    <n v="33"/>
    <n v="162"/>
    <n v="42"/>
    <n v="12"/>
    <n v="-6"/>
    <n v="80"/>
    <n v="1.6"/>
    <n v="-0.6"/>
    <n v="1.65"/>
  </r>
  <r>
    <n v="801"/>
    <x v="14"/>
    <s v="West"/>
    <s v="Small Market"/>
    <s v="Caffe Mocha"/>
    <s v="Espresso"/>
    <s v="Utah"/>
    <s v="Regular"/>
    <n v="40"/>
    <n v="60"/>
    <n v="40"/>
    <n v="100"/>
    <n v="48"/>
    <n v="611"/>
    <n v="62"/>
    <n v="15"/>
    <n v="50"/>
    <n v="117"/>
    <n v="1.17"/>
    <n v="1.25"/>
    <n v="1.2"/>
  </r>
  <r>
    <n v="435"/>
    <x v="14"/>
    <s v="West"/>
    <s v="Small Market"/>
    <s v="Decaf Espresso"/>
    <s v="Espresso"/>
    <s v="Utah"/>
    <s v="Decaf"/>
    <n v="40"/>
    <n v="70"/>
    <n v="50"/>
    <n v="110"/>
    <n v="49"/>
    <n v="809"/>
    <n v="72"/>
    <n v="13"/>
    <n v="70"/>
    <n v="129"/>
    <n v="1.1727272727272726"/>
    <n v="1.4"/>
    <n v="1.2250000000000001"/>
  </r>
  <r>
    <n v="435"/>
    <x v="14"/>
    <s v="West"/>
    <s v="Small Market"/>
    <s v="Amaretto"/>
    <s v="Coffee"/>
    <s v="Utah"/>
    <s v="Regular"/>
    <n v="90"/>
    <n v="110"/>
    <n v="70"/>
    <n v="200"/>
    <n v="74"/>
    <n v="949"/>
    <n v="89"/>
    <n v="22"/>
    <n v="67"/>
    <n v="174"/>
    <n v="0.87"/>
    <n v="0.95714285714285718"/>
    <n v="0.82222222222222219"/>
  </r>
  <r>
    <n v="801"/>
    <x v="14"/>
    <s v="West"/>
    <s v="Small Market"/>
    <s v="Columbian"/>
    <s v="Coffee"/>
    <s v="Utah"/>
    <s v="Regular"/>
    <n v="60"/>
    <n v="90"/>
    <n v="60"/>
    <n v="150"/>
    <n v="53"/>
    <n v="299"/>
    <n v="71"/>
    <n v="17"/>
    <n v="39"/>
    <n v="132"/>
    <n v="0.88"/>
    <n v="0.65"/>
    <n v="0.8833333333333333"/>
  </r>
  <r>
    <n v="435"/>
    <x v="14"/>
    <s v="West"/>
    <s v="Small Market"/>
    <s v="Decaf Irish Cream"/>
    <s v="Coffee"/>
    <s v="Utah"/>
    <s v="Decaf"/>
    <n v="100"/>
    <n v="130"/>
    <n v="70"/>
    <n v="230"/>
    <n v="85"/>
    <n v="476"/>
    <n v="104"/>
    <n v="32"/>
    <n v="56"/>
    <n v="201"/>
    <n v="0.87391304347826082"/>
    <n v="0.8"/>
    <n v="0.85"/>
  </r>
  <r>
    <n v="801"/>
    <x v="14"/>
    <s v="West"/>
    <s v="Small Market"/>
    <s v="Caffe Latte"/>
    <s v="Espresso"/>
    <s v="Utah"/>
    <s v="Regular"/>
    <n v="40"/>
    <n v="70"/>
    <n v="50"/>
    <n v="110"/>
    <n v="48"/>
    <n v="766"/>
    <n v="70"/>
    <n v="13"/>
    <n v="67"/>
    <n v="126"/>
    <n v="1.1454545454545455"/>
    <n v="1.34"/>
    <n v="1.2"/>
  </r>
  <r>
    <n v="408"/>
    <x v="14"/>
    <s v="West"/>
    <s v="Major Market"/>
    <s v="Chamomile"/>
    <s v="Herbal Tea"/>
    <s v="California"/>
    <s v="Decaf"/>
    <n v="80"/>
    <n v="120"/>
    <n v="100"/>
    <n v="200"/>
    <n v="95"/>
    <n v="799"/>
    <n v="139"/>
    <n v="26"/>
    <n v="150"/>
    <n v="249"/>
    <n v="1.2450000000000001"/>
    <n v="1.5"/>
    <n v="1.1875"/>
  </r>
  <r>
    <n v="323"/>
    <x v="14"/>
    <s v="West"/>
    <s v="Major Market"/>
    <s v="Lemon"/>
    <s v="Herbal Tea"/>
    <s v="California"/>
    <s v="Decaf"/>
    <n v="180"/>
    <n v="230"/>
    <n v="170"/>
    <n v="410"/>
    <n v="214"/>
    <n v="923"/>
    <n v="253"/>
    <n v="66"/>
    <n v="245"/>
    <n v="498"/>
    <n v="1.2146341463414634"/>
    <n v="1.4411764705882353"/>
    <n v="1.1888888888888889"/>
  </r>
  <r>
    <n v="760"/>
    <x v="14"/>
    <s v="West"/>
    <s v="Major Market"/>
    <s v="Mint"/>
    <s v="Herbal Tea"/>
    <s v="California"/>
    <s v="Decaf"/>
    <n v="70"/>
    <n v="90"/>
    <n v="60"/>
    <n v="160"/>
    <n v="84"/>
    <n v="603"/>
    <n v="109"/>
    <n v="27"/>
    <n v="102"/>
    <n v="206"/>
    <n v="1.2875000000000001"/>
    <n v="1.7"/>
    <n v="1.2"/>
  </r>
  <r>
    <n v="510"/>
    <x v="14"/>
    <s v="West"/>
    <s v="Major Market"/>
    <s v="Darjeeling"/>
    <s v="Tea"/>
    <s v="California"/>
    <s v="Regular"/>
    <n v="50"/>
    <n v="90"/>
    <n v="80"/>
    <n v="140"/>
    <n v="87"/>
    <n v="756"/>
    <n v="126"/>
    <n v="24"/>
    <n v="135"/>
    <n v="227"/>
    <n v="1.6214285714285714"/>
    <n v="1.6875"/>
    <n v="1.74"/>
  </r>
  <r>
    <n v="916"/>
    <x v="14"/>
    <s v="West"/>
    <s v="Major Market"/>
    <s v="Earl Grey"/>
    <s v="Tea"/>
    <s v="California"/>
    <s v="Regular"/>
    <n v="50"/>
    <n v="80"/>
    <n v="70"/>
    <n v="130"/>
    <n v="81"/>
    <n v="441"/>
    <n v="117"/>
    <n v="22"/>
    <n v="125"/>
    <n v="211"/>
    <n v="1.6230769230769231"/>
    <n v="1.7857142857142858"/>
    <n v="1.62"/>
  </r>
  <r>
    <n v="818"/>
    <x v="14"/>
    <s v="West"/>
    <s v="Major Market"/>
    <s v="Green Tea"/>
    <s v="Tea"/>
    <s v="California"/>
    <s v="Regular"/>
    <n v="40"/>
    <n v="80"/>
    <n v="50"/>
    <n v="120"/>
    <n v="72"/>
    <n v="541"/>
    <n v="108"/>
    <n v="23"/>
    <n v="80"/>
    <n v="192"/>
    <n v="1.6"/>
    <n v="1.6"/>
    <n v="1.8"/>
  </r>
  <r>
    <n v="323"/>
    <x v="14"/>
    <s v="West"/>
    <s v="Major Market"/>
    <s v="Caffe Mocha"/>
    <s v="Espresso"/>
    <s v="California"/>
    <s v="Regular"/>
    <n v="120"/>
    <n v="160"/>
    <n v="30"/>
    <n v="280"/>
    <n v="125"/>
    <n v="700"/>
    <n v="173"/>
    <n v="113"/>
    <n v="40"/>
    <n v="318"/>
    <n v="1.1357142857142857"/>
    <n v="1.3333333333333333"/>
    <n v="1.0416666666666667"/>
  </r>
  <r>
    <n v="323"/>
    <x v="14"/>
    <s v="West"/>
    <s v="Major Market"/>
    <s v="Decaf Espresso"/>
    <s v="Espresso"/>
    <s v="California"/>
    <s v="Decaf"/>
    <n v="230"/>
    <n v="310"/>
    <n v="210"/>
    <n v="540"/>
    <n v="243"/>
    <n v="1260"/>
    <n v="324"/>
    <n v="80"/>
    <n v="313"/>
    <n v="604"/>
    <n v="1.1185185185185185"/>
    <n v="1.4904761904761905"/>
    <n v="1.0565217391304347"/>
  </r>
  <r>
    <n v="916"/>
    <x v="14"/>
    <s v="West"/>
    <s v="Major Market"/>
    <s v="Amaretto"/>
    <s v="Coffee"/>
    <s v="California"/>
    <s v="Regular"/>
    <n v="130"/>
    <n v="20"/>
    <n v="-30"/>
    <n v="150"/>
    <n v="109"/>
    <n v="796"/>
    <n v="16"/>
    <n v="34"/>
    <n v="-61"/>
    <n v="133"/>
    <n v="0.88666666666666671"/>
    <n v="2.0333333333333332"/>
    <n v="0.83846153846153848"/>
  </r>
  <r>
    <n v="858"/>
    <x v="14"/>
    <s v="West"/>
    <s v="Major Market"/>
    <s v="Columbian"/>
    <s v="Coffee"/>
    <s v="California"/>
    <s v="Regular"/>
    <n v="340"/>
    <n v="500"/>
    <n v="370"/>
    <n v="840"/>
    <n v="270"/>
    <n v="2041"/>
    <n v="405"/>
    <n v="94"/>
    <n v="384"/>
    <n v="719"/>
    <n v="0.85595238095238091"/>
    <n v="1.0378378378378379"/>
    <n v="0.79411764705882348"/>
  </r>
  <r>
    <n v="408"/>
    <x v="14"/>
    <s v="West"/>
    <s v="Major Market"/>
    <s v="Decaf Irish Cream"/>
    <s v="Coffee"/>
    <s v="California"/>
    <s v="Decaf"/>
    <n v="190"/>
    <n v="-40"/>
    <n v="-120"/>
    <n v="150"/>
    <n v="154"/>
    <n v="1288"/>
    <n v="-27"/>
    <n v="50"/>
    <n v="-180"/>
    <n v="135"/>
    <n v="0.9"/>
    <n v="1.5"/>
    <n v="0.81052631578947365"/>
  </r>
  <r>
    <n v="310"/>
    <x v="14"/>
    <s v="West"/>
    <s v="Major Market"/>
    <s v="Caffe Latte"/>
    <s v="Espresso"/>
    <s v="California"/>
    <s v="Regular"/>
    <n v="220"/>
    <n v="230"/>
    <n v="150"/>
    <n v="450"/>
    <n v="239"/>
    <n v="1417"/>
    <n v="239"/>
    <n v="66"/>
    <n v="221"/>
    <n v="509"/>
    <n v="1.1311111111111112"/>
    <n v="1.4733333333333334"/>
    <n v="1.0863636363636364"/>
  </r>
  <r>
    <n v="775"/>
    <x v="14"/>
    <s v="West"/>
    <s v="Small Market"/>
    <s v="Chamomile"/>
    <s v="Herbal Tea"/>
    <s v="Nevada"/>
    <s v="Decaf"/>
    <n v="100"/>
    <n v="160"/>
    <n v="50"/>
    <n v="260"/>
    <n v="125"/>
    <n v="700"/>
    <n v="173"/>
    <n v="113"/>
    <n v="40"/>
    <n v="318"/>
    <n v="1.2230769230769232"/>
    <n v="0.8"/>
    <n v="1.25"/>
  </r>
  <r>
    <n v="702"/>
    <x v="14"/>
    <s v="West"/>
    <s v="Small Market"/>
    <s v="Lemon"/>
    <s v="Herbal Tea"/>
    <s v="Nevada"/>
    <s v="Decaf"/>
    <n v="130"/>
    <n v="190"/>
    <n v="120"/>
    <n v="320"/>
    <n v="154"/>
    <n v="829"/>
    <n v="213"/>
    <n v="50"/>
    <n v="177"/>
    <n v="391"/>
    <n v="1.221875"/>
    <n v="1.4750000000000001"/>
    <n v="1.1846153846153846"/>
  </r>
  <r>
    <n v="775"/>
    <x v="14"/>
    <s v="West"/>
    <s v="Small Market"/>
    <s v="Mint"/>
    <s v="Herbal Tea"/>
    <s v="Nevada"/>
    <s v="Decaf"/>
    <n v="90"/>
    <n v="140"/>
    <n v="110"/>
    <n v="230"/>
    <n v="109"/>
    <n v="585"/>
    <n v="158"/>
    <n v="34"/>
    <n v="151"/>
    <n v="285"/>
    <n v="1.2391304347826086"/>
    <n v="1.3727272727272728"/>
    <n v="1.211111111111111"/>
  </r>
  <r>
    <n v="702"/>
    <x v="14"/>
    <s v="West"/>
    <s v="Small Market"/>
    <s v="Darjeeling"/>
    <s v="Tea"/>
    <s v="Nevada"/>
    <s v="Regular"/>
    <n v="160"/>
    <n v="220"/>
    <n v="150"/>
    <n v="380"/>
    <n v="243"/>
    <n v="1260"/>
    <n v="324"/>
    <n v="80"/>
    <n v="315"/>
    <n v="604"/>
    <n v="1.5894736842105264"/>
    <n v="2.1"/>
    <n v="1.51875"/>
  </r>
  <r>
    <n v="775"/>
    <x v="14"/>
    <s v="West"/>
    <s v="Small Market"/>
    <s v="Earl Grey"/>
    <s v="Tea"/>
    <s v="Nevada"/>
    <s v="Regular"/>
    <n v="150"/>
    <n v="170"/>
    <n v="110"/>
    <n v="320"/>
    <n v="239"/>
    <n v="1417"/>
    <n v="239"/>
    <n v="66"/>
    <n v="220"/>
    <n v="509"/>
    <n v="1.590625"/>
    <n v="2"/>
    <n v="1.5933333333333333"/>
  </r>
  <r>
    <n v="775"/>
    <x v="14"/>
    <s v="West"/>
    <s v="Small Market"/>
    <s v="Green Tea"/>
    <s v="Tea"/>
    <s v="Nevada"/>
    <s v="Regular"/>
    <n v="160"/>
    <n v="-160"/>
    <n v="-240"/>
    <n v="0"/>
    <n v="245"/>
    <n v="2449"/>
    <n v="-245"/>
    <n v="93"/>
    <n v="-505"/>
    <n v="34"/>
    <m/>
    <n v="2.1041666666666665"/>
    <n v="1.53125"/>
  </r>
  <r>
    <n v="775"/>
    <x v="14"/>
    <s v="West"/>
    <s v="Small Market"/>
    <s v="Caffe Latte"/>
    <s v="Espresso"/>
    <s v="Nevada"/>
    <s v="Regular"/>
    <n v="0"/>
    <n v="40"/>
    <n v="30"/>
    <n v="40"/>
    <n v="0"/>
    <n v="731"/>
    <n v="43"/>
    <n v="0"/>
    <n v="46"/>
    <n v="46"/>
    <n v="1.1499999999999999"/>
    <n v="1.5333333333333334"/>
    <m/>
  </r>
  <r>
    <n v="702"/>
    <x v="14"/>
    <s v="West"/>
    <s v="Small Market"/>
    <s v="Caffe Mocha"/>
    <s v="Espresso"/>
    <s v="Nevada"/>
    <s v="Regular"/>
    <n v="10"/>
    <n v="30"/>
    <n v="20"/>
    <n v="40"/>
    <n v="18"/>
    <n v="816"/>
    <n v="27"/>
    <n v="5"/>
    <n v="15"/>
    <n v="48"/>
    <n v="1.2"/>
    <n v="0.75"/>
    <n v="1.8"/>
  </r>
  <r>
    <n v="775"/>
    <x v="14"/>
    <s v="West"/>
    <s v="Small Market"/>
    <s v="Decaf Espresso"/>
    <s v="Espresso"/>
    <s v="Nevada"/>
    <s v="Decaf"/>
    <n v="10"/>
    <n v="20"/>
    <n v="10"/>
    <n v="30"/>
    <n v="16"/>
    <n v="772"/>
    <n v="25"/>
    <n v="4"/>
    <n v="15"/>
    <n v="44"/>
    <n v="1.4666666666666666"/>
    <n v="1.5"/>
    <n v="1.6"/>
  </r>
  <r>
    <n v="702"/>
    <x v="14"/>
    <s v="West"/>
    <s v="Small Market"/>
    <s v="Columbian"/>
    <s v="Coffee"/>
    <s v="Nevada"/>
    <s v="Regular"/>
    <n v="40"/>
    <n v="50"/>
    <n v="10"/>
    <n v="90"/>
    <n v="33"/>
    <n v="190"/>
    <n v="42"/>
    <n v="12"/>
    <n v="-6"/>
    <n v="80"/>
    <n v="0.88888888888888884"/>
    <n v="-0.6"/>
    <n v="0.82499999999999996"/>
  </r>
  <r>
    <n v="775"/>
    <x v="14"/>
    <s v="West"/>
    <s v="Small Market"/>
    <s v="Decaf Irish Cream"/>
    <s v="Coffee"/>
    <s v="Nevada"/>
    <s v="Decaf"/>
    <n v="30"/>
    <n v="40"/>
    <n v="20"/>
    <n v="70"/>
    <n v="28"/>
    <n v="958"/>
    <n v="35"/>
    <n v="8"/>
    <n v="9"/>
    <n v="67"/>
    <n v="0.95714285714285718"/>
    <n v="0.45"/>
    <n v="0.93333333333333335"/>
  </r>
  <r>
    <n v="503"/>
    <x v="14"/>
    <s v="West"/>
    <s v="Small Market"/>
    <s v="Chamomile"/>
    <s v="Herbal Tea"/>
    <s v="Oregon"/>
    <s v="Decaf"/>
    <n v="30"/>
    <n v="50"/>
    <n v="50"/>
    <n v="80"/>
    <n v="37"/>
    <n v="768"/>
    <n v="55"/>
    <n v="10"/>
    <n v="49"/>
    <n v="98"/>
    <n v="1.2250000000000001"/>
    <n v="0.98"/>
    <n v="1.2333333333333334"/>
  </r>
  <r>
    <n v="503"/>
    <x v="14"/>
    <s v="West"/>
    <s v="Small Market"/>
    <s v="Lemon"/>
    <s v="Herbal Tea"/>
    <s v="Oregon"/>
    <s v="Decaf"/>
    <n v="30"/>
    <n v="50"/>
    <n v="30"/>
    <n v="80"/>
    <n v="43"/>
    <n v="613"/>
    <n v="55"/>
    <n v="14"/>
    <n v="43"/>
    <n v="104"/>
    <n v="1.3"/>
    <n v="1.4333333333333333"/>
    <n v="1.4333333333333333"/>
  </r>
  <r>
    <n v="541"/>
    <x v="14"/>
    <s v="West"/>
    <s v="Small Market"/>
    <s v="Darjeeling"/>
    <s v="Tea"/>
    <s v="Oregon"/>
    <s v="Regular"/>
    <n v="10"/>
    <n v="20"/>
    <n v="20"/>
    <n v="30"/>
    <n v="21"/>
    <n v="449"/>
    <n v="32"/>
    <n v="5"/>
    <n v="24"/>
    <n v="56"/>
    <n v="1.8666666666666667"/>
    <n v="1.2"/>
    <n v="2.1"/>
  </r>
  <r>
    <n v="971"/>
    <x v="14"/>
    <s v="West"/>
    <s v="Small Market"/>
    <s v="Earl Grey"/>
    <s v="Tea"/>
    <s v="Oregon"/>
    <s v="Regular"/>
    <n v="50"/>
    <n v="90"/>
    <n v="60"/>
    <n v="140"/>
    <n v="84"/>
    <n v="632"/>
    <n v="126"/>
    <n v="27"/>
    <n v="101"/>
    <n v="224"/>
    <n v="1.6"/>
    <n v="1.6833333333333333"/>
    <n v="1.68"/>
  </r>
  <r>
    <n v="971"/>
    <x v="14"/>
    <s v="West"/>
    <s v="Small Market"/>
    <s v="Green Tea"/>
    <s v="Tea"/>
    <s v="Oregon"/>
    <s v="Regular"/>
    <n v="50"/>
    <n v="90"/>
    <n v="60"/>
    <n v="140"/>
    <n v="89"/>
    <n v="481"/>
    <n v="125"/>
    <n v="27"/>
    <n v="110"/>
    <n v="228"/>
    <n v="1.6285714285714286"/>
    <n v="1.8333333333333333"/>
    <n v="1.78"/>
  </r>
  <r>
    <n v="503"/>
    <x v="14"/>
    <s v="West"/>
    <s v="Small Market"/>
    <s v="Caffe Latte"/>
    <s v="Espresso"/>
    <s v="Oregon"/>
    <s v="Regular"/>
    <n v="50"/>
    <n v="70"/>
    <n v="20"/>
    <n v="120"/>
    <n v="58"/>
    <n v="325"/>
    <n v="71"/>
    <n v="22"/>
    <n v="22"/>
    <n v="137"/>
    <n v="1.1416666666666666"/>
    <n v="1.1000000000000001"/>
    <n v="1.1599999999999999"/>
  </r>
  <r>
    <n v="503"/>
    <x v="14"/>
    <s v="West"/>
    <s v="Small Market"/>
    <s v="Caffe Mocha"/>
    <s v="Espresso"/>
    <s v="Oregon"/>
    <s v="Regular"/>
    <n v="50"/>
    <n v="70"/>
    <n v="40"/>
    <n v="120"/>
    <n v="57"/>
    <n v="323"/>
    <n v="77"/>
    <n v="18"/>
    <n v="47"/>
    <n v="143"/>
    <n v="1.1916666666666667"/>
    <n v="1.175"/>
    <n v="1.1399999999999999"/>
  </r>
  <r>
    <n v="503"/>
    <x v="14"/>
    <s v="West"/>
    <s v="Small Market"/>
    <s v="Decaf Espresso"/>
    <s v="Espresso"/>
    <s v="Oregon"/>
    <s v="Decaf"/>
    <n v="150"/>
    <n v="160"/>
    <n v="100"/>
    <n v="310"/>
    <n v="162"/>
    <n v="1059"/>
    <n v="163"/>
    <n v="45"/>
    <n v="140"/>
    <n v="346"/>
    <n v="1.1161290322580646"/>
    <n v="1.4"/>
    <n v="1.08"/>
  </r>
  <r>
    <n v="971"/>
    <x v="14"/>
    <s v="West"/>
    <s v="Small Market"/>
    <s v="Amaretto"/>
    <s v="Coffee"/>
    <s v="Oregon"/>
    <s v="Regular"/>
    <n v="60"/>
    <n v="90"/>
    <n v="30"/>
    <n v="150"/>
    <n v="52"/>
    <n v="421"/>
    <n v="73"/>
    <n v="47"/>
    <n v="-4"/>
    <n v="133"/>
    <n v="0.88666666666666671"/>
    <n v="-0.13333333333333333"/>
    <n v="0.8666666666666667"/>
  </r>
  <r>
    <n v="971"/>
    <x v="14"/>
    <s v="West"/>
    <s v="Small Market"/>
    <s v="Columbian"/>
    <s v="Coffee"/>
    <s v="Oregon"/>
    <s v="Regular"/>
    <n v="70"/>
    <n v="110"/>
    <n v="60"/>
    <n v="180"/>
    <n v="62"/>
    <n v="385"/>
    <n v="87"/>
    <n v="20"/>
    <n v="36"/>
    <n v="159"/>
    <n v="0.8833333333333333"/>
    <n v="0.6"/>
    <n v="0.88571428571428568"/>
  </r>
  <r>
    <n v="971"/>
    <x v="14"/>
    <s v="West"/>
    <s v="Small Market"/>
    <s v="Decaf Irish Cream"/>
    <s v="Coffee"/>
    <s v="Oregon"/>
    <s v="Decaf"/>
    <n v="60"/>
    <n v="90"/>
    <n v="60"/>
    <n v="150"/>
    <n v="49"/>
    <n v="351"/>
    <n v="72"/>
    <n v="15"/>
    <n v="50"/>
    <n v="129"/>
    <n v="0.86"/>
    <n v="0.83333333333333337"/>
    <n v="0.81666666666666665"/>
  </r>
  <r>
    <n v="360"/>
    <x v="14"/>
    <s v="West"/>
    <s v="Small Market"/>
    <s v="Chamomile"/>
    <s v="Herbal Tea"/>
    <s v="Washington"/>
    <s v="Decaf"/>
    <n v="100"/>
    <n v="170"/>
    <n v="120"/>
    <n v="270"/>
    <n v="123"/>
    <n v="932"/>
    <n v="186"/>
    <n v="40"/>
    <n v="171"/>
    <n v="329"/>
    <n v="1.2185185185185186"/>
    <n v="1.425"/>
    <n v="1.23"/>
  </r>
  <r>
    <n v="509"/>
    <x v="14"/>
    <s v="West"/>
    <s v="Small Market"/>
    <s v="Lemon"/>
    <s v="Herbal Tea"/>
    <s v="Washington"/>
    <s v="Decaf"/>
    <n v="20"/>
    <n v="50"/>
    <n v="50"/>
    <n v="70"/>
    <n v="33"/>
    <n v="768"/>
    <n v="49"/>
    <n v="9"/>
    <n v="43"/>
    <n v="87"/>
    <n v="1.2428571428571429"/>
    <n v="0.86"/>
    <n v="1.65"/>
  </r>
  <r>
    <n v="425"/>
    <x v="14"/>
    <s v="West"/>
    <s v="Small Market"/>
    <s v="Darjeeling"/>
    <s v="Tea"/>
    <s v="Washington"/>
    <s v="Regular"/>
    <n v="40"/>
    <n v="70"/>
    <n v="40"/>
    <n v="110"/>
    <n v="62"/>
    <n v="346"/>
    <n v="105"/>
    <n v="19"/>
    <n v="92"/>
    <n v="178"/>
    <n v="1.6181818181818182"/>
    <n v="2.2999999999999998"/>
    <n v="1.55"/>
  </r>
  <r>
    <n v="206"/>
    <x v="14"/>
    <s v="West"/>
    <s v="Small Market"/>
    <s v="Earl Grey"/>
    <s v="Tea"/>
    <s v="Washington"/>
    <s v="Regular"/>
    <n v="30"/>
    <n v="50"/>
    <n v="30"/>
    <n v="80"/>
    <n v="52"/>
    <n v="376"/>
    <n v="77"/>
    <n v="16"/>
    <n v="56"/>
    <n v="137"/>
    <n v="1.7124999999999999"/>
    <n v="1.8666666666666667"/>
    <n v="1.7333333333333334"/>
  </r>
  <r>
    <n v="360"/>
    <x v="14"/>
    <s v="West"/>
    <s v="Small Market"/>
    <s v="Green Tea"/>
    <s v="Tea"/>
    <s v="Washington"/>
    <s v="Regular"/>
    <n v="40"/>
    <n v="60"/>
    <n v="10"/>
    <n v="100"/>
    <n v="63"/>
    <n v="506"/>
    <n v="87"/>
    <n v="57"/>
    <n v="0"/>
    <n v="160"/>
    <n v="1.6"/>
    <n v="0"/>
    <n v="1.575"/>
  </r>
  <r>
    <n v="425"/>
    <x v="14"/>
    <s v="West"/>
    <s v="Small Market"/>
    <s v="Caffe Latte"/>
    <s v="Espresso"/>
    <s v="Washington"/>
    <s v="Regular"/>
    <n v="40"/>
    <n v="60"/>
    <n v="40"/>
    <n v="100"/>
    <n v="49"/>
    <n v="611"/>
    <n v="63"/>
    <n v="16"/>
    <n v="52"/>
    <n v="119"/>
    <n v="1.19"/>
    <n v="1.3"/>
    <n v="1.2250000000000001"/>
  </r>
  <r>
    <n v="360"/>
    <x v="14"/>
    <s v="West"/>
    <s v="Small Market"/>
    <s v="Caffe Mocha"/>
    <s v="Espresso"/>
    <s v="Washington"/>
    <s v="Regular"/>
    <n v="50"/>
    <n v="60"/>
    <n v="20"/>
    <n v="110"/>
    <n v="54"/>
    <n v="301"/>
    <n v="66"/>
    <n v="20"/>
    <n v="18"/>
    <n v="128"/>
    <n v="1.1636363636363636"/>
    <n v="0.9"/>
    <n v="1.08"/>
  </r>
  <r>
    <n v="206"/>
    <x v="14"/>
    <s v="West"/>
    <s v="Small Market"/>
    <s v="Decaf Espresso"/>
    <s v="Espresso"/>
    <s v="Washington"/>
    <s v="Decaf"/>
    <n v="60"/>
    <n v="80"/>
    <n v="50"/>
    <n v="140"/>
    <n v="71"/>
    <n v="950"/>
    <n v="84"/>
    <n v="22"/>
    <n v="59"/>
    <n v="165"/>
    <n v="1.1785714285714286"/>
    <n v="1.18"/>
    <n v="1.1833333333333333"/>
  </r>
  <r>
    <n v="509"/>
    <x v="14"/>
    <s v="West"/>
    <s v="Small Market"/>
    <s v="Columbian"/>
    <s v="Coffee"/>
    <s v="Washington"/>
    <s v="Regular"/>
    <n v="70"/>
    <n v="110"/>
    <n v="80"/>
    <n v="180"/>
    <n v="61"/>
    <n v="325"/>
    <n v="89"/>
    <n v="19"/>
    <n v="71"/>
    <n v="160"/>
    <n v="0.88888888888888884"/>
    <n v="0.88749999999999996"/>
    <n v="0.87142857142857144"/>
  </r>
  <r>
    <n v="206"/>
    <x v="14"/>
    <s v="West"/>
    <s v="Small Market"/>
    <s v="Decaf Irish Cream"/>
    <s v="Coffee"/>
    <s v="Washington"/>
    <s v="Decaf"/>
    <n v="110"/>
    <n v="170"/>
    <n v="70"/>
    <n v="280"/>
    <n v="95"/>
    <n v="532"/>
    <n v="132"/>
    <n v="86"/>
    <n v="24"/>
    <n v="242"/>
    <n v="0.86428571428571432"/>
    <n v="0.34285714285714286"/>
    <n v="0.86363636363636365"/>
  </r>
  <r>
    <n v="720"/>
    <x v="15"/>
    <s v="Central"/>
    <s v="Major Market"/>
    <s v="Chamomile"/>
    <s v="Herbal Tea"/>
    <s v="Colorado"/>
    <s v="Decaf"/>
    <n v="130"/>
    <n v="150"/>
    <n v="100"/>
    <n v="280"/>
    <n v="162"/>
    <n v="1091"/>
    <n v="163"/>
    <n v="45"/>
    <n v="140"/>
    <n v="346"/>
    <n v="1.2357142857142858"/>
    <n v="1.4"/>
    <n v="1.2461538461538462"/>
  </r>
  <r>
    <n v="720"/>
    <x v="15"/>
    <s v="Central"/>
    <s v="Major Market"/>
    <s v="Lemon"/>
    <s v="Herbal Tea"/>
    <s v="Colorado"/>
    <s v="Decaf"/>
    <n v="40"/>
    <n v="70"/>
    <n v="20"/>
    <n v="110"/>
    <n v="52"/>
    <n v="433"/>
    <n v="73"/>
    <n v="47"/>
    <n v="-6"/>
    <n v="133"/>
    <n v="1.209090909090909"/>
    <n v="-0.3"/>
    <n v="1.3"/>
  </r>
  <r>
    <n v="720"/>
    <x v="15"/>
    <s v="Central"/>
    <s v="Major Market"/>
    <s v="Mint"/>
    <s v="Herbal Tea"/>
    <s v="Colorado"/>
    <s v="Decaf"/>
    <n v="40"/>
    <n v="70"/>
    <n v="40"/>
    <n v="110"/>
    <n v="55"/>
    <n v="336"/>
    <n v="74"/>
    <n v="18"/>
    <n v="43"/>
    <n v="137"/>
    <n v="1.2454545454545454"/>
    <n v="1.075"/>
    <n v="1.375"/>
  </r>
  <r>
    <n v="720"/>
    <x v="15"/>
    <s v="Central"/>
    <s v="Major Market"/>
    <s v="Darjeeling"/>
    <s v="Tea"/>
    <s v="Colorado"/>
    <s v="Regular"/>
    <n v="40"/>
    <n v="60"/>
    <n v="20"/>
    <n v="100"/>
    <n v="54"/>
    <n v="337"/>
    <n v="67"/>
    <n v="20"/>
    <n v="19"/>
    <n v="129"/>
    <n v="1.29"/>
    <n v="0.95"/>
    <n v="1.35"/>
  </r>
  <r>
    <n v="303"/>
    <x v="15"/>
    <s v="Central"/>
    <s v="Major Market"/>
    <s v="Earl Grey"/>
    <s v="Tea"/>
    <s v="Colorado"/>
    <s v="Regular"/>
    <n v="50"/>
    <n v="70"/>
    <n v="40"/>
    <n v="120"/>
    <n v="63"/>
    <n v="965"/>
    <n v="75"/>
    <n v="19"/>
    <n v="50"/>
    <n v="147"/>
    <n v="1.2250000000000001"/>
    <n v="1.25"/>
    <n v="1.26"/>
  </r>
  <r>
    <n v="303"/>
    <x v="15"/>
    <s v="Central"/>
    <s v="Major Market"/>
    <s v="Green Tea"/>
    <s v="Tea"/>
    <s v="Colorado"/>
    <s v="Regular"/>
    <n v="30"/>
    <n v="60"/>
    <n v="40"/>
    <n v="90"/>
    <n v="46"/>
    <n v="608"/>
    <n v="60"/>
    <n v="15"/>
    <n v="47"/>
    <n v="113"/>
    <n v="1.2555555555555555"/>
    <n v="1.175"/>
    <n v="1.5333333333333334"/>
  </r>
  <r>
    <n v="719"/>
    <x v="15"/>
    <s v="Central"/>
    <s v="Major Market"/>
    <s v="Caffe Mocha"/>
    <s v="Espresso"/>
    <s v="Colorado"/>
    <s v="Regular"/>
    <n v="90"/>
    <n v="140"/>
    <n v="110"/>
    <n v="230"/>
    <n v="81"/>
    <n v="460"/>
    <n v="117"/>
    <n v="22"/>
    <n v="125"/>
    <n v="211"/>
    <n v="0.91739130434782612"/>
    <n v="1.1363636363636365"/>
    <n v="0.9"/>
  </r>
  <r>
    <n v="303"/>
    <x v="15"/>
    <s v="Central"/>
    <s v="Major Market"/>
    <s v="Decaf Espresso"/>
    <s v="Espresso"/>
    <s v="Colorado"/>
    <s v="Decaf"/>
    <n v="70"/>
    <n v="130"/>
    <n v="80"/>
    <n v="200"/>
    <n v="68"/>
    <n v="559"/>
    <n v="102"/>
    <n v="22"/>
    <n v="71"/>
    <n v="181"/>
    <n v="0.90500000000000003"/>
    <n v="0.88749999999999996"/>
    <n v="0.97142857142857142"/>
  </r>
  <r>
    <n v="970"/>
    <x v="15"/>
    <s v="Central"/>
    <s v="Major Market"/>
    <s v="Amaretto"/>
    <s v="Coffee"/>
    <s v="Colorado"/>
    <s v="Regular"/>
    <n v="90"/>
    <n v="140"/>
    <n v="110"/>
    <n v="230"/>
    <n v="91"/>
    <n v="777"/>
    <n v="132"/>
    <n v="25"/>
    <n v="142"/>
    <n v="238"/>
    <n v="1.0347826086956522"/>
    <n v="1.290909090909091"/>
    <n v="1.0111111111111111"/>
  </r>
  <r>
    <n v="970"/>
    <x v="15"/>
    <s v="Central"/>
    <s v="Major Market"/>
    <s v="Columbian"/>
    <s v="Coffee"/>
    <s v="Colorado"/>
    <s v="Regular"/>
    <n v="80"/>
    <n v="100"/>
    <n v="70"/>
    <n v="180"/>
    <n v="78"/>
    <n v="593"/>
    <n v="100"/>
    <n v="25"/>
    <n v="93"/>
    <n v="190"/>
    <n v="1.0555555555555556"/>
    <n v="1.3285714285714285"/>
    <n v="0.97499999999999998"/>
  </r>
  <r>
    <n v="303"/>
    <x v="15"/>
    <s v="Central"/>
    <s v="Major Market"/>
    <s v="Decaf Irish Cream"/>
    <s v="Coffee"/>
    <s v="Colorado"/>
    <s v="Decaf"/>
    <n v="100"/>
    <n v="150"/>
    <n v="120"/>
    <n v="250"/>
    <n v="100"/>
    <n v="822"/>
    <n v="145"/>
    <n v="28"/>
    <n v="156"/>
    <n v="261"/>
    <n v="1.044"/>
    <n v="1.3"/>
    <n v="1"/>
  </r>
  <r>
    <n v="847"/>
    <x v="15"/>
    <s v="Central"/>
    <s v="Major Market"/>
    <s v="Chamomile"/>
    <s v="Herbal Tea"/>
    <s v="Illinois"/>
    <s v="Decaf"/>
    <n v="70"/>
    <n v="120"/>
    <n v="100"/>
    <n v="190"/>
    <n v="91"/>
    <n v="777"/>
    <n v="132"/>
    <n v="25"/>
    <n v="141"/>
    <n v="238"/>
    <n v="1.2526315789473683"/>
    <n v="1.41"/>
    <n v="1.3"/>
  </r>
  <r>
    <n v="708"/>
    <x v="15"/>
    <s v="Central"/>
    <s v="Major Market"/>
    <s v="Lemon"/>
    <s v="Herbal Tea"/>
    <s v="Illinois"/>
    <s v="Decaf"/>
    <n v="60"/>
    <n v="90"/>
    <n v="60"/>
    <n v="150"/>
    <n v="78"/>
    <n v="593"/>
    <n v="100"/>
    <n v="25"/>
    <n v="92"/>
    <n v="190"/>
    <n v="1.2666666666666666"/>
    <n v="1.5333333333333334"/>
    <n v="1.3"/>
  </r>
  <r>
    <n v="815"/>
    <x v="15"/>
    <s v="Central"/>
    <s v="Major Market"/>
    <s v="Mint"/>
    <s v="Herbal Tea"/>
    <s v="Illinois"/>
    <s v="Decaf"/>
    <n v="80"/>
    <n v="130"/>
    <n v="110"/>
    <n v="210"/>
    <n v="100"/>
    <n v="822"/>
    <n v="145"/>
    <n v="28"/>
    <n v="157"/>
    <n v="261"/>
    <n v="1.2428571428571429"/>
    <n v="1.4272727272727272"/>
    <n v="1.25"/>
  </r>
  <r>
    <n v="309"/>
    <x v="15"/>
    <s v="Central"/>
    <s v="Major Market"/>
    <s v="Darjeeling"/>
    <s v="Tea"/>
    <s v="Illinois"/>
    <s v="Regular"/>
    <n v="60"/>
    <n v="110"/>
    <n v="80"/>
    <n v="170"/>
    <n v="81"/>
    <n v="460"/>
    <n v="117"/>
    <n v="22"/>
    <n v="123"/>
    <n v="211"/>
    <n v="1.2411764705882353"/>
    <n v="1.5375000000000001"/>
    <n v="1.35"/>
  </r>
  <r>
    <n v="773"/>
    <x v="15"/>
    <s v="Central"/>
    <s v="Major Market"/>
    <s v="Earl Grey"/>
    <s v="Tea"/>
    <s v="Illinois"/>
    <s v="Regular"/>
    <n v="50"/>
    <n v="90"/>
    <n v="40"/>
    <n v="140"/>
    <n v="68"/>
    <n v="559"/>
    <n v="102"/>
    <n v="22"/>
    <n v="73"/>
    <n v="181"/>
    <n v="1.2928571428571429"/>
    <n v="1.825"/>
    <n v="1.36"/>
  </r>
  <r>
    <n v="309"/>
    <x v="15"/>
    <s v="Central"/>
    <s v="Major Market"/>
    <s v="Caffe Mocha"/>
    <s v="Espresso"/>
    <s v="Illinois"/>
    <s v="Regular"/>
    <n v="290"/>
    <n v="400"/>
    <n v="280"/>
    <n v="690"/>
    <n v="252"/>
    <n v="1316"/>
    <n v="335"/>
    <n v="83"/>
    <n v="326"/>
    <n v="626"/>
    <n v="0.90724637681159426"/>
    <n v="1.1642857142857144"/>
    <n v="0.86896551724137927"/>
  </r>
  <r>
    <n v="815"/>
    <x v="15"/>
    <s v="Central"/>
    <s v="Major Market"/>
    <s v="Decaf Espresso"/>
    <s v="Espresso"/>
    <s v="Illinois"/>
    <s v="Decaf"/>
    <n v="270"/>
    <n v="290"/>
    <n v="200"/>
    <n v="560"/>
    <n v="239"/>
    <n v="1464"/>
    <n v="239"/>
    <n v="66"/>
    <n v="221"/>
    <n v="509"/>
    <n v="0.90892857142857142"/>
    <n v="1.105"/>
    <n v="0.88518518518518519"/>
  </r>
  <r>
    <n v="630"/>
    <x v="15"/>
    <s v="Central"/>
    <s v="Major Market"/>
    <s v="Columbian"/>
    <s v="Coffee"/>
    <s v="Illinois"/>
    <s v="Regular"/>
    <n v="200"/>
    <n v="270"/>
    <n v="170"/>
    <n v="470"/>
    <n v="191"/>
    <n v="865"/>
    <n v="265"/>
    <n v="63"/>
    <n v="232"/>
    <n v="486"/>
    <n v="1.0340425531914894"/>
    <n v="1.3647058823529412"/>
    <n v="0.95499999999999996"/>
  </r>
  <r>
    <n v="312"/>
    <x v="15"/>
    <s v="Central"/>
    <s v="Major Market"/>
    <s v="Decaf Irish Cream"/>
    <s v="Coffee"/>
    <s v="Illinois"/>
    <s v="Decaf"/>
    <n v="130"/>
    <n v="180"/>
    <n v="130"/>
    <n v="310"/>
    <n v="123"/>
    <n v="611"/>
    <n v="178"/>
    <n v="39"/>
    <n v="172"/>
    <n v="321"/>
    <n v="1.0354838709677419"/>
    <n v="1.323076923076923"/>
    <n v="0.94615384615384612"/>
  </r>
  <r>
    <n v="563"/>
    <x v="15"/>
    <s v="Central"/>
    <s v="Small Market"/>
    <s v="Chamomile"/>
    <s v="Herbal Tea"/>
    <s v="Iowa"/>
    <s v="Decaf"/>
    <n v="210"/>
    <n v="300"/>
    <n v="210"/>
    <n v="510"/>
    <n v="252"/>
    <n v="1316"/>
    <n v="335"/>
    <n v="83"/>
    <n v="326"/>
    <n v="626"/>
    <n v="1.2274509803921569"/>
    <n v="1.5523809523809524"/>
    <n v="1.2"/>
  </r>
  <r>
    <n v="319"/>
    <x v="15"/>
    <s v="Central"/>
    <s v="Small Market"/>
    <s v="Lemon"/>
    <s v="Herbal Tea"/>
    <s v="Iowa"/>
    <s v="Decaf"/>
    <n v="100"/>
    <n v="160"/>
    <n v="120"/>
    <n v="260"/>
    <n v="123"/>
    <n v="611"/>
    <n v="178"/>
    <n v="39"/>
    <n v="171"/>
    <n v="321"/>
    <n v="1.2346153846153847"/>
    <n v="1.425"/>
    <n v="1.23"/>
  </r>
  <r>
    <n v="712"/>
    <x v="15"/>
    <s v="Central"/>
    <s v="Small Market"/>
    <s v="Darjeeling"/>
    <s v="Tea"/>
    <s v="Iowa"/>
    <s v="Regular"/>
    <n v="200"/>
    <n v="220"/>
    <n v="140"/>
    <n v="420"/>
    <n v="239"/>
    <n v="1464"/>
    <n v="239"/>
    <n v="66"/>
    <n v="220"/>
    <n v="509"/>
    <n v="1.2119047619047618"/>
    <n v="1.5714285714285714"/>
    <n v="1.1950000000000001"/>
  </r>
  <r>
    <n v="563"/>
    <x v="15"/>
    <s v="Central"/>
    <s v="Small Market"/>
    <s v="Earl Grey"/>
    <s v="Tea"/>
    <s v="Iowa"/>
    <s v="Regular"/>
    <n v="220"/>
    <n v="280"/>
    <n v="160"/>
    <n v="500"/>
    <n v="260"/>
    <n v="1423"/>
    <n v="318"/>
    <n v="98"/>
    <n v="276"/>
    <n v="616"/>
    <n v="1.232"/>
    <n v="1.7250000000000001"/>
    <n v="1.1818181818181819"/>
  </r>
  <r>
    <n v="515"/>
    <x v="15"/>
    <s v="Central"/>
    <s v="Small Market"/>
    <s v="Caffe Mocha"/>
    <s v="Espresso"/>
    <s v="Iowa"/>
    <s v="Regular"/>
    <n v="10"/>
    <n v="40"/>
    <n v="30"/>
    <n v="50"/>
    <n v="17"/>
    <n v="776"/>
    <n v="26"/>
    <n v="4"/>
    <n v="15"/>
    <n v="46"/>
    <n v="0.92"/>
    <n v="0.5"/>
    <n v="1.7"/>
  </r>
  <r>
    <n v="712"/>
    <x v="15"/>
    <s v="Central"/>
    <s v="Small Market"/>
    <s v="Decaf Espresso"/>
    <s v="Espresso"/>
    <s v="Iowa"/>
    <s v="Decaf"/>
    <n v="0"/>
    <n v="50"/>
    <n v="40"/>
    <n v="50"/>
    <n v="0"/>
    <n v="688"/>
    <n v="43"/>
    <n v="0"/>
    <n v="47"/>
    <n v="46"/>
    <n v="0.92"/>
    <n v="1.175"/>
    <m/>
  </r>
  <r>
    <n v="515"/>
    <x v="15"/>
    <s v="Central"/>
    <s v="Small Market"/>
    <s v="Amaretto"/>
    <s v="Coffee"/>
    <s v="Iowa"/>
    <s v="Regular"/>
    <n v="20"/>
    <n v="20"/>
    <n v="10"/>
    <n v="40"/>
    <n v="19"/>
    <n v="820"/>
    <n v="28"/>
    <n v="5"/>
    <n v="16"/>
    <n v="50"/>
    <n v="1.25"/>
    <n v="1.6"/>
    <n v="0.95"/>
  </r>
  <r>
    <n v="319"/>
    <x v="15"/>
    <s v="Central"/>
    <s v="Small Market"/>
    <s v="Columbian"/>
    <s v="Coffee"/>
    <s v="Iowa"/>
    <s v="Regular"/>
    <n v="20"/>
    <n v="40"/>
    <n v="20"/>
    <n v="60"/>
    <n v="28"/>
    <n v="964"/>
    <n v="33"/>
    <n v="8"/>
    <n v="4"/>
    <n v="65"/>
    <n v="1.0833333333333333"/>
    <n v="0.2"/>
    <n v="1.4"/>
  </r>
  <r>
    <n v="641"/>
    <x v="15"/>
    <s v="Central"/>
    <s v="Small Market"/>
    <s v="Decaf Irish Cream"/>
    <s v="Coffee"/>
    <s v="Iowa"/>
    <s v="Decaf"/>
    <n v="20"/>
    <n v="30"/>
    <n v="20"/>
    <n v="50"/>
    <n v="21"/>
    <n v="614"/>
    <n v="28"/>
    <n v="6"/>
    <n v="13"/>
    <n v="52"/>
    <n v="1.04"/>
    <n v="0.65"/>
    <n v="1.05"/>
  </r>
  <r>
    <n v="417"/>
    <x v="15"/>
    <s v="Central"/>
    <s v="Small Market"/>
    <s v="Chamomile"/>
    <s v="Herbal Tea"/>
    <s v="Missouri"/>
    <s v="Decaf"/>
    <n v="30"/>
    <n v="60"/>
    <n v="10"/>
    <n v="90"/>
    <n v="44"/>
    <n v="261"/>
    <n v="63"/>
    <n v="40"/>
    <n v="-9"/>
    <n v="114"/>
    <n v="1.2666666666666666"/>
    <n v="-0.9"/>
    <n v="1.4666666666666666"/>
  </r>
  <r>
    <n v="636"/>
    <x v="15"/>
    <s v="Central"/>
    <s v="Small Market"/>
    <s v="Lemon"/>
    <s v="Herbal Tea"/>
    <s v="Missouri"/>
    <s v="Decaf"/>
    <n v="70"/>
    <n v="40"/>
    <n v="10"/>
    <n v="110"/>
    <n v="93"/>
    <n v="840"/>
    <n v="40"/>
    <n v="28"/>
    <n v="-18"/>
    <n v="142"/>
    <n v="1.290909090909091"/>
    <n v="-1.8"/>
    <n v="1.3285714285714285"/>
  </r>
  <r>
    <n v="417"/>
    <x v="15"/>
    <s v="Central"/>
    <s v="Small Market"/>
    <s v="Darjeeling"/>
    <s v="Tea"/>
    <s v="Missouri"/>
    <s v="Regular"/>
    <n v="30"/>
    <n v="40"/>
    <n v="10"/>
    <n v="70"/>
    <n v="37"/>
    <n v="195"/>
    <n v="51"/>
    <n v="12"/>
    <n v="16"/>
    <n v="94"/>
    <n v="1.3428571428571427"/>
    <n v="1.6"/>
    <n v="1.2333333333333334"/>
  </r>
  <r>
    <n v="417"/>
    <x v="15"/>
    <s v="Central"/>
    <s v="Small Market"/>
    <s v="Earl Grey"/>
    <s v="Tea"/>
    <s v="Missouri"/>
    <s v="Regular"/>
    <n v="20"/>
    <n v="30"/>
    <n v="-10"/>
    <n v="50"/>
    <n v="29"/>
    <n v="169"/>
    <n v="36"/>
    <n v="11"/>
    <n v="-13"/>
    <n v="69"/>
    <n v="1.38"/>
    <n v="1.3"/>
    <n v="1.45"/>
  </r>
  <r>
    <n v="314"/>
    <x v="15"/>
    <s v="Central"/>
    <s v="Small Market"/>
    <s v="Green Tea"/>
    <s v="Tea"/>
    <s v="Missouri"/>
    <s v="Regular"/>
    <n v="30"/>
    <n v="30"/>
    <n v="-10"/>
    <n v="60"/>
    <n v="35"/>
    <n v="197"/>
    <n v="44"/>
    <n v="13"/>
    <n v="-3"/>
    <n v="84"/>
    <n v="1.4"/>
    <n v="0.3"/>
    <n v="1.1666666666666667"/>
  </r>
  <r>
    <n v="314"/>
    <x v="15"/>
    <s v="Central"/>
    <s v="Small Market"/>
    <s v="Caffe Mocha"/>
    <s v="Espresso"/>
    <s v="Missouri"/>
    <s v="Regular"/>
    <n v="50"/>
    <n v="80"/>
    <n v="60"/>
    <n v="130"/>
    <n v="47"/>
    <n v="821"/>
    <n v="68"/>
    <n v="13"/>
    <n v="64"/>
    <n v="123"/>
    <n v="0.94615384615384612"/>
    <n v="1.0666666666666667"/>
    <n v="0.94"/>
  </r>
  <r>
    <n v="573"/>
    <x v="15"/>
    <s v="Central"/>
    <s v="Small Market"/>
    <s v="Decaf Espresso"/>
    <s v="Espresso"/>
    <s v="Missouri"/>
    <s v="Decaf"/>
    <n v="50"/>
    <n v="80"/>
    <n v="60"/>
    <n v="130"/>
    <n v="45"/>
    <n v="777"/>
    <n v="67"/>
    <n v="12"/>
    <n v="65"/>
    <n v="119"/>
    <n v="0.91538461538461535"/>
    <n v="1.0833333333333333"/>
    <n v="0.9"/>
  </r>
  <r>
    <n v="573"/>
    <x v="15"/>
    <s v="Central"/>
    <s v="Small Market"/>
    <s v="Columbian"/>
    <s v="Coffee"/>
    <s v="Missouri"/>
    <s v="Regular"/>
    <n v="80"/>
    <n v="100"/>
    <n v="50"/>
    <n v="180"/>
    <n v="80"/>
    <n v="494"/>
    <n v="98"/>
    <n v="30"/>
    <n v="52"/>
    <n v="190"/>
    <n v="1.0555555555555556"/>
    <n v="1.04"/>
    <n v="1"/>
  </r>
  <r>
    <n v="573"/>
    <x v="15"/>
    <s v="Central"/>
    <s v="Small Market"/>
    <s v="Decaf Irish Cream"/>
    <s v="Coffee"/>
    <s v="Missouri"/>
    <s v="Decaf"/>
    <n v="80"/>
    <n v="90"/>
    <n v="50"/>
    <n v="170"/>
    <n v="76"/>
    <n v="965"/>
    <n v="91"/>
    <n v="23"/>
    <n v="70"/>
    <n v="178"/>
    <n v="1.0470588235294118"/>
    <n v="1.4"/>
    <n v="0.95"/>
  </r>
  <r>
    <n v="234"/>
    <x v="15"/>
    <s v="Central"/>
    <s v="Major Market"/>
    <s v="Chamomile"/>
    <s v="Herbal Tea"/>
    <s v="Ohio"/>
    <s v="Decaf"/>
    <n v="10"/>
    <n v="30"/>
    <n v="30"/>
    <n v="40"/>
    <n v="21"/>
    <n v="454"/>
    <n v="32"/>
    <n v="5"/>
    <n v="24"/>
    <n v="56"/>
    <n v="1.4"/>
    <n v="0.8"/>
    <n v="2.1"/>
  </r>
  <r>
    <n v="330"/>
    <x v="15"/>
    <s v="Central"/>
    <s v="Major Market"/>
    <s v="Lemon"/>
    <s v="Herbal Tea"/>
    <s v="Ohio"/>
    <s v="Decaf"/>
    <n v="20"/>
    <n v="40"/>
    <n v="40"/>
    <n v="60"/>
    <n v="30"/>
    <n v="820"/>
    <n v="45"/>
    <n v="8"/>
    <n v="39"/>
    <n v="80"/>
    <n v="1.3333333333333333"/>
    <n v="0.97499999999999998"/>
    <n v="1.5"/>
  </r>
  <r>
    <n v="937"/>
    <x v="15"/>
    <s v="Central"/>
    <s v="Major Market"/>
    <s v="Darjeeling"/>
    <s v="Tea"/>
    <s v="Ohio"/>
    <s v="Regular"/>
    <n v="70"/>
    <n v="120"/>
    <n v="70"/>
    <n v="190"/>
    <n v="88"/>
    <n v="653"/>
    <n v="134"/>
    <n v="29"/>
    <n v="108"/>
    <n v="237"/>
    <n v="1.2473684210526317"/>
    <n v="1.5428571428571429"/>
    <n v="1.2571428571428571"/>
  </r>
  <r>
    <n v="234"/>
    <x v="15"/>
    <s v="Central"/>
    <s v="Major Market"/>
    <s v="Earl Grey"/>
    <s v="Tea"/>
    <s v="Ohio"/>
    <s v="Regular"/>
    <n v="90"/>
    <n v="140"/>
    <n v="90"/>
    <n v="230"/>
    <n v="112"/>
    <n v="502"/>
    <n v="155"/>
    <n v="34"/>
    <n v="144"/>
    <n v="285"/>
    <n v="1.2391304347826086"/>
    <n v="1.6"/>
    <n v="1.2444444444444445"/>
  </r>
  <r>
    <n v="216"/>
    <x v="15"/>
    <s v="Central"/>
    <s v="Major Market"/>
    <s v="Caffe Mocha"/>
    <s v="Espresso"/>
    <s v="Ohio"/>
    <s v="Regular"/>
    <n v="180"/>
    <n v="200"/>
    <n v="130"/>
    <n v="380"/>
    <n v="162"/>
    <n v="1091"/>
    <n v="163"/>
    <n v="45"/>
    <n v="138"/>
    <n v="346"/>
    <n v="0.91052631578947374"/>
    <n v="1.0615384615384615"/>
    <n v="0.9"/>
  </r>
  <r>
    <n v="419"/>
    <x v="15"/>
    <s v="Central"/>
    <s v="Major Market"/>
    <s v="Decaf Espresso"/>
    <s v="Espresso"/>
    <s v="Ohio"/>
    <s v="Decaf"/>
    <n v="60"/>
    <n v="80"/>
    <n v="30"/>
    <n v="140"/>
    <n v="54"/>
    <n v="337"/>
    <n v="67"/>
    <n v="20"/>
    <n v="19"/>
    <n v="129"/>
    <n v="0.92142857142857137"/>
    <n v="0.6333333333333333"/>
    <n v="0.9"/>
  </r>
  <r>
    <n v="567"/>
    <x v="15"/>
    <s v="Central"/>
    <s v="Major Market"/>
    <s v="Amaretto"/>
    <s v="Coffee"/>
    <s v="Ohio"/>
    <s v="Regular"/>
    <n v="50"/>
    <n v="80"/>
    <n v="50"/>
    <n v="130"/>
    <n v="55"/>
    <n v="336"/>
    <n v="74"/>
    <n v="18"/>
    <n v="42"/>
    <n v="137"/>
    <n v="1.0538461538461539"/>
    <n v="0.84"/>
    <n v="1.1000000000000001"/>
  </r>
  <r>
    <n v="330"/>
    <x v="15"/>
    <s v="Central"/>
    <s v="Major Market"/>
    <s v="Columbian"/>
    <s v="Coffee"/>
    <s v="Ohio"/>
    <s v="Regular"/>
    <n v="40"/>
    <n v="70"/>
    <n v="40"/>
    <n v="110"/>
    <n v="43"/>
    <n v="363"/>
    <n v="64"/>
    <n v="13"/>
    <n v="40"/>
    <n v="114"/>
    <n v="1.0363636363636364"/>
    <n v="1"/>
    <n v="1.075"/>
  </r>
  <r>
    <n v="513"/>
    <x v="15"/>
    <s v="Central"/>
    <s v="Major Market"/>
    <s v="Decaf Irish Cream"/>
    <s v="Coffee"/>
    <s v="Ohio"/>
    <s v="Decaf"/>
    <n v="50"/>
    <n v="80"/>
    <n v="20"/>
    <n v="130"/>
    <n v="52"/>
    <n v="433"/>
    <n v="73"/>
    <n v="47"/>
    <n v="-4"/>
    <n v="133"/>
    <n v="1.023076923076923"/>
    <n v="-0.2"/>
    <n v="1.04"/>
  </r>
  <r>
    <n v="414"/>
    <x v="15"/>
    <s v="Central"/>
    <s v="Small Market"/>
    <s v="Chamomile"/>
    <s v="Herbal Tea"/>
    <s v="Wisconsin"/>
    <s v="Decaf"/>
    <n v="40"/>
    <n v="70"/>
    <n v="50"/>
    <n v="110"/>
    <n v="49"/>
    <n v="342"/>
    <n v="84"/>
    <n v="15"/>
    <n v="68"/>
    <n v="142"/>
    <n v="1.290909090909091"/>
    <n v="1.36"/>
    <n v="1.2250000000000001"/>
  </r>
  <r>
    <n v="262"/>
    <x v="15"/>
    <s v="Central"/>
    <s v="Small Market"/>
    <s v="Lemon"/>
    <s v="Herbal Tea"/>
    <s v="Wisconsin"/>
    <s v="Decaf"/>
    <n v="40"/>
    <n v="60"/>
    <n v="50"/>
    <n v="100"/>
    <n v="49"/>
    <n v="779"/>
    <n v="72"/>
    <n v="13"/>
    <n v="70"/>
    <n v="129"/>
    <n v="1.29"/>
    <n v="1.4"/>
    <n v="1.2250000000000001"/>
  </r>
  <r>
    <n v="262"/>
    <x v="15"/>
    <s v="Central"/>
    <s v="Small Market"/>
    <s v="Darjeeling"/>
    <s v="Tea"/>
    <s v="Wisconsin"/>
    <s v="Regular"/>
    <n v="30"/>
    <n v="70"/>
    <n v="40"/>
    <n v="100"/>
    <n v="46"/>
    <n v="388"/>
    <n v="68"/>
    <n v="14"/>
    <n v="46"/>
    <n v="121"/>
    <n v="1.21"/>
    <n v="1.1499999999999999"/>
    <n v="1.5333333333333334"/>
  </r>
  <r>
    <n v="608"/>
    <x v="15"/>
    <s v="Central"/>
    <s v="Small Market"/>
    <s v="Earl Grey"/>
    <s v="Tea"/>
    <s v="Wisconsin"/>
    <s v="Regular"/>
    <n v="50"/>
    <n v="80"/>
    <n v="10"/>
    <n v="130"/>
    <n v="63"/>
    <n v="521"/>
    <n v="87"/>
    <n v="57"/>
    <n v="1"/>
    <n v="160"/>
    <n v="1.2307692307692308"/>
    <n v="0.1"/>
    <n v="1.26"/>
  </r>
  <r>
    <n v="608"/>
    <x v="15"/>
    <s v="Central"/>
    <s v="Small Market"/>
    <s v="Caffe Mocha"/>
    <s v="Espresso"/>
    <s v="Wisconsin"/>
    <s v="Regular"/>
    <n v="80"/>
    <n v="90"/>
    <n v="50"/>
    <n v="170"/>
    <n v="69"/>
    <n v="965"/>
    <n v="82"/>
    <n v="21"/>
    <n v="58"/>
    <n v="161"/>
    <n v="0.94705882352941173"/>
    <n v="1.1599999999999999"/>
    <n v="0.86250000000000004"/>
  </r>
  <r>
    <n v="920"/>
    <x v="15"/>
    <s v="Central"/>
    <s v="Small Market"/>
    <s v="Decaf Espresso"/>
    <s v="Espresso"/>
    <s v="Wisconsin"/>
    <s v="Decaf"/>
    <n v="50"/>
    <n v="70"/>
    <n v="50"/>
    <n v="120"/>
    <n v="45"/>
    <n v="605"/>
    <n v="58"/>
    <n v="14"/>
    <n v="47"/>
    <n v="110"/>
    <n v="0.91666666666666663"/>
    <n v="0.94"/>
    <n v="0.9"/>
  </r>
  <r>
    <n v="715"/>
    <x v="15"/>
    <s v="Central"/>
    <s v="Small Market"/>
    <s v="Amaretto"/>
    <s v="Coffee"/>
    <s v="Wisconsin"/>
    <s v="Regular"/>
    <n v="60"/>
    <n v="70"/>
    <n v="20"/>
    <n v="130"/>
    <n v="57"/>
    <n v="313"/>
    <n v="70"/>
    <n v="21"/>
    <n v="24"/>
    <n v="135"/>
    <n v="1.0384615384615385"/>
    <n v="1.2"/>
    <n v="0.95"/>
  </r>
  <r>
    <n v="608"/>
    <x v="15"/>
    <s v="Central"/>
    <s v="Small Market"/>
    <s v="Columbian"/>
    <s v="Coffee"/>
    <s v="Wisconsin"/>
    <s v="Regular"/>
    <n v="100"/>
    <n v="130"/>
    <n v="30"/>
    <n v="230"/>
    <n v="95"/>
    <n v="554"/>
    <n v="132"/>
    <n v="86"/>
    <n v="25"/>
    <n v="242"/>
    <n v="1.0521739130434782"/>
    <n v="0.83333333333333337"/>
    <n v="0.95"/>
  </r>
  <r>
    <n v="262"/>
    <x v="15"/>
    <s v="Central"/>
    <s v="Small Market"/>
    <s v="Decaf Irish Cream"/>
    <s v="Coffee"/>
    <s v="Wisconsin"/>
    <s v="Decaf"/>
    <n v="80"/>
    <n v="120"/>
    <n v="80"/>
    <n v="200"/>
    <n v="83"/>
    <n v="433"/>
    <n v="112"/>
    <n v="27"/>
    <n v="86"/>
    <n v="208"/>
    <n v="1.04"/>
    <n v="1.075"/>
    <n v="1.0375000000000001"/>
  </r>
  <r>
    <n v="203"/>
    <x v="15"/>
    <s v="East"/>
    <s v="Small Market"/>
    <s v="Lemon"/>
    <s v="Herbal Tea"/>
    <s v="Connecticut"/>
    <s v="Decaf"/>
    <n v="60"/>
    <n v="70"/>
    <n v="30"/>
    <n v="130"/>
    <n v="80"/>
    <n v="494"/>
    <n v="98"/>
    <n v="30"/>
    <n v="50"/>
    <n v="190"/>
    <n v="1.4615384615384615"/>
    <n v="1.6666666666666667"/>
    <n v="1.3333333333333333"/>
  </r>
  <r>
    <n v="475"/>
    <x v="15"/>
    <s v="East"/>
    <s v="Small Market"/>
    <s v="Mint"/>
    <s v="Herbal Tea"/>
    <s v="Connecticut"/>
    <s v="Decaf"/>
    <n v="50"/>
    <n v="80"/>
    <n v="60"/>
    <n v="130"/>
    <n v="76"/>
    <n v="965"/>
    <n v="91"/>
    <n v="23"/>
    <n v="68"/>
    <n v="178"/>
    <n v="1.3692307692307693"/>
    <n v="1.1333333333333333"/>
    <n v="1.52"/>
  </r>
  <r>
    <n v="959"/>
    <x v="15"/>
    <s v="East"/>
    <s v="Small Market"/>
    <s v="Darjeeling"/>
    <s v="Tea"/>
    <s v="Connecticut"/>
    <s v="Regular"/>
    <n v="40"/>
    <n v="80"/>
    <n v="60"/>
    <n v="120"/>
    <n v="47"/>
    <n v="821"/>
    <n v="68"/>
    <n v="13"/>
    <n v="64"/>
    <n v="123"/>
    <n v="1.0249999999999999"/>
    <n v="1.0666666666666667"/>
    <n v="1.175"/>
  </r>
  <r>
    <n v="959"/>
    <x v="15"/>
    <s v="East"/>
    <s v="Small Market"/>
    <s v="Green Tea"/>
    <s v="Tea"/>
    <s v="Connecticut"/>
    <s v="Regular"/>
    <n v="20"/>
    <n v="40"/>
    <n v="30"/>
    <n v="60"/>
    <n v="25"/>
    <n v="775"/>
    <n v="37"/>
    <n v="7"/>
    <n v="27"/>
    <n v="66"/>
    <n v="1.1000000000000001"/>
    <n v="0.9"/>
    <n v="1.25"/>
  </r>
  <r>
    <n v="959"/>
    <x v="15"/>
    <s v="East"/>
    <s v="Small Market"/>
    <s v="Columbian"/>
    <s v="Coffee"/>
    <s v="Connecticut"/>
    <s v="Regular"/>
    <n v="110"/>
    <n v="160"/>
    <n v="110"/>
    <n v="270"/>
    <n v="116"/>
    <n v="962"/>
    <n v="176"/>
    <n v="38"/>
    <n v="159"/>
    <n v="311"/>
    <n v="1.1518518518518519"/>
    <n v="1.4454545454545455"/>
    <n v="1.0545454545454545"/>
  </r>
  <r>
    <n v="203"/>
    <x v="15"/>
    <s v="East"/>
    <s v="Small Market"/>
    <s v="Caffe Mocha"/>
    <s v="Espresso"/>
    <s v="Connecticut"/>
    <s v="Regular"/>
    <n v="60"/>
    <n v="80"/>
    <n v="10"/>
    <n v="140"/>
    <n v="63"/>
    <n v="521"/>
    <n v="87"/>
    <n v="57"/>
    <n v="0"/>
    <n v="160"/>
    <n v="1.1428571428571428"/>
    <n v="0"/>
    <n v="1.05"/>
  </r>
  <r>
    <n v="860"/>
    <x v="15"/>
    <s v="East"/>
    <s v="Small Market"/>
    <s v="Decaf Espresso"/>
    <s v="Espresso"/>
    <s v="Connecticut"/>
    <s v="Decaf"/>
    <n v="40"/>
    <n v="70"/>
    <n v="40"/>
    <n v="110"/>
    <n v="51"/>
    <n v="311"/>
    <n v="68"/>
    <n v="16"/>
    <n v="36"/>
    <n v="127"/>
    <n v="1.1545454545454545"/>
    <n v="0.9"/>
    <n v="1.2749999999999999"/>
  </r>
  <r>
    <n v="321"/>
    <x v="15"/>
    <s v="East"/>
    <s v="Major Market"/>
    <s v="Chamomile"/>
    <s v="Herbal Tea"/>
    <s v="Florida"/>
    <s v="Decaf"/>
    <n v="30"/>
    <n v="50"/>
    <n v="30"/>
    <n v="80"/>
    <n v="45"/>
    <n v="605"/>
    <n v="58"/>
    <n v="14"/>
    <n v="46"/>
    <n v="110"/>
    <n v="1.375"/>
    <n v="1.5333333333333334"/>
    <n v="1.5"/>
  </r>
  <r>
    <n v="772"/>
    <x v="15"/>
    <s v="East"/>
    <s v="Major Market"/>
    <s v="Lemon"/>
    <s v="Herbal Tea"/>
    <s v="Florida"/>
    <s v="Decaf"/>
    <n v="40"/>
    <n v="50"/>
    <n v="20"/>
    <n v="90"/>
    <n v="57"/>
    <n v="313"/>
    <n v="70"/>
    <n v="21"/>
    <n v="22"/>
    <n v="135"/>
    <n v="1.5"/>
    <n v="1.1000000000000001"/>
    <n v="1.425"/>
  </r>
  <r>
    <n v="850"/>
    <x v="15"/>
    <s v="East"/>
    <s v="Major Market"/>
    <s v="Mint"/>
    <s v="Herbal Tea"/>
    <s v="Florida"/>
    <s v="Decaf"/>
    <n v="50"/>
    <n v="60"/>
    <n v="40"/>
    <n v="110"/>
    <n v="69"/>
    <n v="965"/>
    <n v="82"/>
    <n v="21"/>
    <n v="58"/>
    <n v="161"/>
    <n v="1.4636363636363636"/>
    <n v="1.45"/>
    <n v="1.38"/>
  </r>
  <r>
    <n v="904"/>
    <x v="15"/>
    <s v="East"/>
    <s v="Major Market"/>
    <s v="Darjeeling"/>
    <s v="Tea"/>
    <s v="Florida"/>
    <s v="Regular"/>
    <n v="30"/>
    <n v="60"/>
    <n v="50"/>
    <n v="90"/>
    <n v="34"/>
    <n v="821"/>
    <n v="51"/>
    <n v="9"/>
    <n v="45"/>
    <n v="91"/>
    <n v="1.0111111111111111"/>
    <n v="0.9"/>
    <n v="1.1333333333333333"/>
  </r>
  <r>
    <n v="904"/>
    <x v="15"/>
    <s v="East"/>
    <s v="Major Market"/>
    <s v="Green Tea"/>
    <s v="Tea"/>
    <s v="Florida"/>
    <s v="Regular"/>
    <n v="50"/>
    <n v="80"/>
    <n v="60"/>
    <n v="130"/>
    <n v="49"/>
    <n v="779"/>
    <n v="72"/>
    <n v="13"/>
    <n v="70"/>
    <n v="129"/>
    <n v="0.99230769230769234"/>
    <n v="1.1666666666666667"/>
    <n v="0.98"/>
  </r>
  <r>
    <n v="850"/>
    <x v="15"/>
    <s v="East"/>
    <s v="Major Market"/>
    <s v="Columbian"/>
    <s v="Coffee"/>
    <s v="Florida"/>
    <s v="Regular"/>
    <n v="80"/>
    <n v="130"/>
    <n v="90"/>
    <n v="210"/>
    <n v="88"/>
    <n v="653"/>
    <n v="134"/>
    <n v="29"/>
    <n v="108"/>
    <n v="237"/>
    <n v="1.1285714285714286"/>
    <n v="1.2"/>
    <n v="1.1000000000000001"/>
  </r>
  <r>
    <n v="754"/>
    <x v="15"/>
    <s v="East"/>
    <s v="Major Market"/>
    <s v="Decaf Irish Cream"/>
    <s v="Coffee"/>
    <s v="Florida"/>
    <s v="Decaf"/>
    <n v="100"/>
    <n v="150"/>
    <n v="100"/>
    <n v="250"/>
    <n v="112"/>
    <n v="502"/>
    <n v="155"/>
    <n v="34"/>
    <n v="145"/>
    <n v="285"/>
    <n v="1.1399999999999999"/>
    <n v="1.45"/>
    <n v="1.1200000000000001"/>
  </r>
  <r>
    <n v="850"/>
    <x v="15"/>
    <s v="East"/>
    <s v="Major Market"/>
    <s v="Caffe Mocha"/>
    <s v="Espresso"/>
    <s v="Florida"/>
    <s v="Regular"/>
    <n v="90"/>
    <n v="130"/>
    <n v="30"/>
    <n v="220"/>
    <n v="95"/>
    <n v="554"/>
    <n v="132"/>
    <n v="86"/>
    <n v="25"/>
    <n v="242"/>
    <n v="1.1000000000000001"/>
    <n v="0.83333333333333337"/>
    <n v="1.0555555555555556"/>
  </r>
  <r>
    <n v="754"/>
    <x v="15"/>
    <s v="East"/>
    <s v="Major Market"/>
    <s v="Decaf Espresso"/>
    <s v="Espresso"/>
    <s v="Florida"/>
    <s v="Decaf"/>
    <n v="70"/>
    <n v="120"/>
    <n v="80"/>
    <n v="190"/>
    <n v="83"/>
    <n v="433"/>
    <n v="112"/>
    <n v="27"/>
    <n v="86"/>
    <n v="208"/>
    <n v="1.0947368421052632"/>
    <n v="1.075"/>
    <n v="1.1857142857142857"/>
  </r>
  <r>
    <n v="774"/>
    <x v="15"/>
    <s v="East"/>
    <s v="Major Market"/>
    <s v="Lemon"/>
    <s v="Herbal Tea"/>
    <s v="Massachusetts"/>
    <s v="Decaf"/>
    <n v="40"/>
    <n v="50"/>
    <n v="20"/>
    <n v="90"/>
    <n v="54"/>
    <n v="337"/>
    <n v="67"/>
    <n v="20"/>
    <n v="19"/>
    <n v="129"/>
    <n v="1.4333333333333333"/>
    <n v="0.95"/>
    <n v="1.35"/>
  </r>
  <r>
    <n v="351"/>
    <x v="15"/>
    <s v="East"/>
    <s v="Major Market"/>
    <s v="Darjeeling"/>
    <s v="Tea"/>
    <s v="Massachusetts"/>
    <s v="Regular"/>
    <n v="30"/>
    <n v="50"/>
    <n v="40"/>
    <n v="80"/>
    <n v="30"/>
    <n v="820"/>
    <n v="45"/>
    <n v="8"/>
    <n v="39"/>
    <n v="80"/>
    <n v="1"/>
    <n v="0.97499999999999998"/>
    <n v="1"/>
  </r>
  <r>
    <n v="774"/>
    <x v="15"/>
    <s v="East"/>
    <s v="Major Market"/>
    <s v="Green Tea"/>
    <s v="Tea"/>
    <s v="Massachusetts"/>
    <s v="Regular"/>
    <n v="20"/>
    <n v="30"/>
    <n v="20"/>
    <n v="50"/>
    <n v="21"/>
    <n v="454"/>
    <n v="32"/>
    <n v="5"/>
    <n v="24"/>
    <n v="56"/>
    <n v="1.1200000000000001"/>
    <n v="1.2"/>
    <n v="1.05"/>
  </r>
  <r>
    <n v="339"/>
    <x v="15"/>
    <s v="East"/>
    <s v="Major Market"/>
    <s v="Columbian"/>
    <s v="Coffee"/>
    <s v="Massachusetts"/>
    <s v="Regular"/>
    <n v="60"/>
    <n v="430"/>
    <n v="400"/>
    <n v="490"/>
    <n v="68"/>
    <n v="-348"/>
    <n v="451"/>
    <n v="22"/>
    <n v="589"/>
    <n v="553"/>
    <n v="1.1285714285714286"/>
    <n v="1.4724999999999999"/>
    <n v="1.1333333333333333"/>
  </r>
  <r>
    <n v="339"/>
    <x v="15"/>
    <s v="East"/>
    <s v="Major Market"/>
    <s v="Caffe Mocha"/>
    <s v="Espresso"/>
    <s v="Massachusetts"/>
    <s v="Regular"/>
    <n v="40"/>
    <n v="70"/>
    <n v="10"/>
    <n v="110"/>
    <n v="52"/>
    <n v="458"/>
    <n v="65"/>
    <n v="47"/>
    <n v="-18"/>
    <n v="125"/>
    <n v="1.1363636363636365"/>
    <n v="-1.8"/>
    <n v="1.3"/>
  </r>
  <r>
    <n v="508"/>
    <x v="15"/>
    <s v="East"/>
    <s v="Major Market"/>
    <s v="Regular Espresso"/>
    <s v="Espresso"/>
    <s v="Massachusetts"/>
    <s v="Regular"/>
    <n v="150"/>
    <n v="160"/>
    <n v="100"/>
    <n v="310"/>
    <n v="162"/>
    <n v="1091"/>
    <n v="163"/>
    <n v="45"/>
    <n v="140"/>
    <n v="346"/>
    <n v="1.1161290322580646"/>
    <n v="1.4"/>
    <n v="1.08"/>
  </r>
  <r>
    <n v="603"/>
    <x v="15"/>
    <s v="East"/>
    <s v="Small Market"/>
    <s v="Lemon"/>
    <s v="Herbal Tea"/>
    <s v="New Hampshire"/>
    <s v="Decaf"/>
    <n v="20"/>
    <n v="40"/>
    <n v="10"/>
    <n v="60"/>
    <n v="35"/>
    <n v="197"/>
    <n v="44"/>
    <n v="13"/>
    <n v="-4"/>
    <n v="84"/>
    <n v="1.4"/>
    <n v="-0.4"/>
    <n v="1.75"/>
  </r>
  <r>
    <n v="603"/>
    <x v="15"/>
    <s v="East"/>
    <s v="Small Market"/>
    <s v="Darjeeling"/>
    <s v="Tea"/>
    <s v="New Hampshire"/>
    <s v="Regular"/>
    <n v="20"/>
    <n v="30"/>
    <n v="20"/>
    <n v="50"/>
    <n v="19"/>
    <n v="820"/>
    <n v="28"/>
    <n v="5"/>
    <n v="18"/>
    <n v="50"/>
    <n v="1"/>
    <n v="0.9"/>
    <n v="0.95"/>
  </r>
  <r>
    <n v="603"/>
    <x v="15"/>
    <s v="East"/>
    <s v="Small Market"/>
    <s v="Green Tea"/>
    <s v="Tea"/>
    <s v="New Hampshire"/>
    <s v="Regular"/>
    <n v="0"/>
    <n v="40"/>
    <n v="30"/>
    <n v="40"/>
    <n v="0"/>
    <n v="688"/>
    <n v="43"/>
    <n v="0"/>
    <n v="47"/>
    <n v="46"/>
    <n v="1.1499999999999999"/>
    <n v="1.5666666666666667"/>
    <m/>
  </r>
  <r>
    <n v="603"/>
    <x v="15"/>
    <s v="East"/>
    <s v="Small Market"/>
    <s v="Amaretto"/>
    <s v="Coffee"/>
    <s v="New Hampshire"/>
    <s v="Regular"/>
    <n v="40"/>
    <n v="70"/>
    <n v="40"/>
    <n v="110"/>
    <n v="49"/>
    <n v="241"/>
    <n v="72"/>
    <n v="15"/>
    <n v="49"/>
    <n v="129"/>
    <n v="1.1727272727272726"/>
    <n v="1.2250000000000001"/>
    <n v="1.2250000000000001"/>
  </r>
  <r>
    <n v="603"/>
    <x v="15"/>
    <s v="East"/>
    <s v="Small Market"/>
    <s v="Columbian"/>
    <s v="Coffee"/>
    <s v="New Hampshire"/>
    <s v="Regular"/>
    <n v="40"/>
    <n v="70"/>
    <n v="40"/>
    <n v="110"/>
    <n v="50"/>
    <n v="372"/>
    <n v="75"/>
    <n v="16"/>
    <n v="40"/>
    <n v="133"/>
    <n v="1.209090909090909"/>
    <n v="1"/>
    <n v="1.25"/>
  </r>
  <r>
    <n v="603"/>
    <x v="15"/>
    <s v="East"/>
    <s v="Small Market"/>
    <s v="Caffe Mocha"/>
    <s v="Espresso"/>
    <s v="New Hampshire"/>
    <s v="Regular"/>
    <n v="40"/>
    <n v="60"/>
    <n v="10"/>
    <n v="100"/>
    <n v="44"/>
    <n v="261"/>
    <n v="63"/>
    <n v="40"/>
    <n v="-9"/>
    <n v="114"/>
    <n v="1.1399999999999999"/>
    <n v="-0.9"/>
    <n v="1.1000000000000001"/>
  </r>
  <r>
    <n v="603"/>
    <x v="15"/>
    <s v="East"/>
    <s v="Small Market"/>
    <s v="Regular Espresso"/>
    <s v="Espresso"/>
    <s v="New Hampshire"/>
    <s v="Regular"/>
    <n v="20"/>
    <n v="40"/>
    <n v="0"/>
    <n v="60"/>
    <n v="29"/>
    <n v="169"/>
    <n v="36"/>
    <n v="11"/>
    <n v="-13"/>
    <n v="69"/>
    <n v="1.1499999999999999"/>
    <m/>
    <n v="1.45"/>
  </r>
  <r>
    <n v="518"/>
    <x v="15"/>
    <s v="East"/>
    <s v="Major Market"/>
    <s v="Green Tea"/>
    <s v="Tea"/>
    <s v="New York"/>
    <s v="Regular"/>
    <n v="80"/>
    <n v="130"/>
    <n v="100"/>
    <n v="210"/>
    <n v="81"/>
    <n v="460"/>
    <n v="117"/>
    <n v="22"/>
    <n v="123"/>
    <n v="211"/>
    <n v="1.0047619047619047"/>
    <n v="1.23"/>
    <n v="1.0125"/>
  </r>
  <r>
    <n v="716"/>
    <x v="15"/>
    <s v="East"/>
    <s v="Major Market"/>
    <s v="Lemon"/>
    <s v="Herbal Tea"/>
    <s v="New York"/>
    <s v="Decaf"/>
    <n v="190"/>
    <n v="300"/>
    <n v="200"/>
    <n v="490"/>
    <n v="260"/>
    <n v="1558"/>
    <n v="378"/>
    <n v="98"/>
    <n v="367"/>
    <n v="680"/>
    <n v="1.3877551020408163"/>
    <n v="1.835"/>
    <n v="1.368421052631579"/>
  </r>
  <r>
    <n v="718"/>
    <x v="15"/>
    <s v="East"/>
    <s v="Major Market"/>
    <s v="Mint"/>
    <s v="Herbal Tea"/>
    <s v="New York"/>
    <s v="Decaf"/>
    <n v="150"/>
    <n v="-10"/>
    <n v="-70"/>
    <n v="140"/>
    <n v="209"/>
    <n v="1811"/>
    <n v="-20"/>
    <n v="64"/>
    <n v="-156"/>
    <n v="201"/>
    <n v="1.4357142857142857"/>
    <n v="2.2285714285714286"/>
    <n v="1.3933333333333333"/>
  </r>
  <r>
    <n v="315"/>
    <x v="15"/>
    <s v="East"/>
    <s v="Major Market"/>
    <s v="Darjeeling"/>
    <s v="Tea"/>
    <s v="New York"/>
    <s v="Regular"/>
    <n v="100"/>
    <n v="160"/>
    <n v="130"/>
    <n v="260"/>
    <n v="100"/>
    <n v="822"/>
    <n v="145"/>
    <n v="28"/>
    <n v="156"/>
    <n v="261"/>
    <n v="1.0038461538461538"/>
    <n v="1.2"/>
    <n v="1"/>
  </r>
  <r>
    <n v="347"/>
    <x v="15"/>
    <s v="East"/>
    <s v="Major Market"/>
    <s v="Earl Grey"/>
    <s v="Tea"/>
    <s v="New York"/>
    <s v="Regular"/>
    <n v="90"/>
    <n v="150"/>
    <n v="120"/>
    <n v="240"/>
    <n v="91"/>
    <n v="777"/>
    <n v="132"/>
    <n v="25"/>
    <n v="141"/>
    <n v="238"/>
    <n v="0.9916666666666667"/>
    <n v="1.175"/>
    <n v="1.0111111111111111"/>
  </r>
  <r>
    <n v="518"/>
    <x v="15"/>
    <s v="East"/>
    <s v="Major Market"/>
    <s v="Columbian"/>
    <s v="Coffee"/>
    <s v="New York"/>
    <s v="Regular"/>
    <n v="270"/>
    <n v="400"/>
    <n v="280"/>
    <n v="670"/>
    <n v="284"/>
    <n v="2108"/>
    <n v="428"/>
    <n v="99"/>
    <n v="410"/>
    <n v="759"/>
    <n v="1.1328358208955225"/>
    <n v="1.4642857142857142"/>
    <n v="1.0518518518518518"/>
  </r>
  <r>
    <n v="212"/>
    <x v="15"/>
    <s v="East"/>
    <s v="Major Market"/>
    <s v="Caffe Mocha"/>
    <s v="Espresso"/>
    <s v="New York"/>
    <s v="Regular"/>
    <n v="120"/>
    <n v="-60"/>
    <n v="-190"/>
    <n v="60"/>
    <n v="125"/>
    <n v="1382"/>
    <n v="-59"/>
    <n v="113"/>
    <n v="-304"/>
    <n v="70"/>
    <n v="1.1666666666666667"/>
    <n v="1.6"/>
    <n v="1.0416666666666667"/>
  </r>
  <r>
    <n v="914"/>
    <x v="15"/>
    <s v="East"/>
    <s v="Major Market"/>
    <s v="Regular Espresso"/>
    <s v="Espresso"/>
    <s v="New York"/>
    <s v="Regular"/>
    <n v="220"/>
    <n v="330"/>
    <n v="250"/>
    <n v="550"/>
    <n v="239"/>
    <n v="1262"/>
    <n v="325"/>
    <n v="66"/>
    <n v="349"/>
    <n v="601"/>
    <n v="1.0927272727272728"/>
    <n v="1.3959999999999999"/>
    <n v="1.0863636363636364"/>
  </r>
  <r>
    <n v="504"/>
    <x v="15"/>
    <s v="South"/>
    <s v="Small Market"/>
    <s v="Chamomile"/>
    <s v="Herbal Tea"/>
    <s v="Louisiana"/>
    <s v="Decaf"/>
    <n v="40"/>
    <n v="70"/>
    <n v="50"/>
    <n v="110"/>
    <n v="52"/>
    <n v="605"/>
    <n v="67"/>
    <n v="17"/>
    <n v="56"/>
    <n v="127"/>
    <n v="1.1545454545454545"/>
    <n v="1.1200000000000001"/>
    <n v="1.3"/>
  </r>
  <r>
    <n v="337"/>
    <x v="15"/>
    <s v="South"/>
    <s v="Small Market"/>
    <s v="Lemon"/>
    <s v="Herbal Tea"/>
    <s v="Louisiana"/>
    <s v="Decaf"/>
    <n v="70"/>
    <n v="100"/>
    <n v="50"/>
    <n v="170"/>
    <n v="80"/>
    <n v="494"/>
    <n v="98"/>
    <n v="30"/>
    <n v="52"/>
    <n v="190"/>
    <n v="1.1176470588235294"/>
    <n v="1.04"/>
    <n v="1.1428571428571428"/>
  </r>
  <r>
    <n v="225"/>
    <x v="15"/>
    <s v="South"/>
    <s v="Small Market"/>
    <s v="Columbian"/>
    <s v="Coffee"/>
    <s v="Louisiana"/>
    <s v="Regular"/>
    <n v="40"/>
    <n v="60"/>
    <n v="50"/>
    <n v="100"/>
    <n v="35"/>
    <n v="776"/>
    <n v="51"/>
    <n v="9"/>
    <n v="45"/>
    <n v="92"/>
    <n v="0.92"/>
    <n v="0.9"/>
    <n v="0.875"/>
  </r>
  <r>
    <n v="504"/>
    <x v="15"/>
    <s v="South"/>
    <s v="Small Market"/>
    <s v="Decaf Irish Cream"/>
    <s v="Coffee"/>
    <s v="Louisiana"/>
    <s v="Decaf"/>
    <n v="60"/>
    <n v="90"/>
    <n v="70"/>
    <n v="150"/>
    <n v="49"/>
    <n v="779"/>
    <n v="72"/>
    <n v="13"/>
    <n v="71"/>
    <n v="129"/>
    <n v="0.86"/>
    <n v="1.0142857142857142"/>
    <n v="0.81666666666666665"/>
  </r>
  <r>
    <n v="985"/>
    <x v="15"/>
    <s v="South"/>
    <s v="Small Market"/>
    <s v="Caffe Latte"/>
    <s v="Espresso"/>
    <s v="Louisiana"/>
    <s v="Regular"/>
    <n v="50"/>
    <n v="70"/>
    <n v="0"/>
    <n v="120"/>
    <n v="63"/>
    <n v="37"/>
    <n v="87"/>
    <n v="57"/>
    <n v="1"/>
    <n v="160"/>
    <n v="1.3333333333333333"/>
    <m/>
    <n v="1.26"/>
  </r>
  <r>
    <n v="318"/>
    <x v="15"/>
    <s v="South"/>
    <s v="Small Market"/>
    <s v="Caffe Mocha"/>
    <s v="Espresso"/>
    <s v="Louisiana"/>
    <s v="Regular"/>
    <n v="40"/>
    <n v="70"/>
    <n v="50"/>
    <n v="110"/>
    <n v="49"/>
    <n v="342"/>
    <n v="84"/>
    <n v="15"/>
    <n v="67"/>
    <n v="142"/>
    <n v="1.290909090909091"/>
    <n v="1.34"/>
    <n v="1.2250000000000001"/>
  </r>
  <r>
    <n v="504"/>
    <x v="15"/>
    <s v="South"/>
    <s v="Small Market"/>
    <s v="Decaf Espresso"/>
    <s v="Espresso"/>
    <s v="Louisiana"/>
    <s v="Decaf"/>
    <n v="30"/>
    <n v="60"/>
    <n v="40"/>
    <n v="90"/>
    <n v="46"/>
    <n v="388"/>
    <n v="68"/>
    <n v="14"/>
    <n v="46"/>
    <n v="121"/>
    <n v="1.3444444444444446"/>
    <n v="1.1499999999999999"/>
    <n v="1.5333333333333334"/>
  </r>
  <r>
    <n v="505"/>
    <x v="15"/>
    <s v="South"/>
    <s v="Small Market"/>
    <s v="Chamomile"/>
    <s v="Herbal Tea"/>
    <s v="New Mexico"/>
    <s v="Decaf"/>
    <n v="10"/>
    <n v="30"/>
    <n v="20"/>
    <n v="40"/>
    <n v="19"/>
    <n v="820"/>
    <n v="28"/>
    <n v="5"/>
    <n v="18"/>
    <n v="50"/>
    <n v="1.25"/>
    <n v="0.9"/>
    <n v="1.9"/>
  </r>
  <r>
    <n v="505"/>
    <x v="15"/>
    <s v="South"/>
    <s v="Small Market"/>
    <s v="Lemon"/>
    <s v="Herbal Tea"/>
    <s v="New Mexico"/>
    <s v="Decaf"/>
    <n v="20"/>
    <n v="30"/>
    <n v="10"/>
    <n v="50"/>
    <n v="28"/>
    <n v="964"/>
    <n v="33"/>
    <n v="8"/>
    <n v="4"/>
    <n v="65"/>
    <n v="1.3"/>
    <n v="0.4"/>
    <n v="1.4"/>
  </r>
  <r>
    <n v="505"/>
    <x v="15"/>
    <s v="South"/>
    <s v="Small Market"/>
    <s v="Columbian"/>
    <s v="Coffee"/>
    <s v="New Mexico"/>
    <s v="Regular"/>
    <n v="60"/>
    <n v="90"/>
    <n v="50"/>
    <n v="150"/>
    <n v="50"/>
    <n v="372"/>
    <n v="75"/>
    <n v="16"/>
    <n v="40"/>
    <n v="133"/>
    <n v="0.88666666666666671"/>
    <n v="0.8"/>
    <n v="0.83333333333333337"/>
  </r>
  <r>
    <n v="505"/>
    <x v="15"/>
    <s v="South"/>
    <s v="Small Market"/>
    <s v="Decaf Irish Cream"/>
    <s v="Coffee"/>
    <s v="New Mexico"/>
    <s v="Decaf"/>
    <n v="110"/>
    <n v="50"/>
    <n v="10"/>
    <n v="160"/>
    <n v="93"/>
    <n v="840"/>
    <n v="40"/>
    <n v="28"/>
    <n v="-16"/>
    <n v="142"/>
    <n v="0.88749999999999996"/>
    <n v="-1.6"/>
    <n v="0.84545454545454546"/>
  </r>
  <r>
    <n v="505"/>
    <x v="15"/>
    <s v="South"/>
    <s v="Small Market"/>
    <s v="Caffe Latte"/>
    <s v="Espresso"/>
    <s v="New Mexico"/>
    <s v="Regular"/>
    <n v="20"/>
    <n v="30"/>
    <n v="0"/>
    <n v="50"/>
    <n v="29"/>
    <n v="-39"/>
    <n v="36"/>
    <n v="11"/>
    <n v="-13"/>
    <n v="69"/>
    <n v="1.38"/>
    <m/>
    <n v="1.45"/>
  </r>
  <r>
    <n v="505"/>
    <x v="15"/>
    <s v="South"/>
    <s v="Small Market"/>
    <s v="Caffe Mocha"/>
    <s v="Espresso"/>
    <s v="New Mexico"/>
    <s v="Regular"/>
    <n v="30"/>
    <n v="60"/>
    <n v="10"/>
    <n v="90"/>
    <n v="44"/>
    <n v="261"/>
    <n v="63"/>
    <n v="40"/>
    <n v="-9"/>
    <n v="114"/>
    <n v="1.2666666666666666"/>
    <n v="-0.9"/>
    <n v="1.4666666666666666"/>
  </r>
  <r>
    <n v="505"/>
    <x v="15"/>
    <s v="South"/>
    <s v="Small Market"/>
    <s v="Decaf Espresso"/>
    <s v="Espresso"/>
    <s v="New Mexico"/>
    <s v="Decaf"/>
    <n v="30"/>
    <n v="40"/>
    <n v="10"/>
    <n v="70"/>
    <n v="37"/>
    <n v="195"/>
    <n v="51"/>
    <n v="12"/>
    <n v="18"/>
    <n v="94"/>
    <n v="1.3428571428571427"/>
    <n v="1.8"/>
    <n v="1.2333333333333334"/>
  </r>
  <r>
    <n v="918"/>
    <x v="15"/>
    <s v="South"/>
    <s v="Small Market"/>
    <s v="Chamomile"/>
    <s v="Herbal Tea"/>
    <s v="Oklahoma"/>
    <s v="Decaf"/>
    <n v="50"/>
    <n v="70"/>
    <n v="30"/>
    <n v="120"/>
    <n v="57"/>
    <n v="313"/>
    <n v="70"/>
    <n v="21"/>
    <n v="22"/>
    <n v="135"/>
    <n v="1.125"/>
    <n v="0.73333333333333328"/>
    <n v="1.1399999999999999"/>
  </r>
  <r>
    <n v="918"/>
    <x v="15"/>
    <s v="South"/>
    <s v="Small Market"/>
    <s v="Lemon"/>
    <s v="Herbal Tea"/>
    <s v="Oklahoma"/>
    <s v="Decaf"/>
    <n v="90"/>
    <n v="130"/>
    <n v="30"/>
    <n v="220"/>
    <n v="95"/>
    <n v="554"/>
    <n v="132"/>
    <n v="86"/>
    <n v="24"/>
    <n v="242"/>
    <n v="1.1000000000000001"/>
    <n v="0.8"/>
    <n v="1.0555555555555556"/>
  </r>
  <r>
    <n v="918"/>
    <x v="15"/>
    <s v="South"/>
    <s v="Small Market"/>
    <s v="Columbian"/>
    <s v="Coffee"/>
    <s v="Oklahoma"/>
    <s v="Regular"/>
    <n v="50"/>
    <n v="80"/>
    <n v="60"/>
    <n v="130"/>
    <n v="46"/>
    <n v="608"/>
    <n v="60"/>
    <n v="15"/>
    <n v="49"/>
    <n v="113"/>
    <n v="0.86923076923076925"/>
    <n v="0.81666666666666665"/>
    <n v="0.92"/>
  </r>
  <r>
    <n v="580"/>
    <x v="15"/>
    <s v="South"/>
    <s v="Small Market"/>
    <s v="Decaf Irish Cream"/>
    <s v="Coffee"/>
    <s v="Oklahoma"/>
    <s v="Decaf"/>
    <n v="30"/>
    <n v="60"/>
    <n v="50"/>
    <n v="90"/>
    <n v="30"/>
    <n v="820"/>
    <n v="45"/>
    <n v="8"/>
    <n v="37"/>
    <n v="80"/>
    <n v="0.88888888888888884"/>
    <n v="0.74"/>
    <n v="1"/>
  </r>
  <r>
    <n v="580"/>
    <x v="15"/>
    <s v="South"/>
    <s v="Small Market"/>
    <s v="Caffe Latte"/>
    <s v="Espresso"/>
    <s v="Oklahoma"/>
    <s v="Regular"/>
    <n v="90"/>
    <n v="130"/>
    <n v="90"/>
    <n v="220"/>
    <n v="112"/>
    <n v="-120"/>
    <n v="155"/>
    <n v="34"/>
    <n v="145"/>
    <n v="285"/>
    <n v="1.2954545454545454"/>
    <n v="1.6111111111111112"/>
    <n v="1.2444444444444445"/>
  </r>
  <r>
    <n v="405"/>
    <x v="15"/>
    <s v="South"/>
    <s v="Small Market"/>
    <s v="Caffe Mocha"/>
    <s v="Espresso"/>
    <s v="Oklahoma"/>
    <s v="Regular"/>
    <n v="10"/>
    <n v="30"/>
    <n v="30"/>
    <n v="40"/>
    <n v="21"/>
    <n v="454"/>
    <n v="32"/>
    <n v="5"/>
    <n v="24"/>
    <n v="56"/>
    <n v="1.4"/>
    <n v="0.8"/>
    <n v="2.1"/>
  </r>
  <r>
    <n v="405"/>
    <x v="15"/>
    <s v="South"/>
    <s v="Small Market"/>
    <s v="Decaf Espresso"/>
    <s v="Espresso"/>
    <s v="Oklahoma"/>
    <s v="Decaf"/>
    <n v="70"/>
    <n v="120"/>
    <n v="80"/>
    <n v="190"/>
    <n v="88"/>
    <n v="653"/>
    <n v="134"/>
    <n v="29"/>
    <n v="110"/>
    <n v="237"/>
    <n v="1.2473684210526317"/>
    <n v="1.375"/>
    <n v="1.2571428571428571"/>
  </r>
  <r>
    <n v="512"/>
    <x v="15"/>
    <s v="South"/>
    <s v="Major Market"/>
    <s v="Chamomile"/>
    <s v="Herbal Tea"/>
    <s v="Texas"/>
    <s v="Decaf"/>
    <n v="50"/>
    <n v="70"/>
    <n v="40"/>
    <n v="120"/>
    <n v="55"/>
    <n v="336"/>
    <n v="74"/>
    <n v="18"/>
    <n v="42"/>
    <n v="137"/>
    <n v="1.1416666666666666"/>
    <n v="1.05"/>
    <n v="1.1000000000000001"/>
  </r>
  <r>
    <n v="281"/>
    <x v="15"/>
    <s v="South"/>
    <s v="Major Market"/>
    <s v="Lemon"/>
    <s v="Herbal Tea"/>
    <s v="Texas"/>
    <s v="Decaf"/>
    <n v="40"/>
    <n v="60"/>
    <n v="30"/>
    <n v="100"/>
    <n v="43"/>
    <n v="363"/>
    <n v="64"/>
    <n v="13"/>
    <n v="40"/>
    <n v="114"/>
    <n v="1.1399999999999999"/>
    <n v="1.3333333333333333"/>
    <n v="1.075"/>
  </r>
  <r>
    <n v="361"/>
    <x v="15"/>
    <s v="South"/>
    <s v="Major Market"/>
    <s v="Columbian"/>
    <s v="Coffee"/>
    <s v="Texas"/>
    <s v="Regular"/>
    <n v="260"/>
    <n v="310"/>
    <n v="230"/>
    <n v="570"/>
    <n v="209"/>
    <n v="969"/>
    <n v="247"/>
    <n v="64"/>
    <n v="239"/>
    <n v="486"/>
    <n v="0.85263157894736841"/>
    <n v="1.0391304347826087"/>
    <n v="0.80384615384615388"/>
  </r>
  <r>
    <n v="940"/>
    <x v="15"/>
    <s v="South"/>
    <s v="Major Market"/>
    <s v="Decaf Irish Cream"/>
    <s v="Coffee"/>
    <s v="Texas"/>
    <s v="Decaf"/>
    <n v="90"/>
    <n v="130"/>
    <n v="100"/>
    <n v="220"/>
    <n v="78"/>
    <n v="593"/>
    <n v="100"/>
    <n v="25"/>
    <n v="93"/>
    <n v="190"/>
    <n v="0.86363636363636365"/>
    <n v="0.93"/>
    <n v="0.8666666666666667"/>
  </r>
  <r>
    <n v="956"/>
    <x v="15"/>
    <s v="South"/>
    <s v="Major Market"/>
    <s v="Caffe Latte"/>
    <s v="Espresso"/>
    <s v="Texas"/>
    <s v="Regular"/>
    <n v="50"/>
    <n v="90"/>
    <n v="50"/>
    <n v="140"/>
    <n v="68"/>
    <n v="9"/>
    <n v="102"/>
    <n v="22"/>
    <n v="71"/>
    <n v="181"/>
    <n v="1.2928571428571429"/>
    <n v="1.42"/>
    <n v="1.36"/>
  </r>
  <r>
    <n v="832"/>
    <x v="15"/>
    <s v="South"/>
    <s v="Major Market"/>
    <s v="Caffe Mocha"/>
    <s v="Espresso"/>
    <s v="Texas"/>
    <s v="Regular"/>
    <n v="70"/>
    <n v="120"/>
    <n v="100"/>
    <n v="190"/>
    <n v="91"/>
    <n v="777"/>
    <n v="132"/>
    <n v="25"/>
    <n v="142"/>
    <n v="238"/>
    <n v="1.2526315789473683"/>
    <n v="1.42"/>
    <n v="1.3"/>
  </r>
  <r>
    <n v="832"/>
    <x v="15"/>
    <s v="South"/>
    <s v="Major Market"/>
    <s v="Decaf Espresso"/>
    <s v="Espresso"/>
    <s v="Texas"/>
    <s v="Decaf"/>
    <n v="60"/>
    <n v="110"/>
    <n v="90"/>
    <n v="170"/>
    <n v="81"/>
    <n v="460"/>
    <n v="117"/>
    <n v="22"/>
    <n v="125"/>
    <n v="211"/>
    <n v="1.2411764705882353"/>
    <n v="1.3888888888888888"/>
    <n v="1.35"/>
  </r>
  <r>
    <n v="801"/>
    <x v="15"/>
    <s v="West"/>
    <s v="Small Market"/>
    <s v="Chamomile"/>
    <s v="Herbal Tea"/>
    <s v="Utah"/>
    <s v="Decaf"/>
    <n v="40"/>
    <n v="60"/>
    <n v="30"/>
    <n v="100"/>
    <n v="49"/>
    <n v="241"/>
    <n v="72"/>
    <n v="15"/>
    <n v="50"/>
    <n v="129"/>
    <n v="1.29"/>
    <n v="1.6666666666666667"/>
    <n v="1.2250000000000001"/>
  </r>
  <r>
    <n v="435"/>
    <x v="15"/>
    <s v="West"/>
    <s v="Small Market"/>
    <s v="Lemon"/>
    <s v="Herbal Tea"/>
    <s v="Utah"/>
    <s v="Decaf"/>
    <n v="40"/>
    <n v="70"/>
    <n v="40"/>
    <n v="110"/>
    <n v="50"/>
    <n v="372"/>
    <n v="75"/>
    <n v="16"/>
    <n v="42"/>
    <n v="133"/>
    <n v="1.209090909090909"/>
    <n v="1.05"/>
    <n v="1.25"/>
  </r>
  <r>
    <n v="435"/>
    <x v="15"/>
    <s v="West"/>
    <s v="Small Market"/>
    <s v="Mint"/>
    <s v="Herbal Tea"/>
    <s v="Utah"/>
    <s v="Decaf"/>
    <n v="70"/>
    <n v="40"/>
    <n v="0"/>
    <n v="110"/>
    <n v="93"/>
    <n v="840"/>
    <n v="40"/>
    <n v="28"/>
    <n v="-16"/>
    <n v="142"/>
    <n v="1.290909090909091"/>
    <m/>
    <n v="1.3285714285714285"/>
  </r>
  <r>
    <n v="435"/>
    <x v="15"/>
    <s v="West"/>
    <s v="Small Market"/>
    <s v="Darjeeling"/>
    <s v="Tea"/>
    <s v="Utah"/>
    <s v="Regular"/>
    <n v="20"/>
    <n v="50"/>
    <n v="10"/>
    <n v="70"/>
    <n v="44"/>
    <n v="261"/>
    <n v="63"/>
    <n v="40"/>
    <n v="-9"/>
    <n v="114"/>
    <n v="1.6285714285714286"/>
    <n v="-0.9"/>
    <n v="2.2000000000000002"/>
  </r>
  <r>
    <n v="801"/>
    <x v="15"/>
    <s v="West"/>
    <s v="Small Market"/>
    <s v="Earl Grey"/>
    <s v="Tea"/>
    <s v="Utah"/>
    <s v="Regular"/>
    <n v="20"/>
    <n v="30"/>
    <n v="10"/>
    <n v="50"/>
    <n v="37"/>
    <n v="195"/>
    <n v="51"/>
    <n v="12"/>
    <n v="16"/>
    <n v="94"/>
    <n v="1.88"/>
    <n v="1.6"/>
    <n v="1.85"/>
  </r>
  <r>
    <n v="801"/>
    <x v="15"/>
    <s v="West"/>
    <s v="Small Market"/>
    <s v="Green Tea"/>
    <s v="Tea"/>
    <s v="Utah"/>
    <s v="Regular"/>
    <n v="10"/>
    <n v="30"/>
    <n v="10"/>
    <n v="40"/>
    <n v="29"/>
    <n v="169"/>
    <n v="36"/>
    <n v="11"/>
    <n v="-12"/>
    <n v="69"/>
    <n v="1.7250000000000001"/>
    <n v="-1.2"/>
    <n v="2.9"/>
  </r>
  <r>
    <n v="435"/>
    <x v="15"/>
    <s v="West"/>
    <s v="Small Market"/>
    <s v="Caffe Latte"/>
    <s v="Espresso"/>
    <s v="Utah"/>
    <s v="Regular"/>
    <n v="40"/>
    <n v="60"/>
    <n v="40"/>
    <n v="100"/>
    <n v="45"/>
    <n v="777"/>
    <n v="67"/>
    <n v="12"/>
    <n v="64"/>
    <n v="119"/>
    <n v="1.19"/>
    <n v="1.6"/>
    <n v="1.125"/>
  </r>
  <r>
    <n v="435"/>
    <x v="15"/>
    <s v="West"/>
    <s v="Small Market"/>
    <s v="Caffe Mocha"/>
    <s v="Espresso"/>
    <s v="Utah"/>
    <s v="Regular"/>
    <n v="40"/>
    <n v="70"/>
    <n v="50"/>
    <n v="110"/>
    <n v="52"/>
    <n v="605"/>
    <n v="67"/>
    <n v="17"/>
    <n v="55"/>
    <n v="127"/>
    <n v="1.1545454545454545"/>
    <n v="1.1000000000000001"/>
    <n v="1.3"/>
  </r>
  <r>
    <n v="435"/>
    <x v="15"/>
    <s v="West"/>
    <s v="Small Market"/>
    <s v="Decaf Espresso"/>
    <s v="Espresso"/>
    <s v="Utah"/>
    <s v="Decaf"/>
    <n v="40"/>
    <n v="70"/>
    <n v="50"/>
    <n v="110"/>
    <n v="47"/>
    <n v="821"/>
    <n v="68"/>
    <n v="13"/>
    <n v="64"/>
    <n v="123"/>
    <n v="1.1181818181818182"/>
    <n v="1.28"/>
    <n v="1.175"/>
  </r>
  <r>
    <n v="801"/>
    <x v="15"/>
    <s v="West"/>
    <s v="Small Market"/>
    <s v="Amaretto"/>
    <s v="Coffee"/>
    <s v="Utah"/>
    <s v="Regular"/>
    <n v="90"/>
    <n v="110"/>
    <n v="70"/>
    <n v="200"/>
    <n v="76"/>
    <n v="965"/>
    <n v="91"/>
    <n v="23"/>
    <n v="70"/>
    <n v="178"/>
    <n v="0.89"/>
    <n v="1"/>
    <n v="0.84444444444444444"/>
  </r>
  <r>
    <n v="435"/>
    <x v="15"/>
    <s v="West"/>
    <s v="Small Market"/>
    <s v="Columbian"/>
    <s v="Coffee"/>
    <s v="Utah"/>
    <s v="Regular"/>
    <n v="60"/>
    <n v="80"/>
    <n v="50"/>
    <n v="140"/>
    <n v="51"/>
    <n v="311"/>
    <n v="68"/>
    <n v="16"/>
    <n v="37"/>
    <n v="127"/>
    <n v="0.90714285714285714"/>
    <n v="0.74"/>
    <n v="0.85"/>
  </r>
  <r>
    <n v="801"/>
    <x v="15"/>
    <s v="West"/>
    <s v="Small Market"/>
    <s v="Decaf Irish Cream"/>
    <s v="Coffee"/>
    <s v="Utah"/>
    <s v="Decaf"/>
    <n v="100"/>
    <n v="120"/>
    <n v="70"/>
    <n v="220"/>
    <n v="80"/>
    <n v="494"/>
    <n v="98"/>
    <n v="30"/>
    <n v="50"/>
    <n v="190"/>
    <n v="0.86363636363636365"/>
    <n v="0.7142857142857143"/>
    <n v="0.8"/>
  </r>
  <r>
    <n v="415"/>
    <x v="15"/>
    <s v="West"/>
    <s v="Major Market"/>
    <s v="Chamomile"/>
    <s v="Herbal Tea"/>
    <s v="California"/>
    <s v="Decaf"/>
    <n v="80"/>
    <n v="130"/>
    <n v="110"/>
    <n v="210"/>
    <n v="100"/>
    <n v="822"/>
    <n v="145"/>
    <n v="28"/>
    <n v="157"/>
    <n v="261"/>
    <n v="1.2428571428571429"/>
    <n v="1.4272727272727272"/>
    <n v="1.25"/>
  </r>
  <r>
    <n v="415"/>
    <x v="15"/>
    <s v="West"/>
    <s v="Major Market"/>
    <s v="Lemon"/>
    <s v="Herbal Tea"/>
    <s v="California"/>
    <s v="Decaf"/>
    <n v="170"/>
    <n v="230"/>
    <n v="170"/>
    <n v="400"/>
    <n v="209"/>
    <n v="969"/>
    <n v="247"/>
    <n v="64"/>
    <n v="240"/>
    <n v="486"/>
    <n v="1.2150000000000001"/>
    <n v="1.411764705882353"/>
    <n v="1.2294117647058824"/>
  </r>
  <r>
    <n v="562"/>
    <x v="15"/>
    <s v="West"/>
    <s v="Major Market"/>
    <s v="Mint"/>
    <s v="Herbal Tea"/>
    <s v="California"/>
    <s v="Decaf"/>
    <n v="60"/>
    <n v="90"/>
    <n v="60"/>
    <n v="150"/>
    <n v="78"/>
    <n v="593"/>
    <n v="100"/>
    <n v="25"/>
    <n v="92"/>
    <n v="190"/>
    <n v="1.2666666666666666"/>
    <n v="1.5333333333333334"/>
    <n v="1.3"/>
  </r>
  <r>
    <n v="951"/>
    <x v="15"/>
    <s v="West"/>
    <s v="Major Market"/>
    <s v="Darjeeling"/>
    <s v="Tea"/>
    <s v="California"/>
    <s v="Regular"/>
    <n v="60"/>
    <n v="90"/>
    <n v="80"/>
    <n v="150"/>
    <n v="91"/>
    <n v="777"/>
    <n v="132"/>
    <n v="25"/>
    <n v="142"/>
    <n v="238"/>
    <n v="1.5866666666666667"/>
    <n v="1.7749999999999999"/>
    <n v="1.5166666666666666"/>
  </r>
  <r>
    <n v="707"/>
    <x v="15"/>
    <s v="West"/>
    <s v="Major Market"/>
    <s v="Earl Grey"/>
    <s v="Tea"/>
    <s v="California"/>
    <s v="Regular"/>
    <n v="50"/>
    <n v="80"/>
    <n v="70"/>
    <n v="130"/>
    <n v="81"/>
    <n v="460"/>
    <n v="117"/>
    <n v="22"/>
    <n v="123"/>
    <n v="211"/>
    <n v="1.6230769230769231"/>
    <n v="1.7571428571428571"/>
    <n v="1.62"/>
  </r>
  <r>
    <n v="619"/>
    <x v="15"/>
    <s v="West"/>
    <s v="Major Market"/>
    <s v="Green Tea"/>
    <s v="Tea"/>
    <s v="California"/>
    <s v="Regular"/>
    <n v="40"/>
    <n v="70"/>
    <n v="40"/>
    <n v="110"/>
    <n v="68"/>
    <n v="559"/>
    <n v="102"/>
    <n v="22"/>
    <n v="71"/>
    <n v="181"/>
    <n v="1.6454545454545455"/>
    <n v="1.7749999999999999"/>
    <n v="1.7"/>
  </r>
  <r>
    <n v="415"/>
    <x v="15"/>
    <s v="West"/>
    <s v="Major Market"/>
    <s v="Caffe Latte"/>
    <s v="Espresso"/>
    <s v="California"/>
    <s v="Regular"/>
    <n v="220"/>
    <n v="230"/>
    <n v="150"/>
    <n v="450"/>
    <n v="239"/>
    <n v="1464"/>
    <n v="239"/>
    <n v="66"/>
    <n v="220"/>
    <n v="509"/>
    <n v="1.1311111111111112"/>
    <n v="1.4666666666666666"/>
    <n v="1.0863636363636364"/>
  </r>
  <r>
    <n v="415"/>
    <x v="15"/>
    <s v="West"/>
    <s v="Major Market"/>
    <s v="Caffe Mocha"/>
    <s v="Espresso"/>
    <s v="California"/>
    <s v="Regular"/>
    <n v="120"/>
    <n v="160"/>
    <n v="30"/>
    <n v="280"/>
    <n v="125"/>
    <n v="729"/>
    <n v="173"/>
    <n v="113"/>
    <n v="39"/>
    <n v="318"/>
    <n v="1.1357142857142857"/>
    <n v="1.3"/>
    <n v="1.0416666666666667"/>
  </r>
  <r>
    <n v="415"/>
    <x v="15"/>
    <s v="West"/>
    <s v="Major Market"/>
    <s v="Decaf Espresso"/>
    <s v="Espresso"/>
    <s v="California"/>
    <s v="Decaf"/>
    <n v="240"/>
    <n v="320"/>
    <n v="220"/>
    <n v="560"/>
    <n v="252"/>
    <n v="1316"/>
    <n v="335"/>
    <n v="83"/>
    <n v="326"/>
    <n v="626"/>
    <n v="1.1178571428571429"/>
    <n v="1.4818181818181819"/>
    <n v="1.05"/>
  </r>
  <r>
    <n v="562"/>
    <x v="15"/>
    <s v="West"/>
    <s v="Major Market"/>
    <s v="Amaretto"/>
    <s v="Coffee"/>
    <s v="California"/>
    <s v="Regular"/>
    <n v="150"/>
    <n v="-20"/>
    <n v="-70"/>
    <n v="130"/>
    <n v="123"/>
    <n v="964"/>
    <n v="-13"/>
    <n v="39"/>
    <n v="-113"/>
    <n v="117"/>
    <n v="0.9"/>
    <n v="1.6142857142857143"/>
    <n v="0.82"/>
  </r>
  <r>
    <n v="209"/>
    <x v="15"/>
    <s v="West"/>
    <s v="Major Market"/>
    <s v="Columbian"/>
    <s v="Coffee"/>
    <s v="California"/>
    <s v="Regular"/>
    <n v="350"/>
    <n v="540"/>
    <n v="400"/>
    <n v="890"/>
    <n v="284"/>
    <n v="2108"/>
    <n v="428"/>
    <n v="99"/>
    <n v="410"/>
    <n v="759"/>
    <n v="0.85280898876404498"/>
    <n v="1.0249999999999999"/>
    <n v="0.81142857142857139"/>
  </r>
  <r>
    <n v="818"/>
    <x v="15"/>
    <s v="West"/>
    <s v="Major Market"/>
    <s v="Decaf Irish Cream"/>
    <s v="Coffee"/>
    <s v="California"/>
    <s v="Decaf"/>
    <n v="240"/>
    <n v="-50"/>
    <n v="-150"/>
    <n v="190"/>
    <n v="191"/>
    <n v="1564"/>
    <n v="-32"/>
    <n v="63"/>
    <n v="-209"/>
    <n v="169"/>
    <n v="0.88947368421052631"/>
    <n v="1.3933333333333333"/>
    <n v="0.79583333333333328"/>
  </r>
  <r>
    <n v="775"/>
    <x v="15"/>
    <s v="West"/>
    <s v="Small Market"/>
    <s v="Chamomile"/>
    <s v="Herbal Tea"/>
    <s v="Nevada"/>
    <s v="Decaf"/>
    <n v="100"/>
    <n v="160"/>
    <n v="50"/>
    <n v="260"/>
    <n v="125"/>
    <n v="729"/>
    <n v="173"/>
    <n v="113"/>
    <n v="40"/>
    <n v="318"/>
    <n v="1.2230769230769232"/>
    <n v="0.8"/>
    <n v="1.25"/>
  </r>
  <r>
    <n v="702"/>
    <x v="15"/>
    <s v="West"/>
    <s v="Small Market"/>
    <s v="Lemon"/>
    <s v="Herbal Tea"/>
    <s v="Nevada"/>
    <s v="Decaf"/>
    <n v="160"/>
    <n v="240"/>
    <n v="160"/>
    <n v="400"/>
    <n v="191"/>
    <n v="865"/>
    <n v="265"/>
    <n v="63"/>
    <n v="232"/>
    <n v="486"/>
    <n v="1.2150000000000001"/>
    <n v="1.45"/>
    <n v="1.1937500000000001"/>
  </r>
  <r>
    <n v="775"/>
    <x v="15"/>
    <s v="West"/>
    <s v="Small Market"/>
    <s v="Mint"/>
    <s v="Herbal Tea"/>
    <s v="Nevada"/>
    <s v="Decaf"/>
    <n v="100"/>
    <n v="160"/>
    <n v="110"/>
    <n v="260"/>
    <n v="123"/>
    <n v="611"/>
    <n v="178"/>
    <n v="39"/>
    <n v="171"/>
    <n v="321"/>
    <n v="1.2346153846153847"/>
    <n v="1.5545454545454545"/>
    <n v="1.23"/>
  </r>
  <r>
    <n v="702"/>
    <x v="15"/>
    <s v="West"/>
    <s v="Small Market"/>
    <s v="Darjeeling"/>
    <s v="Tea"/>
    <s v="Nevada"/>
    <s v="Regular"/>
    <n v="160"/>
    <n v="230"/>
    <n v="160"/>
    <n v="390"/>
    <n v="252"/>
    <n v="1316"/>
    <n v="335"/>
    <n v="83"/>
    <n v="325"/>
    <n v="626"/>
    <n v="1.6051282051282052"/>
    <n v="2.03125"/>
    <n v="1.575"/>
  </r>
  <r>
    <n v="775"/>
    <x v="15"/>
    <s v="West"/>
    <s v="Small Market"/>
    <s v="Earl Grey"/>
    <s v="Tea"/>
    <s v="Nevada"/>
    <s v="Regular"/>
    <n v="150"/>
    <n v="170"/>
    <n v="110"/>
    <n v="320"/>
    <n v="239"/>
    <n v="1464"/>
    <n v="239"/>
    <n v="66"/>
    <n v="221"/>
    <n v="509"/>
    <n v="1.590625"/>
    <n v="2.0090909090909093"/>
    <n v="1.5933333333333333"/>
  </r>
  <r>
    <n v="702"/>
    <x v="15"/>
    <s v="West"/>
    <s v="Small Market"/>
    <s v="Green Tea"/>
    <s v="Tea"/>
    <s v="Nevada"/>
    <s v="Regular"/>
    <n v="170"/>
    <n v="-170"/>
    <n v="-250"/>
    <n v="0"/>
    <n v="260"/>
    <n v="3049"/>
    <n v="-260"/>
    <n v="98"/>
    <n v="-542"/>
    <n v="28"/>
    <m/>
    <n v="2.1680000000000001"/>
    <n v="1.5294117647058822"/>
  </r>
  <r>
    <n v="775"/>
    <x v="15"/>
    <s v="West"/>
    <s v="Small Market"/>
    <s v="Caffe Latte"/>
    <s v="Espresso"/>
    <s v="Nevada"/>
    <s v="Regular"/>
    <n v="0"/>
    <n v="40"/>
    <n v="30"/>
    <n v="40"/>
    <n v="0"/>
    <n v="688"/>
    <n v="43"/>
    <n v="0"/>
    <n v="47"/>
    <n v="46"/>
    <n v="1.1499999999999999"/>
    <n v="1.5666666666666667"/>
    <m/>
  </r>
  <r>
    <n v="702"/>
    <x v="15"/>
    <s v="West"/>
    <s v="Small Market"/>
    <s v="Caffe Mocha"/>
    <s v="Espresso"/>
    <s v="Nevada"/>
    <s v="Regular"/>
    <n v="10"/>
    <n v="30"/>
    <n v="20"/>
    <n v="40"/>
    <n v="19"/>
    <n v="820"/>
    <n v="28"/>
    <n v="5"/>
    <n v="16"/>
    <n v="50"/>
    <n v="1.25"/>
    <n v="0.8"/>
    <n v="1.9"/>
  </r>
  <r>
    <n v="775"/>
    <x v="15"/>
    <s v="West"/>
    <s v="Small Market"/>
    <s v="Decaf Espresso"/>
    <s v="Espresso"/>
    <s v="Nevada"/>
    <s v="Decaf"/>
    <n v="10"/>
    <n v="30"/>
    <n v="20"/>
    <n v="40"/>
    <n v="17"/>
    <n v="776"/>
    <n v="26"/>
    <n v="4"/>
    <n v="15"/>
    <n v="46"/>
    <n v="1.1499999999999999"/>
    <n v="0.75"/>
    <n v="1.7"/>
  </r>
  <r>
    <n v="702"/>
    <x v="15"/>
    <s v="West"/>
    <s v="Small Market"/>
    <s v="Columbian"/>
    <s v="Coffee"/>
    <s v="Nevada"/>
    <s v="Regular"/>
    <n v="40"/>
    <n v="50"/>
    <n v="10"/>
    <n v="90"/>
    <n v="35"/>
    <n v="197"/>
    <n v="44"/>
    <n v="13"/>
    <n v="-3"/>
    <n v="84"/>
    <n v="0.93333333333333335"/>
    <n v="-0.3"/>
    <n v="0.875"/>
  </r>
  <r>
    <n v="702"/>
    <x v="15"/>
    <s v="West"/>
    <s v="Small Market"/>
    <s v="Decaf Irish Cream"/>
    <s v="Coffee"/>
    <s v="Nevada"/>
    <s v="Decaf"/>
    <n v="30"/>
    <n v="40"/>
    <n v="20"/>
    <n v="70"/>
    <n v="28"/>
    <n v="964"/>
    <n v="33"/>
    <n v="8"/>
    <n v="6"/>
    <n v="65"/>
    <n v="0.9285714285714286"/>
    <n v="0.3"/>
    <n v="0.93333333333333335"/>
  </r>
  <r>
    <n v="971"/>
    <x v="15"/>
    <s v="West"/>
    <s v="Small Market"/>
    <s v="Chamomile"/>
    <s v="Herbal Tea"/>
    <s v="Oregon"/>
    <s v="Decaf"/>
    <n v="30"/>
    <n v="40"/>
    <n v="40"/>
    <n v="70"/>
    <n v="35"/>
    <n v="777"/>
    <n v="52"/>
    <n v="9"/>
    <n v="46"/>
    <n v="93"/>
    <n v="1.3285714285714285"/>
    <n v="1.1499999999999999"/>
    <n v="1.1666666666666667"/>
  </r>
  <r>
    <n v="541"/>
    <x v="15"/>
    <s v="West"/>
    <s v="Small Market"/>
    <s v="Lemon"/>
    <s v="Herbal Tea"/>
    <s v="Oregon"/>
    <s v="Decaf"/>
    <n v="30"/>
    <n v="60"/>
    <n v="40"/>
    <n v="90"/>
    <n v="46"/>
    <n v="608"/>
    <n v="60"/>
    <n v="15"/>
    <n v="47"/>
    <n v="113"/>
    <n v="1.2555555555555555"/>
    <n v="1.175"/>
    <n v="1.5333333333333334"/>
  </r>
  <r>
    <n v="541"/>
    <x v="15"/>
    <s v="West"/>
    <s v="Small Market"/>
    <s v="Darjeeling"/>
    <s v="Tea"/>
    <s v="Oregon"/>
    <s v="Regular"/>
    <n v="10"/>
    <n v="20"/>
    <n v="20"/>
    <n v="30"/>
    <n v="21"/>
    <n v="454"/>
    <n v="32"/>
    <n v="5"/>
    <n v="22"/>
    <n v="56"/>
    <n v="1.8666666666666667"/>
    <n v="1.1000000000000001"/>
    <n v="2.1"/>
  </r>
  <r>
    <n v="503"/>
    <x v="15"/>
    <s v="West"/>
    <s v="Small Market"/>
    <s v="Earl Grey"/>
    <s v="Tea"/>
    <s v="Oregon"/>
    <s v="Regular"/>
    <n v="50"/>
    <n v="100"/>
    <n v="70"/>
    <n v="150"/>
    <n v="88"/>
    <n v="653"/>
    <n v="134"/>
    <n v="29"/>
    <n v="108"/>
    <n v="237"/>
    <n v="1.58"/>
    <n v="1.5428571428571429"/>
    <n v="1.76"/>
  </r>
  <r>
    <n v="971"/>
    <x v="15"/>
    <s v="West"/>
    <s v="Small Market"/>
    <s v="Green Tea"/>
    <s v="Tea"/>
    <s v="Oregon"/>
    <s v="Regular"/>
    <n v="70"/>
    <n v="110"/>
    <n v="70"/>
    <n v="180"/>
    <n v="112"/>
    <n v="502"/>
    <n v="155"/>
    <n v="34"/>
    <n v="145"/>
    <n v="285"/>
    <n v="1.5833333333333333"/>
    <n v="2.0714285714285716"/>
    <n v="1.6"/>
  </r>
  <r>
    <n v="971"/>
    <x v="15"/>
    <s v="West"/>
    <s v="Small Market"/>
    <s v="Caffe Latte"/>
    <s v="Espresso"/>
    <s v="Oregon"/>
    <s v="Regular"/>
    <n v="50"/>
    <n v="60"/>
    <n v="20"/>
    <n v="110"/>
    <n v="54"/>
    <n v="337"/>
    <n v="67"/>
    <n v="20"/>
    <n v="19"/>
    <n v="129"/>
    <n v="1.1727272727272726"/>
    <n v="0.95"/>
    <n v="1.08"/>
  </r>
  <r>
    <n v="971"/>
    <x v="15"/>
    <s v="West"/>
    <s v="Small Market"/>
    <s v="Caffe Mocha"/>
    <s v="Espresso"/>
    <s v="Oregon"/>
    <s v="Regular"/>
    <n v="50"/>
    <n v="70"/>
    <n v="40"/>
    <n v="120"/>
    <n v="55"/>
    <n v="336"/>
    <n v="74"/>
    <n v="18"/>
    <n v="42"/>
    <n v="137"/>
    <n v="1.1416666666666666"/>
    <n v="1.05"/>
    <n v="1.1000000000000001"/>
  </r>
  <r>
    <n v="971"/>
    <x v="15"/>
    <s v="West"/>
    <s v="Small Market"/>
    <s v="Decaf Espresso"/>
    <s v="Espresso"/>
    <s v="Oregon"/>
    <s v="Decaf"/>
    <n v="150"/>
    <n v="160"/>
    <n v="100"/>
    <n v="310"/>
    <n v="162"/>
    <n v="1091"/>
    <n v="163"/>
    <n v="45"/>
    <n v="138"/>
    <n v="346"/>
    <n v="1.1161290322580646"/>
    <n v="1.38"/>
    <n v="1.08"/>
  </r>
  <r>
    <n v="503"/>
    <x v="15"/>
    <s v="West"/>
    <s v="Small Market"/>
    <s v="Amaretto"/>
    <s v="Coffee"/>
    <s v="Oregon"/>
    <s v="Regular"/>
    <n v="60"/>
    <n v="90"/>
    <n v="30"/>
    <n v="150"/>
    <n v="52"/>
    <n v="433"/>
    <n v="73"/>
    <n v="47"/>
    <n v="-4"/>
    <n v="133"/>
    <n v="0.88666666666666671"/>
    <n v="-0.13333333333333333"/>
    <n v="0.8666666666666667"/>
  </r>
  <r>
    <n v="541"/>
    <x v="15"/>
    <s v="West"/>
    <s v="Small Market"/>
    <s v="Columbian"/>
    <s v="Coffee"/>
    <s v="Oregon"/>
    <s v="Regular"/>
    <n v="60"/>
    <n v="80"/>
    <n v="30"/>
    <n v="140"/>
    <n v="49"/>
    <n v="399"/>
    <n v="70"/>
    <n v="16"/>
    <n v="12"/>
    <n v="127"/>
    <n v="0.90714285714285714"/>
    <n v="0.4"/>
    <n v="0.81666666666666665"/>
  </r>
  <r>
    <n v="541"/>
    <x v="15"/>
    <s v="West"/>
    <s v="Small Market"/>
    <s v="Decaf Irish Cream"/>
    <s v="Coffee"/>
    <s v="Oregon"/>
    <s v="Decaf"/>
    <n v="50"/>
    <n v="80"/>
    <n v="50"/>
    <n v="130"/>
    <n v="43"/>
    <n v="363"/>
    <n v="64"/>
    <n v="13"/>
    <n v="42"/>
    <n v="114"/>
    <n v="0.87692307692307692"/>
    <n v="0.84"/>
    <n v="0.86"/>
  </r>
  <r>
    <n v="206"/>
    <x v="15"/>
    <s v="West"/>
    <s v="Small Market"/>
    <s v="Chamomile"/>
    <s v="Herbal Tea"/>
    <s v="Washington"/>
    <s v="Decaf"/>
    <n v="90"/>
    <n v="160"/>
    <n v="110"/>
    <n v="250"/>
    <n v="116"/>
    <n v="962"/>
    <n v="176"/>
    <n v="38"/>
    <n v="157"/>
    <n v="311"/>
    <n v="1.244"/>
    <n v="1.4272727272727272"/>
    <n v="1.288888888888889"/>
  </r>
  <r>
    <n v="360"/>
    <x v="15"/>
    <s v="West"/>
    <s v="Small Market"/>
    <s v="Lemon"/>
    <s v="Herbal Tea"/>
    <s v="Washington"/>
    <s v="Decaf"/>
    <n v="30"/>
    <n v="40"/>
    <n v="40"/>
    <n v="70"/>
    <n v="35"/>
    <n v="776"/>
    <n v="51"/>
    <n v="9"/>
    <n v="45"/>
    <n v="92"/>
    <n v="1.3142857142857143"/>
    <n v="1.125"/>
    <n v="1.1666666666666667"/>
  </r>
  <r>
    <n v="253"/>
    <x v="15"/>
    <s v="West"/>
    <s v="Small Market"/>
    <s v="Darjeeling"/>
    <s v="Tea"/>
    <s v="Washington"/>
    <s v="Regular"/>
    <n v="30"/>
    <n v="60"/>
    <n v="40"/>
    <n v="90"/>
    <n v="49"/>
    <n v="342"/>
    <n v="84"/>
    <n v="15"/>
    <n v="67"/>
    <n v="142"/>
    <n v="1.5777777777777777"/>
    <n v="1.675"/>
    <n v="1.6333333333333333"/>
  </r>
  <r>
    <n v="206"/>
    <x v="15"/>
    <s v="West"/>
    <s v="Small Market"/>
    <s v="Earl Grey"/>
    <s v="Tea"/>
    <s v="Washington"/>
    <s v="Regular"/>
    <n v="30"/>
    <n v="40"/>
    <n v="20"/>
    <n v="70"/>
    <n v="46"/>
    <n v="388"/>
    <n v="68"/>
    <n v="14"/>
    <n v="45"/>
    <n v="121"/>
    <n v="1.7285714285714286"/>
    <n v="2.25"/>
    <n v="1.5333333333333334"/>
  </r>
  <r>
    <n v="206"/>
    <x v="15"/>
    <s v="West"/>
    <s v="Small Market"/>
    <s v="Green Tea"/>
    <s v="Tea"/>
    <s v="Washington"/>
    <s v="Regular"/>
    <n v="40"/>
    <n v="60"/>
    <n v="10"/>
    <n v="100"/>
    <n v="63"/>
    <n v="521"/>
    <n v="87"/>
    <n v="57"/>
    <n v="0"/>
    <n v="160"/>
    <n v="1.6"/>
    <n v="0"/>
    <n v="1.575"/>
  </r>
  <r>
    <n v="425"/>
    <x v="15"/>
    <s v="West"/>
    <s v="Small Market"/>
    <s v="Caffe Latte"/>
    <s v="Espresso"/>
    <s v="Washington"/>
    <s v="Regular"/>
    <n v="40"/>
    <n v="50"/>
    <n v="30"/>
    <n v="90"/>
    <n v="45"/>
    <n v="605"/>
    <n v="58"/>
    <n v="14"/>
    <n v="47"/>
    <n v="110"/>
    <n v="1.2222222222222223"/>
    <n v="1.5666666666666667"/>
    <n v="1.125"/>
  </r>
  <r>
    <n v="206"/>
    <x v="15"/>
    <s v="West"/>
    <s v="Small Market"/>
    <s v="Caffe Mocha"/>
    <s v="Espresso"/>
    <s v="Washington"/>
    <s v="Regular"/>
    <n v="50"/>
    <n v="70"/>
    <n v="30"/>
    <n v="120"/>
    <n v="57"/>
    <n v="313"/>
    <n v="70"/>
    <n v="21"/>
    <n v="22"/>
    <n v="135"/>
    <n v="1.125"/>
    <n v="0.73333333333333328"/>
    <n v="1.1399999999999999"/>
  </r>
  <r>
    <n v="206"/>
    <x v="15"/>
    <s v="West"/>
    <s v="Small Market"/>
    <s v="Decaf Espresso"/>
    <s v="Espresso"/>
    <s v="Washington"/>
    <s v="Decaf"/>
    <n v="60"/>
    <n v="80"/>
    <n v="60"/>
    <n v="140"/>
    <n v="69"/>
    <n v="965"/>
    <n v="82"/>
    <n v="21"/>
    <n v="58"/>
    <n v="161"/>
    <n v="1.1499999999999999"/>
    <n v="0.96666666666666667"/>
    <n v="1.1499999999999999"/>
  </r>
  <r>
    <n v="206"/>
    <x v="15"/>
    <s v="West"/>
    <s v="Small Market"/>
    <s v="Columbian"/>
    <s v="Coffee"/>
    <s v="Washington"/>
    <s v="Regular"/>
    <n v="80"/>
    <n v="130"/>
    <n v="90"/>
    <n v="210"/>
    <n v="69"/>
    <n v="340"/>
    <n v="100"/>
    <n v="22"/>
    <n v="80"/>
    <n v="180"/>
    <n v="0.8571428571428571"/>
    <n v="0.88888888888888884"/>
    <n v="0.86250000000000004"/>
  </r>
  <r>
    <n v="360"/>
    <x v="15"/>
    <s v="West"/>
    <s v="Small Market"/>
    <s v="Decaf Irish Cream"/>
    <s v="Coffee"/>
    <s v="Washington"/>
    <s v="Decaf"/>
    <n v="110"/>
    <n v="170"/>
    <n v="70"/>
    <n v="280"/>
    <n v="95"/>
    <n v="554"/>
    <n v="132"/>
    <n v="86"/>
    <n v="25"/>
    <n v="242"/>
    <n v="0.86428571428571432"/>
    <n v="0.35714285714285715"/>
    <n v="0.86363636363636365"/>
  </r>
  <r>
    <n v="719"/>
    <x v="16"/>
    <s v="Central"/>
    <s v="Major Market"/>
    <s v="Chamomile"/>
    <s v="Herbal Tea"/>
    <s v="Colorado"/>
    <s v="Decaf"/>
    <n v="120"/>
    <n v="140"/>
    <n v="90"/>
    <n v="260"/>
    <n v="149"/>
    <n v="1156"/>
    <n v="149"/>
    <n v="41"/>
    <n v="115"/>
    <n v="295"/>
    <n v="1.1346153846153846"/>
    <n v="1.2777777777777777"/>
    <n v="1.2416666666666667"/>
  </r>
  <r>
    <n v="970"/>
    <x v="16"/>
    <s v="Central"/>
    <s v="Major Market"/>
    <s v="Lemon"/>
    <s v="Herbal Tea"/>
    <s v="Colorado"/>
    <s v="Decaf"/>
    <n v="40"/>
    <n v="70"/>
    <n v="10"/>
    <n v="110"/>
    <n v="53"/>
    <n v="458"/>
    <n v="75"/>
    <n v="48"/>
    <n v="-4"/>
    <n v="127"/>
    <n v="1.1545454545454545"/>
    <n v="-0.4"/>
    <n v="1.325"/>
  </r>
  <r>
    <n v="719"/>
    <x v="16"/>
    <s v="Central"/>
    <s v="Major Market"/>
    <s v="Mint"/>
    <s v="Herbal Tea"/>
    <s v="Colorado"/>
    <s v="Decaf"/>
    <n v="40"/>
    <n v="60"/>
    <n v="30"/>
    <n v="100"/>
    <n v="52"/>
    <n v="361"/>
    <n v="71"/>
    <n v="17"/>
    <n v="36"/>
    <n v="122"/>
    <n v="1.22"/>
    <n v="1.2"/>
    <n v="1.3"/>
  </r>
  <r>
    <n v="720"/>
    <x v="16"/>
    <s v="Central"/>
    <s v="Major Market"/>
    <s v="Darjeeling"/>
    <s v="Tea"/>
    <s v="Colorado"/>
    <s v="Regular"/>
    <n v="40"/>
    <n v="60"/>
    <n v="20"/>
    <n v="100"/>
    <n v="53"/>
    <n v="361"/>
    <n v="65"/>
    <n v="20"/>
    <n v="17"/>
    <n v="117"/>
    <n v="1.17"/>
    <n v="0.85"/>
    <n v="1.325"/>
  </r>
  <r>
    <n v="303"/>
    <x v="16"/>
    <s v="Central"/>
    <s v="Major Market"/>
    <s v="Earl Grey"/>
    <s v="Tea"/>
    <s v="Colorado"/>
    <s v="Regular"/>
    <n v="40"/>
    <n v="60"/>
    <n v="30"/>
    <n v="100"/>
    <n v="56"/>
    <n v="992"/>
    <n v="66"/>
    <n v="17"/>
    <n v="37"/>
    <n v="121"/>
    <n v="1.21"/>
    <n v="1.2333333333333334"/>
    <n v="1.4"/>
  </r>
  <r>
    <n v="970"/>
    <x v="16"/>
    <s v="Central"/>
    <s v="Major Market"/>
    <s v="Green Tea"/>
    <s v="Tea"/>
    <s v="Colorado"/>
    <s v="Regular"/>
    <n v="30"/>
    <n v="50"/>
    <n v="30"/>
    <n v="80"/>
    <n v="43"/>
    <n v="602"/>
    <n v="56"/>
    <n v="14"/>
    <n v="41"/>
    <n v="98"/>
    <n v="1.2250000000000001"/>
    <n v="1.3666666666666667"/>
    <n v="1.4333333333333333"/>
  </r>
  <r>
    <n v="970"/>
    <x v="16"/>
    <s v="Central"/>
    <s v="Major Market"/>
    <s v="Caffe Mocha"/>
    <s v="Espresso"/>
    <s v="Colorado"/>
    <s v="Regular"/>
    <n v="90"/>
    <n v="150"/>
    <n v="120"/>
    <n v="240"/>
    <n v="86"/>
    <n v="499"/>
    <n v="124"/>
    <n v="24"/>
    <n v="121"/>
    <n v="208"/>
    <n v="0.8666666666666667"/>
    <n v="1.0083333333333333"/>
    <n v="0.9555555555555556"/>
  </r>
  <r>
    <n v="719"/>
    <x v="16"/>
    <s v="Central"/>
    <s v="Major Market"/>
    <s v="Decaf Espresso"/>
    <s v="Espresso"/>
    <s v="Colorado"/>
    <s v="Decaf"/>
    <n v="70"/>
    <n v="110"/>
    <n v="60"/>
    <n v="180"/>
    <n v="64"/>
    <n v="593"/>
    <n v="96"/>
    <n v="21"/>
    <n v="61"/>
    <n v="159"/>
    <n v="0.8833333333333333"/>
    <n v="1.0166666666666666"/>
    <n v="0.91428571428571426"/>
  </r>
  <r>
    <n v="720"/>
    <x v="16"/>
    <s v="Central"/>
    <s v="Major Market"/>
    <s v="Amaretto"/>
    <s v="Coffee"/>
    <s v="Colorado"/>
    <s v="Regular"/>
    <n v="110"/>
    <n v="150"/>
    <n v="120"/>
    <n v="260"/>
    <n v="104"/>
    <n v="821"/>
    <n v="152"/>
    <n v="29"/>
    <n v="153"/>
    <n v="254"/>
    <n v="0.97692307692307689"/>
    <n v="1.2749999999999999"/>
    <n v="0.94545454545454544"/>
  </r>
  <r>
    <n v="720"/>
    <x v="16"/>
    <s v="Central"/>
    <s v="Major Market"/>
    <s v="Columbian"/>
    <s v="Coffee"/>
    <s v="Colorado"/>
    <s v="Regular"/>
    <n v="80"/>
    <n v="110"/>
    <n v="80"/>
    <n v="190"/>
    <n v="83"/>
    <n v="584"/>
    <n v="107"/>
    <n v="27"/>
    <n v="94"/>
    <n v="188"/>
    <n v="0.98947368421052628"/>
    <n v="1.175"/>
    <n v="1.0375000000000001"/>
  </r>
  <r>
    <n v="303"/>
    <x v="16"/>
    <s v="Central"/>
    <s v="Major Market"/>
    <s v="Decaf Irish Cream"/>
    <s v="Coffee"/>
    <s v="Colorado"/>
    <s v="Decaf"/>
    <n v="110"/>
    <n v="150"/>
    <n v="120"/>
    <n v="260"/>
    <n v="104"/>
    <n v="871"/>
    <n v="152"/>
    <n v="29"/>
    <n v="155"/>
    <n v="254"/>
    <n v="0.97692307692307689"/>
    <n v="1.2916666666666667"/>
    <n v="0.94545454545454544"/>
  </r>
  <r>
    <n v="773"/>
    <x v="16"/>
    <s v="Central"/>
    <s v="Major Market"/>
    <s v="Chamomile"/>
    <s v="Herbal Tea"/>
    <s v="Illinois"/>
    <s v="Decaf"/>
    <n v="80"/>
    <n v="140"/>
    <n v="120"/>
    <n v="220"/>
    <n v="104"/>
    <n v="821"/>
    <n v="152"/>
    <n v="29"/>
    <n v="155"/>
    <n v="254"/>
    <n v="1.1545454545454545"/>
    <n v="1.2916666666666667"/>
    <n v="1.3"/>
  </r>
  <r>
    <n v="773"/>
    <x v="16"/>
    <s v="Central"/>
    <s v="Major Market"/>
    <s v="Lemon"/>
    <s v="Herbal Tea"/>
    <s v="Illinois"/>
    <s v="Decaf"/>
    <n v="70"/>
    <n v="90"/>
    <n v="60"/>
    <n v="160"/>
    <n v="83"/>
    <n v="584"/>
    <n v="107"/>
    <n v="27"/>
    <n v="94"/>
    <n v="188"/>
    <n v="1.175"/>
    <n v="1.5666666666666667"/>
    <n v="1.1857142857142857"/>
  </r>
  <r>
    <n v="312"/>
    <x v="16"/>
    <s v="Central"/>
    <s v="Major Market"/>
    <s v="Mint"/>
    <s v="Herbal Tea"/>
    <s v="Illinois"/>
    <s v="Decaf"/>
    <n v="80"/>
    <n v="140"/>
    <n v="120"/>
    <n v="220"/>
    <n v="104"/>
    <n v="871"/>
    <n v="152"/>
    <n v="29"/>
    <n v="155"/>
    <n v="254"/>
    <n v="1.1545454545454545"/>
    <n v="1.2916666666666667"/>
    <n v="1.3"/>
  </r>
  <r>
    <n v="847"/>
    <x v="16"/>
    <s v="Central"/>
    <s v="Major Market"/>
    <s v="Darjeeling"/>
    <s v="Tea"/>
    <s v="Illinois"/>
    <s v="Regular"/>
    <n v="70"/>
    <n v="110"/>
    <n v="80"/>
    <n v="180"/>
    <n v="86"/>
    <n v="499"/>
    <n v="124"/>
    <n v="24"/>
    <n v="121"/>
    <n v="208"/>
    <n v="1.1555555555555554"/>
    <n v="1.5125"/>
    <n v="1.2285714285714286"/>
  </r>
  <r>
    <n v="630"/>
    <x v="16"/>
    <s v="Central"/>
    <s v="Major Market"/>
    <s v="Earl Grey"/>
    <s v="Tea"/>
    <s v="Illinois"/>
    <s v="Regular"/>
    <n v="50"/>
    <n v="90"/>
    <n v="50"/>
    <n v="140"/>
    <n v="64"/>
    <n v="593"/>
    <n v="96"/>
    <n v="21"/>
    <n v="61"/>
    <n v="159"/>
    <n v="1.1357142857142857"/>
    <n v="1.22"/>
    <n v="1.28"/>
  </r>
  <r>
    <n v="773"/>
    <x v="16"/>
    <s v="Central"/>
    <s v="Major Market"/>
    <s v="Caffe Mocha"/>
    <s v="Espresso"/>
    <s v="Illinois"/>
    <s v="Regular"/>
    <n v="300"/>
    <n v="420"/>
    <n v="300"/>
    <n v="720"/>
    <n v="263"/>
    <n v="1433"/>
    <n v="349"/>
    <n v="86"/>
    <n v="317"/>
    <n v="607"/>
    <n v="0.84305555555555556"/>
    <n v="1.0566666666666666"/>
    <n v="0.87666666666666671"/>
  </r>
  <r>
    <n v="773"/>
    <x v="16"/>
    <s v="Central"/>
    <s v="Major Market"/>
    <s v="Decaf Espresso"/>
    <s v="Espresso"/>
    <s v="Illinois"/>
    <s v="Decaf"/>
    <n v="300"/>
    <n v="310"/>
    <n v="210"/>
    <n v="610"/>
    <n v="260"/>
    <n v="1559"/>
    <n v="261"/>
    <n v="72"/>
    <n v="228"/>
    <n v="516"/>
    <n v="0.84590163934426232"/>
    <n v="1.0857142857142856"/>
    <n v="0.8666666666666667"/>
  </r>
  <r>
    <n v="618"/>
    <x v="16"/>
    <s v="Central"/>
    <s v="Major Market"/>
    <s v="Columbian"/>
    <s v="Coffee"/>
    <s v="Illinois"/>
    <s v="Regular"/>
    <n v="200"/>
    <n v="280"/>
    <n v="180"/>
    <n v="480"/>
    <n v="195"/>
    <n v="956"/>
    <n v="270"/>
    <n v="64"/>
    <n v="222"/>
    <n v="461"/>
    <n v="0.9604166666666667"/>
    <n v="1.2333333333333334"/>
    <n v="0.97499999999999998"/>
  </r>
  <r>
    <n v="847"/>
    <x v="16"/>
    <s v="Central"/>
    <s v="Major Market"/>
    <s v="Decaf Irish Cream"/>
    <s v="Coffee"/>
    <s v="Illinois"/>
    <s v="Decaf"/>
    <n v="130"/>
    <n v="190"/>
    <n v="140"/>
    <n v="320"/>
    <n v="127"/>
    <n v="671"/>
    <n v="185"/>
    <n v="40"/>
    <n v="168"/>
    <n v="309"/>
    <n v="0.96562499999999996"/>
    <n v="1.2"/>
    <n v="0.97692307692307689"/>
  </r>
  <r>
    <n v="319"/>
    <x v="16"/>
    <s v="Central"/>
    <s v="Small Market"/>
    <s v="Chamomile"/>
    <s v="Herbal Tea"/>
    <s v="Iowa"/>
    <s v="Decaf"/>
    <n v="220"/>
    <n v="310"/>
    <n v="220"/>
    <n v="530"/>
    <n v="263"/>
    <n v="1433"/>
    <n v="349"/>
    <n v="86"/>
    <n v="319"/>
    <n v="607"/>
    <n v="1.1452830188679246"/>
    <n v="1.45"/>
    <n v="1.1954545454545455"/>
  </r>
  <r>
    <n v="563"/>
    <x v="16"/>
    <s v="Central"/>
    <s v="Small Market"/>
    <s v="Lemon"/>
    <s v="Herbal Tea"/>
    <s v="Iowa"/>
    <s v="Decaf"/>
    <n v="100"/>
    <n v="170"/>
    <n v="130"/>
    <n v="270"/>
    <n v="127"/>
    <n v="671"/>
    <n v="185"/>
    <n v="40"/>
    <n v="168"/>
    <n v="309"/>
    <n v="1.1444444444444444"/>
    <n v="1.2923076923076924"/>
    <n v="1.27"/>
  </r>
  <r>
    <n v="319"/>
    <x v="16"/>
    <s v="Central"/>
    <s v="Small Market"/>
    <s v="Darjeeling"/>
    <s v="Tea"/>
    <s v="Iowa"/>
    <s v="Regular"/>
    <n v="220"/>
    <n v="230"/>
    <n v="150"/>
    <n v="450"/>
    <n v="260"/>
    <n v="1559"/>
    <n v="261"/>
    <n v="72"/>
    <n v="228"/>
    <n v="516"/>
    <n v="1.1466666666666667"/>
    <n v="1.52"/>
    <n v="1.1818181818181819"/>
  </r>
  <r>
    <n v="515"/>
    <x v="16"/>
    <s v="Central"/>
    <s v="Small Market"/>
    <s v="Earl Grey"/>
    <s v="Tea"/>
    <s v="Iowa"/>
    <s v="Regular"/>
    <n v="220"/>
    <n v="290"/>
    <n v="170"/>
    <n v="510"/>
    <n v="265"/>
    <n v="1538"/>
    <n v="324"/>
    <n v="100"/>
    <n v="262"/>
    <n v="584"/>
    <n v="1.1450980392156862"/>
    <n v="1.5411764705882354"/>
    <n v="1.2045454545454546"/>
  </r>
  <r>
    <n v="515"/>
    <x v="16"/>
    <s v="Central"/>
    <s v="Small Market"/>
    <s v="Caffe Mocha"/>
    <s v="Espresso"/>
    <s v="Iowa"/>
    <s v="Regular"/>
    <n v="20"/>
    <n v="30"/>
    <n v="20"/>
    <n v="50"/>
    <n v="20"/>
    <n v="784"/>
    <n v="29"/>
    <n v="5"/>
    <n v="17"/>
    <n v="49"/>
    <n v="0.98"/>
    <n v="0.85"/>
    <n v="1"/>
  </r>
  <r>
    <n v="563"/>
    <x v="16"/>
    <s v="Central"/>
    <s v="Small Market"/>
    <s v="Decaf Espresso"/>
    <s v="Espresso"/>
    <s v="Iowa"/>
    <s v="Decaf"/>
    <n v="0"/>
    <n v="50"/>
    <n v="40"/>
    <n v="50"/>
    <n v="0"/>
    <n v="645"/>
    <n v="43"/>
    <n v="0"/>
    <n v="43"/>
    <n v="43"/>
    <n v="0.86"/>
    <n v="1.075"/>
    <m/>
  </r>
  <r>
    <n v="319"/>
    <x v="16"/>
    <s v="Central"/>
    <s v="Small Market"/>
    <s v="Amaretto"/>
    <s v="Coffee"/>
    <s v="Iowa"/>
    <s v="Regular"/>
    <n v="20"/>
    <n v="30"/>
    <n v="20"/>
    <n v="50"/>
    <n v="20"/>
    <n v="829"/>
    <n v="29"/>
    <n v="5"/>
    <n v="17"/>
    <n v="49"/>
    <n v="0.98"/>
    <n v="0.85"/>
    <n v="1"/>
  </r>
  <r>
    <n v="712"/>
    <x v="16"/>
    <s v="Central"/>
    <s v="Small Market"/>
    <s v="Columbian"/>
    <s v="Coffee"/>
    <s v="Iowa"/>
    <s v="Regular"/>
    <n v="30"/>
    <n v="40"/>
    <n v="20"/>
    <n v="70"/>
    <n v="31"/>
    <n v="976"/>
    <n v="37"/>
    <n v="9"/>
    <n v="10"/>
    <n v="67"/>
    <n v="0.95714285714285718"/>
    <n v="0.5"/>
    <n v="1.0333333333333334"/>
  </r>
  <r>
    <n v="515"/>
    <x v="16"/>
    <s v="Central"/>
    <s v="Small Market"/>
    <s v="Decaf Irish Cream"/>
    <s v="Coffee"/>
    <s v="Iowa"/>
    <s v="Decaf"/>
    <n v="20"/>
    <n v="30"/>
    <n v="20"/>
    <n v="50"/>
    <n v="22"/>
    <n v="611"/>
    <n v="30"/>
    <n v="7"/>
    <n v="15"/>
    <n v="52"/>
    <n v="1.04"/>
    <n v="0.75"/>
    <n v="1.1000000000000001"/>
  </r>
  <r>
    <n v="314"/>
    <x v="16"/>
    <s v="Central"/>
    <s v="Small Market"/>
    <s v="Chamomile"/>
    <s v="Herbal Tea"/>
    <s v="Missouri"/>
    <s v="Decaf"/>
    <n v="30"/>
    <n v="60"/>
    <n v="10"/>
    <n v="90"/>
    <n v="43"/>
    <n v="282"/>
    <n v="61"/>
    <n v="39"/>
    <n v="-11"/>
    <n v="103"/>
    <n v="1.1444444444444444"/>
    <n v="-1.1000000000000001"/>
    <n v="1.4333333333333333"/>
  </r>
  <r>
    <n v="636"/>
    <x v="16"/>
    <s v="Central"/>
    <s v="Small Market"/>
    <s v="Lemon"/>
    <s v="Herbal Tea"/>
    <s v="Missouri"/>
    <s v="Decaf"/>
    <n v="80"/>
    <n v="30"/>
    <n v="0"/>
    <n v="110"/>
    <n v="98"/>
    <n v="973"/>
    <n v="38"/>
    <n v="30"/>
    <n v="-21"/>
    <n v="135"/>
    <n v="1.2272727272727273"/>
    <m/>
    <n v="1.2250000000000001"/>
  </r>
  <r>
    <n v="417"/>
    <x v="16"/>
    <s v="Central"/>
    <s v="Small Market"/>
    <s v="Darjeeling"/>
    <s v="Tea"/>
    <s v="Missouri"/>
    <s v="Regular"/>
    <n v="30"/>
    <n v="50"/>
    <n v="20"/>
    <n v="80"/>
    <n v="39"/>
    <n v="212"/>
    <n v="53"/>
    <n v="12"/>
    <n v="19"/>
    <n v="91"/>
    <n v="1.1375"/>
    <n v="0.95"/>
    <n v="1.3"/>
  </r>
  <r>
    <n v="417"/>
    <x v="16"/>
    <s v="Central"/>
    <s v="Small Market"/>
    <s v="Earl Grey"/>
    <s v="Tea"/>
    <s v="Missouri"/>
    <s v="Regular"/>
    <n v="20"/>
    <n v="40"/>
    <n v="0"/>
    <n v="60"/>
    <n v="34"/>
    <n v="182"/>
    <n v="42"/>
    <n v="12"/>
    <n v="-6"/>
    <n v="75"/>
    <n v="1.25"/>
    <m/>
    <n v="1.7"/>
  </r>
  <r>
    <n v="314"/>
    <x v="16"/>
    <s v="Central"/>
    <s v="Small Market"/>
    <s v="Green Tea"/>
    <s v="Tea"/>
    <s v="Missouri"/>
    <s v="Regular"/>
    <n v="30"/>
    <n v="40"/>
    <n v="0"/>
    <n v="70"/>
    <n v="36"/>
    <n v="212"/>
    <n v="45"/>
    <n v="13"/>
    <n v="-3"/>
    <n v="80"/>
    <n v="1.1428571428571428"/>
    <m/>
    <n v="1.2"/>
  </r>
  <r>
    <n v="636"/>
    <x v="16"/>
    <s v="Central"/>
    <s v="Small Market"/>
    <s v="Caffe Mocha"/>
    <s v="Espresso"/>
    <s v="Missouri"/>
    <s v="Regular"/>
    <n v="50"/>
    <n v="70"/>
    <n v="50"/>
    <n v="120"/>
    <n v="44"/>
    <n v="844"/>
    <n v="65"/>
    <n v="12"/>
    <n v="57"/>
    <n v="108"/>
    <n v="0.9"/>
    <n v="1.1399999999999999"/>
    <n v="0.88"/>
  </r>
  <r>
    <n v="660"/>
    <x v="16"/>
    <s v="Central"/>
    <s v="Small Market"/>
    <s v="Decaf Espresso"/>
    <s v="Espresso"/>
    <s v="Missouri"/>
    <s v="Decaf"/>
    <n v="40"/>
    <n v="70"/>
    <n v="50"/>
    <n v="110"/>
    <n v="39"/>
    <n v="799"/>
    <n v="58"/>
    <n v="10"/>
    <n v="50"/>
    <n v="96"/>
    <n v="0.87272727272727268"/>
    <n v="1"/>
    <n v="0.97499999999999998"/>
  </r>
  <r>
    <n v="573"/>
    <x v="16"/>
    <s v="Central"/>
    <s v="Small Market"/>
    <s v="Columbian"/>
    <s v="Coffee"/>
    <s v="Missouri"/>
    <s v="Regular"/>
    <n v="80"/>
    <n v="100"/>
    <n v="50"/>
    <n v="180"/>
    <n v="77"/>
    <n v="529"/>
    <n v="96"/>
    <n v="29"/>
    <n v="46"/>
    <n v="171"/>
    <n v="0.95"/>
    <n v="0.92"/>
    <n v="0.96250000000000002"/>
  </r>
  <r>
    <n v="660"/>
    <x v="16"/>
    <s v="Central"/>
    <s v="Small Market"/>
    <s v="Decaf Irish Cream"/>
    <s v="Coffee"/>
    <s v="Missouri"/>
    <s v="Decaf"/>
    <n v="70"/>
    <n v="80"/>
    <n v="40"/>
    <n v="150"/>
    <n v="68"/>
    <n v="998"/>
    <n v="80"/>
    <n v="21"/>
    <n v="52"/>
    <n v="147"/>
    <n v="0.98"/>
    <n v="1.3"/>
    <n v="0.97142857142857142"/>
  </r>
  <r>
    <n v="614"/>
    <x v="16"/>
    <s v="Central"/>
    <s v="Major Market"/>
    <s v="Chamomile"/>
    <s v="Herbal Tea"/>
    <s v="Ohio"/>
    <s v="Decaf"/>
    <n v="10"/>
    <n v="30"/>
    <n v="30"/>
    <n v="40"/>
    <n v="20"/>
    <n v="464"/>
    <n v="29"/>
    <n v="5"/>
    <n v="17"/>
    <n v="49"/>
    <n v="1.2250000000000001"/>
    <n v="0.56666666666666665"/>
    <n v="2"/>
  </r>
  <r>
    <n v="440"/>
    <x v="16"/>
    <s v="Central"/>
    <s v="Major Market"/>
    <s v="Lemon"/>
    <s v="Herbal Tea"/>
    <s v="Ohio"/>
    <s v="Decaf"/>
    <n v="20"/>
    <n v="40"/>
    <n v="40"/>
    <n v="60"/>
    <n v="29"/>
    <n v="835"/>
    <n v="42"/>
    <n v="8"/>
    <n v="32"/>
    <n v="70"/>
    <n v="1.1666666666666667"/>
    <n v="0.8"/>
    <n v="1.45"/>
  </r>
  <r>
    <n v="513"/>
    <x v="16"/>
    <s v="Central"/>
    <s v="Major Market"/>
    <s v="Darjeeling"/>
    <s v="Tea"/>
    <s v="Ohio"/>
    <s v="Regular"/>
    <n v="80"/>
    <n v="120"/>
    <n v="70"/>
    <n v="200"/>
    <n v="94"/>
    <n v="697"/>
    <n v="141"/>
    <n v="31"/>
    <n v="109"/>
    <n v="233"/>
    <n v="1.165"/>
    <n v="1.5571428571428572"/>
    <n v="1.175"/>
  </r>
  <r>
    <n v="513"/>
    <x v="16"/>
    <s v="Central"/>
    <s v="Major Market"/>
    <s v="Earl Grey"/>
    <s v="Tea"/>
    <s v="Ohio"/>
    <s v="Regular"/>
    <n v="90"/>
    <n v="150"/>
    <n v="100"/>
    <n v="240"/>
    <n v="114"/>
    <n v="555"/>
    <n v="159"/>
    <n v="35"/>
    <n v="139"/>
    <n v="271"/>
    <n v="1.1291666666666667"/>
    <n v="1.39"/>
    <n v="1.2666666666666666"/>
  </r>
  <r>
    <n v="216"/>
    <x v="16"/>
    <s v="Central"/>
    <s v="Major Market"/>
    <s v="Caffe Mocha"/>
    <s v="Espresso"/>
    <s v="Ohio"/>
    <s v="Regular"/>
    <n v="170"/>
    <n v="180"/>
    <n v="120"/>
    <n v="350"/>
    <n v="149"/>
    <n v="1156"/>
    <n v="149"/>
    <n v="41"/>
    <n v="116"/>
    <n v="295"/>
    <n v="0.84285714285714286"/>
    <n v="0.96666666666666667"/>
    <n v="0.87647058823529411"/>
  </r>
  <r>
    <n v="216"/>
    <x v="16"/>
    <s v="Central"/>
    <s v="Major Market"/>
    <s v="Decaf Espresso"/>
    <s v="Espresso"/>
    <s v="Ohio"/>
    <s v="Decaf"/>
    <n v="60"/>
    <n v="70"/>
    <n v="20"/>
    <n v="130"/>
    <n v="53"/>
    <n v="361"/>
    <n v="65"/>
    <n v="20"/>
    <n v="15"/>
    <n v="117"/>
    <n v="0.9"/>
    <n v="0.75"/>
    <n v="0.8833333333333333"/>
  </r>
  <r>
    <n v="216"/>
    <x v="16"/>
    <s v="Central"/>
    <s v="Major Market"/>
    <s v="Amaretto"/>
    <s v="Coffee"/>
    <s v="Ohio"/>
    <s v="Regular"/>
    <n v="50"/>
    <n v="70"/>
    <n v="40"/>
    <n v="120"/>
    <n v="52"/>
    <n v="361"/>
    <n v="71"/>
    <n v="17"/>
    <n v="37"/>
    <n v="122"/>
    <n v="1.0166666666666666"/>
    <n v="0.92500000000000004"/>
    <n v="1.04"/>
  </r>
  <r>
    <n v="234"/>
    <x v="16"/>
    <s v="Central"/>
    <s v="Major Market"/>
    <s v="Columbian"/>
    <s v="Coffee"/>
    <s v="Ohio"/>
    <s v="Regular"/>
    <n v="40"/>
    <n v="60"/>
    <n v="30"/>
    <n v="100"/>
    <n v="42"/>
    <n v="384"/>
    <n v="61"/>
    <n v="13"/>
    <n v="33"/>
    <n v="102"/>
    <n v="1.02"/>
    <n v="1.1000000000000001"/>
    <n v="1.05"/>
  </r>
  <r>
    <n v="234"/>
    <x v="16"/>
    <s v="Central"/>
    <s v="Major Market"/>
    <s v="Decaf Irish Cream"/>
    <s v="Coffee"/>
    <s v="Ohio"/>
    <s v="Decaf"/>
    <n v="50"/>
    <n v="80"/>
    <n v="20"/>
    <n v="130"/>
    <n v="53"/>
    <n v="458"/>
    <n v="75"/>
    <n v="48"/>
    <n v="-3"/>
    <n v="127"/>
    <n v="0.97692307692307689"/>
    <n v="-0.15"/>
    <n v="1.06"/>
  </r>
  <r>
    <n v="608"/>
    <x v="16"/>
    <s v="Central"/>
    <s v="Small Market"/>
    <s v="Chamomile"/>
    <s v="Herbal Tea"/>
    <s v="Wisconsin"/>
    <s v="Decaf"/>
    <n v="40"/>
    <n v="70"/>
    <n v="50"/>
    <n v="110"/>
    <n v="48"/>
    <n v="351"/>
    <n v="82"/>
    <n v="14"/>
    <n v="62"/>
    <n v="129"/>
    <n v="1.1727272727272726"/>
    <n v="1.24"/>
    <n v="1.2"/>
  </r>
  <r>
    <n v="262"/>
    <x v="16"/>
    <s v="Central"/>
    <s v="Small Market"/>
    <s v="Lemon"/>
    <s v="Herbal Tea"/>
    <s v="Wisconsin"/>
    <s v="Decaf"/>
    <n v="40"/>
    <n v="70"/>
    <n v="60"/>
    <n v="110"/>
    <n v="53"/>
    <n v="803"/>
    <n v="77"/>
    <n v="14"/>
    <n v="70"/>
    <n v="129"/>
    <n v="1.1727272727272726"/>
    <n v="1.1666666666666667"/>
    <n v="1.325"/>
  </r>
  <r>
    <n v="715"/>
    <x v="16"/>
    <s v="Central"/>
    <s v="Small Market"/>
    <s v="Darjeeling"/>
    <s v="Tea"/>
    <s v="Wisconsin"/>
    <s v="Regular"/>
    <n v="30"/>
    <n v="60"/>
    <n v="30"/>
    <n v="90"/>
    <n v="45"/>
    <n v="410"/>
    <n v="65"/>
    <n v="14"/>
    <n v="37"/>
    <n v="109"/>
    <n v="1.211111111111111"/>
    <n v="1.2333333333333334"/>
    <n v="1.5"/>
  </r>
  <r>
    <n v="608"/>
    <x v="16"/>
    <s v="Central"/>
    <s v="Small Market"/>
    <s v="Earl Grey"/>
    <s v="Tea"/>
    <s v="Wisconsin"/>
    <s v="Regular"/>
    <n v="50"/>
    <n v="80"/>
    <n v="10"/>
    <n v="130"/>
    <n v="64"/>
    <n v="551"/>
    <n v="90"/>
    <n v="58"/>
    <n v="3"/>
    <n v="153"/>
    <n v="1.176923076923077"/>
    <n v="0.3"/>
    <n v="1.28"/>
  </r>
  <r>
    <n v="608"/>
    <x v="16"/>
    <s v="Central"/>
    <s v="Small Market"/>
    <s v="Caffe Mocha"/>
    <s v="Espresso"/>
    <s v="Wisconsin"/>
    <s v="Regular"/>
    <n v="90"/>
    <n v="110"/>
    <n v="70"/>
    <n v="200"/>
    <n v="78"/>
    <n v="995"/>
    <n v="92"/>
    <n v="24"/>
    <n v="65"/>
    <n v="168"/>
    <n v="0.84"/>
    <n v="0.9285714285714286"/>
    <n v="0.8666666666666667"/>
  </r>
  <r>
    <n v="715"/>
    <x v="16"/>
    <s v="Central"/>
    <s v="Small Market"/>
    <s v="Decaf Espresso"/>
    <s v="Espresso"/>
    <s v="Wisconsin"/>
    <s v="Decaf"/>
    <n v="50"/>
    <n v="70"/>
    <n v="50"/>
    <n v="120"/>
    <n v="48"/>
    <n v="599"/>
    <n v="62"/>
    <n v="15"/>
    <n v="48"/>
    <n v="109"/>
    <n v="0.90833333333333333"/>
    <n v="0.96"/>
    <n v="0.96"/>
  </r>
  <r>
    <n v="414"/>
    <x v="16"/>
    <s v="Central"/>
    <s v="Small Market"/>
    <s v="Amaretto"/>
    <s v="Coffee"/>
    <s v="Wisconsin"/>
    <s v="Regular"/>
    <n v="60"/>
    <n v="70"/>
    <n v="20"/>
    <n v="130"/>
    <n v="58"/>
    <n v="338"/>
    <n v="72"/>
    <n v="22"/>
    <n v="23"/>
    <n v="129"/>
    <n v="0.99230769230769234"/>
    <n v="1.1499999999999999"/>
    <n v="0.96666666666666667"/>
  </r>
  <r>
    <n v="262"/>
    <x v="16"/>
    <s v="Central"/>
    <s v="Small Market"/>
    <s v="Columbian"/>
    <s v="Coffee"/>
    <s v="Wisconsin"/>
    <s v="Regular"/>
    <n v="90"/>
    <n v="140"/>
    <n v="40"/>
    <n v="230"/>
    <n v="92"/>
    <n v="599"/>
    <n v="129"/>
    <n v="83"/>
    <n v="23"/>
    <n v="219"/>
    <n v="0.95217391304347831"/>
    <n v="0.57499999999999996"/>
    <n v="1.0222222222222221"/>
  </r>
  <r>
    <n v="715"/>
    <x v="16"/>
    <s v="Central"/>
    <s v="Small Market"/>
    <s v="Decaf Irish Cream"/>
    <s v="Coffee"/>
    <s v="Wisconsin"/>
    <s v="Decaf"/>
    <n v="90"/>
    <n v="120"/>
    <n v="80"/>
    <n v="210"/>
    <n v="87"/>
    <n v="472"/>
    <n v="117"/>
    <n v="28"/>
    <n v="86"/>
    <n v="202"/>
    <n v="0.96190476190476193"/>
    <n v="1.075"/>
    <n v="0.96666666666666667"/>
  </r>
  <r>
    <n v="475"/>
    <x v="16"/>
    <s v="East"/>
    <s v="Small Market"/>
    <s v="Lemon"/>
    <s v="Herbal Tea"/>
    <s v="Connecticut"/>
    <s v="Decaf"/>
    <n v="50"/>
    <n v="80"/>
    <n v="40"/>
    <n v="130"/>
    <n v="77"/>
    <n v="529"/>
    <n v="96"/>
    <n v="29"/>
    <n v="46"/>
    <n v="171"/>
    <n v="1.3153846153846154"/>
    <n v="1.1499999999999999"/>
    <n v="1.54"/>
  </r>
  <r>
    <n v="203"/>
    <x v="16"/>
    <s v="East"/>
    <s v="Small Market"/>
    <s v="Mint"/>
    <s v="Herbal Tea"/>
    <s v="Connecticut"/>
    <s v="Decaf"/>
    <n v="50"/>
    <n v="60"/>
    <n v="40"/>
    <n v="110"/>
    <n v="68"/>
    <n v="998"/>
    <n v="80"/>
    <n v="21"/>
    <n v="52"/>
    <n v="147"/>
    <n v="1.3363636363636364"/>
    <n v="1.3"/>
    <n v="1.36"/>
  </r>
  <r>
    <n v="475"/>
    <x v="16"/>
    <s v="East"/>
    <s v="Small Market"/>
    <s v="Darjeeling"/>
    <s v="Tea"/>
    <s v="Connecticut"/>
    <s v="Regular"/>
    <n v="40"/>
    <n v="70"/>
    <n v="50"/>
    <n v="110"/>
    <n v="44"/>
    <n v="844"/>
    <n v="65"/>
    <n v="12"/>
    <n v="58"/>
    <n v="108"/>
    <n v="0.98181818181818181"/>
    <n v="1.1599999999999999"/>
    <n v="1.1000000000000001"/>
  </r>
  <r>
    <n v="860"/>
    <x v="16"/>
    <s v="East"/>
    <s v="Small Market"/>
    <s v="Green Tea"/>
    <s v="Tea"/>
    <s v="Connecticut"/>
    <s v="Regular"/>
    <n v="20"/>
    <n v="40"/>
    <n v="30"/>
    <n v="60"/>
    <n v="23"/>
    <n v="787"/>
    <n v="34"/>
    <n v="6"/>
    <n v="23"/>
    <n v="56"/>
    <n v="0.93333333333333335"/>
    <n v="0.76666666666666672"/>
    <n v="1.1499999999999999"/>
  </r>
  <r>
    <n v="475"/>
    <x v="16"/>
    <s v="East"/>
    <s v="Small Market"/>
    <s v="Columbian"/>
    <s v="Coffee"/>
    <s v="Connecticut"/>
    <s v="Regular"/>
    <n v="100"/>
    <n v="160"/>
    <n v="110"/>
    <n v="260"/>
    <n v="110"/>
    <n v="1020"/>
    <n v="165"/>
    <n v="36"/>
    <n v="135"/>
    <n v="273"/>
    <n v="1.05"/>
    <n v="1.2272727272727273"/>
    <n v="1.1000000000000001"/>
  </r>
  <r>
    <n v="203"/>
    <x v="16"/>
    <s v="East"/>
    <s v="Small Market"/>
    <s v="Caffe Mocha"/>
    <s v="Espresso"/>
    <s v="Connecticut"/>
    <s v="Regular"/>
    <n v="60"/>
    <n v="90"/>
    <n v="20"/>
    <n v="150"/>
    <n v="64"/>
    <n v="551"/>
    <n v="90"/>
    <n v="58"/>
    <n v="4"/>
    <n v="153"/>
    <n v="1.02"/>
    <n v="0.2"/>
    <n v="1.0666666666666667"/>
  </r>
  <r>
    <n v="860"/>
    <x v="16"/>
    <s v="East"/>
    <s v="Small Market"/>
    <s v="Decaf Espresso"/>
    <s v="Espresso"/>
    <s v="Connecticut"/>
    <s v="Decaf"/>
    <n v="40"/>
    <n v="70"/>
    <n v="40"/>
    <n v="110"/>
    <n v="48"/>
    <n v="334"/>
    <n v="65"/>
    <n v="15"/>
    <n v="30"/>
    <n v="112"/>
    <n v="1.0181818181818181"/>
    <n v="0.75"/>
    <n v="1.2"/>
  </r>
  <r>
    <n v="786"/>
    <x v="16"/>
    <s v="East"/>
    <s v="Major Market"/>
    <s v="Chamomile"/>
    <s v="Herbal Tea"/>
    <s v="Florida"/>
    <s v="Decaf"/>
    <n v="30"/>
    <n v="50"/>
    <n v="30"/>
    <n v="80"/>
    <n v="48"/>
    <n v="599"/>
    <n v="62"/>
    <n v="15"/>
    <n v="48"/>
    <n v="109"/>
    <n v="1.3625"/>
    <n v="1.6"/>
    <n v="1.6"/>
  </r>
  <r>
    <n v="904"/>
    <x v="16"/>
    <s v="East"/>
    <s v="Major Market"/>
    <s v="Lemon"/>
    <s v="Herbal Tea"/>
    <s v="Florida"/>
    <s v="Decaf"/>
    <n v="40"/>
    <n v="60"/>
    <n v="30"/>
    <n v="100"/>
    <n v="58"/>
    <n v="338"/>
    <n v="72"/>
    <n v="22"/>
    <n v="23"/>
    <n v="129"/>
    <n v="1.29"/>
    <n v="0.76666666666666672"/>
    <n v="1.45"/>
  </r>
  <r>
    <n v="941"/>
    <x v="16"/>
    <s v="East"/>
    <s v="Major Market"/>
    <s v="Mint"/>
    <s v="Herbal Tea"/>
    <s v="Florida"/>
    <s v="Decaf"/>
    <n v="50"/>
    <n v="80"/>
    <n v="50"/>
    <n v="130"/>
    <n v="78"/>
    <n v="995"/>
    <n v="92"/>
    <n v="24"/>
    <n v="65"/>
    <n v="168"/>
    <n v="1.2923076923076924"/>
    <n v="1.3"/>
    <n v="1.56"/>
  </r>
  <r>
    <n v="863"/>
    <x v="16"/>
    <s v="East"/>
    <s v="Major Market"/>
    <s v="Darjeeling"/>
    <s v="Tea"/>
    <s v="Florida"/>
    <s v="Regular"/>
    <n v="30"/>
    <n v="60"/>
    <n v="40"/>
    <n v="90"/>
    <n v="36"/>
    <n v="838"/>
    <n v="53"/>
    <n v="10"/>
    <n v="44"/>
    <n v="88"/>
    <n v="0.97777777777777775"/>
    <n v="1.1000000000000001"/>
    <n v="1.2"/>
  </r>
  <r>
    <n v="321"/>
    <x v="16"/>
    <s v="East"/>
    <s v="Major Market"/>
    <s v="Green Tea"/>
    <s v="Tea"/>
    <s v="Florida"/>
    <s v="Regular"/>
    <n v="50"/>
    <n v="90"/>
    <n v="70"/>
    <n v="140"/>
    <n v="53"/>
    <n v="803"/>
    <n v="77"/>
    <n v="14"/>
    <n v="72"/>
    <n v="129"/>
    <n v="0.92142857142857137"/>
    <n v="1.0285714285714285"/>
    <n v="1.06"/>
  </r>
  <r>
    <n v="754"/>
    <x v="16"/>
    <s v="East"/>
    <s v="Major Market"/>
    <s v="Columbian"/>
    <s v="Coffee"/>
    <s v="Florida"/>
    <s v="Regular"/>
    <n v="90"/>
    <n v="130"/>
    <n v="90"/>
    <n v="220"/>
    <n v="94"/>
    <n v="697"/>
    <n v="141"/>
    <n v="31"/>
    <n v="108"/>
    <n v="233"/>
    <n v="1.0590909090909091"/>
    <n v="1.2"/>
    <n v="1.0444444444444445"/>
  </r>
  <r>
    <n v="863"/>
    <x v="16"/>
    <s v="East"/>
    <s v="Major Market"/>
    <s v="Decaf Irish Cream"/>
    <s v="Coffee"/>
    <s v="Florida"/>
    <s v="Decaf"/>
    <n v="100"/>
    <n v="150"/>
    <n v="100"/>
    <n v="250"/>
    <n v="114"/>
    <n v="555"/>
    <n v="159"/>
    <n v="35"/>
    <n v="138"/>
    <n v="271"/>
    <n v="1.0840000000000001"/>
    <n v="1.38"/>
    <n v="1.1399999999999999"/>
  </r>
  <r>
    <n v="850"/>
    <x v="16"/>
    <s v="East"/>
    <s v="Major Market"/>
    <s v="Caffe Mocha"/>
    <s v="Espresso"/>
    <s v="Florida"/>
    <s v="Regular"/>
    <n v="80"/>
    <n v="130"/>
    <n v="40"/>
    <n v="210"/>
    <n v="92"/>
    <n v="599"/>
    <n v="129"/>
    <n v="83"/>
    <n v="23"/>
    <n v="219"/>
    <n v="1.0428571428571429"/>
    <n v="0.57499999999999996"/>
    <n v="1.1499999999999999"/>
  </r>
  <r>
    <n v="786"/>
    <x v="16"/>
    <s v="East"/>
    <s v="Major Market"/>
    <s v="Decaf Espresso"/>
    <s v="Espresso"/>
    <s v="Florida"/>
    <s v="Decaf"/>
    <n v="80"/>
    <n v="110"/>
    <n v="70"/>
    <n v="190"/>
    <n v="87"/>
    <n v="472"/>
    <n v="117"/>
    <n v="28"/>
    <n v="86"/>
    <n v="202"/>
    <n v="1.0631578947368421"/>
    <n v="1.2285714285714286"/>
    <n v="1.0874999999999999"/>
  </r>
  <r>
    <n v="413"/>
    <x v="16"/>
    <s v="East"/>
    <s v="Major Market"/>
    <s v="Lemon"/>
    <s v="Herbal Tea"/>
    <s v="Massachusetts"/>
    <s v="Decaf"/>
    <n v="40"/>
    <n v="50"/>
    <n v="20"/>
    <n v="90"/>
    <n v="53"/>
    <n v="361"/>
    <n v="65"/>
    <n v="20"/>
    <n v="17"/>
    <n v="117"/>
    <n v="1.3"/>
    <n v="0.85"/>
    <n v="1.325"/>
  </r>
  <r>
    <n v="774"/>
    <x v="16"/>
    <s v="East"/>
    <s v="Major Market"/>
    <s v="Darjeeling"/>
    <s v="Tea"/>
    <s v="Massachusetts"/>
    <s v="Regular"/>
    <n v="30"/>
    <n v="40"/>
    <n v="30"/>
    <n v="70"/>
    <n v="29"/>
    <n v="835"/>
    <n v="42"/>
    <n v="8"/>
    <n v="30"/>
    <n v="70"/>
    <n v="1"/>
    <n v="1"/>
    <n v="0.96666666666666667"/>
  </r>
  <r>
    <n v="781"/>
    <x v="16"/>
    <s v="East"/>
    <s v="Major Market"/>
    <s v="Green Tea"/>
    <s v="Tea"/>
    <s v="Massachusetts"/>
    <s v="Regular"/>
    <n v="20"/>
    <n v="30"/>
    <n v="20"/>
    <n v="50"/>
    <n v="20"/>
    <n v="464"/>
    <n v="29"/>
    <n v="5"/>
    <n v="17"/>
    <n v="49"/>
    <n v="0.98"/>
    <n v="0.85"/>
    <n v="1"/>
  </r>
  <r>
    <n v="351"/>
    <x v="16"/>
    <s v="East"/>
    <s v="Major Market"/>
    <s v="Columbian"/>
    <s v="Coffee"/>
    <s v="Massachusetts"/>
    <s v="Regular"/>
    <n v="60"/>
    <n v="460"/>
    <n v="430"/>
    <n v="520"/>
    <n v="64"/>
    <n v="-663"/>
    <n v="487"/>
    <n v="21"/>
    <n v="599"/>
    <n v="546"/>
    <n v="1.05"/>
    <n v="1.3930232558139535"/>
    <n v="1.0666666666666667"/>
  </r>
  <r>
    <n v="413"/>
    <x v="16"/>
    <s v="East"/>
    <s v="Major Market"/>
    <s v="Caffe Mocha"/>
    <s v="Espresso"/>
    <s v="Massachusetts"/>
    <s v="Regular"/>
    <n v="50"/>
    <n v="60"/>
    <n v="0"/>
    <n v="110"/>
    <n v="53"/>
    <n v="491"/>
    <n v="61"/>
    <n v="48"/>
    <n v="-22"/>
    <n v="113"/>
    <n v="1.0272727272727273"/>
    <m/>
    <n v="1.06"/>
  </r>
  <r>
    <n v="781"/>
    <x v="16"/>
    <s v="East"/>
    <s v="Major Market"/>
    <s v="Regular Espresso"/>
    <s v="Espresso"/>
    <s v="Massachusetts"/>
    <s v="Regular"/>
    <n v="140"/>
    <n v="150"/>
    <n v="100"/>
    <n v="290"/>
    <n v="149"/>
    <n v="1156"/>
    <n v="149"/>
    <n v="41"/>
    <n v="116"/>
    <n v="295"/>
    <n v="1.0172413793103448"/>
    <n v="1.1599999999999999"/>
    <n v="1.0642857142857143"/>
  </r>
  <r>
    <n v="603"/>
    <x v="16"/>
    <s v="East"/>
    <s v="Small Market"/>
    <s v="Green Tea"/>
    <s v="Tea"/>
    <s v="New Hampshire"/>
    <s v="Regular"/>
    <n v="0"/>
    <n v="40"/>
    <n v="30"/>
    <n v="40"/>
    <n v="0"/>
    <n v="645"/>
    <n v="43"/>
    <n v="0"/>
    <n v="44"/>
    <n v="43"/>
    <n v="1.075"/>
    <n v="1.4666666666666666"/>
    <m/>
  </r>
  <r>
    <n v="603"/>
    <x v="16"/>
    <s v="East"/>
    <s v="Small Market"/>
    <s v="Lemon"/>
    <s v="Herbal Tea"/>
    <s v="New Hampshire"/>
    <s v="Decaf"/>
    <n v="20"/>
    <n v="40"/>
    <n v="10"/>
    <n v="60"/>
    <n v="36"/>
    <n v="212"/>
    <n v="45"/>
    <n v="13"/>
    <n v="-1"/>
    <n v="80"/>
    <n v="1.3333333333333333"/>
    <n v="-0.1"/>
    <n v="1.8"/>
  </r>
  <r>
    <n v="603"/>
    <x v="16"/>
    <s v="East"/>
    <s v="Small Market"/>
    <s v="Darjeeling"/>
    <s v="Tea"/>
    <s v="New Hampshire"/>
    <s v="Regular"/>
    <n v="20"/>
    <n v="30"/>
    <n v="20"/>
    <n v="50"/>
    <n v="20"/>
    <n v="829"/>
    <n v="29"/>
    <n v="5"/>
    <n v="17"/>
    <n v="49"/>
    <n v="0.98"/>
    <n v="0.85"/>
    <n v="1"/>
  </r>
  <r>
    <n v="603"/>
    <x v="16"/>
    <s v="East"/>
    <s v="Small Market"/>
    <s v="Amaretto"/>
    <s v="Coffee"/>
    <s v="New Hampshire"/>
    <s v="Regular"/>
    <n v="40"/>
    <n v="70"/>
    <n v="40"/>
    <n v="110"/>
    <n v="51"/>
    <n v="265"/>
    <n v="74"/>
    <n v="16"/>
    <n v="48"/>
    <n v="124"/>
    <n v="1.1272727272727272"/>
    <n v="1.2"/>
    <n v="1.2749999999999999"/>
  </r>
  <r>
    <n v="603"/>
    <x v="16"/>
    <s v="East"/>
    <s v="Small Market"/>
    <s v="Columbian"/>
    <s v="Coffee"/>
    <s v="New Hampshire"/>
    <s v="Regular"/>
    <n v="40"/>
    <n v="80"/>
    <n v="50"/>
    <n v="120"/>
    <n v="52"/>
    <n v="397"/>
    <n v="80"/>
    <n v="17"/>
    <n v="43"/>
    <n v="131"/>
    <n v="1.0916666666666666"/>
    <n v="0.86"/>
    <n v="1.3"/>
  </r>
  <r>
    <n v="603"/>
    <x v="16"/>
    <s v="East"/>
    <s v="Small Market"/>
    <s v="Caffe Mocha"/>
    <s v="Espresso"/>
    <s v="New Hampshire"/>
    <s v="Regular"/>
    <n v="40"/>
    <n v="60"/>
    <n v="10"/>
    <n v="100"/>
    <n v="43"/>
    <n v="282"/>
    <n v="61"/>
    <n v="39"/>
    <n v="-10"/>
    <n v="103"/>
    <n v="1.03"/>
    <n v="-1"/>
    <n v="1.075"/>
  </r>
  <r>
    <n v="603"/>
    <x v="16"/>
    <s v="East"/>
    <s v="Small Market"/>
    <s v="Regular Espresso"/>
    <s v="Espresso"/>
    <s v="New Hampshire"/>
    <s v="Regular"/>
    <n v="30"/>
    <n v="40"/>
    <n v="0"/>
    <n v="70"/>
    <n v="34"/>
    <n v="182"/>
    <n v="42"/>
    <n v="12"/>
    <n v="-4"/>
    <n v="75"/>
    <n v="1.0714285714285714"/>
    <m/>
    <n v="1.1333333333333333"/>
  </r>
  <r>
    <n v="212"/>
    <x v="16"/>
    <s v="East"/>
    <s v="Major Market"/>
    <s v="Green Tea"/>
    <s v="Tea"/>
    <s v="New York"/>
    <s v="Regular"/>
    <n v="90"/>
    <n v="130"/>
    <n v="100"/>
    <n v="220"/>
    <n v="86"/>
    <n v="499"/>
    <n v="124"/>
    <n v="24"/>
    <n v="123"/>
    <n v="208"/>
    <n v="0.94545454545454544"/>
    <n v="1.23"/>
    <n v="0.9555555555555556"/>
  </r>
  <r>
    <n v="518"/>
    <x v="16"/>
    <s v="East"/>
    <s v="Major Market"/>
    <s v="Lemon"/>
    <s v="Herbal Tea"/>
    <s v="New York"/>
    <s v="Decaf"/>
    <n v="200"/>
    <n v="300"/>
    <n v="200"/>
    <n v="500"/>
    <n v="265"/>
    <n v="1613"/>
    <n v="386"/>
    <n v="100"/>
    <n v="348"/>
    <n v="645"/>
    <n v="1.29"/>
    <n v="1.74"/>
    <n v="1.325"/>
  </r>
  <r>
    <n v="607"/>
    <x v="16"/>
    <s v="East"/>
    <s v="Major Market"/>
    <s v="Mint"/>
    <s v="Herbal Tea"/>
    <s v="New York"/>
    <s v="Decaf"/>
    <n v="170"/>
    <n v="-20"/>
    <n v="-90"/>
    <n v="150"/>
    <n v="235"/>
    <n v="2169"/>
    <n v="-37"/>
    <n v="72"/>
    <n v="-181"/>
    <n v="196"/>
    <n v="1.3066666666666666"/>
    <n v="2.0111111111111111"/>
    <n v="1.3823529411764706"/>
  </r>
  <r>
    <n v="516"/>
    <x v="16"/>
    <s v="East"/>
    <s v="Major Market"/>
    <s v="Darjeeling"/>
    <s v="Tea"/>
    <s v="New York"/>
    <s v="Regular"/>
    <n v="110"/>
    <n v="160"/>
    <n v="120"/>
    <n v="270"/>
    <n v="104"/>
    <n v="871"/>
    <n v="152"/>
    <n v="29"/>
    <n v="155"/>
    <n v="254"/>
    <n v="0.94074074074074077"/>
    <n v="1.2916666666666667"/>
    <n v="0.94545454545454544"/>
  </r>
  <r>
    <n v="646"/>
    <x v="16"/>
    <s v="East"/>
    <s v="Major Market"/>
    <s v="Earl Grey"/>
    <s v="Tea"/>
    <s v="New York"/>
    <s v="Regular"/>
    <n v="110"/>
    <n v="160"/>
    <n v="120"/>
    <n v="270"/>
    <n v="104"/>
    <n v="821"/>
    <n v="152"/>
    <n v="29"/>
    <n v="153"/>
    <n v="254"/>
    <n v="0.94074074074074077"/>
    <n v="1.2749999999999999"/>
    <n v="0.94545454545454544"/>
  </r>
  <r>
    <n v="646"/>
    <x v="16"/>
    <s v="East"/>
    <s v="Major Market"/>
    <s v="Columbian"/>
    <s v="Coffee"/>
    <s v="New York"/>
    <s v="Regular"/>
    <n v="280"/>
    <n v="430"/>
    <n v="300"/>
    <n v="710"/>
    <n v="302"/>
    <n v="2250"/>
    <n v="454"/>
    <n v="105"/>
    <n v="407"/>
    <n v="749"/>
    <n v="1.0549295774647887"/>
    <n v="1.3566666666666667"/>
    <n v="1.0785714285714285"/>
  </r>
  <r>
    <n v="646"/>
    <x v="16"/>
    <s v="East"/>
    <s v="Major Market"/>
    <s v="Caffe Mocha"/>
    <s v="Espresso"/>
    <s v="New York"/>
    <s v="Regular"/>
    <n v="110"/>
    <n v="-50"/>
    <n v="-180"/>
    <n v="60"/>
    <n v="121"/>
    <n v="1673"/>
    <n v="-52"/>
    <n v="109"/>
    <n v="-269"/>
    <n v="68"/>
    <n v="1.1333333333333333"/>
    <n v="1.4944444444444445"/>
    <n v="1.1000000000000001"/>
  </r>
  <r>
    <n v="516"/>
    <x v="16"/>
    <s v="East"/>
    <s v="Major Market"/>
    <s v="Regular Espresso"/>
    <s v="Espresso"/>
    <s v="New York"/>
    <s v="Regular"/>
    <n v="240"/>
    <n v="290"/>
    <n v="210"/>
    <n v="530"/>
    <n v="260"/>
    <n v="1271"/>
    <n v="283"/>
    <n v="72"/>
    <n v="258"/>
    <n v="538"/>
    <n v="1.0150943396226415"/>
    <n v="1.2285714285714286"/>
    <n v="1.0833333333333333"/>
  </r>
  <r>
    <n v="985"/>
    <x v="16"/>
    <s v="South"/>
    <s v="Small Market"/>
    <s v="Chamomile"/>
    <s v="Herbal Tea"/>
    <s v="Louisiana"/>
    <s v="Decaf"/>
    <n v="40"/>
    <n v="60"/>
    <n v="40"/>
    <n v="100"/>
    <n v="48"/>
    <n v="599"/>
    <n v="63"/>
    <n v="15"/>
    <n v="48"/>
    <n v="110"/>
    <n v="1.1000000000000001"/>
    <n v="1.2"/>
    <n v="1.2"/>
  </r>
  <r>
    <n v="337"/>
    <x v="16"/>
    <s v="South"/>
    <s v="Small Market"/>
    <s v="Lemon"/>
    <s v="Herbal Tea"/>
    <s v="Louisiana"/>
    <s v="Decaf"/>
    <n v="70"/>
    <n v="90"/>
    <n v="40"/>
    <n v="160"/>
    <n v="77"/>
    <n v="529"/>
    <n v="96"/>
    <n v="29"/>
    <n v="46"/>
    <n v="171"/>
    <n v="1.0687500000000001"/>
    <n v="1.1499999999999999"/>
    <n v="1.1000000000000001"/>
  </r>
  <r>
    <n v="318"/>
    <x v="16"/>
    <s v="South"/>
    <s v="Small Market"/>
    <s v="Columbian"/>
    <s v="Coffee"/>
    <s v="Louisiana"/>
    <s v="Regular"/>
    <n v="50"/>
    <n v="70"/>
    <n v="50"/>
    <n v="120"/>
    <n v="40"/>
    <n v="793"/>
    <n v="59"/>
    <n v="11"/>
    <n v="50"/>
    <n v="98"/>
    <n v="0.81666666666666665"/>
    <n v="1"/>
    <n v="0.8"/>
  </r>
  <r>
    <n v="337"/>
    <x v="16"/>
    <s v="South"/>
    <s v="Small Market"/>
    <s v="Decaf Irish Cream"/>
    <s v="Coffee"/>
    <s v="Louisiana"/>
    <s v="Decaf"/>
    <n v="60"/>
    <n v="100"/>
    <n v="80"/>
    <n v="160"/>
    <n v="53"/>
    <n v="803"/>
    <n v="77"/>
    <n v="14"/>
    <n v="72"/>
    <n v="129"/>
    <n v="0.80625000000000002"/>
    <n v="0.9"/>
    <n v="0.8833333333333333"/>
  </r>
  <r>
    <n v="985"/>
    <x v="16"/>
    <s v="South"/>
    <s v="Small Market"/>
    <s v="Caffe Latte"/>
    <s v="Espresso"/>
    <s v="Louisiana"/>
    <s v="Regular"/>
    <n v="50"/>
    <n v="80"/>
    <n v="10"/>
    <n v="130"/>
    <n v="64"/>
    <n v="-113"/>
    <n v="90"/>
    <n v="58"/>
    <n v="4"/>
    <n v="153"/>
    <n v="1.176923076923077"/>
    <n v="0.4"/>
    <n v="1.28"/>
  </r>
  <r>
    <n v="985"/>
    <x v="16"/>
    <s v="South"/>
    <s v="Small Market"/>
    <s v="Caffe Mocha"/>
    <s v="Espresso"/>
    <s v="Louisiana"/>
    <s v="Regular"/>
    <n v="40"/>
    <n v="70"/>
    <n v="50"/>
    <n v="110"/>
    <n v="48"/>
    <n v="351"/>
    <n v="82"/>
    <n v="14"/>
    <n v="61"/>
    <n v="129"/>
    <n v="1.1727272727272726"/>
    <n v="1.22"/>
    <n v="1.2"/>
  </r>
  <r>
    <n v="225"/>
    <x v="16"/>
    <s v="South"/>
    <s v="Small Market"/>
    <s v="Decaf Espresso"/>
    <s v="Espresso"/>
    <s v="Louisiana"/>
    <s v="Decaf"/>
    <n v="30"/>
    <n v="60"/>
    <n v="40"/>
    <n v="90"/>
    <n v="45"/>
    <n v="410"/>
    <n v="65"/>
    <n v="14"/>
    <n v="39"/>
    <n v="109"/>
    <n v="1.211111111111111"/>
    <n v="0.97499999999999998"/>
    <n v="1.5"/>
  </r>
  <r>
    <n v="505"/>
    <x v="16"/>
    <s v="South"/>
    <s v="Small Market"/>
    <s v="Chamomile"/>
    <s v="Herbal Tea"/>
    <s v="New Mexico"/>
    <s v="Decaf"/>
    <n v="10"/>
    <n v="30"/>
    <n v="20"/>
    <n v="40"/>
    <n v="20"/>
    <n v="829"/>
    <n v="29"/>
    <n v="5"/>
    <n v="17"/>
    <n v="49"/>
    <n v="1.2250000000000001"/>
    <n v="0.85"/>
    <n v="2"/>
  </r>
  <r>
    <n v="505"/>
    <x v="16"/>
    <s v="South"/>
    <s v="Small Market"/>
    <s v="Lemon"/>
    <s v="Herbal Tea"/>
    <s v="New Mexico"/>
    <s v="Decaf"/>
    <n v="20"/>
    <n v="40"/>
    <n v="20"/>
    <n v="60"/>
    <n v="31"/>
    <n v="976"/>
    <n v="37"/>
    <n v="9"/>
    <n v="10"/>
    <n v="67"/>
    <n v="1.1166666666666667"/>
    <n v="0.5"/>
    <n v="1.55"/>
  </r>
  <r>
    <n v="505"/>
    <x v="16"/>
    <s v="South"/>
    <s v="Small Market"/>
    <s v="Columbian"/>
    <s v="Coffee"/>
    <s v="New Mexico"/>
    <s v="Regular"/>
    <n v="60"/>
    <n v="100"/>
    <n v="60"/>
    <n v="160"/>
    <n v="52"/>
    <n v="397"/>
    <n v="80"/>
    <n v="17"/>
    <n v="43"/>
    <n v="131"/>
    <n v="0.81874999999999998"/>
    <n v="0.71666666666666667"/>
    <n v="0.8666666666666667"/>
  </r>
  <r>
    <n v="505"/>
    <x v="16"/>
    <s v="South"/>
    <s v="Small Market"/>
    <s v="Decaf Irish Cream"/>
    <s v="Coffee"/>
    <s v="New Mexico"/>
    <s v="Decaf"/>
    <n v="120"/>
    <n v="50"/>
    <n v="10"/>
    <n v="170"/>
    <n v="98"/>
    <n v="973"/>
    <n v="38"/>
    <n v="30"/>
    <n v="-21"/>
    <n v="135"/>
    <n v="0.79411764705882348"/>
    <n v="-2.1"/>
    <n v="0.81666666666666665"/>
  </r>
  <r>
    <n v="505"/>
    <x v="16"/>
    <s v="South"/>
    <s v="Small Market"/>
    <s v="Caffe Latte"/>
    <s v="Espresso"/>
    <s v="New Mexico"/>
    <s v="Regular"/>
    <n v="20"/>
    <n v="40"/>
    <n v="10"/>
    <n v="60"/>
    <n v="34"/>
    <n v="-104"/>
    <n v="42"/>
    <n v="12"/>
    <n v="-6"/>
    <n v="75"/>
    <n v="1.25"/>
    <n v="-0.6"/>
    <n v="1.7"/>
  </r>
  <r>
    <n v="505"/>
    <x v="16"/>
    <s v="South"/>
    <s v="Small Market"/>
    <s v="Caffe Mocha"/>
    <s v="Espresso"/>
    <s v="New Mexico"/>
    <s v="Regular"/>
    <n v="30"/>
    <n v="50"/>
    <n v="0"/>
    <n v="80"/>
    <n v="43"/>
    <n v="282"/>
    <n v="61"/>
    <n v="39"/>
    <n v="-10"/>
    <n v="103"/>
    <n v="1.2875000000000001"/>
    <m/>
    <n v="1.4333333333333333"/>
  </r>
  <r>
    <n v="505"/>
    <x v="16"/>
    <s v="South"/>
    <s v="Small Market"/>
    <s v="Decaf Espresso"/>
    <s v="Espresso"/>
    <s v="New Mexico"/>
    <s v="Decaf"/>
    <n v="30"/>
    <n v="40"/>
    <n v="10"/>
    <n v="70"/>
    <n v="39"/>
    <n v="212"/>
    <n v="53"/>
    <n v="12"/>
    <n v="19"/>
    <n v="91"/>
    <n v="1.3"/>
    <n v="1.9"/>
    <n v="1.3"/>
  </r>
  <r>
    <n v="405"/>
    <x v="16"/>
    <s v="South"/>
    <s v="Small Market"/>
    <s v="Chamomile"/>
    <s v="Herbal Tea"/>
    <s v="Oklahoma"/>
    <s v="Decaf"/>
    <n v="50"/>
    <n v="70"/>
    <n v="20"/>
    <n v="120"/>
    <n v="58"/>
    <n v="338"/>
    <n v="72"/>
    <n v="22"/>
    <n v="23"/>
    <n v="129"/>
    <n v="1.075"/>
    <n v="1.1499999999999999"/>
    <n v="1.1599999999999999"/>
  </r>
  <r>
    <n v="580"/>
    <x v="16"/>
    <s v="South"/>
    <s v="Small Market"/>
    <s v="Lemon"/>
    <s v="Herbal Tea"/>
    <s v="Oklahoma"/>
    <s v="Decaf"/>
    <n v="80"/>
    <n v="130"/>
    <n v="40"/>
    <n v="210"/>
    <n v="92"/>
    <n v="599"/>
    <n v="129"/>
    <n v="83"/>
    <n v="23"/>
    <n v="219"/>
    <n v="1.0428571428571429"/>
    <n v="0.57499999999999996"/>
    <n v="1.1499999999999999"/>
  </r>
  <r>
    <n v="918"/>
    <x v="16"/>
    <s v="South"/>
    <s v="Small Market"/>
    <s v="Columbian"/>
    <s v="Coffee"/>
    <s v="Oklahoma"/>
    <s v="Regular"/>
    <n v="50"/>
    <n v="70"/>
    <n v="50"/>
    <n v="120"/>
    <n v="43"/>
    <n v="602"/>
    <n v="56"/>
    <n v="14"/>
    <n v="41"/>
    <n v="98"/>
    <n v="0.81666666666666665"/>
    <n v="0.82"/>
    <n v="0.86"/>
  </r>
  <r>
    <n v="918"/>
    <x v="16"/>
    <s v="South"/>
    <s v="Small Market"/>
    <s v="Decaf Irish Cream"/>
    <s v="Coffee"/>
    <s v="Oklahoma"/>
    <s v="Decaf"/>
    <n v="30"/>
    <n v="50"/>
    <n v="40"/>
    <n v="80"/>
    <n v="29"/>
    <n v="835"/>
    <n v="42"/>
    <n v="8"/>
    <n v="30"/>
    <n v="70"/>
    <n v="0.875"/>
    <n v="0.75"/>
    <n v="0.96666666666666667"/>
  </r>
  <r>
    <n v="918"/>
    <x v="16"/>
    <s v="South"/>
    <s v="Small Market"/>
    <s v="Caffe Latte"/>
    <s v="Espresso"/>
    <s v="Oklahoma"/>
    <s v="Regular"/>
    <n v="90"/>
    <n v="140"/>
    <n v="100"/>
    <n v="230"/>
    <n v="114"/>
    <n v="-387"/>
    <n v="159"/>
    <n v="35"/>
    <n v="139"/>
    <n v="271"/>
    <n v="1.1782608695652175"/>
    <n v="1.39"/>
    <n v="1.2666666666666666"/>
  </r>
  <r>
    <n v="918"/>
    <x v="16"/>
    <s v="South"/>
    <s v="Small Market"/>
    <s v="Caffe Mocha"/>
    <s v="Espresso"/>
    <s v="Oklahoma"/>
    <s v="Regular"/>
    <n v="10"/>
    <n v="30"/>
    <n v="30"/>
    <n v="40"/>
    <n v="20"/>
    <n v="464"/>
    <n v="29"/>
    <n v="5"/>
    <n v="18"/>
    <n v="49"/>
    <n v="1.2250000000000001"/>
    <n v="0.6"/>
    <n v="2"/>
  </r>
  <r>
    <n v="580"/>
    <x v="16"/>
    <s v="South"/>
    <s v="Small Market"/>
    <s v="Decaf Espresso"/>
    <s v="Espresso"/>
    <s v="Oklahoma"/>
    <s v="Decaf"/>
    <n v="80"/>
    <n v="120"/>
    <n v="80"/>
    <n v="200"/>
    <n v="94"/>
    <n v="697"/>
    <n v="141"/>
    <n v="31"/>
    <n v="109"/>
    <n v="233"/>
    <n v="1.165"/>
    <n v="1.3625"/>
    <n v="1.175"/>
  </r>
  <r>
    <n v="915"/>
    <x v="16"/>
    <s v="South"/>
    <s v="Major Market"/>
    <s v="Chamomile"/>
    <s v="Herbal Tea"/>
    <s v="Texas"/>
    <s v="Decaf"/>
    <n v="40"/>
    <n v="80"/>
    <n v="50"/>
    <n v="120"/>
    <n v="52"/>
    <n v="361"/>
    <n v="71"/>
    <n v="17"/>
    <n v="37"/>
    <n v="122"/>
    <n v="1.0166666666666666"/>
    <n v="0.74"/>
    <n v="1.3"/>
  </r>
  <r>
    <n v="254"/>
    <x v="16"/>
    <s v="South"/>
    <s v="Major Market"/>
    <s v="Lemon"/>
    <s v="Herbal Tea"/>
    <s v="Texas"/>
    <s v="Decaf"/>
    <n v="40"/>
    <n v="60"/>
    <n v="30"/>
    <n v="100"/>
    <n v="42"/>
    <n v="384"/>
    <n v="61"/>
    <n v="13"/>
    <n v="35"/>
    <n v="102"/>
    <n v="1.02"/>
    <n v="1.1666666666666667"/>
    <n v="1.05"/>
  </r>
  <r>
    <n v="817"/>
    <x v="16"/>
    <s v="South"/>
    <s v="Major Market"/>
    <s v="Columbian"/>
    <s v="Coffee"/>
    <s v="Texas"/>
    <s v="Regular"/>
    <n v="290"/>
    <n v="350"/>
    <n v="270"/>
    <n v="640"/>
    <n v="235"/>
    <n v="1060"/>
    <n v="277"/>
    <n v="72"/>
    <n v="253"/>
    <n v="507"/>
    <n v="0.79218750000000004"/>
    <n v="0.937037037037037"/>
    <n v="0.81034482758620685"/>
  </r>
  <r>
    <n v="281"/>
    <x v="16"/>
    <s v="South"/>
    <s v="Major Market"/>
    <s v="Decaf Irish Cream"/>
    <s v="Coffee"/>
    <s v="Texas"/>
    <s v="Decaf"/>
    <n v="100"/>
    <n v="130"/>
    <n v="100"/>
    <n v="230"/>
    <n v="83"/>
    <n v="584"/>
    <n v="107"/>
    <n v="27"/>
    <n v="94"/>
    <n v="188"/>
    <n v="0.81739130434782614"/>
    <n v="0.94"/>
    <n v="0.83"/>
  </r>
  <r>
    <n v="409"/>
    <x v="16"/>
    <s v="South"/>
    <s v="Major Market"/>
    <s v="Caffe Latte"/>
    <s v="Espresso"/>
    <s v="Texas"/>
    <s v="Regular"/>
    <n v="50"/>
    <n v="80"/>
    <n v="50"/>
    <n v="130"/>
    <n v="64"/>
    <n v="-161"/>
    <n v="96"/>
    <n v="21"/>
    <n v="61"/>
    <n v="159"/>
    <n v="1.2230769230769232"/>
    <n v="1.22"/>
    <n v="1.28"/>
  </r>
  <r>
    <n v="830"/>
    <x v="16"/>
    <s v="South"/>
    <s v="Major Market"/>
    <s v="Caffe Mocha"/>
    <s v="Espresso"/>
    <s v="Texas"/>
    <s v="Regular"/>
    <n v="80"/>
    <n v="140"/>
    <n v="120"/>
    <n v="220"/>
    <n v="104"/>
    <n v="821"/>
    <n v="152"/>
    <n v="29"/>
    <n v="155"/>
    <n v="254"/>
    <n v="1.1545454545454545"/>
    <n v="1.2916666666666667"/>
    <n v="1.3"/>
  </r>
  <r>
    <n v="254"/>
    <x v="16"/>
    <s v="South"/>
    <s v="Major Market"/>
    <s v="Decaf Espresso"/>
    <s v="Espresso"/>
    <s v="Texas"/>
    <s v="Decaf"/>
    <n v="70"/>
    <n v="110"/>
    <n v="90"/>
    <n v="180"/>
    <n v="86"/>
    <n v="499"/>
    <n v="124"/>
    <n v="24"/>
    <n v="121"/>
    <n v="208"/>
    <n v="1.1555555555555554"/>
    <n v="1.3444444444444446"/>
    <n v="1.2285714285714286"/>
  </r>
  <r>
    <n v="435"/>
    <x v="16"/>
    <s v="West"/>
    <s v="Small Market"/>
    <s v="Chamomile"/>
    <s v="Herbal Tea"/>
    <s v="Utah"/>
    <s v="Decaf"/>
    <n v="40"/>
    <n v="70"/>
    <n v="40"/>
    <n v="110"/>
    <n v="51"/>
    <n v="265"/>
    <n v="74"/>
    <n v="16"/>
    <n v="47"/>
    <n v="124"/>
    <n v="1.1272727272727272"/>
    <n v="1.175"/>
    <n v="1.2749999999999999"/>
  </r>
  <r>
    <n v="435"/>
    <x v="16"/>
    <s v="West"/>
    <s v="Small Market"/>
    <s v="Lemon"/>
    <s v="Herbal Tea"/>
    <s v="Utah"/>
    <s v="Decaf"/>
    <n v="40"/>
    <n v="70"/>
    <n v="40"/>
    <n v="110"/>
    <n v="52"/>
    <n v="397"/>
    <n v="80"/>
    <n v="17"/>
    <n v="44"/>
    <n v="131"/>
    <n v="1.1909090909090909"/>
    <n v="1.1000000000000001"/>
    <n v="1.3"/>
  </r>
  <r>
    <n v="801"/>
    <x v="16"/>
    <s v="West"/>
    <s v="Small Market"/>
    <s v="Mint"/>
    <s v="Herbal Tea"/>
    <s v="Utah"/>
    <s v="Decaf"/>
    <n v="80"/>
    <n v="30"/>
    <n v="-10"/>
    <n v="110"/>
    <n v="98"/>
    <n v="973"/>
    <n v="38"/>
    <n v="30"/>
    <n v="-21"/>
    <n v="135"/>
    <n v="1.2272727272727273"/>
    <n v="2.1"/>
    <n v="1.2250000000000001"/>
  </r>
  <r>
    <n v="435"/>
    <x v="16"/>
    <s v="West"/>
    <s v="Small Market"/>
    <s v="Darjeeling"/>
    <s v="Tea"/>
    <s v="Utah"/>
    <s v="Regular"/>
    <n v="20"/>
    <n v="50"/>
    <n v="10"/>
    <n v="70"/>
    <n v="43"/>
    <n v="282"/>
    <n v="61"/>
    <n v="39"/>
    <n v="-11"/>
    <n v="103"/>
    <n v="1.4714285714285715"/>
    <n v="-1.1000000000000001"/>
    <n v="2.15"/>
  </r>
  <r>
    <n v="435"/>
    <x v="16"/>
    <s v="West"/>
    <s v="Small Market"/>
    <s v="Earl Grey"/>
    <s v="Tea"/>
    <s v="Utah"/>
    <s v="Regular"/>
    <n v="20"/>
    <n v="40"/>
    <n v="20"/>
    <n v="60"/>
    <n v="39"/>
    <n v="212"/>
    <n v="53"/>
    <n v="12"/>
    <n v="19"/>
    <n v="91"/>
    <n v="1.5166666666666666"/>
    <n v="0.95"/>
    <n v="1.95"/>
  </r>
  <r>
    <n v="801"/>
    <x v="16"/>
    <s v="West"/>
    <s v="Small Market"/>
    <s v="Green Tea"/>
    <s v="Tea"/>
    <s v="Utah"/>
    <s v="Regular"/>
    <n v="20"/>
    <n v="30"/>
    <n v="10"/>
    <n v="50"/>
    <n v="34"/>
    <n v="182"/>
    <n v="42"/>
    <n v="12"/>
    <n v="-4"/>
    <n v="75"/>
    <n v="1.5"/>
    <n v="-0.4"/>
    <n v="1.7"/>
  </r>
  <r>
    <n v="435"/>
    <x v="16"/>
    <s v="West"/>
    <s v="Small Market"/>
    <s v="Caffe Latte"/>
    <s v="Espresso"/>
    <s v="Utah"/>
    <s v="Regular"/>
    <n v="30"/>
    <n v="60"/>
    <n v="50"/>
    <n v="90"/>
    <n v="39"/>
    <n v="799"/>
    <n v="58"/>
    <n v="10"/>
    <n v="50"/>
    <n v="96"/>
    <n v="1.0666666666666667"/>
    <n v="1"/>
    <n v="1.3"/>
  </r>
  <r>
    <n v="435"/>
    <x v="16"/>
    <s v="West"/>
    <s v="Small Market"/>
    <s v="Caffe Mocha"/>
    <s v="Espresso"/>
    <s v="Utah"/>
    <s v="Regular"/>
    <n v="40"/>
    <n v="60"/>
    <n v="40"/>
    <n v="100"/>
    <n v="48"/>
    <n v="599"/>
    <n v="63"/>
    <n v="15"/>
    <n v="50"/>
    <n v="110"/>
    <n v="1.1000000000000001"/>
    <n v="1.25"/>
    <n v="1.2"/>
  </r>
  <r>
    <n v="435"/>
    <x v="16"/>
    <s v="West"/>
    <s v="Small Market"/>
    <s v="Decaf Espresso"/>
    <s v="Espresso"/>
    <s v="Utah"/>
    <s v="Decaf"/>
    <n v="40"/>
    <n v="60"/>
    <n v="40"/>
    <n v="100"/>
    <n v="44"/>
    <n v="844"/>
    <n v="65"/>
    <n v="12"/>
    <n v="58"/>
    <n v="108"/>
    <n v="1.08"/>
    <n v="1.45"/>
    <n v="1.1000000000000001"/>
  </r>
  <r>
    <n v="435"/>
    <x v="16"/>
    <s v="West"/>
    <s v="Small Market"/>
    <s v="Amaretto"/>
    <s v="Coffee"/>
    <s v="Utah"/>
    <s v="Regular"/>
    <n v="80"/>
    <n v="100"/>
    <n v="60"/>
    <n v="180"/>
    <n v="68"/>
    <n v="998"/>
    <n v="80"/>
    <n v="21"/>
    <n v="52"/>
    <n v="147"/>
    <n v="0.81666666666666665"/>
    <n v="0.8666666666666667"/>
    <n v="0.85"/>
  </r>
  <r>
    <n v="435"/>
    <x v="16"/>
    <s v="West"/>
    <s v="Small Market"/>
    <s v="Columbian"/>
    <s v="Coffee"/>
    <s v="Utah"/>
    <s v="Regular"/>
    <n v="60"/>
    <n v="80"/>
    <n v="50"/>
    <n v="140"/>
    <n v="48"/>
    <n v="334"/>
    <n v="65"/>
    <n v="15"/>
    <n v="30"/>
    <n v="112"/>
    <n v="0.8"/>
    <n v="0.6"/>
    <n v="0.8"/>
  </r>
  <r>
    <n v="435"/>
    <x v="16"/>
    <s v="West"/>
    <s v="Small Market"/>
    <s v="Decaf Irish Cream"/>
    <s v="Coffee"/>
    <s v="Utah"/>
    <s v="Decaf"/>
    <n v="90"/>
    <n v="120"/>
    <n v="70"/>
    <n v="210"/>
    <n v="77"/>
    <n v="529"/>
    <n v="96"/>
    <n v="29"/>
    <n v="47"/>
    <n v="171"/>
    <n v="0.81428571428571428"/>
    <n v="0.67142857142857137"/>
    <n v="0.85555555555555551"/>
  </r>
  <r>
    <n v="619"/>
    <x v="16"/>
    <s v="West"/>
    <s v="Major Market"/>
    <s v="Chamomile"/>
    <s v="Herbal Tea"/>
    <s v="California"/>
    <s v="Decaf"/>
    <n v="80"/>
    <n v="140"/>
    <n v="120"/>
    <n v="220"/>
    <n v="104"/>
    <n v="871"/>
    <n v="152"/>
    <n v="29"/>
    <n v="153"/>
    <n v="254"/>
    <n v="1.1545454545454545"/>
    <n v="1.2749999999999999"/>
    <n v="1.3"/>
  </r>
  <r>
    <n v="559"/>
    <x v="16"/>
    <s v="West"/>
    <s v="Major Market"/>
    <s v="Lemon"/>
    <s v="Herbal Tea"/>
    <s v="California"/>
    <s v="Decaf"/>
    <n v="200"/>
    <n v="250"/>
    <n v="180"/>
    <n v="450"/>
    <n v="235"/>
    <n v="1060"/>
    <n v="277"/>
    <n v="72"/>
    <n v="253"/>
    <n v="507"/>
    <n v="1.1266666666666667"/>
    <n v="1.4055555555555554"/>
    <n v="1.175"/>
  </r>
  <r>
    <n v="530"/>
    <x v="16"/>
    <s v="West"/>
    <s v="Major Market"/>
    <s v="Mint"/>
    <s v="Herbal Tea"/>
    <s v="California"/>
    <s v="Decaf"/>
    <n v="70"/>
    <n v="90"/>
    <n v="60"/>
    <n v="160"/>
    <n v="83"/>
    <n v="584"/>
    <n v="107"/>
    <n v="27"/>
    <n v="92"/>
    <n v="188"/>
    <n v="1.175"/>
    <n v="1.5333333333333334"/>
    <n v="1.1857142857142857"/>
  </r>
  <r>
    <n v="530"/>
    <x v="16"/>
    <s v="West"/>
    <s v="Major Market"/>
    <s v="Darjeeling"/>
    <s v="Tea"/>
    <s v="California"/>
    <s v="Regular"/>
    <n v="60"/>
    <n v="110"/>
    <n v="100"/>
    <n v="170"/>
    <n v="104"/>
    <n v="821"/>
    <n v="152"/>
    <n v="29"/>
    <n v="153"/>
    <n v="254"/>
    <n v="1.4941176470588236"/>
    <n v="1.53"/>
    <n v="1.7333333333333334"/>
  </r>
  <r>
    <n v="562"/>
    <x v="16"/>
    <s v="West"/>
    <s v="Major Market"/>
    <s v="Earl Grey"/>
    <s v="Tea"/>
    <s v="California"/>
    <s v="Regular"/>
    <n v="50"/>
    <n v="90"/>
    <n v="80"/>
    <n v="140"/>
    <n v="86"/>
    <n v="499"/>
    <n v="124"/>
    <n v="24"/>
    <n v="123"/>
    <n v="208"/>
    <n v="1.4857142857142858"/>
    <n v="1.5375000000000001"/>
    <n v="1.72"/>
  </r>
  <r>
    <n v="310"/>
    <x v="16"/>
    <s v="West"/>
    <s v="Major Market"/>
    <s v="Green Tea"/>
    <s v="Tea"/>
    <s v="California"/>
    <s v="Regular"/>
    <n v="40"/>
    <n v="60"/>
    <n v="30"/>
    <n v="100"/>
    <n v="64"/>
    <n v="593"/>
    <n v="96"/>
    <n v="21"/>
    <n v="59"/>
    <n v="159"/>
    <n v="1.59"/>
    <n v="1.9666666666666666"/>
    <n v="1.6"/>
  </r>
  <r>
    <n v="650"/>
    <x v="16"/>
    <s v="West"/>
    <s v="Major Market"/>
    <s v="Caffe Latte"/>
    <s v="Espresso"/>
    <s v="California"/>
    <s v="Regular"/>
    <n v="240"/>
    <n v="260"/>
    <n v="180"/>
    <n v="500"/>
    <n v="260"/>
    <n v="1559"/>
    <n v="261"/>
    <n v="72"/>
    <n v="228"/>
    <n v="516"/>
    <n v="1.032"/>
    <n v="1.2666666666666666"/>
    <n v="1.0833333333333333"/>
  </r>
  <r>
    <n v="707"/>
    <x v="16"/>
    <s v="West"/>
    <s v="Major Market"/>
    <s v="Caffe Mocha"/>
    <s v="Espresso"/>
    <s v="California"/>
    <s v="Regular"/>
    <n v="110"/>
    <n v="160"/>
    <n v="30"/>
    <n v="270"/>
    <n v="121"/>
    <n v="788"/>
    <n v="168"/>
    <n v="109"/>
    <n v="35"/>
    <n v="286"/>
    <n v="1.0592592592592593"/>
    <n v="1.1666666666666667"/>
    <n v="1.1000000000000001"/>
  </r>
  <r>
    <n v="310"/>
    <x v="16"/>
    <s v="West"/>
    <s v="Major Market"/>
    <s v="Decaf Espresso"/>
    <s v="Espresso"/>
    <s v="California"/>
    <s v="Decaf"/>
    <n v="250"/>
    <n v="330"/>
    <n v="220"/>
    <n v="580"/>
    <n v="263"/>
    <n v="1433"/>
    <n v="349"/>
    <n v="86"/>
    <n v="317"/>
    <n v="607"/>
    <n v="1.046551724137931"/>
    <n v="1.4409090909090909"/>
    <n v="1.052"/>
  </r>
  <r>
    <n v="805"/>
    <x v="16"/>
    <s v="West"/>
    <s v="Major Market"/>
    <s v="Amaretto"/>
    <s v="Coffee"/>
    <s v="California"/>
    <s v="Regular"/>
    <n v="160"/>
    <n v="-30"/>
    <n v="-80"/>
    <n v="130"/>
    <n v="127"/>
    <n v="1215"/>
    <n v="-21"/>
    <n v="40"/>
    <n v="-116"/>
    <n v="105"/>
    <n v="0.80769230769230771"/>
    <n v="1.45"/>
    <n v="0.79374999999999996"/>
  </r>
  <r>
    <n v="707"/>
    <x v="16"/>
    <s v="West"/>
    <s v="Major Market"/>
    <s v="Columbian"/>
    <s v="Coffee"/>
    <s v="California"/>
    <s v="Regular"/>
    <n v="380"/>
    <n v="560"/>
    <n v="410"/>
    <n v="940"/>
    <n v="302"/>
    <n v="2250"/>
    <n v="454"/>
    <n v="105"/>
    <n v="407"/>
    <n v="749"/>
    <n v="0.79680851063829783"/>
    <n v="0.99268292682926829"/>
    <n v="0.79473684210526319"/>
  </r>
  <r>
    <n v="925"/>
    <x v="16"/>
    <s v="West"/>
    <s v="Major Market"/>
    <s v="Decaf Irish Cream"/>
    <s v="Coffee"/>
    <s v="California"/>
    <s v="Decaf"/>
    <n v="240"/>
    <n v="-40"/>
    <n v="-140"/>
    <n v="200"/>
    <n v="195"/>
    <n v="1952"/>
    <n v="-32"/>
    <n v="64"/>
    <n v="-196"/>
    <n v="162"/>
    <n v="0.81"/>
    <n v="1.4"/>
    <n v="0.8125"/>
  </r>
  <r>
    <n v="775"/>
    <x v="16"/>
    <s v="West"/>
    <s v="Small Market"/>
    <s v="Chamomile"/>
    <s v="Herbal Tea"/>
    <s v="Nevada"/>
    <s v="Decaf"/>
    <n v="100"/>
    <n v="150"/>
    <n v="40"/>
    <n v="250"/>
    <n v="121"/>
    <n v="788"/>
    <n v="168"/>
    <n v="109"/>
    <n v="35"/>
    <n v="286"/>
    <n v="1.1439999999999999"/>
    <n v="0.875"/>
    <n v="1.21"/>
  </r>
  <r>
    <n v="702"/>
    <x v="16"/>
    <s v="West"/>
    <s v="Small Market"/>
    <s v="Lemon"/>
    <s v="Herbal Tea"/>
    <s v="Nevada"/>
    <s v="Decaf"/>
    <n v="160"/>
    <n v="240"/>
    <n v="160"/>
    <n v="400"/>
    <n v="195"/>
    <n v="956"/>
    <n v="270"/>
    <n v="64"/>
    <n v="221"/>
    <n v="461"/>
    <n v="1.1525000000000001"/>
    <n v="1.3812500000000001"/>
    <n v="1.21875"/>
  </r>
  <r>
    <n v="702"/>
    <x v="16"/>
    <s v="West"/>
    <s v="Small Market"/>
    <s v="Mint"/>
    <s v="Herbal Tea"/>
    <s v="Nevada"/>
    <s v="Decaf"/>
    <n v="100"/>
    <n v="170"/>
    <n v="120"/>
    <n v="270"/>
    <n v="127"/>
    <n v="671"/>
    <n v="185"/>
    <n v="40"/>
    <n v="167"/>
    <n v="309"/>
    <n v="1.1444444444444444"/>
    <n v="1.3916666666666666"/>
    <n v="1.27"/>
  </r>
  <r>
    <n v="775"/>
    <x v="16"/>
    <s v="West"/>
    <s v="Small Market"/>
    <s v="Darjeeling"/>
    <s v="Tea"/>
    <s v="Nevada"/>
    <s v="Regular"/>
    <n v="170"/>
    <n v="240"/>
    <n v="170"/>
    <n v="410"/>
    <n v="263"/>
    <n v="1433"/>
    <n v="349"/>
    <n v="86"/>
    <n v="319"/>
    <n v="607"/>
    <n v="1.4804878048780488"/>
    <n v="1.8764705882352941"/>
    <n v="1.5470588235294118"/>
  </r>
  <r>
    <n v="775"/>
    <x v="16"/>
    <s v="West"/>
    <s v="Small Market"/>
    <s v="Earl Grey"/>
    <s v="Tea"/>
    <s v="Nevada"/>
    <s v="Regular"/>
    <n v="170"/>
    <n v="180"/>
    <n v="120"/>
    <n v="350"/>
    <n v="260"/>
    <n v="1559"/>
    <n v="261"/>
    <n v="72"/>
    <n v="226"/>
    <n v="516"/>
    <n v="1.4742857142857142"/>
    <n v="1.8833333333333333"/>
    <n v="1.5294117647058822"/>
  </r>
  <r>
    <n v="702"/>
    <x v="16"/>
    <s v="West"/>
    <s v="Small Market"/>
    <s v="Green Tea"/>
    <s v="Tea"/>
    <s v="Nevada"/>
    <s v="Regular"/>
    <n v="170"/>
    <n v="-170"/>
    <n v="-250"/>
    <n v="0"/>
    <n v="265"/>
    <n v="3742"/>
    <n v="-265"/>
    <n v="100"/>
    <n v="-524"/>
    <n v="18"/>
    <m/>
    <n v="2.0960000000000001"/>
    <n v="1.5588235294117647"/>
  </r>
  <r>
    <n v="775"/>
    <x v="16"/>
    <s v="West"/>
    <s v="Small Market"/>
    <s v="Caffe Latte"/>
    <s v="Espresso"/>
    <s v="Nevada"/>
    <s v="Regular"/>
    <n v="0"/>
    <n v="40"/>
    <n v="30"/>
    <n v="40"/>
    <n v="0"/>
    <n v="645"/>
    <n v="43"/>
    <n v="0"/>
    <n v="43"/>
    <n v="43"/>
    <n v="1.075"/>
    <n v="1.4333333333333333"/>
    <m/>
  </r>
  <r>
    <n v="775"/>
    <x v="16"/>
    <s v="West"/>
    <s v="Small Market"/>
    <s v="Caffe Mocha"/>
    <s v="Espresso"/>
    <s v="Nevada"/>
    <s v="Regular"/>
    <n v="10"/>
    <n v="30"/>
    <n v="20"/>
    <n v="40"/>
    <n v="20"/>
    <n v="829"/>
    <n v="29"/>
    <n v="5"/>
    <n v="18"/>
    <n v="49"/>
    <n v="1.2250000000000001"/>
    <n v="0.9"/>
    <n v="2"/>
  </r>
  <r>
    <n v="702"/>
    <x v="16"/>
    <s v="West"/>
    <s v="Small Market"/>
    <s v="Decaf Espresso"/>
    <s v="Espresso"/>
    <s v="Nevada"/>
    <s v="Decaf"/>
    <n v="10"/>
    <n v="30"/>
    <n v="20"/>
    <n v="40"/>
    <n v="20"/>
    <n v="784"/>
    <n v="29"/>
    <n v="5"/>
    <n v="18"/>
    <n v="49"/>
    <n v="1.2250000000000001"/>
    <n v="0.9"/>
    <n v="2"/>
  </r>
  <r>
    <n v="702"/>
    <x v="16"/>
    <s v="West"/>
    <s v="Small Market"/>
    <s v="Columbian"/>
    <s v="Coffee"/>
    <s v="Nevada"/>
    <s v="Regular"/>
    <n v="40"/>
    <n v="60"/>
    <n v="20"/>
    <n v="100"/>
    <n v="36"/>
    <n v="212"/>
    <n v="45"/>
    <n v="13"/>
    <n v="-1"/>
    <n v="80"/>
    <n v="0.8"/>
    <n v="-0.05"/>
    <n v="0.9"/>
  </r>
  <r>
    <n v="775"/>
    <x v="16"/>
    <s v="West"/>
    <s v="Small Market"/>
    <s v="Decaf Irish Cream"/>
    <s v="Coffee"/>
    <s v="Nevada"/>
    <s v="Decaf"/>
    <n v="30"/>
    <n v="50"/>
    <n v="30"/>
    <n v="80"/>
    <n v="31"/>
    <n v="976"/>
    <n v="37"/>
    <n v="9"/>
    <n v="8"/>
    <n v="67"/>
    <n v="0.83750000000000002"/>
    <n v="0.26666666666666666"/>
    <n v="1.0333333333333334"/>
  </r>
  <r>
    <n v="503"/>
    <x v="16"/>
    <s v="West"/>
    <s v="Small Market"/>
    <s v="Chamomile"/>
    <s v="Herbal Tea"/>
    <s v="Oregon"/>
    <s v="Decaf"/>
    <n v="20"/>
    <n v="40"/>
    <n v="40"/>
    <n v="60"/>
    <n v="30"/>
    <n v="794"/>
    <n v="45"/>
    <n v="8"/>
    <n v="36"/>
    <n v="74"/>
    <n v="1.2333333333333334"/>
    <n v="0.9"/>
    <n v="1.5"/>
  </r>
  <r>
    <n v="541"/>
    <x v="16"/>
    <s v="West"/>
    <s v="Small Market"/>
    <s v="Lemon"/>
    <s v="Herbal Tea"/>
    <s v="Oregon"/>
    <s v="Decaf"/>
    <n v="30"/>
    <n v="50"/>
    <n v="30"/>
    <n v="80"/>
    <n v="43"/>
    <n v="602"/>
    <n v="56"/>
    <n v="14"/>
    <n v="41"/>
    <n v="98"/>
    <n v="1.2250000000000001"/>
    <n v="1.3666666666666667"/>
    <n v="1.4333333333333333"/>
  </r>
  <r>
    <n v="503"/>
    <x v="16"/>
    <s v="West"/>
    <s v="Small Market"/>
    <s v="Darjeeling"/>
    <s v="Tea"/>
    <s v="Oregon"/>
    <s v="Regular"/>
    <n v="10"/>
    <n v="20"/>
    <n v="20"/>
    <n v="30"/>
    <n v="20"/>
    <n v="464"/>
    <n v="29"/>
    <n v="5"/>
    <n v="17"/>
    <n v="49"/>
    <n v="1.6333333333333333"/>
    <n v="0.85"/>
    <n v="2"/>
  </r>
  <r>
    <n v="503"/>
    <x v="16"/>
    <s v="West"/>
    <s v="Small Market"/>
    <s v="Earl Grey"/>
    <s v="Tea"/>
    <s v="Oregon"/>
    <s v="Regular"/>
    <n v="60"/>
    <n v="90"/>
    <n v="50"/>
    <n v="150"/>
    <n v="94"/>
    <n v="697"/>
    <n v="141"/>
    <n v="31"/>
    <n v="109"/>
    <n v="233"/>
    <n v="1.5533333333333332"/>
    <n v="2.1800000000000002"/>
    <n v="1.5666666666666667"/>
  </r>
  <r>
    <n v="541"/>
    <x v="16"/>
    <s v="West"/>
    <s v="Small Market"/>
    <s v="Green Tea"/>
    <s v="Tea"/>
    <s v="Oregon"/>
    <s v="Regular"/>
    <n v="70"/>
    <n v="110"/>
    <n v="70"/>
    <n v="180"/>
    <n v="114"/>
    <n v="555"/>
    <n v="159"/>
    <n v="35"/>
    <n v="139"/>
    <n v="271"/>
    <n v="1.5055555555555555"/>
    <n v="1.9857142857142858"/>
    <n v="1.6285714285714286"/>
  </r>
  <r>
    <n v="541"/>
    <x v="16"/>
    <s v="West"/>
    <s v="Small Market"/>
    <s v="Caffe Latte"/>
    <s v="Espresso"/>
    <s v="Oregon"/>
    <s v="Regular"/>
    <n v="50"/>
    <n v="60"/>
    <n v="20"/>
    <n v="110"/>
    <n v="53"/>
    <n v="361"/>
    <n v="65"/>
    <n v="20"/>
    <n v="15"/>
    <n v="117"/>
    <n v="1.0636363636363637"/>
    <n v="0.75"/>
    <n v="1.06"/>
  </r>
  <r>
    <n v="971"/>
    <x v="16"/>
    <s v="West"/>
    <s v="Small Market"/>
    <s v="Caffe Mocha"/>
    <s v="Espresso"/>
    <s v="Oregon"/>
    <s v="Regular"/>
    <n v="40"/>
    <n v="70"/>
    <n v="40"/>
    <n v="110"/>
    <n v="52"/>
    <n v="361"/>
    <n v="71"/>
    <n v="17"/>
    <n v="37"/>
    <n v="122"/>
    <n v="1.1090909090909091"/>
    <n v="0.92500000000000004"/>
    <n v="1.3"/>
  </r>
  <r>
    <n v="541"/>
    <x v="16"/>
    <s v="West"/>
    <s v="Small Market"/>
    <s v="Decaf Espresso"/>
    <s v="Espresso"/>
    <s v="Oregon"/>
    <s v="Decaf"/>
    <n v="140"/>
    <n v="140"/>
    <n v="90"/>
    <n v="280"/>
    <n v="149"/>
    <n v="1156"/>
    <n v="149"/>
    <n v="41"/>
    <n v="115"/>
    <n v="295"/>
    <n v="1.0535714285714286"/>
    <n v="1.2777777777777777"/>
    <n v="1.0642857142857143"/>
  </r>
  <r>
    <n v="971"/>
    <x v="16"/>
    <s v="West"/>
    <s v="Small Market"/>
    <s v="Amaretto"/>
    <s v="Coffee"/>
    <s v="Oregon"/>
    <s v="Regular"/>
    <n v="60"/>
    <n v="100"/>
    <n v="40"/>
    <n v="160"/>
    <n v="53"/>
    <n v="458"/>
    <n v="75"/>
    <n v="48"/>
    <n v="-3"/>
    <n v="127"/>
    <n v="0.79374999999999996"/>
    <n v="-7.4999999999999997E-2"/>
    <n v="0.8833333333333333"/>
  </r>
  <r>
    <n v="971"/>
    <x v="16"/>
    <s v="West"/>
    <s v="Small Market"/>
    <s v="Columbian"/>
    <s v="Coffee"/>
    <s v="Oregon"/>
    <s v="Regular"/>
    <n v="60"/>
    <n v="80"/>
    <n v="30"/>
    <n v="140"/>
    <n v="48"/>
    <n v="422"/>
    <n v="68"/>
    <n v="15"/>
    <n v="11"/>
    <n v="115"/>
    <n v="0.8214285714285714"/>
    <n v="0.36666666666666664"/>
    <n v="0.8"/>
  </r>
  <r>
    <n v="971"/>
    <x v="16"/>
    <s v="West"/>
    <s v="Small Market"/>
    <s v="Decaf Irish Cream"/>
    <s v="Coffee"/>
    <s v="Oregon"/>
    <s v="Decaf"/>
    <n v="50"/>
    <n v="70"/>
    <n v="40"/>
    <n v="120"/>
    <n v="42"/>
    <n v="384"/>
    <n v="61"/>
    <n v="13"/>
    <n v="35"/>
    <n v="102"/>
    <n v="0.85"/>
    <n v="0.875"/>
    <n v="0.84"/>
  </r>
  <r>
    <n v="509"/>
    <x v="16"/>
    <s v="West"/>
    <s v="Small Market"/>
    <s v="Chamomile"/>
    <s v="Herbal Tea"/>
    <s v="Washington"/>
    <s v="Decaf"/>
    <n v="90"/>
    <n v="150"/>
    <n v="100"/>
    <n v="240"/>
    <n v="110"/>
    <n v="1020"/>
    <n v="165"/>
    <n v="36"/>
    <n v="135"/>
    <n v="273"/>
    <n v="1.1375"/>
    <n v="1.35"/>
    <n v="1.2222222222222223"/>
  </r>
  <r>
    <n v="206"/>
    <x v="16"/>
    <s v="West"/>
    <s v="Small Market"/>
    <s v="Lemon"/>
    <s v="Herbal Tea"/>
    <s v="Washington"/>
    <s v="Decaf"/>
    <n v="30"/>
    <n v="50"/>
    <n v="50"/>
    <n v="80"/>
    <n v="40"/>
    <n v="793"/>
    <n v="59"/>
    <n v="11"/>
    <n v="50"/>
    <n v="98"/>
    <n v="1.2250000000000001"/>
    <n v="1"/>
    <n v="1.3333333333333333"/>
  </r>
  <r>
    <n v="425"/>
    <x v="16"/>
    <s v="West"/>
    <s v="Small Market"/>
    <s v="Darjeeling"/>
    <s v="Tea"/>
    <s v="Washington"/>
    <s v="Regular"/>
    <n v="30"/>
    <n v="50"/>
    <n v="30"/>
    <n v="80"/>
    <n v="48"/>
    <n v="351"/>
    <n v="82"/>
    <n v="14"/>
    <n v="61"/>
    <n v="129"/>
    <n v="1.6125"/>
    <n v="2.0333333333333332"/>
    <n v="1.6"/>
  </r>
  <r>
    <n v="425"/>
    <x v="16"/>
    <s v="West"/>
    <s v="Small Market"/>
    <s v="Earl Grey"/>
    <s v="Tea"/>
    <s v="Washington"/>
    <s v="Regular"/>
    <n v="20"/>
    <n v="50"/>
    <n v="30"/>
    <n v="70"/>
    <n v="45"/>
    <n v="410"/>
    <n v="65"/>
    <n v="14"/>
    <n v="37"/>
    <n v="109"/>
    <n v="1.5571428571428572"/>
    <n v="1.2333333333333334"/>
    <n v="2.25"/>
  </r>
  <r>
    <n v="206"/>
    <x v="16"/>
    <s v="West"/>
    <s v="Small Market"/>
    <s v="Green Tea"/>
    <s v="Tea"/>
    <s v="Washington"/>
    <s v="Regular"/>
    <n v="40"/>
    <n v="60"/>
    <n v="10"/>
    <n v="100"/>
    <n v="64"/>
    <n v="551"/>
    <n v="90"/>
    <n v="58"/>
    <n v="3"/>
    <n v="153"/>
    <n v="1.53"/>
    <n v="0.3"/>
    <n v="1.6"/>
  </r>
  <r>
    <n v="206"/>
    <x v="16"/>
    <s v="West"/>
    <s v="Small Market"/>
    <s v="Caffe Latte"/>
    <s v="Espresso"/>
    <s v="Washington"/>
    <s v="Regular"/>
    <n v="40"/>
    <n v="60"/>
    <n v="40"/>
    <n v="100"/>
    <n v="48"/>
    <n v="599"/>
    <n v="62"/>
    <n v="15"/>
    <n v="47"/>
    <n v="109"/>
    <n v="1.0900000000000001"/>
    <n v="1.175"/>
    <n v="1.2"/>
  </r>
  <r>
    <n v="360"/>
    <x v="16"/>
    <s v="West"/>
    <s v="Small Market"/>
    <s v="Caffe Mocha"/>
    <s v="Espresso"/>
    <s v="Washington"/>
    <s v="Regular"/>
    <n v="50"/>
    <n v="70"/>
    <n v="20"/>
    <n v="120"/>
    <n v="58"/>
    <n v="338"/>
    <n v="72"/>
    <n v="22"/>
    <n v="22"/>
    <n v="129"/>
    <n v="1.075"/>
    <n v="1.1000000000000001"/>
    <n v="1.1599999999999999"/>
  </r>
  <r>
    <n v="206"/>
    <x v="16"/>
    <s v="West"/>
    <s v="Small Market"/>
    <s v="Decaf Espresso"/>
    <s v="Espresso"/>
    <s v="Washington"/>
    <s v="Decaf"/>
    <n v="70"/>
    <n v="90"/>
    <n v="60"/>
    <n v="160"/>
    <n v="78"/>
    <n v="995"/>
    <n v="92"/>
    <n v="24"/>
    <n v="65"/>
    <n v="168"/>
    <n v="1.05"/>
    <n v="1.0833333333333333"/>
    <n v="1.1142857142857143"/>
  </r>
  <r>
    <n v="253"/>
    <x v="16"/>
    <s v="West"/>
    <s v="Small Market"/>
    <s v="Columbian"/>
    <s v="Coffee"/>
    <s v="Washington"/>
    <s v="Regular"/>
    <n v="80"/>
    <n v="130"/>
    <n v="90"/>
    <n v="210"/>
    <n v="71"/>
    <n v="373"/>
    <n v="104"/>
    <n v="22"/>
    <n v="80"/>
    <n v="173"/>
    <n v="0.82380952380952377"/>
    <n v="0.88888888888888884"/>
    <n v="0.88749999999999996"/>
  </r>
  <r>
    <n v="253"/>
    <x v="16"/>
    <s v="West"/>
    <s v="Small Market"/>
    <s v="Decaf Irish Cream"/>
    <s v="Coffee"/>
    <s v="Washington"/>
    <s v="Decaf"/>
    <n v="110"/>
    <n v="160"/>
    <n v="60"/>
    <n v="270"/>
    <n v="92"/>
    <n v="599"/>
    <n v="129"/>
    <n v="83"/>
    <n v="22"/>
    <n v="219"/>
    <n v="0.81111111111111112"/>
    <n v="0.36666666666666664"/>
    <n v="0.83636363636363631"/>
  </r>
  <r>
    <n v="720"/>
    <x v="17"/>
    <s v="Central"/>
    <s v="Major Market"/>
    <s v="Chamomile"/>
    <s v="Herbal Tea"/>
    <s v="Colorado"/>
    <s v="Decaf"/>
    <n v="120"/>
    <n v="140"/>
    <n v="90"/>
    <n v="260"/>
    <n v="149"/>
    <n v="1245"/>
    <n v="149"/>
    <n v="41"/>
    <n v="115"/>
    <n v="295"/>
    <n v="1.1346153846153846"/>
    <n v="1.2777777777777777"/>
    <n v="1.2416666666666667"/>
  </r>
  <r>
    <n v="303"/>
    <x v="17"/>
    <s v="Central"/>
    <s v="Major Market"/>
    <s v="Lemon"/>
    <s v="Herbal Tea"/>
    <s v="Colorado"/>
    <s v="Decaf"/>
    <n v="30"/>
    <n v="60"/>
    <n v="10"/>
    <n v="90"/>
    <n v="44"/>
    <n v="496"/>
    <n v="63"/>
    <n v="40"/>
    <n v="-10"/>
    <n v="106"/>
    <n v="1.1777777777777778"/>
    <n v="-1"/>
    <n v="1.4666666666666666"/>
  </r>
  <r>
    <n v="720"/>
    <x v="17"/>
    <s v="Central"/>
    <s v="Major Market"/>
    <s v="Mint"/>
    <s v="Herbal Tea"/>
    <s v="Colorado"/>
    <s v="Decaf"/>
    <n v="40"/>
    <n v="60"/>
    <n v="30"/>
    <n v="100"/>
    <n v="50"/>
    <n v="397"/>
    <n v="68"/>
    <n v="16"/>
    <n v="33"/>
    <n v="117"/>
    <n v="1.17"/>
    <n v="1.1000000000000001"/>
    <n v="1.25"/>
  </r>
  <r>
    <n v="970"/>
    <x v="17"/>
    <s v="Central"/>
    <s v="Major Market"/>
    <s v="Darjeeling"/>
    <s v="Tea"/>
    <s v="Colorado"/>
    <s v="Regular"/>
    <n v="40"/>
    <n v="60"/>
    <n v="20"/>
    <n v="100"/>
    <n v="51"/>
    <n v="396"/>
    <n v="64"/>
    <n v="19"/>
    <n v="15"/>
    <n v="114"/>
    <n v="1.1399999999999999"/>
    <n v="0.75"/>
    <n v="1.2749999999999999"/>
  </r>
  <r>
    <n v="719"/>
    <x v="17"/>
    <s v="Central"/>
    <s v="Major Market"/>
    <s v="Earl Grey"/>
    <s v="Tea"/>
    <s v="Colorado"/>
    <s v="Regular"/>
    <n v="40"/>
    <n v="60"/>
    <n v="30"/>
    <n v="100"/>
    <n v="53"/>
    <n v="1028"/>
    <n v="64"/>
    <n v="16"/>
    <n v="37"/>
    <n v="116"/>
    <n v="1.1599999999999999"/>
    <n v="1.2333333333333334"/>
    <n v="1.325"/>
  </r>
  <r>
    <n v="970"/>
    <x v="17"/>
    <s v="Central"/>
    <s v="Major Market"/>
    <s v="Green Tea"/>
    <s v="Tea"/>
    <s v="Colorado"/>
    <s v="Regular"/>
    <n v="30"/>
    <n v="50"/>
    <n v="30"/>
    <n v="80"/>
    <n v="43"/>
    <n v="597"/>
    <n v="56"/>
    <n v="14"/>
    <n v="40"/>
    <n v="98"/>
    <n v="1.2250000000000001"/>
    <n v="1.3333333333333333"/>
    <n v="1.4333333333333333"/>
  </r>
  <r>
    <n v="303"/>
    <x v="17"/>
    <s v="Central"/>
    <s v="Major Market"/>
    <s v="Caffe Mocha"/>
    <s v="Espresso"/>
    <s v="Colorado"/>
    <s v="Regular"/>
    <n v="100"/>
    <n v="170"/>
    <n v="140"/>
    <n v="270"/>
    <n v="94"/>
    <n v="562"/>
    <n v="136"/>
    <n v="26"/>
    <n v="137"/>
    <n v="228"/>
    <n v="0.84444444444444444"/>
    <n v="0.97857142857142854"/>
    <n v="0.94"/>
  </r>
  <r>
    <n v="970"/>
    <x v="17"/>
    <s v="Central"/>
    <s v="Major Market"/>
    <s v="Decaf Espresso"/>
    <s v="Espresso"/>
    <s v="Colorado"/>
    <s v="Decaf"/>
    <n v="60"/>
    <n v="90"/>
    <n v="50"/>
    <n v="150"/>
    <n v="54"/>
    <n v="641"/>
    <n v="81"/>
    <n v="17"/>
    <n v="46"/>
    <n v="134"/>
    <n v="0.89333333333333331"/>
    <n v="0.92"/>
    <n v="0.9"/>
  </r>
  <r>
    <n v="719"/>
    <x v="17"/>
    <s v="Central"/>
    <s v="Major Market"/>
    <s v="Amaretto"/>
    <s v="Coffee"/>
    <s v="Colorado"/>
    <s v="Regular"/>
    <n v="110"/>
    <n v="170"/>
    <n v="130"/>
    <n v="280"/>
    <n v="113"/>
    <n v="897"/>
    <n v="163"/>
    <n v="31"/>
    <n v="167"/>
    <n v="274"/>
    <n v="0.97857142857142854"/>
    <n v="1.2846153846153847"/>
    <n v="1.0272727272727273"/>
  </r>
  <r>
    <n v="970"/>
    <x v="17"/>
    <s v="Central"/>
    <s v="Major Market"/>
    <s v="Columbian"/>
    <s v="Coffee"/>
    <s v="Colorado"/>
    <s v="Regular"/>
    <n v="80"/>
    <n v="110"/>
    <n v="80"/>
    <n v="190"/>
    <n v="83"/>
    <n v="574"/>
    <n v="107"/>
    <n v="27"/>
    <n v="94"/>
    <n v="188"/>
    <n v="0.98947368421052628"/>
    <n v="1.175"/>
    <n v="1.0375000000000001"/>
  </r>
  <r>
    <n v="720"/>
    <x v="17"/>
    <s v="Central"/>
    <s v="Major Market"/>
    <s v="Decaf Irish Cream"/>
    <s v="Coffee"/>
    <s v="Colorado"/>
    <s v="Decaf"/>
    <n v="130"/>
    <n v="180"/>
    <n v="140"/>
    <n v="310"/>
    <n v="123"/>
    <n v="947"/>
    <n v="178"/>
    <n v="34"/>
    <n v="182"/>
    <n v="298"/>
    <n v="0.96129032258064517"/>
    <n v="1.3"/>
    <n v="0.94615384615384612"/>
  </r>
  <r>
    <n v="630"/>
    <x v="17"/>
    <s v="Central"/>
    <s v="Major Market"/>
    <s v="Chamomile"/>
    <s v="Herbal Tea"/>
    <s v="Illinois"/>
    <s v="Decaf"/>
    <n v="90"/>
    <n v="150"/>
    <n v="130"/>
    <n v="240"/>
    <n v="113"/>
    <n v="897"/>
    <n v="163"/>
    <n v="31"/>
    <n v="167"/>
    <n v="274"/>
    <n v="1.1416666666666666"/>
    <n v="1.2846153846153847"/>
    <n v="1.2555555555555555"/>
  </r>
  <r>
    <n v="773"/>
    <x v="17"/>
    <s v="Central"/>
    <s v="Major Market"/>
    <s v="Lemon"/>
    <s v="Herbal Tea"/>
    <s v="Illinois"/>
    <s v="Decaf"/>
    <n v="70"/>
    <n v="90"/>
    <n v="60"/>
    <n v="160"/>
    <n v="83"/>
    <n v="574"/>
    <n v="107"/>
    <n v="27"/>
    <n v="92"/>
    <n v="188"/>
    <n v="1.175"/>
    <n v="1.5333333333333334"/>
    <n v="1.1857142857142857"/>
  </r>
  <r>
    <n v="630"/>
    <x v="17"/>
    <s v="Central"/>
    <s v="Major Market"/>
    <s v="Mint"/>
    <s v="Herbal Tea"/>
    <s v="Illinois"/>
    <s v="Decaf"/>
    <n v="100"/>
    <n v="160"/>
    <n v="140"/>
    <n v="260"/>
    <n v="123"/>
    <n v="947"/>
    <n v="178"/>
    <n v="34"/>
    <n v="184"/>
    <n v="298"/>
    <n v="1.1461538461538461"/>
    <n v="1.3142857142857143"/>
    <n v="1.23"/>
  </r>
  <r>
    <n v="618"/>
    <x v="17"/>
    <s v="Central"/>
    <s v="Major Market"/>
    <s v="Darjeeling"/>
    <s v="Tea"/>
    <s v="Illinois"/>
    <s v="Regular"/>
    <n v="80"/>
    <n v="120"/>
    <n v="90"/>
    <n v="200"/>
    <n v="94"/>
    <n v="562"/>
    <n v="136"/>
    <n v="26"/>
    <n v="137"/>
    <n v="228"/>
    <n v="1.1399999999999999"/>
    <n v="1.5222222222222221"/>
    <n v="1.175"/>
  </r>
  <r>
    <n v="309"/>
    <x v="17"/>
    <s v="Central"/>
    <s v="Major Market"/>
    <s v="Earl Grey"/>
    <s v="Tea"/>
    <s v="Illinois"/>
    <s v="Regular"/>
    <n v="40"/>
    <n v="70"/>
    <n v="30"/>
    <n v="110"/>
    <n v="54"/>
    <n v="641"/>
    <n v="81"/>
    <n v="17"/>
    <n v="46"/>
    <n v="134"/>
    <n v="1.2181818181818183"/>
    <n v="1.5333333333333334"/>
    <n v="1.35"/>
  </r>
  <r>
    <n v="773"/>
    <x v="17"/>
    <s v="Central"/>
    <s v="Major Market"/>
    <s v="Caffe Mocha"/>
    <s v="Espresso"/>
    <s v="Illinois"/>
    <s v="Regular"/>
    <n v="310"/>
    <n v="430"/>
    <n v="300"/>
    <n v="740"/>
    <n v="272"/>
    <n v="1616"/>
    <n v="362"/>
    <n v="89"/>
    <n v="333"/>
    <n v="628"/>
    <n v="0.84864864864864864"/>
    <n v="1.1100000000000001"/>
    <n v="0.8774193548387097"/>
  </r>
  <r>
    <n v="309"/>
    <x v="17"/>
    <s v="Central"/>
    <s v="Major Market"/>
    <s v="Decaf Espresso"/>
    <s v="Espresso"/>
    <s v="Illinois"/>
    <s v="Decaf"/>
    <n v="300"/>
    <n v="310"/>
    <n v="210"/>
    <n v="610"/>
    <n v="260"/>
    <n v="1715"/>
    <n v="261"/>
    <n v="72"/>
    <n v="226"/>
    <n v="516"/>
    <n v="0.84590163934426232"/>
    <n v="1.0761904761904761"/>
    <n v="0.8666666666666667"/>
  </r>
  <r>
    <n v="312"/>
    <x v="17"/>
    <s v="Central"/>
    <s v="Major Market"/>
    <s v="Columbian"/>
    <s v="Coffee"/>
    <s v="Illinois"/>
    <s v="Regular"/>
    <n v="210"/>
    <n v="290"/>
    <n v="190"/>
    <n v="500"/>
    <n v="200"/>
    <n v="1095"/>
    <n v="278"/>
    <n v="66"/>
    <n v="230"/>
    <n v="474"/>
    <n v="0.94799999999999995"/>
    <n v="1.2105263157894737"/>
    <n v="0.95238095238095233"/>
  </r>
  <r>
    <n v="815"/>
    <x v="17"/>
    <s v="Central"/>
    <s v="Major Market"/>
    <s v="Decaf Irish Cream"/>
    <s v="Coffee"/>
    <s v="Illinois"/>
    <s v="Decaf"/>
    <n v="140"/>
    <n v="220"/>
    <n v="160"/>
    <n v="360"/>
    <n v="141"/>
    <n v="764"/>
    <n v="204"/>
    <n v="45"/>
    <n v="186"/>
    <n v="342"/>
    <n v="0.95"/>
    <n v="1.1625000000000001"/>
    <n v="1.0071428571428571"/>
  </r>
  <r>
    <n v="563"/>
    <x v="17"/>
    <s v="Central"/>
    <s v="Small Market"/>
    <s v="Chamomile"/>
    <s v="Herbal Tea"/>
    <s v="Iowa"/>
    <s v="Decaf"/>
    <n v="230"/>
    <n v="320"/>
    <n v="230"/>
    <n v="550"/>
    <n v="272"/>
    <n v="1616"/>
    <n v="362"/>
    <n v="89"/>
    <n v="333"/>
    <n v="628"/>
    <n v="1.1418181818181818"/>
    <n v="1.4478260869565218"/>
    <n v="1.182608695652174"/>
  </r>
  <r>
    <n v="712"/>
    <x v="17"/>
    <s v="Central"/>
    <s v="Small Market"/>
    <s v="Lemon"/>
    <s v="Herbal Tea"/>
    <s v="Iowa"/>
    <s v="Decaf"/>
    <n v="120"/>
    <n v="180"/>
    <n v="140"/>
    <n v="300"/>
    <n v="141"/>
    <n v="764"/>
    <n v="204"/>
    <n v="45"/>
    <n v="188"/>
    <n v="342"/>
    <n v="1.1399999999999999"/>
    <n v="1.3428571428571427"/>
    <n v="1.175"/>
  </r>
  <r>
    <n v="563"/>
    <x v="17"/>
    <s v="Central"/>
    <s v="Small Market"/>
    <s v="Darjeeling"/>
    <s v="Tea"/>
    <s v="Iowa"/>
    <s v="Regular"/>
    <n v="220"/>
    <n v="230"/>
    <n v="150"/>
    <n v="450"/>
    <n v="260"/>
    <n v="1715"/>
    <n v="261"/>
    <n v="72"/>
    <n v="226"/>
    <n v="516"/>
    <n v="1.1466666666666667"/>
    <n v="1.5066666666666666"/>
    <n v="1.1818181818181819"/>
  </r>
  <r>
    <n v="515"/>
    <x v="17"/>
    <s v="Central"/>
    <s v="Small Market"/>
    <s v="Earl Grey"/>
    <s v="Tea"/>
    <s v="Iowa"/>
    <s v="Regular"/>
    <n v="230"/>
    <n v="300"/>
    <n v="180"/>
    <n v="530"/>
    <n v="271"/>
    <n v="1714"/>
    <n v="332"/>
    <n v="102"/>
    <n v="272"/>
    <n v="598"/>
    <n v="1.1283018867924528"/>
    <n v="1.5111111111111111"/>
    <n v="1.1782608695652175"/>
  </r>
  <r>
    <n v="563"/>
    <x v="17"/>
    <s v="Central"/>
    <s v="Small Market"/>
    <s v="Caffe Mocha"/>
    <s v="Espresso"/>
    <s v="Iowa"/>
    <s v="Regular"/>
    <n v="20"/>
    <n v="40"/>
    <n v="30"/>
    <n v="60"/>
    <n v="21"/>
    <n v="798"/>
    <n v="32"/>
    <n v="5"/>
    <n v="21"/>
    <n v="53"/>
    <n v="0.8833333333333333"/>
    <n v="0.7"/>
    <n v="1.05"/>
  </r>
  <r>
    <n v="563"/>
    <x v="17"/>
    <s v="Central"/>
    <s v="Small Market"/>
    <s v="Decaf Espresso"/>
    <s v="Espresso"/>
    <s v="Iowa"/>
    <s v="Decaf"/>
    <n v="0"/>
    <n v="50"/>
    <n v="40"/>
    <n v="50"/>
    <n v="0"/>
    <n v="602"/>
    <n v="43"/>
    <n v="0"/>
    <n v="43"/>
    <n v="43"/>
    <n v="0.86"/>
    <n v="1.075"/>
    <m/>
  </r>
  <r>
    <n v="319"/>
    <x v="17"/>
    <s v="Central"/>
    <s v="Small Market"/>
    <s v="Amaretto"/>
    <s v="Coffee"/>
    <s v="Iowa"/>
    <s v="Regular"/>
    <n v="20"/>
    <n v="40"/>
    <n v="30"/>
    <n v="60"/>
    <n v="23"/>
    <n v="843"/>
    <n v="35"/>
    <n v="6"/>
    <n v="25"/>
    <n v="57"/>
    <n v="0.95"/>
    <n v="0.83333333333333337"/>
    <n v="1.1499999999999999"/>
  </r>
  <r>
    <n v="641"/>
    <x v="17"/>
    <s v="Central"/>
    <s v="Small Market"/>
    <s v="Columbian"/>
    <s v="Coffee"/>
    <s v="Iowa"/>
    <s v="Regular"/>
    <n v="30"/>
    <n v="40"/>
    <n v="20"/>
    <n v="70"/>
    <n v="32"/>
    <n v="996"/>
    <n v="38"/>
    <n v="9"/>
    <n v="11"/>
    <n v="69"/>
    <n v="0.98571428571428577"/>
    <n v="0.55000000000000004"/>
    <n v="1.0666666666666667"/>
  </r>
  <r>
    <n v="515"/>
    <x v="17"/>
    <s v="Central"/>
    <s v="Small Market"/>
    <s v="Decaf Irish Cream"/>
    <s v="Coffee"/>
    <s v="Iowa"/>
    <s v="Decaf"/>
    <n v="20"/>
    <n v="30"/>
    <n v="20"/>
    <n v="50"/>
    <n v="22"/>
    <n v="608"/>
    <n v="30"/>
    <n v="7"/>
    <n v="15"/>
    <n v="52"/>
    <n v="1.04"/>
    <n v="0.75"/>
    <n v="1.1000000000000001"/>
  </r>
  <r>
    <n v="816"/>
    <x v="17"/>
    <s v="Central"/>
    <s v="Small Market"/>
    <s v="Chamomile"/>
    <s v="Herbal Tea"/>
    <s v="Missouri"/>
    <s v="Decaf"/>
    <n v="40"/>
    <n v="70"/>
    <n v="20"/>
    <n v="110"/>
    <n v="52"/>
    <n v="313"/>
    <n v="73"/>
    <n v="47"/>
    <n v="-6"/>
    <n v="124"/>
    <n v="1.1272727272727272"/>
    <n v="-0.3"/>
    <n v="1.3"/>
  </r>
  <r>
    <n v="314"/>
    <x v="17"/>
    <s v="Central"/>
    <s v="Small Market"/>
    <s v="Lemon"/>
    <s v="Herbal Tea"/>
    <s v="Missouri"/>
    <s v="Decaf"/>
    <n v="90"/>
    <n v="30"/>
    <n v="0"/>
    <n v="120"/>
    <n v="116"/>
    <n v="1142"/>
    <n v="25"/>
    <n v="35"/>
    <n v="-46"/>
    <n v="140"/>
    <n v="1.1666666666666667"/>
    <m/>
    <n v="1.288888888888889"/>
  </r>
  <r>
    <n v="816"/>
    <x v="17"/>
    <s v="Central"/>
    <s v="Small Market"/>
    <s v="Darjeeling"/>
    <s v="Tea"/>
    <s v="Missouri"/>
    <s v="Regular"/>
    <n v="30"/>
    <n v="50"/>
    <n v="20"/>
    <n v="80"/>
    <n v="41"/>
    <n v="239"/>
    <n v="55"/>
    <n v="13"/>
    <n v="19"/>
    <n v="95"/>
    <n v="1.1875"/>
    <n v="0.95"/>
    <n v="1.3666666666666667"/>
  </r>
  <r>
    <n v="660"/>
    <x v="17"/>
    <s v="Central"/>
    <s v="Small Market"/>
    <s v="Earl Grey"/>
    <s v="Tea"/>
    <s v="Missouri"/>
    <s v="Regular"/>
    <n v="30"/>
    <n v="30"/>
    <n v="-10"/>
    <n v="60"/>
    <n v="35"/>
    <n v="204"/>
    <n v="43"/>
    <n v="13"/>
    <n v="-4"/>
    <n v="77"/>
    <n v="1.2833333333333334"/>
    <n v="0.4"/>
    <n v="1.1666666666666667"/>
  </r>
  <r>
    <n v="816"/>
    <x v="17"/>
    <s v="Central"/>
    <s v="Small Market"/>
    <s v="Green Tea"/>
    <s v="Tea"/>
    <s v="Missouri"/>
    <s v="Regular"/>
    <n v="30"/>
    <n v="40"/>
    <n v="0"/>
    <n v="70"/>
    <n v="36"/>
    <n v="236"/>
    <n v="46"/>
    <n v="13"/>
    <n v="0"/>
    <n v="81"/>
    <n v="1.1571428571428573"/>
    <m/>
    <n v="1.2"/>
  </r>
  <r>
    <n v="314"/>
    <x v="17"/>
    <s v="Central"/>
    <s v="Small Market"/>
    <s v="Caffe Mocha"/>
    <s v="Espresso"/>
    <s v="Missouri"/>
    <s v="Regular"/>
    <n v="40"/>
    <n v="60"/>
    <n v="40"/>
    <n v="100"/>
    <n v="37"/>
    <n v="876"/>
    <n v="55"/>
    <n v="10"/>
    <n v="46"/>
    <n v="91"/>
    <n v="0.91"/>
    <n v="1.1499999999999999"/>
    <n v="0.92500000000000004"/>
  </r>
  <r>
    <n v="636"/>
    <x v="17"/>
    <s v="Central"/>
    <s v="Small Market"/>
    <s v="Decaf Espresso"/>
    <s v="Espresso"/>
    <s v="Missouri"/>
    <s v="Decaf"/>
    <n v="40"/>
    <n v="60"/>
    <n v="40"/>
    <n v="100"/>
    <n v="36"/>
    <n v="828"/>
    <n v="53"/>
    <n v="10"/>
    <n v="43"/>
    <n v="88"/>
    <n v="0.88"/>
    <n v="1.075"/>
    <n v="0.9"/>
  </r>
  <r>
    <n v="573"/>
    <x v="17"/>
    <s v="Central"/>
    <s v="Small Market"/>
    <s v="Columbian"/>
    <s v="Coffee"/>
    <s v="Missouri"/>
    <s v="Regular"/>
    <n v="80"/>
    <n v="90"/>
    <n v="40"/>
    <n v="170"/>
    <n v="76"/>
    <n v="580"/>
    <n v="93"/>
    <n v="28"/>
    <n v="43"/>
    <n v="167"/>
    <n v="0.98235294117647054"/>
    <n v="1.075"/>
    <n v="0.95"/>
  </r>
  <r>
    <n v="660"/>
    <x v="17"/>
    <s v="Central"/>
    <s v="Small Market"/>
    <s v="Decaf Irish Cream"/>
    <s v="Coffee"/>
    <s v="Missouri"/>
    <s v="Decaf"/>
    <n v="60"/>
    <n v="80"/>
    <n v="50"/>
    <n v="140"/>
    <n v="65"/>
    <n v="1042"/>
    <n v="77"/>
    <n v="20"/>
    <n v="48"/>
    <n v="141"/>
    <n v="1.0071428571428571"/>
    <n v="0.96"/>
    <n v="1.0833333333333333"/>
  </r>
  <r>
    <n v="216"/>
    <x v="17"/>
    <s v="Central"/>
    <s v="Major Market"/>
    <s v="Chamomile"/>
    <s v="Herbal Tea"/>
    <s v="Ohio"/>
    <s v="Decaf"/>
    <n v="10"/>
    <n v="20"/>
    <n v="20"/>
    <n v="30"/>
    <n v="18"/>
    <n v="478"/>
    <n v="26"/>
    <n v="5"/>
    <n v="12"/>
    <n v="44"/>
    <n v="1.4666666666666666"/>
    <n v="0.6"/>
    <n v="1.8"/>
  </r>
  <r>
    <n v="513"/>
    <x v="17"/>
    <s v="Central"/>
    <s v="Major Market"/>
    <s v="Lemon"/>
    <s v="Herbal Tea"/>
    <s v="Ohio"/>
    <s v="Decaf"/>
    <n v="20"/>
    <n v="30"/>
    <n v="30"/>
    <n v="50"/>
    <n v="24"/>
    <n v="856"/>
    <n v="36"/>
    <n v="6"/>
    <n v="25"/>
    <n v="59"/>
    <n v="1.18"/>
    <n v="0.83333333333333337"/>
    <n v="1.2"/>
  </r>
  <r>
    <n v="330"/>
    <x v="17"/>
    <s v="Central"/>
    <s v="Major Market"/>
    <s v="Darjeeling"/>
    <s v="Tea"/>
    <s v="Ohio"/>
    <s v="Regular"/>
    <n v="90"/>
    <n v="150"/>
    <n v="90"/>
    <n v="240"/>
    <n v="111"/>
    <n v="767"/>
    <n v="167"/>
    <n v="36"/>
    <n v="137"/>
    <n v="276"/>
    <n v="1.1499999999999999"/>
    <n v="1.5222222222222221"/>
    <n v="1.2333333333333334"/>
  </r>
  <r>
    <n v="567"/>
    <x v="17"/>
    <s v="Central"/>
    <s v="Major Market"/>
    <s v="Earl Grey"/>
    <s v="Tea"/>
    <s v="Ohio"/>
    <s v="Regular"/>
    <n v="100"/>
    <n v="140"/>
    <n v="90"/>
    <n v="240"/>
    <n v="118"/>
    <n v="636"/>
    <n v="164"/>
    <n v="36"/>
    <n v="145"/>
    <n v="279"/>
    <n v="1.1625000000000001"/>
    <n v="1.6111111111111112"/>
    <n v="1.18"/>
  </r>
  <r>
    <n v="440"/>
    <x v="17"/>
    <s v="Central"/>
    <s v="Major Market"/>
    <s v="Caffe Mocha"/>
    <s v="Espresso"/>
    <s v="Ohio"/>
    <s v="Regular"/>
    <n v="170"/>
    <n v="180"/>
    <n v="120"/>
    <n v="350"/>
    <n v="149"/>
    <n v="1245"/>
    <n v="149"/>
    <n v="41"/>
    <n v="115"/>
    <n v="295"/>
    <n v="0.84285714285714286"/>
    <n v="0.95833333333333337"/>
    <n v="0.87647058823529411"/>
  </r>
  <r>
    <n v="740"/>
    <x v="17"/>
    <s v="Central"/>
    <s v="Major Market"/>
    <s v="Decaf Espresso"/>
    <s v="Espresso"/>
    <s v="Ohio"/>
    <s v="Decaf"/>
    <n v="50"/>
    <n v="80"/>
    <n v="30"/>
    <n v="130"/>
    <n v="51"/>
    <n v="396"/>
    <n v="64"/>
    <n v="19"/>
    <n v="17"/>
    <n v="114"/>
    <n v="0.87692307692307692"/>
    <n v="0.56666666666666665"/>
    <n v="1.02"/>
  </r>
  <r>
    <n v="513"/>
    <x v="17"/>
    <s v="Central"/>
    <s v="Major Market"/>
    <s v="Amaretto"/>
    <s v="Coffee"/>
    <s v="Ohio"/>
    <s v="Regular"/>
    <n v="50"/>
    <n v="70"/>
    <n v="40"/>
    <n v="120"/>
    <n v="50"/>
    <n v="397"/>
    <n v="68"/>
    <n v="16"/>
    <n v="33"/>
    <n v="117"/>
    <n v="0.97499999999999998"/>
    <n v="0.82499999999999996"/>
    <n v="1"/>
  </r>
  <r>
    <n v="234"/>
    <x v="17"/>
    <s v="Central"/>
    <s v="Major Market"/>
    <s v="Columbian"/>
    <s v="Coffee"/>
    <s v="Ohio"/>
    <s v="Regular"/>
    <n v="40"/>
    <n v="50"/>
    <n v="20"/>
    <n v="90"/>
    <n v="38"/>
    <n v="414"/>
    <n v="55"/>
    <n v="12"/>
    <n v="26"/>
    <n v="92"/>
    <n v="1.0222222222222221"/>
    <n v="1.3"/>
    <n v="0.95"/>
  </r>
  <r>
    <n v="234"/>
    <x v="17"/>
    <s v="Central"/>
    <s v="Major Market"/>
    <s v="Decaf Irish Cream"/>
    <s v="Coffee"/>
    <s v="Ohio"/>
    <s v="Decaf"/>
    <n v="40"/>
    <n v="70"/>
    <n v="20"/>
    <n v="110"/>
    <n v="44"/>
    <n v="496"/>
    <n v="63"/>
    <n v="40"/>
    <n v="-8"/>
    <n v="106"/>
    <n v="0.96363636363636362"/>
    <n v="-0.4"/>
    <n v="1.1000000000000001"/>
  </r>
  <r>
    <n v="414"/>
    <x v="17"/>
    <s v="Central"/>
    <s v="Small Market"/>
    <s v="Chamomile"/>
    <s v="Herbal Tea"/>
    <s v="Wisconsin"/>
    <s v="Decaf"/>
    <n v="40"/>
    <n v="70"/>
    <n v="50"/>
    <n v="110"/>
    <n v="47"/>
    <n v="371"/>
    <n v="78"/>
    <n v="14"/>
    <n v="55"/>
    <n v="124"/>
    <n v="1.1272727272727272"/>
    <n v="1.1000000000000001"/>
    <n v="1.175"/>
  </r>
  <r>
    <n v="715"/>
    <x v="17"/>
    <s v="Central"/>
    <s v="Small Market"/>
    <s v="Lemon"/>
    <s v="Herbal Tea"/>
    <s v="Wisconsin"/>
    <s v="Decaf"/>
    <n v="50"/>
    <n v="70"/>
    <n v="60"/>
    <n v="120"/>
    <n v="59"/>
    <n v="842"/>
    <n v="85"/>
    <n v="16"/>
    <n v="80"/>
    <n v="143"/>
    <n v="1.1916666666666667"/>
    <n v="1.3333333333333333"/>
    <n v="1.18"/>
  </r>
  <r>
    <n v="262"/>
    <x v="17"/>
    <s v="Central"/>
    <s v="Small Market"/>
    <s v="Darjeeling"/>
    <s v="Tea"/>
    <s v="Wisconsin"/>
    <s v="Regular"/>
    <n v="30"/>
    <n v="50"/>
    <n v="20"/>
    <n v="80"/>
    <n v="40"/>
    <n v="443"/>
    <n v="59"/>
    <n v="12"/>
    <n v="33"/>
    <n v="98"/>
    <n v="1.2250000000000001"/>
    <n v="1.65"/>
    <n v="1.3333333333333333"/>
  </r>
  <r>
    <n v="414"/>
    <x v="17"/>
    <s v="Central"/>
    <s v="Small Market"/>
    <s v="Earl Grey"/>
    <s v="Tea"/>
    <s v="Wisconsin"/>
    <s v="Regular"/>
    <n v="40"/>
    <n v="70"/>
    <n v="10"/>
    <n v="110"/>
    <n v="53"/>
    <n v="597"/>
    <n v="75"/>
    <n v="48"/>
    <n v="-3"/>
    <n v="127"/>
    <n v="1.1545454545454545"/>
    <n v="-0.3"/>
    <n v="1.325"/>
  </r>
  <r>
    <n v="715"/>
    <x v="17"/>
    <s v="Central"/>
    <s v="Small Market"/>
    <s v="Caffe Mocha"/>
    <s v="Espresso"/>
    <s v="Wisconsin"/>
    <s v="Regular"/>
    <n v="90"/>
    <n v="110"/>
    <n v="70"/>
    <n v="200"/>
    <n v="81"/>
    <n v="1046"/>
    <n v="96"/>
    <n v="25"/>
    <n v="69"/>
    <n v="175"/>
    <n v="0.875"/>
    <n v="0.98571428571428577"/>
    <n v="0.9"/>
  </r>
  <r>
    <n v="414"/>
    <x v="17"/>
    <s v="Central"/>
    <s v="Small Market"/>
    <s v="Decaf Espresso"/>
    <s v="Espresso"/>
    <s v="Wisconsin"/>
    <s v="Decaf"/>
    <n v="50"/>
    <n v="70"/>
    <n v="50"/>
    <n v="120"/>
    <n v="48"/>
    <n v="593"/>
    <n v="62"/>
    <n v="15"/>
    <n v="47"/>
    <n v="109"/>
    <n v="0.90833333333333333"/>
    <n v="0.94"/>
    <n v="0.96"/>
  </r>
  <r>
    <n v="715"/>
    <x v="17"/>
    <s v="Central"/>
    <s v="Small Market"/>
    <s v="Amaretto"/>
    <s v="Coffee"/>
    <s v="Wisconsin"/>
    <s v="Regular"/>
    <n v="60"/>
    <n v="70"/>
    <n v="20"/>
    <n v="130"/>
    <n v="59"/>
    <n v="377"/>
    <n v="74"/>
    <n v="22"/>
    <n v="26"/>
    <n v="132"/>
    <n v="1.0153846153846153"/>
    <n v="1.3"/>
    <n v="0.98333333333333328"/>
  </r>
  <r>
    <n v="262"/>
    <x v="17"/>
    <s v="Central"/>
    <s v="Small Market"/>
    <s v="Columbian"/>
    <s v="Coffee"/>
    <s v="Wisconsin"/>
    <s v="Regular"/>
    <n v="110"/>
    <n v="160"/>
    <n v="50"/>
    <n v="270"/>
    <n v="110"/>
    <n v="665"/>
    <n v="154"/>
    <n v="100"/>
    <n v="33"/>
    <n v="262"/>
    <n v="0.97037037037037033"/>
    <n v="0.66"/>
    <n v="1"/>
  </r>
  <r>
    <n v="262"/>
    <x v="17"/>
    <s v="Central"/>
    <s v="Small Market"/>
    <s v="Decaf Irish Cream"/>
    <s v="Coffee"/>
    <s v="Wisconsin"/>
    <s v="Decaf"/>
    <n v="90"/>
    <n v="130"/>
    <n v="90"/>
    <n v="220"/>
    <n v="91"/>
    <n v="533"/>
    <n v="121"/>
    <n v="30"/>
    <n v="87"/>
    <n v="210"/>
    <n v="0.95454545454545459"/>
    <n v="0.96666666666666667"/>
    <n v="1.0111111111111111"/>
  </r>
  <r>
    <n v="475"/>
    <x v="17"/>
    <s v="East"/>
    <s v="Small Market"/>
    <s v="Green Tea"/>
    <s v="Tea"/>
    <s v="Connecticut"/>
    <s v="Regular"/>
    <n v="20"/>
    <n v="30"/>
    <n v="20"/>
    <n v="50"/>
    <n v="20"/>
    <n v="804"/>
    <n v="31"/>
    <n v="5"/>
    <n v="21"/>
    <n v="51"/>
    <n v="1.02"/>
    <n v="1.05"/>
    <n v="1"/>
  </r>
  <r>
    <n v="860"/>
    <x v="17"/>
    <s v="East"/>
    <s v="Small Market"/>
    <s v="Lemon"/>
    <s v="Herbal Tea"/>
    <s v="Connecticut"/>
    <s v="Decaf"/>
    <n v="50"/>
    <n v="80"/>
    <n v="40"/>
    <n v="130"/>
    <n v="76"/>
    <n v="580"/>
    <n v="93"/>
    <n v="28"/>
    <n v="44"/>
    <n v="167"/>
    <n v="1.2846153846153847"/>
    <n v="1.1000000000000001"/>
    <n v="1.52"/>
  </r>
  <r>
    <n v="959"/>
    <x v="17"/>
    <s v="East"/>
    <s v="Small Market"/>
    <s v="Mint"/>
    <s v="Herbal Tea"/>
    <s v="Connecticut"/>
    <s v="Decaf"/>
    <n v="40"/>
    <n v="70"/>
    <n v="50"/>
    <n v="110"/>
    <n v="65"/>
    <n v="1042"/>
    <n v="77"/>
    <n v="20"/>
    <n v="50"/>
    <n v="141"/>
    <n v="1.2818181818181817"/>
    <n v="1"/>
    <n v="1.625"/>
  </r>
  <r>
    <n v="203"/>
    <x v="17"/>
    <s v="East"/>
    <s v="Small Market"/>
    <s v="Darjeeling"/>
    <s v="Tea"/>
    <s v="Connecticut"/>
    <s v="Regular"/>
    <n v="30"/>
    <n v="60"/>
    <n v="40"/>
    <n v="90"/>
    <n v="37"/>
    <n v="876"/>
    <n v="55"/>
    <n v="10"/>
    <n v="46"/>
    <n v="91"/>
    <n v="1.0111111111111111"/>
    <n v="1.1499999999999999"/>
    <n v="1.2333333333333334"/>
  </r>
  <r>
    <n v="959"/>
    <x v="17"/>
    <s v="East"/>
    <s v="Small Market"/>
    <s v="Columbian"/>
    <s v="Coffee"/>
    <s v="Connecticut"/>
    <s v="Regular"/>
    <n v="80"/>
    <n v="140"/>
    <n v="100"/>
    <n v="220"/>
    <n v="92"/>
    <n v="1102"/>
    <n v="140"/>
    <n v="30"/>
    <n v="109"/>
    <n v="230"/>
    <n v="1.0454545454545454"/>
    <n v="1.0900000000000001"/>
    <n v="1.1499999999999999"/>
  </r>
  <r>
    <n v="860"/>
    <x v="17"/>
    <s v="East"/>
    <s v="Small Market"/>
    <s v="Caffe Mocha"/>
    <s v="Espresso"/>
    <s v="Connecticut"/>
    <s v="Regular"/>
    <n v="50"/>
    <n v="70"/>
    <n v="10"/>
    <n v="120"/>
    <n v="53"/>
    <n v="597"/>
    <n v="75"/>
    <n v="48"/>
    <n v="-3"/>
    <n v="127"/>
    <n v="1.0583333333333333"/>
    <n v="-0.3"/>
    <n v="1.06"/>
  </r>
  <r>
    <n v="959"/>
    <x v="17"/>
    <s v="East"/>
    <s v="Small Market"/>
    <s v="Decaf Espresso"/>
    <s v="Espresso"/>
    <s v="Connecticut"/>
    <s v="Decaf"/>
    <n v="40"/>
    <n v="60"/>
    <n v="30"/>
    <n v="100"/>
    <n v="46"/>
    <n v="367"/>
    <n v="62"/>
    <n v="15"/>
    <n v="26"/>
    <n v="107"/>
    <n v="1.07"/>
    <n v="0.8666666666666667"/>
    <n v="1.1499999999999999"/>
  </r>
  <r>
    <n v="239"/>
    <x v="17"/>
    <s v="East"/>
    <s v="Major Market"/>
    <s v="Green Tea"/>
    <s v="Tea"/>
    <s v="Florida"/>
    <s v="Regular"/>
    <n v="60"/>
    <n v="90"/>
    <n v="70"/>
    <n v="150"/>
    <n v="59"/>
    <n v="842"/>
    <n v="85"/>
    <n v="16"/>
    <n v="80"/>
    <n v="143"/>
    <n v="0.95333333333333337"/>
    <n v="1.1428571428571428"/>
    <n v="0.98333333333333328"/>
  </r>
  <r>
    <n v="239"/>
    <x v="17"/>
    <s v="East"/>
    <s v="Major Market"/>
    <s v="Chamomile"/>
    <s v="Herbal Tea"/>
    <s v="Florida"/>
    <s v="Decaf"/>
    <n v="30"/>
    <n v="50"/>
    <n v="30"/>
    <n v="80"/>
    <n v="48"/>
    <n v="593"/>
    <n v="62"/>
    <n v="15"/>
    <n v="48"/>
    <n v="109"/>
    <n v="1.3625"/>
    <n v="1.6"/>
    <n v="1.6"/>
  </r>
  <r>
    <n v="754"/>
    <x v="17"/>
    <s v="East"/>
    <s v="Major Market"/>
    <s v="Lemon"/>
    <s v="Herbal Tea"/>
    <s v="Florida"/>
    <s v="Decaf"/>
    <n v="40"/>
    <n v="60"/>
    <n v="30"/>
    <n v="100"/>
    <n v="59"/>
    <n v="377"/>
    <n v="74"/>
    <n v="22"/>
    <n v="26"/>
    <n v="132"/>
    <n v="1.32"/>
    <n v="0.8666666666666667"/>
    <n v="1.4750000000000001"/>
  </r>
  <r>
    <n v="786"/>
    <x v="17"/>
    <s v="East"/>
    <s v="Major Market"/>
    <s v="Mint"/>
    <s v="Herbal Tea"/>
    <s v="Florida"/>
    <s v="Decaf"/>
    <n v="60"/>
    <n v="70"/>
    <n v="40"/>
    <n v="130"/>
    <n v="81"/>
    <n v="1046"/>
    <n v="96"/>
    <n v="25"/>
    <n v="68"/>
    <n v="175"/>
    <n v="1.3461538461538463"/>
    <n v="1.7"/>
    <n v="1.35"/>
  </r>
  <r>
    <n v="239"/>
    <x v="17"/>
    <s v="East"/>
    <s v="Major Market"/>
    <s v="Darjeeling"/>
    <s v="Tea"/>
    <s v="Florida"/>
    <s v="Regular"/>
    <n v="40"/>
    <n v="70"/>
    <n v="50"/>
    <n v="110"/>
    <n v="43"/>
    <n v="864"/>
    <n v="62"/>
    <n v="12"/>
    <n v="52"/>
    <n v="104"/>
    <n v="0.94545454545454544"/>
    <n v="1.04"/>
    <n v="1.075"/>
  </r>
  <r>
    <n v="941"/>
    <x v="17"/>
    <s v="East"/>
    <s v="Major Market"/>
    <s v="Columbian"/>
    <s v="Coffee"/>
    <s v="Florida"/>
    <s v="Regular"/>
    <n v="100"/>
    <n v="160"/>
    <n v="110"/>
    <n v="260"/>
    <n v="111"/>
    <n v="767"/>
    <n v="167"/>
    <n v="36"/>
    <n v="137"/>
    <n v="276"/>
    <n v="1.0615384615384615"/>
    <n v="1.2454545454545454"/>
    <n v="1.1100000000000001"/>
  </r>
  <r>
    <n v="954"/>
    <x v="17"/>
    <s v="East"/>
    <s v="Major Market"/>
    <s v="Decaf Irish Cream"/>
    <s v="Coffee"/>
    <s v="Florida"/>
    <s v="Decaf"/>
    <n v="110"/>
    <n v="150"/>
    <n v="100"/>
    <n v="260"/>
    <n v="118"/>
    <n v="636"/>
    <n v="164"/>
    <n v="36"/>
    <n v="145"/>
    <n v="279"/>
    <n v="1.073076923076923"/>
    <n v="1.45"/>
    <n v="1.0727272727272728"/>
  </r>
  <r>
    <n v="772"/>
    <x v="17"/>
    <s v="East"/>
    <s v="Major Market"/>
    <s v="Caffe Mocha"/>
    <s v="Espresso"/>
    <s v="Florida"/>
    <s v="Regular"/>
    <n v="100"/>
    <n v="150"/>
    <n v="40"/>
    <n v="250"/>
    <n v="110"/>
    <n v="665"/>
    <n v="154"/>
    <n v="100"/>
    <n v="35"/>
    <n v="262"/>
    <n v="1.048"/>
    <n v="0.875"/>
    <n v="1.1000000000000001"/>
  </r>
  <r>
    <n v="772"/>
    <x v="17"/>
    <s v="East"/>
    <s v="Major Market"/>
    <s v="Decaf Espresso"/>
    <s v="Espresso"/>
    <s v="Florida"/>
    <s v="Decaf"/>
    <n v="80"/>
    <n v="120"/>
    <n v="80"/>
    <n v="200"/>
    <n v="91"/>
    <n v="533"/>
    <n v="121"/>
    <n v="30"/>
    <n v="87"/>
    <n v="210"/>
    <n v="1.05"/>
    <n v="1.0874999999999999"/>
    <n v="1.1375"/>
  </r>
  <r>
    <n v="351"/>
    <x v="17"/>
    <s v="East"/>
    <s v="Major Market"/>
    <s v="Green Tea"/>
    <s v="Tea"/>
    <s v="Massachusetts"/>
    <s v="Regular"/>
    <n v="10"/>
    <n v="30"/>
    <n v="20"/>
    <n v="40"/>
    <n v="18"/>
    <n v="478"/>
    <n v="26"/>
    <n v="5"/>
    <n v="14"/>
    <n v="44"/>
    <n v="1.1000000000000001"/>
    <n v="0.7"/>
    <n v="1.8"/>
  </r>
  <r>
    <n v="781"/>
    <x v="17"/>
    <s v="East"/>
    <s v="Major Market"/>
    <s v="Lemon"/>
    <s v="Herbal Tea"/>
    <s v="Massachusetts"/>
    <s v="Decaf"/>
    <n v="30"/>
    <n v="50"/>
    <n v="20"/>
    <n v="80"/>
    <n v="51"/>
    <n v="396"/>
    <n v="64"/>
    <n v="19"/>
    <n v="17"/>
    <n v="114"/>
    <n v="1.425"/>
    <n v="0.85"/>
    <n v="1.7"/>
  </r>
  <r>
    <n v="857"/>
    <x v="17"/>
    <s v="East"/>
    <s v="Major Market"/>
    <s v="Darjeeling"/>
    <s v="Tea"/>
    <s v="Massachusetts"/>
    <s v="Regular"/>
    <n v="20"/>
    <n v="40"/>
    <n v="30"/>
    <n v="60"/>
    <n v="24"/>
    <n v="856"/>
    <n v="36"/>
    <n v="6"/>
    <n v="26"/>
    <n v="59"/>
    <n v="0.98333333333333328"/>
    <n v="0.8666666666666667"/>
    <n v="1.2"/>
  </r>
  <r>
    <n v="774"/>
    <x v="17"/>
    <s v="East"/>
    <s v="Major Market"/>
    <s v="Columbian"/>
    <s v="Coffee"/>
    <s v="Massachusetts"/>
    <s v="Regular"/>
    <n v="50"/>
    <n v="560"/>
    <n v="530"/>
    <n v="610"/>
    <n v="54"/>
    <n v="-1006"/>
    <n v="595"/>
    <n v="17"/>
    <n v="755"/>
    <n v="643"/>
    <n v="1.0540983606557377"/>
    <n v="1.4245283018867925"/>
    <n v="1.08"/>
  </r>
  <r>
    <n v="781"/>
    <x v="17"/>
    <s v="East"/>
    <s v="Major Market"/>
    <s v="Caffe Mocha"/>
    <s v="Espresso"/>
    <s v="Massachusetts"/>
    <s v="Regular"/>
    <n v="40"/>
    <n v="60"/>
    <n v="10"/>
    <n v="100"/>
    <n v="44"/>
    <n v="543"/>
    <n v="67"/>
    <n v="40"/>
    <n v="-4"/>
    <n v="110"/>
    <n v="1.1000000000000001"/>
    <n v="-0.4"/>
    <n v="1.1000000000000001"/>
  </r>
  <r>
    <n v="413"/>
    <x v="17"/>
    <s v="East"/>
    <s v="Major Market"/>
    <s v="Regular Espresso"/>
    <s v="Espresso"/>
    <s v="Massachusetts"/>
    <s v="Regular"/>
    <n v="140"/>
    <n v="150"/>
    <n v="100"/>
    <n v="290"/>
    <n v="149"/>
    <n v="1245"/>
    <n v="149"/>
    <n v="41"/>
    <n v="115"/>
    <n v="295"/>
    <n v="1.0172413793103448"/>
    <n v="1.1499999999999999"/>
    <n v="1.0642857142857143"/>
  </r>
  <r>
    <n v="603"/>
    <x v="17"/>
    <s v="East"/>
    <s v="Small Market"/>
    <s v="Green Tea"/>
    <s v="Tea"/>
    <s v="New Hampshire"/>
    <s v="Regular"/>
    <n v="0"/>
    <n v="40"/>
    <n v="30"/>
    <n v="40"/>
    <n v="0"/>
    <n v="602"/>
    <n v="43"/>
    <n v="0"/>
    <n v="44"/>
    <n v="43"/>
    <n v="1.075"/>
    <n v="1.4666666666666666"/>
    <m/>
  </r>
  <r>
    <n v="603"/>
    <x v="17"/>
    <s v="East"/>
    <s v="Small Market"/>
    <s v="Lemon"/>
    <s v="Herbal Tea"/>
    <s v="New Hampshire"/>
    <s v="Decaf"/>
    <n v="20"/>
    <n v="40"/>
    <n v="10"/>
    <n v="60"/>
    <n v="36"/>
    <n v="236"/>
    <n v="46"/>
    <n v="13"/>
    <n v="0"/>
    <n v="81"/>
    <n v="1.35"/>
    <n v="0"/>
    <n v="1.8"/>
  </r>
  <r>
    <n v="603"/>
    <x v="17"/>
    <s v="East"/>
    <s v="Small Market"/>
    <s v="Darjeeling"/>
    <s v="Tea"/>
    <s v="New Hampshire"/>
    <s v="Regular"/>
    <n v="20"/>
    <n v="40"/>
    <n v="30"/>
    <n v="60"/>
    <n v="23"/>
    <n v="843"/>
    <n v="35"/>
    <n v="6"/>
    <n v="23"/>
    <n v="57"/>
    <n v="0.95"/>
    <n v="0.76666666666666672"/>
    <n v="1.1499999999999999"/>
  </r>
  <r>
    <n v="603"/>
    <x v="17"/>
    <s v="East"/>
    <s v="Small Market"/>
    <s v="Amaretto"/>
    <s v="Coffee"/>
    <s v="New Hampshire"/>
    <s v="Regular"/>
    <n v="50"/>
    <n v="80"/>
    <n v="50"/>
    <n v="130"/>
    <n v="56"/>
    <n v="302"/>
    <n v="82"/>
    <n v="17"/>
    <n v="57"/>
    <n v="137"/>
    <n v="1.0538461538461539"/>
    <n v="1.1399999999999999"/>
    <n v="1.1200000000000001"/>
  </r>
  <r>
    <n v="603"/>
    <x v="17"/>
    <s v="East"/>
    <s v="Small Market"/>
    <s v="Columbian"/>
    <s v="Coffee"/>
    <s v="New Hampshire"/>
    <s v="Regular"/>
    <n v="50"/>
    <n v="90"/>
    <n v="60"/>
    <n v="140"/>
    <n v="62"/>
    <n v="436"/>
    <n v="94"/>
    <n v="20"/>
    <n v="58"/>
    <n v="155"/>
    <n v="1.1071428571428572"/>
    <n v="0.96666666666666667"/>
    <n v="1.24"/>
  </r>
  <r>
    <n v="603"/>
    <x v="17"/>
    <s v="East"/>
    <s v="Small Market"/>
    <s v="Caffe Mocha"/>
    <s v="Espresso"/>
    <s v="New Hampshire"/>
    <s v="Regular"/>
    <n v="40"/>
    <n v="80"/>
    <n v="20"/>
    <n v="120"/>
    <n v="52"/>
    <n v="313"/>
    <n v="73"/>
    <n v="47"/>
    <n v="-6"/>
    <n v="124"/>
    <n v="1.0333333333333334"/>
    <n v="-0.3"/>
    <n v="1.3"/>
  </r>
  <r>
    <n v="603"/>
    <x v="17"/>
    <s v="East"/>
    <s v="Small Market"/>
    <s v="Regular Espresso"/>
    <s v="Espresso"/>
    <s v="New Hampshire"/>
    <s v="Regular"/>
    <n v="30"/>
    <n v="40"/>
    <n v="0"/>
    <n v="70"/>
    <n v="35"/>
    <n v="204"/>
    <n v="43"/>
    <n v="13"/>
    <n v="-4"/>
    <n v="77"/>
    <n v="1.1000000000000001"/>
    <m/>
    <n v="1.1666666666666667"/>
  </r>
  <r>
    <n v="347"/>
    <x v="17"/>
    <s v="East"/>
    <s v="Major Market"/>
    <s v="Green Tea"/>
    <s v="Tea"/>
    <s v="New York"/>
    <s v="Regular"/>
    <n v="90"/>
    <n v="150"/>
    <n v="120"/>
    <n v="240"/>
    <n v="94"/>
    <n v="562"/>
    <n v="136"/>
    <n v="26"/>
    <n v="137"/>
    <n v="228"/>
    <n v="0.95"/>
    <n v="1.1416666666666666"/>
    <n v="1.0444444444444445"/>
  </r>
  <r>
    <n v="315"/>
    <x v="17"/>
    <s v="East"/>
    <s v="Major Market"/>
    <s v="Lemon"/>
    <s v="Herbal Tea"/>
    <s v="New York"/>
    <s v="Decaf"/>
    <n v="200"/>
    <n v="320"/>
    <n v="220"/>
    <n v="520"/>
    <n v="271"/>
    <n v="1727"/>
    <n v="398"/>
    <n v="102"/>
    <n v="363"/>
    <n v="663"/>
    <n v="1.2749999999999999"/>
    <n v="1.65"/>
    <n v="1.355"/>
  </r>
  <r>
    <n v="914"/>
    <x v="17"/>
    <s v="East"/>
    <s v="Major Market"/>
    <s v="Mint"/>
    <s v="Herbal Tea"/>
    <s v="New York"/>
    <s v="Decaf"/>
    <n v="180"/>
    <n v="-30"/>
    <n v="-100"/>
    <n v="150"/>
    <n v="244"/>
    <n v="2636"/>
    <n v="-46"/>
    <n v="75"/>
    <n v="-197"/>
    <n v="196"/>
    <n v="1.3066666666666666"/>
    <n v="1.97"/>
    <n v="1.3555555555555556"/>
  </r>
  <r>
    <n v="914"/>
    <x v="17"/>
    <s v="East"/>
    <s v="Major Market"/>
    <s v="Darjeeling"/>
    <s v="Tea"/>
    <s v="New York"/>
    <s v="Regular"/>
    <n v="130"/>
    <n v="190"/>
    <n v="150"/>
    <n v="320"/>
    <n v="123"/>
    <n v="947"/>
    <n v="178"/>
    <n v="34"/>
    <n v="184"/>
    <n v="298"/>
    <n v="0.93125000000000002"/>
    <n v="1.2266666666666666"/>
    <n v="0.94615384615384612"/>
  </r>
  <r>
    <n v="347"/>
    <x v="17"/>
    <s v="East"/>
    <s v="Major Market"/>
    <s v="Earl Grey"/>
    <s v="Tea"/>
    <s v="New York"/>
    <s v="Regular"/>
    <n v="110"/>
    <n v="180"/>
    <n v="140"/>
    <n v="290"/>
    <n v="113"/>
    <n v="897"/>
    <n v="163"/>
    <n v="31"/>
    <n v="167"/>
    <n v="274"/>
    <n v="0.94482758620689655"/>
    <n v="1.1928571428571428"/>
    <n v="1.0272727272727273"/>
  </r>
  <r>
    <n v="917"/>
    <x v="17"/>
    <s v="East"/>
    <s v="Major Market"/>
    <s v="Columbian"/>
    <s v="Coffee"/>
    <s v="New York"/>
    <s v="Regular"/>
    <n v="340"/>
    <n v="500"/>
    <n v="350"/>
    <n v="840"/>
    <n v="356"/>
    <n v="2476"/>
    <n v="534"/>
    <n v="124"/>
    <n v="493"/>
    <n v="882"/>
    <n v="1.05"/>
    <n v="1.4085714285714286"/>
    <n v="1.0470588235294118"/>
  </r>
  <r>
    <n v="845"/>
    <x v="17"/>
    <s v="East"/>
    <s v="Major Market"/>
    <s v="Caffe Mocha"/>
    <s v="Espresso"/>
    <s v="New York"/>
    <s v="Regular"/>
    <n v="130"/>
    <n v="-60"/>
    <n v="-210"/>
    <n v="70"/>
    <n v="144"/>
    <n v="1979"/>
    <n v="-72"/>
    <n v="131"/>
    <n v="-326"/>
    <n v="71"/>
    <n v="1.0142857142857142"/>
    <n v="1.5523809523809524"/>
    <n v="1.1076923076923078"/>
  </r>
  <r>
    <n v="718"/>
    <x v="17"/>
    <s v="East"/>
    <s v="Major Market"/>
    <s v="Regular Espresso"/>
    <s v="Espresso"/>
    <s v="New York"/>
    <s v="Regular"/>
    <n v="240"/>
    <n v="420"/>
    <n v="340"/>
    <n v="660"/>
    <n v="260"/>
    <n v="1405"/>
    <n v="415"/>
    <n v="72"/>
    <n v="439"/>
    <n v="669"/>
    <n v="1.0136363636363637"/>
    <n v="1.2911764705882354"/>
    <n v="1.0833333333333333"/>
  </r>
  <r>
    <n v="337"/>
    <x v="17"/>
    <s v="South"/>
    <s v="Small Market"/>
    <s v="Chamomile"/>
    <s v="Herbal Tea"/>
    <s v="Louisiana"/>
    <s v="Decaf"/>
    <n v="40"/>
    <n v="60"/>
    <n v="40"/>
    <n v="100"/>
    <n v="48"/>
    <n v="593"/>
    <n v="63"/>
    <n v="15"/>
    <n v="50"/>
    <n v="110"/>
    <n v="1.1000000000000001"/>
    <n v="1.25"/>
    <n v="1.2"/>
  </r>
  <r>
    <n v="318"/>
    <x v="17"/>
    <s v="South"/>
    <s v="Small Market"/>
    <s v="Lemon"/>
    <s v="Herbal Tea"/>
    <s v="Louisiana"/>
    <s v="Decaf"/>
    <n v="70"/>
    <n v="90"/>
    <n v="40"/>
    <n v="160"/>
    <n v="76"/>
    <n v="580"/>
    <n v="93"/>
    <n v="28"/>
    <n v="44"/>
    <n v="167"/>
    <n v="1.04375"/>
    <n v="1.1000000000000001"/>
    <n v="1.0857142857142856"/>
  </r>
  <r>
    <n v="225"/>
    <x v="17"/>
    <s v="South"/>
    <s v="Small Market"/>
    <s v="Columbian"/>
    <s v="Coffee"/>
    <s v="Louisiana"/>
    <s v="Regular"/>
    <n v="50"/>
    <n v="80"/>
    <n v="60"/>
    <n v="130"/>
    <n v="43"/>
    <n v="822"/>
    <n v="64"/>
    <n v="12"/>
    <n v="55"/>
    <n v="106"/>
    <n v="0.81538461538461537"/>
    <n v="0.91666666666666663"/>
    <n v="0.86"/>
  </r>
  <r>
    <n v="225"/>
    <x v="17"/>
    <s v="South"/>
    <s v="Small Market"/>
    <s v="Decaf Irish Cream"/>
    <s v="Coffee"/>
    <s v="Louisiana"/>
    <s v="Decaf"/>
    <n v="70"/>
    <n v="110"/>
    <n v="90"/>
    <n v="180"/>
    <n v="59"/>
    <n v="842"/>
    <n v="85"/>
    <n v="16"/>
    <n v="80"/>
    <n v="143"/>
    <n v="0.7944444444444444"/>
    <n v="0.88888888888888884"/>
    <n v="0.84285714285714286"/>
  </r>
  <r>
    <n v="225"/>
    <x v="17"/>
    <s v="South"/>
    <s v="Small Market"/>
    <s v="Caffe Latte"/>
    <s v="Espresso"/>
    <s v="Louisiana"/>
    <s v="Regular"/>
    <n v="40"/>
    <n v="70"/>
    <n v="10"/>
    <n v="110"/>
    <n v="53"/>
    <n v="-267"/>
    <n v="75"/>
    <n v="48"/>
    <n v="-4"/>
    <n v="127"/>
    <n v="1.1545454545454545"/>
    <n v="-0.4"/>
    <n v="1.325"/>
  </r>
  <r>
    <n v="337"/>
    <x v="17"/>
    <s v="South"/>
    <s v="Small Market"/>
    <s v="Caffe Mocha"/>
    <s v="Espresso"/>
    <s v="Louisiana"/>
    <s v="Regular"/>
    <n v="40"/>
    <n v="60"/>
    <n v="40"/>
    <n v="100"/>
    <n v="47"/>
    <n v="371"/>
    <n v="78"/>
    <n v="14"/>
    <n v="57"/>
    <n v="124"/>
    <n v="1.24"/>
    <n v="1.425"/>
    <n v="1.175"/>
  </r>
  <r>
    <n v="225"/>
    <x v="17"/>
    <s v="South"/>
    <s v="Small Market"/>
    <s v="Decaf Espresso"/>
    <s v="Espresso"/>
    <s v="Louisiana"/>
    <s v="Decaf"/>
    <n v="30"/>
    <n v="50"/>
    <n v="30"/>
    <n v="80"/>
    <n v="40"/>
    <n v="443"/>
    <n v="59"/>
    <n v="12"/>
    <n v="32"/>
    <n v="98"/>
    <n v="1.2250000000000001"/>
    <n v="1.0666666666666667"/>
    <n v="1.3333333333333333"/>
  </r>
  <r>
    <n v="505"/>
    <x v="17"/>
    <s v="South"/>
    <s v="Small Market"/>
    <s v="Chamomile"/>
    <s v="Herbal Tea"/>
    <s v="New Mexico"/>
    <s v="Decaf"/>
    <n v="20"/>
    <n v="30"/>
    <n v="20"/>
    <n v="50"/>
    <n v="23"/>
    <n v="843"/>
    <n v="35"/>
    <n v="6"/>
    <n v="25"/>
    <n v="57"/>
    <n v="1.1399999999999999"/>
    <n v="1.25"/>
    <n v="1.1499999999999999"/>
  </r>
  <r>
    <n v="505"/>
    <x v="17"/>
    <s v="South"/>
    <s v="Small Market"/>
    <s v="Lemon"/>
    <s v="Herbal Tea"/>
    <s v="New Mexico"/>
    <s v="Decaf"/>
    <n v="30"/>
    <n v="30"/>
    <n v="10"/>
    <n v="60"/>
    <n v="32"/>
    <n v="996"/>
    <n v="38"/>
    <n v="9"/>
    <n v="11"/>
    <n v="69"/>
    <n v="1.1499999999999999"/>
    <n v="1.1000000000000001"/>
    <n v="1.0666666666666667"/>
  </r>
  <r>
    <n v="505"/>
    <x v="17"/>
    <s v="South"/>
    <s v="Small Market"/>
    <s v="Columbian"/>
    <s v="Coffee"/>
    <s v="New Mexico"/>
    <s v="Regular"/>
    <n v="70"/>
    <n v="120"/>
    <n v="80"/>
    <n v="190"/>
    <n v="62"/>
    <n v="436"/>
    <n v="94"/>
    <n v="20"/>
    <n v="59"/>
    <n v="155"/>
    <n v="0.81578947368421051"/>
    <n v="0.73750000000000004"/>
    <n v="0.88571428571428568"/>
  </r>
  <r>
    <n v="505"/>
    <x v="17"/>
    <s v="South"/>
    <s v="Small Market"/>
    <s v="Decaf Irish Cream"/>
    <s v="Coffee"/>
    <s v="New Mexico"/>
    <s v="Decaf"/>
    <n v="140"/>
    <n v="30"/>
    <n v="-20"/>
    <n v="170"/>
    <n v="116"/>
    <n v="1142"/>
    <n v="25"/>
    <n v="35"/>
    <n v="-47"/>
    <n v="140"/>
    <n v="0.82352941176470584"/>
    <n v="2.35"/>
    <n v="0.82857142857142863"/>
  </r>
  <r>
    <n v="505"/>
    <x v="17"/>
    <s v="South"/>
    <s v="Small Market"/>
    <s v="Caffe Latte"/>
    <s v="Espresso"/>
    <s v="New Mexico"/>
    <s v="Regular"/>
    <n v="30"/>
    <n v="30"/>
    <n v="0"/>
    <n v="60"/>
    <n v="35"/>
    <n v="-180"/>
    <n v="43"/>
    <n v="13"/>
    <n v="-4"/>
    <n v="77"/>
    <n v="1.2833333333333334"/>
    <m/>
    <n v="1.1666666666666667"/>
  </r>
  <r>
    <n v="505"/>
    <x v="17"/>
    <s v="South"/>
    <s v="Small Market"/>
    <s v="Caffe Mocha"/>
    <s v="Espresso"/>
    <s v="New Mexico"/>
    <s v="Regular"/>
    <n v="40"/>
    <n v="60"/>
    <n v="0"/>
    <n v="100"/>
    <n v="52"/>
    <n v="313"/>
    <n v="73"/>
    <n v="47"/>
    <n v="-4"/>
    <n v="124"/>
    <n v="1.24"/>
    <m/>
    <n v="1.3"/>
  </r>
  <r>
    <n v="505"/>
    <x v="17"/>
    <s v="South"/>
    <s v="Small Market"/>
    <s v="Decaf Espresso"/>
    <s v="Espresso"/>
    <s v="New Mexico"/>
    <s v="Decaf"/>
    <n v="30"/>
    <n v="50"/>
    <n v="20"/>
    <n v="80"/>
    <n v="41"/>
    <n v="239"/>
    <n v="55"/>
    <n v="13"/>
    <n v="19"/>
    <n v="95"/>
    <n v="1.1875"/>
    <n v="0.95"/>
    <n v="1.3666666666666667"/>
  </r>
  <r>
    <n v="580"/>
    <x v="17"/>
    <s v="South"/>
    <s v="Small Market"/>
    <s v="Chamomile"/>
    <s v="Herbal Tea"/>
    <s v="Oklahoma"/>
    <s v="Decaf"/>
    <n v="50"/>
    <n v="80"/>
    <n v="30"/>
    <n v="130"/>
    <n v="59"/>
    <n v="377"/>
    <n v="74"/>
    <n v="22"/>
    <n v="26"/>
    <n v="132"/>
    <n v="1.0153846153846153"/>
    <n v="0.8666666666666667"/>
    <n v="1.18"/>
  </r>
  <r>
    <n v="918"/>
    <x v="17"/>
    <s v="South"/>
    <s v="Small Market"/>
    <s v="Lemon"/>
    <s v="Herbal Tea"/>
    <s v="Oklahoma"/>
    <s v="Decaf"/>
    <n v="100"/>
    <n v="150"/>
    <n v="40"/>
    <n v="250"/>
    <n v="110"/>
    <n v="665"/>
    <n v="154"/>
    <n v="100"/>
    <n v="35"/>
    <n v="262"/>
    <n v="1.048"/>
    <n v="0.875"/>
    <n v="1.1000000000000001"/>
  </r>
  <r>
    <n v="405"/>
    <x v="17"/>
    <s v="South"/>
    <s v="Small Market"/>
    <s v="Columbian"/>
    <s v="Coffee"/>
    <s v="Oklahoma"/>
    <s v="Regular"/>
    <n v="50"/>
    <n v="70"/>
    <n v="50"/>
    <n v="120"/>
    <n v="43"/>
    <n v="597"/>
    <n v="56"/>
    <n v="14"/>
    <n v="40"/>
    <n v="98"/>
    <n v="0.81666666666666665"/>
    <n v="0.8"/>
    <n v="0.86"/>
  </r>
  <r>
    <n v="918"/>
    <x v="17"/>
    <s v="South"/>
    <s v="Small Market"/>
    <s v="Decaf Irish Cream"/>
    <s v="Coffee"/>
    <s v="Oklahoma"/>
    <s v="Decaf"/>
    <n v="30"/>
    <n v="40"/>
    <n v="30"/>
    <n v="70"/>
    <n v="24"/>
    <n v="856"/>
    <n v="36"/>
    <n v="6"/>
    <n v="26"/>
    <n v="59"/>
    <n v="0.84285714285714286"/>
    <n v="0.8666666666666667"/>
    <n v="0.8"/>
  </r>
  <r>
    <n v="405"/>
    <x v="17"/>
    <s v="South"/>
    <s v="Small Market"/>
    <s v="Caffe Latte"/>
    <s v="Espresso"/>
    <s v="Oklahoma"/>
    <s v="Regular"/>
    <n v="100"/>
    <n v="140"/>
    <n v="100"/>
    <n v="240"/>
    <n v="118"/>
    <n v="-660"/>
    <n v="164"/>
    <n v="36"/>
    <n v="145"/>
    <n v="279"/>
    <n v="1.1625000000000001"/>
    <n v="1.45"/>
    <n v="1.18"/>
  </r>
  <r>
    <n v="918"/>
    <x v="17"/>
    <s v="South"/>
    <s v="Small Market"/>
    <s v="Caffe Mocha"/>
    <s v="Espresso"/>
    <s v="Oklahoma"/>
    <s v="Regular"/>
    <n v="10"/>
    <n v="20"/>
    <n v="20"/>
    <n v="30"/>
    <n v="18"/>
    <n v="478"/>
    <n v="26"/>
    <n v="5"/>
    <n v="14"/>
    <n v="44"/>
    <n v="1.4666666666666666"/>
    <n v="0.7"/>
    <n v="1.8"/>
  </r>
  <r>
    <n v="918"/>
    <x v="17"/>
    <s v="South"/>
    <s v="Small Market"/>
    <s v="Decaf Espresso"/>
    <s v="Espresso"/>
    <s v="Oklahoma"/>
    <s v="Decaf"/>
    <n v="90"/>
    <n v="140"/>
    <n v="90"/>
    <n v="230"/>
    <n v="111"/>
    <n v="767"/>
    <n v="167"/>
    <n v="36"/>
    <n v="137"/>
    <n v="276"/>
    <n v="1.2"/>
    <n v="1.5222222222222221"/>
    <n v="1.2333333333333334"/>
  </r>
  <r>
    <n v="903"/>
    <x v="17"/>
    <s v="South"/>
    <s v="Major Market"/>
    <s v="Chamomile"/>
    <s v="Herbal Tea"/>
    <s v="Texas"/>
    <s v="Decaf"/>
    <n v="40"/>
    <n v="70"/>
    <n v="40"/>
    <n v="110"/>
    <n v="50"/>
    <n v="397"/>
    <n v="68"/>
    <n v="16"/>
    <n v="33"/>
    <n v="117"/>
    <n v="1.0636363636363637"/>
    <n v="0.82499999999999996"/>
    <n v="1.25"/>
  </r>
  <r>
    <n v="979"/>
    <x v="17"/>
    <s v="South"/>
    <s v="Major Market"/>
    <s v="Lemon"/>
    <s v="Herbal Tea"/>
    <s v="Texas"/>
    <s v="Decaf"/>
    <n v="30"/>
    <n v="60"/>
    <n v="30"/>
    <n v="90"/>
    <n v="38"/>
    <n v="414"/>
    <n v="55"/>
    <n v="12"/>
    <n v="28"/>
    <n v="92"/>
    <n v="1.0222222222222221"/>
    <n v="0.93333333333333335"/>
    <n v="1.2666666666666666"/>
  </r>
  <r>
    <n v="469"/>
    <x v="17"/>
    <s v="South"/>
    <s v="Major Market"/>
    <s v="Columbian"/>
    <s v="Coffee"/>
    <s v="Texas"/>
    <s v="Regular"/>
    <n v="300"/>
    <n v="360"/>
    <n v="270"/>
    <n v="660"/>
    <n v="244"/>
    <n v="1213"/>
    <n v="288"/>
    <n v="75"/>
    <n v="265"/>
    <n v="527"/>
    <n v="0.79848484848484846"/>
    <n v="0.98148148148148151"/>
    <n v="0.81333333333333335"/>
  </r>
  <r>
    <n v="430"/>
    <x v="17"/>
    <s v="South"/>
    <s v="Major Market"/>
    <s v="Decaf Irish Cream"/>
    <s v="Coffee"/>
    <s v="Texas"/>
    <s v="Decaf"/>
    <n v="100"/>
    <n v="130"/>
    <n v="100"/>
    <n v="230"/>
    <n v="83"/>
    <n v="574"/>
    <n v="107"/>
    <n v="27"/>
    <n v="94"/>
    <n v="188"/>
    <n v="0.81739130434782614"/>
    <n v="0.94"/>
    <n v="0.83"/>
  </r>
  <r>
    <n v="281"/>
    <x v="17"/>
    <s v="South"/>
    <s v="Major Market"/>
    <s v="Caffe Latte"/>
    <s v="Espresso"/>
    <s v="Texas"/>
    <s v="Regular"/>
    <n v="40"/>
    <n v="70"/>
    <n v="40"/>
    <n v="110"/>
    <n v="54"/>
    <n v="-321"/>
    <n v="81"/>
    <n v="17"/>
    <n v="46"/>
    <n v="134"/>
    <n v="1.2181818181818183"/>
    <n v="1.1499999999999999"/>
    <n v="1.35"/>
  </r>
  <r>
    <n v="432"/>
    <x v="17"/>
    <s v="South"/>
    <s v="Major Market"/>
    <s v="Caffe Mocha"/>
    <s v="Espresso"/>
    <s v="Texas"/>
    <s v="Regular"/>
    <n v="90"/>
    <n v="140"/>
    <n v="120"/>
    <n v="230"/>
    <n v="113"/>
    <n v="897"/>
    <n v="163"/>
    <n v="31"/>
    <n v="166"/>
    <n v="274"/>
    <n v="1.191304347826087"/>
    <n v="1.3833333333333333"/>
    <n v="1.2555555555555555"/>
  </r>
  <r>
    <n v="409"/>
    <x v="17"/>
    <s v="South"/>
    <s v="Major Market"/>
    <s v="Decaf Espresso"/>
    <s v="Espresso"/>
    <s v="Texas"/>
    <s v="Decaf"/>
    <n v="80"/>
    <n v="110"/>
    <n v="90"/>
    <n v="190"/>
    <n v="94"/>
    <n v="562"/>
    <n v="136"/>
    <n v="26"/>
    <n v="137"/>
    <n v="228"/>
    <n v="1.2"/>
    <n v="1.5222222222222221"/>
    <n v="1.175"/>
  </r>
  <r>
    <n v="435"/>
    <x v="17"/>
    <s v="West"/>
    <s v="Small Market"/>
    <s v="Chamomile"/>
    <s v="Herbal Tea"/>
    <s v="Utah"/>
    <s v="Decaf"/>
    <n v="40"/>
    <n v="80"/>
    <n v="50"/>
    <n v="120"/>
    <n v="56"/>
    <n v="302"/>
    <n v="82"/>
    <n v="17"/>
    <n v="58"/>
    <n v="137"/>
    <n v="1.1416666666666666"/>
    <n v="1.1599999999999999"/>
    <n v="1.4"/>
  </r>
  <r>
    <n v="801"/>
    <x v="17"/>
    <s v="West"/>
    <s v="Small Market"/>
    <s v="Lemon"/>
    <s v="Herbal Tea"/>
    <s v="Utah"/>
    <s v="Decaf"/>
    <n v="50"/>
    <n v="80"/>
    <n v="50"/>
    <n v="130"/>
    <n v="62"/>
    <n v="436"/>
    <n v="94"/>
    <n v="20"/>
    <n v="58"/>
    <n v="155"/>
    <n v="1.1923076923076923"/>
    <n v="1.1599999999999999"/>
    <n v="1.24"/>
  </r>
  <r>
    <n v="435"/>
    <x v="17"/>
    <s v="West"/>
    <s v="Small Market"/>
    <s v="Mint"/>
    <s v="Herbal Tea"/>
    <s v="Utah"/>
    <s v="Decaf"/>
    <n v="90"/>
    <n v="30"/>
    <n v="-10"/>
    <n v="120"/>
    <n v="116"/>
    <n v="1142"/>
    <n v="25"/>
    <n v="35"/>
    <n v="-46"/>
    <n v="140"/>
    <n v="1.1666666666666667"/>
    <n v="4.5999999999999996"/>
    <n v="1.288888888888889"/>
  </r>
  <r>
    <n v="435"/>
    <x v="17"/>
    <s v="West"/>
    <s v="Small Market"/>
    <s v="Darjeeling"/>
    <s v="Tea"/>
    <s v="Utah"/>
    <s v="Regular"/>
    <n v="30"/>
    <n v="50"/>
    <n v="0"/>
    <n v="80"/>
    <n v="52"/>
    <n v="313"/>
    <n v="73"/>
    <n v="47"/>
    <n v="-4"/>
    <n v="124"/>
    <n v="1.55"/>
    <m/>
    <n v="1.7333333333333334"/>
  </r>
  <r>
    <n v="435"/>
    <x v="17"/>
    <s v="West"/>
    <s v="Small Market"/>
    <s v="Earl Grey"/>
    <s v="Tea"/>
    <s v="Utah"/>
    <s v="Regular"/>
    <n v="20"/>
    <n v="40"/>
    <n v="20"/>
    <n v="60"/>
    <n v="41"/>
    <n v="239"/>
    <n v="55"/>
    <n v="13"/>
    <n v="19"/>
    <n v="95"/>
    <n v="1.5833333333333333"/>
    <n v="0.95"/>
    <n v="2.0499999999999998"/>
  </r>
  <r>
    <n v="435"/>
    <x v="17"/>
    <s v="West"/>
    <s v="Small Market"/>
    <s v="Green Tea"/>
    <s v="Tea"/>
    <s v="Utah"/>
    <s v="Regular"/>
    <n v="20"/>
    <n v="30"/>
    <n v="10"/>
    <n v="50"/>
    <n v="35"/>
    <n v="204"/>
    <n v="43"/>
    <n v="13"/>
    <n v="-4"/>
    <n v="77"/>
    <n v="1.54"/>
    <n v="-0.4"/>
    <n v="1.75"/>
  </r>
  <r>
    <n v="435"/>
    <x v="17"/>
    <s v="West"/>
    <s v="Small Market"/>
    <s v="Caffe Latte"/>
    <s v="Espresso"/>
    <s v="Utah"/>
    <s v="Regular"/>
    <n v="30"/>
    <n v="50"/>
    <n v="40"/>
    <n v="80"/>
    <n v="36"/>
    <n v="828"/>
    <n v="53"/>
    <n v="10"/>
    <n v="43"/>
    <n v="88"/>
    <n v="1.1000000000000001"/>
    <n v="1.075"/>
    <n v="1.2"/>
  </r>
  <r>
    <n v="801"/>
    <x v="17"/>
    <s v="West"/>
    <s v="Small Market"/>
    <s v="Caffe Mocha"/>
    <s v="Espresso"/>
    <s v="Utah"/>
    <s v="Regular"/>
    <n v="40"/>
    <n v="60"/>
    <n v="40"/>
    <n v="100"/>
    <n v="48"/>
    <n v="593"/>
    <n v="63"/>
    <n v="15"/>
    <n v="48"/>
    <n v="110"/>
    <n v="1.1000000000000001"/>
    <n v="1.2"/>
    <n v="1.2"/>
  </r>
  <r>
    <n v="435"/>
    <x v="17"/>
    <s v="West"/>
    <s v="Small Market"/>
    <s v="Decaf Espresso"/>
    <s v="Espresso"/>
    <s v="Utah"/>
    <s v="Decaf"/>
    <n v="30"/>
    <n v="50"/>
    <n v="40"/>
    <n v="80"/>
    <n v="37"/>
    <n v="876"/>
    <n v="55"/>
    <n v="10"/>
    <n v="47"/>
    <n v="91"/>
    <n v="1.1375"/>
    <n v="1.175"/>
    <n v="1.2333333333333334"/>
  </r>
  <r>
    <n v="435"/>
    <x v="17"/>
    <s v="West"/>
    <s v="Small Market"/>
    <s v="Amaretto"/>
    <s v="Coffee"/>
    <s v="Utah"/>
    <s v="Regular"/>
    <n v="80"/>
    <n v="90"/>
    <n v="60"/>
    <n v="170"/>
    <n v="65"/>
    <n v="1042"/>
    <n v="77"/>
    <n v="20"/>
    <n v="50"/>
    <n v="141"/>
    <n v="0.8294117647058824"/>
    <n v="0.83333333333333337"/>
    <n v="0.8125"/>
  </r>
  <r>
    <n v="435"/>
    <x v="17"/>
    <s v="West"/>
    <s v="Small Market"/>
    <s v="Columbian"/>
    <s v="Coffee"/>
    <s v="Utah"/>
    <s v="Regular"/>
    <n v="50"/>
    <n v="80"/>
    <n v="50"/>
    <n v="130"/>
    <n v="46"/>
    <n v="367"/>
    <n v="62"/>
    <n v="15"/>
    <n v="26"/>
    <n v="107"/>
    <n v="0.82307692307692304"/>
    <n v="0.52"/>
    <n v="0.92"/>
  </r>
  <r>
    <n v="435"/>
    <x v="17"/>
    <s v="West"/>
    <s v="Small Market"/>
    <s v="Decaf Irish Cream"/>
    <s v="Coffee"/>
    <s v="Utah"/>
    <s v="Decaf"/>
    <n v="90"/>
    <n v="120"/>
    <n v="70"/>
    <n v="210"/>
    <n v="76"/>
    <n v="580"/>
    <n v="93"/>
    <n v="28"/>
    <n v="44"/>
    <n v="167"/>
    <n v="0.79523809523809519"/>
    <n v="0.62857142857142856"/>
    <n v="0.84444444444444444"/>
  </r>
  <r>
    <n v="949"/>
    <x v="17"/>
    <s v="West"/>
    <s v="Major Market"/>
    <s v="Chamomile"/>
    <s v="Herbal Tea"/>
    <s v="California"/>
    <s v="Decaf"/>
    <n v="100"/>
    <n v="160"/>
    <n v="140"/>
    <n v="260"/>
    <n v="123"/>
    <n v="947"/>
    <n v="178"/>
    <n v="34"/>
    <n v="184"/>
    <n v="298"/>
    <n v="1.1461538461538461"/>
    <n v="1.3142857142857143"/>
    <n v="1.23"/>
  </r>
  <r>
    <n v="415"/>
    <x v="17"/>
    <s v="West"/>
    <s v="Major Market"/>
    <s v="Lemon"/>
    <s v="Herbal Tea"/>
    <s v="California"/>
    <s v="Decaf"/>
    <n v="200"/>
    <n v="260"/>
    <n v="190"/>
    <n v="460"/>
    <n v="244"/>
    <n v="1213"/>
    <n v="288"/>
    <n v="75"/>
    <n v="265"/>
    <n v="527"/>
    <n v="1.1456521739130434"/>
    <n v="1.3947368421052631"/>
    <n v="1.22"/>
  </r>
  <r>
    <n v="310"/>
    <x v="17"/>
    <s v="West"/>
    <s v="Major Market"/>
    <s v="Mint"/>
    <s v="Herbal Tea"/>
    <s v="California"/>
    <s v="Decaf"/>
    <n v="70"/>
    <n v="90"/>
    <n v="60"/>
    <n v="160"/>
    <n v="83"/>
    <n v="574"/>
    <n v="107"/>
    <n v="27"/>
    <n v="92"/>
    <n v="188"/>
    <n v="1.175"/>
    <n v="1.5333333333333334"/>
    <n v="1.1857142857142857"/>
  </r>
  <r>
    <n v="951"/>
    <x v="17"/>
    <s v="West"/>
    <s v="Major Market"/>
    <s v="Darjeeling"/>
    <s v="Tea"/>
    <s v="California"/>
    <s v="Regular"/>
    <n v="70"/>
    <n v="110"/>
    <n v="90"/>
    <n v="180"/>
    <n v="113"/>
    <n v="897"/>
    <n v="163"/>
    <n v="31"/>
    <n v="166"/>
    <n v="274"/>
    <n v="1.5222222222222221"/>
    <n v="1.8444444444444446"/>
    <n v="1.6142857142857143"/>
  </r>
  <r>
    <n v="925"/>
    <x v="17"/>
    <s v="West"/>
    <s v="Major Market"/>
    <s v="Earl Grey"/>
    <s v="Tea"/>
    <s v="California"/>
    <s v="Regular"/>
    <n v="60"/>
    <n v="90"/>
    <n v="80"/>
    <n v="150"/>
    <n v="94"/>
    <n v="562"/>
    <n v="136"/>
    <n v="26"/>
    <n v="135"/>
    <n v="228"/>
    <n v="1.52"/>
    <n v="1.6875"/>
    <n v="1.5666666666666667"/>
  </r>
  <r>
    <n v="949"/>
    <x v="17"/>
    <s v="West"/>
    <s v="Major Market"/>
    <s v="Green Tea"/>
    <s v="Tea"/>
    <s v="California"/>
    <s v="Regular"/>
    <n v="30"/>
    <n v="60"/>
    <n v="30"/>
    <n v="90"/>
    <n v="54"/>
    <n v="641"/>
    <n v="81"/>
    <n v="17"/>
    <n v="44"/>
    <n v="134"/>
    <n v="1.4888888888888889"/>
    <n v="1.4666666666666666"/>
    <n v="1.8"/>
  </r>
  <r>
    <n v="510"/>
    <x v="17"/>
    <s v="West"/>
    <s v="Major Market"/>
    <s v="Caffe Latte"/>
    <s v="Espresso"/>
    <s v="California"/>
    <s v="Regular"/>
    <n v="240"/>
    <n v="260"/>
    <n v="180"/>
    <n v="500"/>
    <n v="260"/>
    <n v="1715"/>
    <n v="261"/>
    <n v="72"/>
    <n v="228"/>
    <n v="516"/>
    <n v="1.032"/>
    <n v="1.2666666666666666"/>
    <n v="1.0833333333333333"/>
  </r>
  <r>
    <n v="650"/>
    <x v="17"/>
    <s v="West"/>
    <s v="Major Market"/>
    <s v="Caffe Mocha"/>
    <s v="Espresso"/>
    <s v="California"/>
    <s v="Regular"/>
    <n v="130"/>
    <n v="200"/>
    <n v="50"/>
    <n v="330"/>
    <n v="144"/>
    <n v="874"/>
    <n v="201"/>
    <n v="131"/>
    <n v="50"/>
    <n v="342"/>
    <n v="1.0363636363636364"/>
    <n v="1"/>
    <n v="1.1076923076923078"/>
  </r>
  <r>
    <n v="661"/>
    <x v="17"/>
    <s v="West"/>
    <s v="Major Market"/>
    <s v="Decaf Espresso"/>
    <s v="Espresso"/>
    <s v="California"/>
    <s v="Decaf"/>
    <n v="260"/>
    <n v="340"/>
    <n v="230"/>
    <n v="600"/>
    <n v="272"/>
    <n v="1616"/>
    <n v="362"/>
    <n v="89"/>
    <n v="331"/>
    <n v="628"/>
    <n v="1.0466666666666666"/>
    <n v="1.4391304347826086"/>
    <n v="1.0461538461538462"/>
  </r>
  <r>
    <n v="650"/>
    <x v="17"/>
    <s v="West"/>
    <s v="Major Market"/>
    <s v="Amaretto"/>
    <s v="Coffee"/>
    <s v="California"/>
    <s v="Regular"/>
    <n v="170"/>
    <n v="-50"/>
    <n v="-110"/>
    <n v="120"/>
    <n v="141"/>
    <n v="1514"/>
    <n v="-45"/>
    <n v="45"/>
    <n v="-156"/>
    <n v="95"/>
    <n v="0.79166666666666663"/>
    <n v="1.4181818181818182"/>
    <n v="0.8294117647058824"/>
  </r>
  <r>
    <n v="530"/>
    <x v="17"/>
    <s v="West"/>
    <s v="Major Market"/>
    <s v="Columbian"/>
    <s v="Coffee"/>
    <s v="California"/>
    <s v="Regular"/>
    <n v="440"/>
    <n v="670"/>
    <n v="500"/>
    <n v="1110"/>
    <n v="356"/>
    <n v="2476"/>
    <n v="534"/>
    <n v="124"/>
    <n v="493"/>
    <n v="882"/>
    <n v="0.79459459459459458"/>
    <n v="0.98599999999999999"/>
    <n v="0.80909090909090908"/>
  </r>
  <r>
    <n v="925"/>
    <x v="17"/>
    <s v="West"/>
    <s v="Major Market"/>
    <s v="Decaf Irish Cream"/>
    <s v="Coffee"/>
    <s v="California"/>
    <s v="Decaf"/>
    <n v="250"/>
    <n v="-40"/>
    <n v="-140"/>
    <n v="210"/>
    <n v="200"/>
    <n v="2393"/>
    <n v="-31"/>
    <n v="66"/>
    <n v="-196"/>
    <n v="167"/>
    <n v="0.79523809523809519"/>
    <n v="1.4"/>
    <n v="0.8"/>
  </r>
  <r>
    <n v="775"/>
    <x v="17"/>
    <s v="West"/>
    <s v="Small Market"/>
    <s v="Chamomile"/>
    <s v="Herbal Tea"/>
    <s v="Nevada"/>
    <s v="Decaf"/>
    <n v="120"/>
    <n v="180"/>
    <n v="50"/>
    <n v="300"/>
    <n v="144"/>
    <n v="874"/>
    <n v="201"/>
    <n v="131"/>
    <n v="51"/>
    <n v="342"/>
    <n v="1.1399999999999999"/>
    <n v="1.02"/>
    <n v="1.2"/>
  </r>
  <r>
    <n v="702"/>
    <x v="17"/>
    <s v="West"/>
    <s v="Small Market"/>
    <s v="Lemon"/>
    <s v="Herbal Tea"/>
    <s v="Nevada"/>
    <s v="Decaf"/>
    <n v="170"/>
    <n v="250"/>
    <n v="170"/>
    <n v="420"/>
    <n v="200"/>
    <n v="1095"/>
    <n v="278"/>
    <n v="66"/>
    <n v="229"/>
    <n v="474"/>
    <n v="1.1285714285714286"/>
    <n v="1.3470588235294119"/>
    <n v="1.1764705882352942"/>
  </r>
  <r>
    <n v="775"/>
    <x v="17"/>
    <s v="West"/>
    <s v="Small Market"/>
    <s v="Mint"/>
    <s v="Herbal Tea"/>
    <s v="Nevada"/>
    <s v="Decaf"/>
    <n v="120"/>
    <n v="180"/>
    <n v="130"/>
    <n v="300"/>
    <n v="141"/>
    <n v="764"/>
    <n v="204"/>
    <n v="45"/>
    <n v="188"/>
    <n v="342"/>
    <n v="1.1399999999999999"/>
    <n v="1.4461538461538461"/>
    <n v="1.175"/>
  </r>
  <r>
    <n v="702"/>
    <x v="17"/>
    <s v="West"/>
    <s v="Small Market"/>
    <s v="Darjeeling"/>
    <s v="Tea"/>
    <s v="Nevada"/>
    <s v="Regular"/>
    <n v="170"/>
    <n v="260"/>
    <n v="190"/>
    <n v="430"/>
    <n v="272"/>
    <n v="1616"/>
    <n v="362"/>
    <n v="89"/>
    <n v="333"/>
    <n v="628"/>
    <n v="1.4604651162790698"/>
    <n v="1.7526315789473683"/>
    <n v="1.6"/>
  </r>
  <r>
    <n v="775"/>
    <x v="17"/>
    <s v="West"/>
    <s v="Small Market"/>
    <s v="Earl Grey"/>
    <s v="Tea"/>
    <s v="Nevada"/>
    <s v="Regular"/>
    <n v="170"/>
    <n v="180"/>
    <n v="120"/>
    <n v="350"/>
    <n v="260"/>
    <n v="1715"/>
    <n v="261"/>
    <n v="72"/>
    <n v="228"/>
    <n v="516"/>
    <n v="1.4742857142857142"/>
    <n v="1.9"/>
    <n v="1.5294117647058822"/>
  </r>
  <r>
    <n v="775"/>
    <x v="17"/>
    <s v="West"/>
    <s v="Small Market"/>
    <s v="Green Tea"/>
    <s v="Tea"/>
    <s v="Nevada"/>
    <s v="Regular"/>
    <n v="170"/>
    <n v="-170"/>
    <n v="-250"/>
    <n v="0"/>
    <n v="271"/>
    <n v="4507"/>
    <n v="-271"/>
    <n v="102"/>
    <n v="-509"/>
    <n v="37"/>
    <m/>
    <n v="2.036"/>
    <n v="1.5941176470588236"/>
  </r>
  <r>
    <n v="775"/>
    <x v="17"/>
    <s v="West"/>
    <s v="Small Market"/>
    <s v="Caffe Latte"/>
    <s v="Espresso"/>
    <s v="Nevada"/>
    <s v="Regular"/>
    <n v="0"/>
    <n v="40"/>
    <n v="30"/>
    <n v="40"/>
    <n v="0"/>
    <n v="602"/>
    <n v="43"/>
    <n v="0"/>
    <n v="43"/>
    <n v="43"/>
    <n v="1.075"/>
    <n v="1.4333333333333333"/>
    <m/>
  </r>
  <r>
    <n v="702"/>
    <x v="17"/>
    <s v="West"/>
    <s v="Small Market"/>
    <s v="Caffe Mocha"/>
    <s v="Espresso"/>
    <s v="Nevada"/>
    <s v="Regular"/>
    <n v="20"/>
    <n v="30"/>
    <n v="20"/>
    <n v="50"/>
    <n v="23"/>
    <n v="843"/>
    <n v="35"/>
    <n v="6"/>
    <n v="25"/>
    <n v="57"/>
    <n v="1.1399999999999999"/>
    <n v="1.25"/>
    <n v="1.1499999999999999"/>
  </r>
  <r>
    <n v="775"/>
    <x v="17"/>
    <s v="West"/>
    <s v="Small Market"/>
    <s v="Decaf Espresso"/>
    <s v="Espresso"/>
    <s v="Nevada"/>
    <s v="Decaf"/>
    <n v="20"/>
    <n v="30"/>
    <n v="20"/>
    <n v="50"/>
    <n v="21"/>
    <n v="798"/>
    <n v="32"/>
    <n v="5"/>
    <n v="21"/>
    <n v="53"/>
    <n v="1.06"/>
    <n v="1.05"/>
    <n v="1.05"/>
  </r>
  <r>
    <n v="702"/>
    <x v="17"/>
    <s v="West"/>
    <s v="Small Market"/>
    <s v="Columbian"/>
    <s v="Coffee"/>
    <s v="Nevada"/>
    <s v="Regular"/>
    <n v="40"/>
    <n v="60"/>
    <n v="20"/>
    <n v="100"/>
    <n v="36"/>
    <n v="236"/>
    <n v="46"/>
    <n v="13"/>
    <n v="0"/>
    <n v="81"/>
    <n v="0.81"/>
    <n v="0"/>
    <n v="0.9"/>
  </r>
  <r>
    <n v="702"/>
    <x v="17"/>
    <s v="West"/>
    <s v="Small Market"/>
    <s v="Decaf Irish Cream"/>
    <s v="Coffee"/>
    <s v="Nevada"/>
    <s v="Decaf"/>
    <n v="40"/>
    <n v="40"/>
    <n v="20"/>
    <n v="80"/>
    <n v="32"/>
    <n v="996"/>
    <n v="38"/>
    <n v="9"/>
    <n v="11"/>
    <n v="69"/>
    <n v="0.86250000000000004"/>
    <n v="0.55000000000000004"/>
    <n v="0.8"/>
  </r>
  <r>
    <n v="541"/>
    <x v="17"/>
    <s v="West"/>
    <s v="Small Market"/>
    <s v="Chamomile"/>
    <s v="Herbal Tea"/>
    <s v="Oregon"/>
    <s v="Decaf"/>
    <n v="20"/>
    <n v="40"/>
    <n v="40"/>
    <n v="60"/>
    <n v="28"/>
    <n v="816"/>
    <n v="41"/>
    <n v="7"/>
    <n v="30"/>
    <n v="68"/>
    <n v="1.1333333333333333"/>
    <n v="0.75"/>
    <n v="1.4"/>
  </r>
  <r>
    <n v="503"/>
    <x v="17"/>
    <s v="West"/>
    <s v="Small Market"/>
    <s v="Lemon"/>
    <s v="Herbal Tea"/>
    <s v="Oregon"/>
    <s v="Decaf"/>
    <n v="30"/>
    <n v="50"/>
    <n v="30"/>
    <n v="80"/>
    <n v="43"/>
    <n v="597"/>
    <n v="56"/>
    <n v="14"/>
    <n v="41"/>
    <n v="98"/>
    <n v="1.2250000000000001"/>
    <n v="1.3666666666666667"/>
    <n v="1.4333333333333333"/>
  </r>
  <r>
    <n v="971"/>
    <x v="17"/>
    <s v="West"/>
    <s v="Small Market"/>
    <s v="Darjeeling"/>
    <s v="Tea"/>
    <s v="Oregon"/>
    <s v="Regular"/>
    <n v="10"/>
    <n v="10"/>
    <n v="10"/>
    <n v="20"/>
    <n v="18"/>
    <n v="478"/>
    <n v="26"/>
    <n v="5"/>
    <n v="12"/>
    <n v="44"/>
    <n v="2.2000000000000002"/>
    <n v="1.2"/>
    <n v="1.8"/>
  </r>
  <r>
    <n v="503"/>
    <x v="17"/>
    <s v="West"/>
    <s v="Small Market"/>
    <s v="Earl Grey"/>
    <s v="Tea"/>
    <s v="Oregon"/>
    <s v="Regular"/>
    <n v="70"/>
    <n v="110"/>
    <n v="70"/>
    <n v="180"/>
    <n v="111"/>
    <n v="767"/>
    <n v="167"/>
    <n v="36"/>
    <n v="138"/>
    <n v="276"/>
    <n v="1.5333333333333334"/>
    <n v="1.9714285714285715"/>
    <n v="1.5857142857142856"/>
  </r>
  <r>
    <n v="503"/>
    <x v="17"/>
    <s v="West"/>
    <s v="Small Market"/>
    <s v="Green Tea"/>
    <s v="Tea"/>
    <s v="Oregon"/>
    <s v="Regular"/>
    <n v="70"/>
    <n v="120"/>
    <n v="80"/>
    <n v="190"/>
    <n v="118"/>
    <n v="636"/>
    <n v="164"/>
    <n v="36"/>
    <n v="145"/>
    <n v="279"/>
    <n v="1.4684210526315788"/>
    <n v="1.8125"/>
    <n v="1.6857142857142857"/>
  </r>
  <r>
    <n v="971"/>
    <x v="17"/>
    <s v="West"/>
    <s v="Small Market"/>
    <s v="Caffe Latte"/>
    <s v="Espresso"/>
    <s v="Oregon"/>
    <s v="Regular"/>
    <n v="40"/>
    <n v="70"/>
    <n v="30"/>
    <n v="110"/>
    <n v="51"/>
    <n v="396"/>
    <n v="64"/>
    <n v="19"/>
    <n v="15"/>
    <n v="114"/>
    <n v="1.0363636363636364"/>
    <n v="0.5"/>
    <n v="1.2749999999999999"/>
  </r>
  <r>
    <n v="541"/>
    <x v="17"/>
    <s v="West"/>
    <s v="Small Market"/>
    <s v="Caffe Mocha"/>
    <s v="Espresso"/>
    <s v="Oregon"/>
    <s v="Regular"/>
    <n v="40"/>
    <n v="70"/>
    <n v="40"/>
    <n v="110"/>
    <n v="50"/>
    <n v="397"/>
    <n v="68"/>
    <n v="16"/>
    <n v="33"/>
    <n v="117"/>
    <n v="1.0636363636363637"/>
    <n v="0.82499999999999996"/>
    <n v="1.25"/>
  </r>
  <r>
    <n v="503"/>
    <x v="17"/>
    <s v="West"/>
    <s v="Small Market"/>
    <s v="Decaf Espresso"/>
    <s v="Espresso"/>
    <s v="Oregon"/>
    <s v="Decaf"/>
    <n v="140"/>
    <n v="140"/>
    <n v="90"/>
    <n v="280"/>
    <n v="149"/>
    <n v="1245"/>
    <n v="149"/>
    <n v="41"/>
    <n v="115"/>
    <n v="295"/>
    <n v="1.0535714285714286"/>
    <n v="1.2777777777777777"/>
    <n v="1.0642857142857143"/>
  </r>
  <r>
    <n v="503"/>
    <x v="17"/>
    <s v="West"/>
    <s v="Small Market"/>
    <s v="Amaretto"/>
    <s v="Coffee"/>
    <s v="Oregon"/>
    <s v="Regular"/>
    <n v="50"/>
    <n v="80"/>
    <n v="30"/>
    <n v="130"/>
    <n v="44"/>
    <n v="496"/>
    <n v="63"/>
    <n v="40"/>
    <n v="-8"/>
    <n v="106"/>
    <n v="0.81538461538461537"/>
    <n v="-0.26666666666666666"/>
    <n v="0.88"/>
  </r>
  <r>
    <n v="503"/>
    <x v="17"/>
    <s v="West"/>
    <s v="Small Market"/>
    <s v="Columbian"/>
    <s v="Coffee"/>
    <s v="Oregon"/>
    <s v="Regular"/>
    <n v="50"/>
    <n v="90"/>
    <n v="40"/>
    <n v="140"/>
    <n v="47"/>
    <n v="456"/>
    <n v="65"/>
    <n v="15"/>
    <n v="6"/>
    <n v="111"/>
    <n v="0.79285714285714282"/>
    <n v="0.15"/>
    <n v="0.94"/>
  </r>
  <r>
    <n v="503"/>
    <x v="17"/>
    <s v="West"/>
    <s v="Small Market"/>
    <s v="Decaf Irish Cream"/>
    <s v="Coffee"/>
    <s v="Oregon"/>
    <s v="Decaf"/>
    <n v="40"/>
    <n v="70"/>
    <n v="40"/>
    <n v="110"/>
    <n v="38"/>
    <n v="414"/>
    <n v="55"/>
    <n v="12"/>
    <n v="28"/>
    <n v="92"/>
    <n v="0.83636363636363631"/>
    <n v="0.7"/>
    <n v="0.95"/>
  </r>
  <r>
    <n v="253"/>
    <x v="17"/>
    <s v="West"/>
    <s v="Small Market"/>
    <s v="Chamomile"/>
    <s v="Herbal Tea"/>
    <s v="Washington"/>
    <s v="Decaf"/>
    <n v="70"/>
    <n v="130"/>
    <n v="90"/>
    <n v="200"/>
    <n v="92"/>
    <n v="1102"/>
    <n v="140"/>
    <n v="30"/>
    <n v="109"/>
    <n v="230"/>
    <n v="1.1499999999999999"/>
    <n v="1.211111111111111"/>
    <n v="1.3142857142857143"/>
  </r>
  <r>
    <n v="253"/>
    <x v="17"/>
    <s v="West"/>
    <s v="Small Market"/>
    <s v="Lemon"/>
    <s v="Herbal Tea"/>
    <s v="Washington"/>
    <s v="Decaf"/>
    <n v="30"/>
    <n v="60"/>
    <n v="50"/>
    <n v="90"/>
    <n v="43"/>
    <n v="822"/>
    <n v="64"/>
    <n v="12"/>
    <n v="55"/>
    <n v="106"/>
    <n v="1.1777777777777778"/>
    <n v="1.1000000000000001"/>
    <n v="1.4333333333333333"/>
  </r>
  <r>
    <n v="206"/>
    <x v="17"/>
    <s v="West"/>
    <s v="Small Market"/>
    <s v="Darjeeling"/>
    <s v="Tea"/>
    <s v="Washington"/>
    <s v="Regular"/>
    <n v="30"/>
    <n v="50"/>
    <n v="30"/>
    <n v="80"/>
    <n v="47"/>
    <n v="371"/>
    <n v="78"/>
    <n v="14"/>
    <n v="57"/>
    <n v="124"/>
    <n v="1.55"/>
    <n v="1.9"/>
    <n v="1.5666666666666667"/>
  </r>
  <r>
    <n v="206"/>
    <x v="17"/>
    <s v="West"/>
    <s v="Small Market"/>
    <s v="Earl Grey"/>
    <s v="Tea"/>
    <s v="Washington"/>
    <s v="Regular"/>
    <n v="20"/>
    <n v="40"/>
    <n v="20"/>
    <n v="60"/>
    <n v="40"/>
    <n v="443"/>
    <n v="59"/>
    <n v="12"/>
    <n v="33"/>
    <n v="98"/>
    <n v="1.6333333333333333"/>
    <n v="1.65"/>
    <n v="2"/>
  </r>
  <r>
    <n v="509"/>
    <x v="17"/>
    <s v="West"/>
    <s v="Small Market"/>
    <s v="Green Tea"/>
    <s v="Tea"/>
    <s v="Washington"/>
    <s v="Regular"/>
    <n v="30"/>
    <n v="50"/>
    <n v="0"/>
    <n v="80"/>
    <n v="53"/>
    <n v="597"/>
    <n v="75"/>
    <n v="48"/>
    <n v="-4"/>
    <n v="127"/>
    <n v="1.5874999999999999"/>
    <m/>
    <n v="1.7666666666666666"/>
  </r>
  <r>
    <n v="509"/>
    <x v="17"/>
    <s v="West"/>
    <s v="Small Market"/>
    <s v="Caffe Latte"/>
    <s v="Espresso"/>
    <s v="Washington"/>
    <s v="Regular"/>
    <n v="40"/>
    <n v="60"/>
    <n v="40"/>
    <n v="100"/>
    <n v="48"/>
    <n v="593"/>
    <n v="62"/>
    <n v="15"/>
    <n v="47"/>
    <n v="109"/>
    <n v="1.0900000000000001"/>
    <n v="1.175"/>
    <n v="1.2"/>
  </r>
  <r>
    <n v="360"/>
    <x v="17"/>
    <s v="West"/>
    <s v="Small Market"/>
    <s v="Caffe Mocha"/>
    <s v="Espresso"/>
    <s v="Washington"/>
    <s v="Regular"/>
    <n v="50"/>
    <n v="70"/>
    <n v="20"/>
    <n v="120"/>
    <n v="59"/>
    <n v="377"/>
    <n v="74"/>
    <n v="22"/>
    <n v="25"/>
    <n v="132"/>
    <n v="1.1000000000000001"/>
    <n v="1.25"/>
    <n v="1.18"/>
  </r>
  <r>
    <n v="425"/>
    <x v="17"/>
    <s v="West"/>
    <s v="Small Market"/>
    <s v="Decaf Espresso"/>
    <s v="Espresso"/>
    <s v="Washington"/>
    <s v="Decaf"/>
    <n v="70"/>
    <n v="90"/>
    <n v="60"/>
    <n v="160"/>
    <n v="81"/>
    <n v="1046"/>
    <n v="96"/>
    <n v="25"/>
    <n v="68"/>
    <n v="175"/>
    <n v="1.09375"/>
    <n v="1.1333333333333333"/>
    <n v="1.1571428571428573"/>
  </r>
  <r>
    <n v="206"/>
    <x v="17"/>
    <s v="West"/>
    <s v="Small Market"/>
    <s v="Columbian"/>
    <s v="Coffee"/>
    <s v="Washington"/>
    <s v="Regular"/>
    <n v="90"/>
    <n v="150"/>
    <n v="110"/>
    <n v="240"/>
    <n v="79"/>
    <n v="425"/>
    <n v="114"/>
    <n v="25"/>
    <n v="91"/>
    <n v="191"/>
    <n v="0.79583333333333328"/>
    <n v="0.82727272727272727"/>
    <n v="0.87777777777777777"/>
  </r>
  <r>
    <n v="206"/>
    <x v="17"/>
    <s v="West"/>
    <s v="Small Market"/>
    <s v="Decaf Irish Cream"/>
    <s v="Coffee"/>
    <s v="Washington"/>
    <s v="Decaf"/>
    <n v="130"/>
    <n v="200"/>
    <n v="90"/>
    <n v="330"/>
    <n v="110"/>
    <n v="665"/>
    <n v="154"/>
    <n v="100"/>
    <n v="33"/>
    <n v="262"/>
    <n v="0.79393939393939394"/>
    <n v="0.36666666666666664"/>
    <n v="0.84615384615384615"/>
  </r>
  <r>
    <n v="719"/>
    <x v="18"/>
    <s v="Central"/>
    <s v="Major Market"/>
    <s v="Chamomile"/>
    <s v="Herbal Tea"/>
    <s v="Colorado"/>
    <s v="Decaf"/>
    <n v="120"/>
    <n v="130"/>
    <n v="80"/>
    <n v="250"/>
    <n v="145"/>
    <n v="1304"/>
    <n v="146"/>
    <n v="40"/>
    <n v="112"/>
    <n v="288"/>
    <n v="1.1519999999999999"/>
    <n v="1.4"/>
    <n v="1.2083333333333333"/>
  </r>
  <r>
    <n v="303"/>
    <x v="18"/>
    <s v="Central"/>
    <s v="Major Market"/>
    <s v="Lemon"/>
    <s v="Herbal Tea"/>
    <s v="Colorado"/>
    <s v="Decaf"/>
    <n v="30"/>
    <n v="50"/>
    <n v="0"/>
    <n v="80"/>
    <n v="39"/>
    <n v="517"/>
    <n v="56"/>
    <n v="36"/>
    <n v="-14"/>
    <n v="94"/>
    <n v="1.175"/>
    <m/>
    <n v="1.3"/>
  </r>
  <r>
    <n v="720"/>
    <x v="18"/>
    <s v="Central"/>
    <s v="Major Market"/>
    <s v="Mint"/>
    <s v="Herbal Tea"/>
    <s v="Colorado"/>
    <s v="Decaf"/>
    <n v="40"/>
    <n v="50"/>
    <n v="20"/>
    <n v="90"/>
    <n v="47"/>
    <n v="420"/>
    <n v="63"/>
    <n v="15"/>
    <n v="29"/>
    <n v="109"/>
    <n v="1.211111111111111"/>
    <n v="1.45"/>
    <n v="1.175"/>
  </r>
  <r>
    <n v="719"/>
    <x v="18"/>
    <s v="Central"/>
    <s v="Major Market"/>
    <s v="Darjeeling"/>
    <s v="Tea"/>
    <s v="Colorado"/>
    <s v="Regular"/>
    <n v="40"/>
    <n v="60"/>
    <n v="20"/>
    <n v="100"/>
    <n v="51"/>
    <n v="419"/>
    <n v="64"/>
    <n v="19"/>
    <n v="17"/>
    <n v="114"/>
    <n v="1.1399999999999999"/>
    <n v="0.85"/>
    <n v="1.2749999999999999"/>
  </r>
  <r>
    <n v="720"/>
    <x v="18"/>
    <s v="Central"/>
    <s v="Major Market"/>
    <s v="Earl Grey"/>
    <s v="Tea"/>
    <s v="Colorado"/>
    <s v="Regular"/>
    <n v="40"/>
    <n v="50"/>
    <n v="20"/>
    <n v="90"/>
    <n v="50"/>
    <n v="1051"/>
    <n v="59"/>
    <n v="15"/>
    <n v="32"/>
    <n v="108"/>
    <n v="1.2"/>
    <n v="1.6"/>
    <n v="1.25"/>
  </r>
  <r>
    <n v="970"/>
    <x v="18"/>
    <s v="Central"/>
    <s v="Major Market"/>
    <s v="Green Tea"/>
    <s v="Tea"/>
    <s v="Colorado"/>
    <s v="Regular"/>
    <n v="30"/>
    <n v="50"/>
    <n v="30"/>
    <n v="80"/>
    <n v="41"/>
    <n v="592"/>
    <n v="53"/>
    <n v="13"/>
    <n v="37"/>
    <n v="93"/>
    <n v="1.1625000000000001"/>
    <n v="1.2333333333333334"/>
    <n v="1.3666666666666667"/>
  </r>
  <r>
    <n v="720"/>
    <x v="18"/>
    <s v="Central"/>
    <s v="Major Market"/>
    <s v="Amaretto"/>
    <s v="Coffee"/>
    <s v="Colorado"/>
    <s v="Regular"/>
    <n v="110"/>
    <n v="150"/>
    <n v="120"/>
    <n v="260"/>
    <n v="104"/>
    <n v="952"/>
    <n v="152"/>
    <n v="29"/>
    <n v="153"/>
    <n v="254"/>
    <n v="0.97692307692307689"/>
    <n v="1.2749999999999999"/>
    <n v="0.94545454545454544"/>
  </r>
  <r>
    <n v="303"/>
    <x v="18"/>
    <s v="Central"/>
    <s v="Major Market"/>
    <s v="Columbian"/>
    <s v="Coffee"/>
    <s v="Colorado"/>
    <s v="Regular"/>
    <n v="90"/>
    <n v="110"/>
    <n v="80"/>
    <n v="200"/>
    <n v="87"/>
    <n v="564"/>
    <n v="112"/>
    <n v="28"/>
    <n v="98"/>
    <n v="197"/>
    <n v="0.98499999999999999"/>
    <n v="1.2250000000000001"/>
    <n v="0.96666666666666667"/>
  </r>
  <r>
    <n v="303"/>
    <x v="18"/>
    <s v="Central"/>
    <s v="Major Market"/>
    <s v="Decaf Irish Cream"/>
    <s v="Coffee"/>
    <s v="Colorado"/>
    <s v="Decaf"/>
    <n v="130"/>
    <n v="190"/>
    <n v="150"/>
    <n v="320"/>
    <n v="127"/>
    <n v="1007"/>
    <n v="185"/>
    <n v="35"/>
    <n v="192"/>
    <n v="309"/>
    <n v="0.96562499999999996"/>
    <n v="1.28"/>
    <n v="0.97692307692307689"/>
  </r>
  <r>
    <n v="720"/>
    <x v="18"/>
    <s v="Central"/>
    <s v="Major Market"/>
    <s v="Caffe Mocha"/>
    <s v="Espresso"/>
    <s v="Colorado"/>
    <s v="Regular"/>
    <n v="100"/>
    <n v="170"/>
    <n v="140"/>
    <n v="270"/>
    <n v="94"/>
    <n v="608"/>
    <n v="136"/>
    <n v="26"/>
    <n v="135"/>
    <n v="228"/>
    <n v="0.84444444444444444"/>
    <n v="0.9642857142857143"/>
    <n v="0.94"/>
  </r>
  <r>
    <n v="303"/>
    <x v="18"/>
    <s v="Central"/>
    <s v="Major Market"/>
    <s v="Decaf Espresso"/>
    <s v="Espresso"/>
    <s v="Colorado"/>
    <s v="Decaf"/>
    <n v="60"/>
    <n v="90"/>
    <n v="50"/>
    <n v="150"/>
    <n v="52"/>
    <n v="668"/>
    <n v="79"/>
    <n v="17"/>
    <n v="43"/>
    <n v="130"/>
    <n v="0.8666666666666667"/>
    <n v="0.86"/>
    <n v="0.8666666666666667"/>
  </r>
  <r>
    <n v="708"/>
    <x v="18"/>
    <s v="Central"/>
    <s v="Major Market"/>
    <s v="Chamomile"/>
    <s v="Herbal Tea"/>
    <s v="Illinois"/>
    <s v="Decaf"/>
    <n v="80"/>
    <n v="140"/>
    <n v="120"/>
    <n v="220"/>
    <n v="104"/>
    <n v="952"/>
    <n v="152"/>
    <n v="29"/>
    <n v="153"/>
    <n v="254"/>
    <n v="1.1545454545454545"/>
    <n v="1.2749999999999999"/>
    <n v="1.3"/>
  </r>
  <r>
    <n v="773"/>
    <x v="18"/>
    <s v="Central"/>
    <s v="Major Market"/>
    <s v="Lemon"/>
    <s v="Herbal Tea"/>
    <s v="Illinois"/>
    <s v="Decaf"/>
    <n v="70"/>
    <n v="100"/>
    <n v="70"/>
    <n v="170"/>
    <n v="87"/>
    <n v="564"/>
    <n v="112"/>
    <n v="28"/>
    <n v="99"/>
    <n v="197"/>
    <n v="1.1588235294117648"/>
    <n v="1.4142857142857144"/>
    <n v="1.2428571428571429"/>
  </r>
  <r>
    <n v="312"/>
    <x v="18"/>
    <s v="Central"/>
    <s v="Major Market"/>
    <s v="Mint"/>
    <s v="Herbal Tea"/>
    <s v="Illinois"/>
    <s v="Decaf"/>
    <n v="100"/>
    <n v="170"/>
    <n v="150"/>
    <n v="270"/>
    <n v="127"/>
    <n v="1007"/>
    <n v="185"/>
    <n v="35"/>
    <n v="192"/>
    <n v="309"/>
    <n v="1.1444444444444444"/>
    <n v="1.28"/>
    <n v="1.27"/>
  </r>
  <r>
    <n v="312"/>
    <x v="18"/>
    <s v="Central"/>
    <s v="Major Market"/>
    <s v="Darjeeling"/>
    <s v="Tea"/>
    <s v="Illinois"/>
    <s v="Regular"/>
    <n v="80"/>
    <n v="120"/>
    <n v="90"/>
    <n v="200"/>
    <n v="94"/>
    <n v="608"/>
    <n v="136"/>
    <n v="26"/>
    <n v="137"/>
    <n v="228"/>
    <n v="1.1399999999999999"/>
    <n v="1.5222222222222221"/>
    <n v="1.175"/>
  </r>
  <r>
    <n v="312"/>
    <x v="18"/>
    <s v="Central"/>
    <s v="Major Market"/>
    <s v="Earl Grey"/>
    <s v="Tea"/>
    <s v="Illinois"/>
    <s v="Regular"/>
    <n v="40"/>
    <n v="70"/>
    <n v="30"/>
    <n v="110"/>
    <n v="52"/>
    <n v="668"/>
    <n v="79"/>
    <n v="17"/>
    <n v="43"/>
    <n v="130"/>
    <n v="1.1818181818181819"/>
    <n v="1.4333333333333333"/>
    <n v="1.3"/>
  </r>
  <r>
    <n v="815"/>
    <x v="18"/>
    <s v="Central"/>
    <s v="Major Market"/>
    <s v="Columbian"/>
    <s v="Coffee"/>
    <s v="Illinois"/>
    <s v="Regular"/>
    <n v="250"/>
    <n v="340"/>
    <n v="230"/>
    <n v="590"/>
    <n v="238"/>
    <n v="1190"/>
    <n v="329"/>
    <n v="78"/>
    <n v="287"/>
    <n v="562"/>
    <n v="0.9525423728813559"/>
    <n v="1.2478260869565216"/>
    <n v="0.95199999999999996"/>
  </r>
  <r>
    <n v="847"/>
    <x v="18"/>
    <s v="Central"/>
    <s v="Major Market"/>
    <s v="Decaf Irish Cream"/>
    <s v="Coffee"/>
    <s v="Illinois"/>
    <s v="Decaf"/>
    <n v="160"/>
    <n v="230"/>
    <n v="170"/>
    <n v="390"/>
    <n v="154"/>
    <n v="833"/>
    <n v="222"/>
    <n v="49"/>
    <n v="207"/>
    <n v="373"/>
    <n v="0.95641025641025645"/>
    <n v="1.2176470588235293"/>
    <n v="0.96250000000000002"/>
  </r>
  <r>
    <n v="630"/>
    <x v="18"/>
    <s v="Central"/>
    <s v="Major Market"/>
    <s v="Caffe Mocha"/>
    <s v="Espresso"/>
    <s v="Illinois"/>
    <s v="Regular"/>
    <n v="330"/>
    <n v="470"/>
    <n v="340"/>
    <n v="800"/>
    <n v="291"/>
    <n v="1742"/>
    <n v="387"/>
    <n v="96"/>
    <n v="357"/>
    <n v="672"/>
    <n v="0.84"/>
    <n v="1.05"/>
    <n v="0.88181818181818183"/>
  </r>
  <r>
    <n v="815"/>
    <x v="18"/>
    <s v="Central"/>
    <s v="Major Market"/>
    <s v="Decaf Espresso"/>
    <s v="Espresso"/>
    <s v="Illinois"/>
    <s v="Decaf"/>
    <n v="300"/>
    <n v="320"/>
    <n v="220"/>
    <n v="620"/>
    <n v="266"/>
    <n v="1819"/>
    <n v="266"/>
    <n v="74"/>
    <n v="232"/>
    <n v="527"/>
    <n v="0.85"/>
    <n v="1.0545454545454545"/>
    <n v="0.88666666666666671"/>
  </r>
  <r>
    <n v="641"/>
    <x v="18"/>
    <s v="Central"/>
    <s v="Small Market"/>
    <s v="Chamomile"/>
    <s v="Herbal Tea"/>
    <s v="Iowa"/>
    <s v="Decaf"/>
    <n v="250"/>
    <n v="340"/>
    <n v="240"/>
    <n v="590"/>
    <n v="291"/>
    <n v="1742"/>
    <n v="387"/>
    <n v="96"/>
    <n v="356"/>
    <n v="672"/>
    <n v="1.1389830508474577"/>
    <n v="1.4833333333333334"/>
    <n v="1.1639999999999999"/>
  </r>
  <r>
    <n v="563"/>
    <x v="18"/>
    <s v="Central"/>
    <s v="Small Market"/>
    <s v="Lemon"/>
    <s v="Herbal Tea"/>
    <s v="Iowa"/>
    <s v="Decaf"/>
    <n v="130"/>
    <n v="200"/>
    <n v="150"/>
    <n v="330"/>
    <n v="154"/>
    <n v="833"/>
    <n v="222"/>
    <n v="49"/>
    <n v="207"/>
    <n v="373"/>
    <n v="1.1303030303030304"/>
    <n v="1.38"/>
    <n v="1.1846153846153846"/>
  </r>
  <r>
    <n v="563"/>
    <x v="18"/>
    <s v="Central"/>
    <s v="Small Market"/>
    <s v="Darjeeling"/>
    <s v="Tea"/>
    <s v="Iowa"/>
    <s v="Regular"/>
    <n v="220"/>
    <n v="240"/>
    <n v="150"/>
    <n v="460"/>
    <n v="266"/>
    <n v="1819"/>
    <n v="266"/>
    <n v="74"/>
    <n v="230"/>
    <n v="527"/>
    <n v="1.1456521739130434"/>
    <n v="1.5333333333333334"/>
    <n v="1.209090909090909"/>
  </r>
  <r>
    <n v="515"/>
    <x v="18"/>
    <s v="Central"/>
    <s v="Small Market"/>
    <s v="Earl Grey"/>
    <s v="Tea"/>
    <s v="Iowa"/>
    <s v="Regular"/>
    <n v="230"/>
    <n v="290"/>
    <n v="170"/>
    <n v="520"/>
    <n v="270"/>
    <n v="1834"/>
    <n v="332"/>
    <n v="102"/>
    <n v="272"/>
    <n v="597"/>
    <n v="1.148076923076923"/>
    <n v="1.6"/>
    <n v="1.173913043478261"/>
  </r>
  <r>
    <n v="712"/>
    <x v="18"/>
    <s v="Central"/>
    <s v="Small Market"/>
    <s v="Amaretto"/>
    <s v="Coffee"/>
    <s v="Iowa"/>
    <s v="Regular"/>
    <n v="20"/>
    <n v="40"/>
    <n v="30"/>
    <n v="60"/>
    <n v="25"/>
    <n v="854"/>
    <n v="36"/>
    <n v="7"/>
    <n v="23"/>
    <n v="60"/>
    <n v="1"/>
    <n v="0.76666666666666672"/>
    <n v="1.25"/>
  </r>
  <r>
    <n v="319"/>
    <x v="18"/>
    <s v="Central"/>
    <s v="Small Market"/>
    <s v="Columbian"/>
    <s v="Coffee"/>
    <s v="Iowa"/>
    <s v="Regular"/>
    <n v="30"/>
    <n v="40"/>
    <n v="20"/>
    <n v="70"/>
    <n v="34"/>
    <n v="1010"/>
    <n v="41"/>
    <n v="10"/>
    <n v="12"/>
    <n v="74"/>
    <n v="1.0571428571428572"/>
    <n v="0.6"/>
    <n v="1.1333333333333333"/>
  </r>
  <r>
    <n v="712"/>
    <x v="18"/>
    <s v="Central"/>
    <s v="Small Market"/>
    <s v="Decaf Irish Cream"/>
    <s v="Coffee"/>
    <s v="Iowa"/>
    <s v="Decaf"/>
    <n v="20"/>
    <n v="30"/>
    <n v="20"/>
    <n v="50"/>
    <n v="23"/>
    <n v="605"/>
    <n v="31"/>
    <n v="7"/>
    <n v="17"/>
    <n v="54"/>
    <n v="1.08"/>
    <n v="0.85"/>
    <n v="1.1499999999999999"/>
  </r>
  <r>
    <n v="712"/>
    <x v="18"/>
    <s v="Central"/>
    <s v="Small Market"/>
    <s v="Caffe Mocha"/>
    <s v="Espresso"/>
    <s v="Iowa"/>
    <s v="Regular"/>
    <n v="20"/>
    <n v="30"/>
    <n v="20"/>
    <n v="50"/>
    <n v="20"/>
    <n v="808"/>
    <n v="29"/>
    <n v="5"/>
    <n v="18"/>
    <n v="49"/>
    <n v="0.98"/>
    <n v="0.9"/>
    <n v="1"/>
  </r>
  <r>
    <n v="563"/>
    <x v="18"/>
    <s v="Central"/>
    <s v="Small Market"/>
    <s v="Decaf Espresso"/>
    <s v="Espresso"/>
    <s v="Iowa"/>
    <s v="Decaf"/>
    <n v="0"/>
    <n v="50"/>
    <n v="40"/>
    <n v="50"/>
    <n v="0"/>
    <n v="559"/>
    <n v="43"/>
    <n v="0"/>
    <n v="43"/>
    <n v="43"/>
    <n v="0.86"/>
    <n v="1.075"/>
    <m/>
  </r>
  <r>
    <n v="636"/>
    <x v="18"/>
    <s v="Central"/>
    <s v="Small Market"/>
    <s v="Chamomile"/>
    <s v="Herbal Tea"/>
    <s v="Missouri"/>
    <s v="Decaf"/>
    <n v="50"/>
    <n v="70"/>
    <n v="10"/>
    <n v="120"/>
    <n v="59"/>
    <n v="338"/>
    <n v="82"/>
    <n v="53"/>
    <n v="-1"/>
    <n v="140"/>
    <n v="1.1666666666666667"/>
    <n v="-0.1"/>
    <n v="1.18"/>
  </r>
  <r>
    <n v="660"/>
    <x v="18"/>
    <s v="Central"/>
    <s v="Small Market"/>
    <s v="Lemon"/>
    <s v="Herbal Tea"/>
    <s v="Missouri"/>
    <s v="Decaf"/>
    <n v="100"/>
    <n v="40"/>
    <n v="0"/>
    <n v="140"/>
    <n v="120"/>
    <n v="1334"/>
    <n v="49"/>
    <n v="37"/>
    <n v="-17"/>
    <n v="167"/>
    <n v="1.1928571428571428"/>
    <m/>
    <n v="1.2"/>
  </r>
  <r>
    <n v="314"/>
    <x v="18"/>
    <s v="Central"/>
    <s v="Small Market"/>
    <s v="Darjeeling"/>
    <s v="Tea"/>
    <s v="Missouri"/>
    <s v="Regular"/>
    <n v="30"/>
    <n v="60"/>
    <n v="30"/>
    <n v="90"/>
    <n v="44"/>
    <n v="258"/>
    <n v="59"/>
    <n v="14"/>
    <n v="23"/>
    <n v="102"/>
    <n v="1.1333333333333333"/>
    <n v="0.76666666666666672"/>
    <n v="1.4666666666666666"/>
  </r>
  <r>
    <n v="816"/>
    <x v="18"/>
    <s v="Central"/>
    <s v="Small Market"/>
    <s v="Earl Grey"/>
    <s v="Tea"/>
    <s v="Missouri"/>
    <s v="Regular"/>
    <n v="30"/>
    <n v="40"/>
    <n v="0"/>
    <n v="70"/>
    <n v="40"/>
    <n v="219"/>
    <n v="49"/>
    <n v="15"/>
    <n v="1"/>
    <n v="88"/>
    <n v="1.2571428571428571"/>
    <m/>
    <n v="1.3333333333333333"/>
  </r>
  <r>
    <n v="417"/>
    <x v="18"/>
    <s v="Central"/>
    <s v="Small Market"/>
    <s v="Green Tea"/>
    <s v="Tea"/>
    <s v="Missouri"/>
    <s v="Regular"/>
    <n v="30"/>
    <n v="40"/>
    <n v="0"/>
    <n v="70"/>
    <n v="36"/>
    <n v="252"/>
    <n v="46"/>
    <n v="13"/>
    <n v="0"/>
    <n v="81"/>
    <n v="1.1571428571428573"/>
    <m/>
    <n v="1.2"/>
  </r>
  <r>
    <n v="314"/>
    <x v="18"/>
    <s v="Central"/>
    <s v="Small Market"/>
    <s v="Columbian"/>
    <s v="Coffee"/>
    <s v="Missouri"/>
    <s v="Regular"/>
    <n v="80"/>
    <n v="90"/>
    <n v="40"/>
    <n v="170"/>
    <n v="76"/>
    <n v="613"/>
    <n v="93"/>
    <n v="28"/>
    <n v="43"/>
    <n v="167"/>
    <n v="0.98235294117647054"/>
    <n v="1.075"/>
    <n v="0.95"/>
  </r>
  <r>
    <n v="314"/>
    <x v="18"/>
    <s v="Central"/>
    <s v="Small Market"/>
    <s v="Decaf Irish Cream"/>
    <s v="Coffee"/>
    <s v="Missouri"/>
    <s v="Decaf"/>
    <n v="60"/>
    <n v="70"/>
    <n v="40"/>
    <n v="130"/>
    <n v="60"/>
    <n v="1070"/>
    <n v="72"/>
    <n v="18"/>
    <n v="44"/>
    <n v="131"/>
    <n v="1.0076923076923077"/>
    <n v="1.1000000000000001"/>
    <n v="1"/>
  </r>
  <r>
    <n v="660"/>
    <x v="18"/>
    <s v="Central"/>
    <s v="Small Market"/>
    <s v="Caffe Mocha"/>
    <s v="Espresso"/>
    <s v="Missouri"/>
    <s v="Regular"/>
    <n v="40"/>
    <n v="60"/>
    <n v="40"/>
    <n v="100"/>
    <n v="35"/>
    <n v="894"/>
    <n v="52"/>
    <n v="9"/>
    <n v="44"/>
    <n v="86"/>
    <n v="0.86"/>
    <n v="1.1000000000000001"/>
    <n v="0.875"/>
  </r>
  <r>
    <n v="314"/>
    <x v="18"/>
    <s v="Central"/>
    <s v="Small Market"/>
    <s v="Decaf Espresso"/>
    <s v="Espresso"/>
    <s v="Missouri"/>
    <s v="Decaf"/>
    <n v="40"/>
    <n v="70"/>
    <n v="50"/>
    <n v="110"/>
    <n v="39"/>
    <n v="845"/>
    <n v="57"/>
    <n v="10"/>
    <n v="48"/>
    <n v="95"/>
    <n v="0.86363636363636365"/>
    <n v="0.96"/>
    <n v="0.97499999999999998"/>
  </r>
  <r>
    <n v="513"/>
    <x v="18"/>
    <s v="Central"/>
    <s v="Major Market"/>
    <s v="Chamomile"/>
    <s v="Herbal Tea"/>
    <s v="Ohio"/>
    <s v="Decaf"/>
    <n v="10"/>
    <n v="20"/>
    <n v="20"/>
    <n v="30"/>
    <n v="18"/>
    <n v="486"/>
    <n v="26"/>
    <n v="5"/>
    <n v="12"/>
    <n v="44"/>
    <n v="1.4666666666666666"/>
    <n v="0.6"/>
    <n v="1.8"/>
  </r>
  <r>
    <n v="937"/>
    <x v="18"/>
    <s v="Central"/>
    <s v="Major Market"/>
    <s v="Lemon"/>
    <s v="Herbal Tea"/>
    <s v="Ohio"/>
    <s v="Decaf"/>
    <n v="10"/>
    <n v="40"/>
    <n v="40"/>
    <n v="50"/>
    <n v="23"/>
    <n v="868"/>
    <n v="34"/>
    <n v="6"/>
    <n v="22"/>
    <n v="56"/>
    <n v="1.1200000000000001"/>
    <n v="0.55000000000000004"/>
    <n v="2.2999999999999998"/>
  </r>
  <r>
    <n v="740"/>
    <x v="18"/>
    <s v="Central"/>
    <s v="Major Market"/>
    <s v="Darjeeling"/>
    <s v="Tea"/>
    <s v="Ohio"/>
    <s v="Regular"/>
    <n v="90"/>
    <n v="160"/>
    <n v="100"/>
    <n v="250"/>
    <n v="114"/>
    <n v="822"/>
    <n v="172"/>
    <n v="37"/>
    <n v="144"/>
    <n v="283"/>
    <n v="1.1319999999999999"/>
    <n v="1.44"/>
    <n v="1.2666666666666666"/>
  </r>
  <r>
    <n v="419"/>
    <x v="18"/>
    <s v="Central"/>
    <s v="Major Market"/>
    <s v="Earl Grey"/>
    <s v="Tea"/>
    <s v="Ohio"/>
    <s v="Regular"/>
    <n v="120"/>
    <n v="170"/>
    <n v="110"/>
    <n v="290"/>
    <n v="141"/>
    <n v="692"/>
    <n v="195"/>
    <n v="43"/>
    <n v="177"/>
    <n v="333"/>
    <n v="1.1482758620689655"/>
    <n v="1.6090909090909091"/>
    <n v="1.175"/>
  </r>
  <r>
    <n v="614"/>
    <x v="18"/>
    <s v="Central"/>
    <s v="Major Market"/>
    <s v="Decaf Espresso"/>
    <s v="Espresso"/>
    <s v="Ohio"/>
    <s v="Decaf"/>
    <n v="50"/>
    <n v="80"/>
    <n v="30"/>
    <n v="130"/>
    <n v="51"/>
    <n v="419"/>
    <n v="64"/>
    <n v="19"/>
    <n v="15"/>
    <n v="114"/>
    <n v="0.87692307692307692"/>
    <n v="0.5"/>
    <n v="1.02"/>
  </r>
  <r>
    <n v="513"/>
    <x v="18"/>
    <s v="Central"/>
    <s v="Major Market"/>
    <s v="Amaretto"/>
    <s v="Coffee"/>
    <s v="Ohio"/>
    <s v="Regular"/>
    <n v="40"/>
    <n v="70"/>
    <n v="40"/>
    <n v="110"/>
    <n v="47"/>
    <n v="420"/>
    <n v="63"/>
    <n v="15"/>
    <n v="28"/>
    <n v="109"/>
    <n v="0.99090909090909096"/>
    <n v="0.7"/>
    <n v="1.175"/>
  </r>
  <r>
    <n v="234"/>
    <x v="18"/>
    <s v="Central"/>
    <s v="Major Market"/>
    <s v="Columbian"/>
    <s v="Coffee"/>
    <s v="Ohio"/>
    <s v="Regular"/>
    <n v="30"/>
    <n v="50"/>
    <n v="30"/>
    <n v="80"/>
    <n v="34"/>
    <n v="432"/>
    <n v="51"/>
    <n v="10"/>
    <n v="25"/>
    <n v="84"/>
    <n v="1.05"/>
    <n v="0.83333333333333337"/>
    <n v="1.1333333333333333"/>
  </r>
  <r>
    <n v="567"/>
    <x v="18"/>
    <s v="Central"/>
    <s v="Major Market"/>
    <s v="Decaf Irish Cream"/>
    <s v="Coffee"/>
    <s v="Ohio"/>
    <s v="Decaf"/>
    <n v="40"/>
    <n v="50"/>
    <n v="0"/>
    <n v="90"/>
    <n v="39"/>
    <n v="517"/>
    <n v="56"/>
    <n v="36"/>
    <n v="-12"/>
    <n v="94"/>
    <n v="1.0444444444444445"/>
    <m/>
    <n v="0.97499999999999998"/>
  </r>
  <r>
    <n v="216"/>
    <x v="18"/>
    <s v="Central"/>
    <s v="Major Market"/>
    <s v="Caffe Mocha"/>
    <s v="Espresso"/>
    <s v="Ohio"/>
    <s v="Regular"/>
    <n v="160"/>
    <n v="180"/>
    <n v="120"/>
    <n v="340"/>
    <n v="145"/>
    <n v="1304"/>
    <n v="146"/>
    <n v="40"/>
    <n v="112"/>
    <n v="288"/>
    <n v="0.84705882352941175"/>
    <n v="0.93333333333333335"/>
    <n v="0.90625"/>
  </r>
  <r>
    <n v="262"/>
    <x v="18"/>
    <s v="Central"/>
    <s v="Small Market"/>
    <s v="Chamomile"/>
    <s v="Herbal Tea"/>
    <s v="Wisconsin"/>
    <s v="Decaf"/>
    <n v="30"/>
    <n v="60"/>
    <n v="40"/>
    <n v="90"/>
    <n v="39"/>
    <n v="380"/>
    <n v="65"/>
    <n v="12"/>
    <n v="40"/>
    <n v="103"/>
    <n v="1.1444444444444444"/>
    <n v="1"/>
    <n v="1.3"/>
  </r>
  <r>
    <n v="262"/>
    <x v="18"/>
    <s v="Central"/>
    <s v="Small Market"/>
    <s v="Lemon"/>
    <s v="Herbal Tea"/>
    <s v="Wisconsin"/>
    <s v="Decaf"/>
    <n v="50"/>
    <n v="70"/>
    <n v="60"/>
    <n v="120"/>
    <n v="59"/>
    <n v="870"/>
    <n v="85"/>
    <n v="16"/>
    <n v="80"/>
    <n v="143"/>
    <n v="1.1916666666666667"/>
    <n v="1.3333333333333333"/>
    <n v="1.18"/>
  </r>
  <r>
    <n v="262"/>
    <x v="18"/>
    <s v="Central"/>
    <s v="Small Market"/>
    <s v="Darjeeling"/>
    <s v="Tea"/>
    <s v="Wisconsin"/>
    <s v="Regular"/>
    <n v="30"/>
    <n v="40"/>
    <n v="10"/>
    <n v="70"/>
    <n v="36"/>
    <n v="462"/>
    <n v="54"/>
    <n v="11"/>
    <n v="29"/>
    <n v="89"/>
    <n v="1.2714285714285714"/>
    <n v="2.9"/>
    <n v="1.2"/>
  </r>
  <r>
    <n v="715"/>
    <x v="18"/>
    <s v="Central"/>
    <s v="Small Market"/>
    <s v="Earl Grey"/>
    <s v="Tea"/>
    <s v="Wisconsin"/>
    <s v="Regular"/>
    <n v="40"/>
    <n v="50"/>
    <n v="0"/>
    <n v="90"/>
    <n v="47"/>
    <n v="622"/>
    <n v="66"/>
    <n v="42"/>
    <n v="-8"/>
    <n v="112"/>
    <n v="1.2444444444444445"/>
    <m/>
    <n v="1.175"/>
  </r>
  <r>
    <n v="715"/>
    <x v="18"/>
    <s v="Central"/>
    <s v="Small Market"/>
    <s v="Decaf Espresso"/>
    <s v="Espresso"/>
    <s v="Wisconsin"/>
    <s v="Decaf"/>
    <n v="50"/>
    <n v="80"/>
    <n v="60"/>
    <n v="130"/>
    <n v="50"/>
    <n v="587"/>
    <n v="65"/>
    <n v="16"/>
    <n v="50"/>
    <n v="114"/>
    <n v="0.87692307692307692"/>
    <n v="0.83333333333333337"/>
    <n v="1"/>
  </r>
  <r>
    <n v="262"/>
    <x v="18"/>
    <s v="Central"/>
    <s v="Small Market"/>
    <s v="Amaretto"/>
    <s v="Coffee"/>
    <s v="Wisconsin"/>
    <s v="Regular"/>
    <n v="60"/>
    <n v="70"/>
    <n v="20"/>
    <n v="130"/>
    <n v="59"/>
    <n v="403"/>
    <n v="74"/>
    <n v="22"/>
    <n v="25"/>
    <n v="132"/>
    <n v="1.0153846153846153"/>
    <n v="1.25"/>
    <n v="0.98333333333333328"/>
  </r>
  <r>
    <n v="608"/>
    <x v="18"/>
    <s v="Central"/>
    <s v="Small Market"/>
    <s v="Columbian"/>
    <s v="Coffee"/>
    <s v="Wisconsin"/>
    <s v="Regular"/>
    <n v="130"/>
    <n v="180"/>
    <n v="60"/>
    <n v="310"/>
    <n v="124"/>
    <n v="717"/>
    <n v="173"/>
    <n v="112"/>
    <n v="44"/>
    <n v="294"/>
    <n v="0.94838709677419353"/>
    <n v="0.73333333333333328"/>
    <n v="0.9538461538461539"/>
  </r>
  <r>
    <n v="262"/>
    <x v="18"/>
    <s v="Central"/>
    <s v="Small Market"/>
    <s v="Decaf Irish Cream"/>
    <s v="Coffee"/>
    <s v="Wisconsin"/>
    <s v="Decaf"/>
    <n v="100"/>
    <n v="130"/>
    <n v="80"/>
    <n v="230"/>
    <n v="97"/>
    <n v="575"/>
    <n v="130"/>
    <n v="32"/>
    <n v="98"/>
    <n v="225"/>
    <n v="0.97826086956521741"/>
    <n v="1.2250000000000001"/>
    <n v="0.97"/>
  </r>
  <r>
    <n v="715"/>
    <x v="18"/>
    <s v="Central"/>
    <s v="Small Market"/>
    <s v="Caffe Mocha"/>
    <s v="Espresso"/>
    <s v="Wisconsin"/>
    <s v="Regular"/>
    <n v="90"/>
    <n v="130"/>
    <n v="90"/>
    <n v="220"/>
    <n v="86"/>
    <n v="1081"/>
    <n v="103"/>
    <n v="26"/>
    <n v="77"/>
    <n v="187"/>
    <n v="0.85"/>
    <n v="0.85555555555555551"/>
    <n v="0.9555555555555556"/>
  </r>
  <r>
    <n v="860"/>
    <x v="18"/>
    <s v="East"/>
    <s v="Small Market"/>
    <s v="Lemon"/>
    <s v="Herbal Tea"/>
    <s v="Connecticut"/>
    <s v="Decaf"/>
    <n v="50"/>
    <n v="80"/>
    <n v="40"/>
    <n v="130"/>
    <n v="76"/>
    <n v="613"/>
    <n v="93"/>
    <n v="28"/>
    <n v="44"/>
    <n v="167"/>
    <n v="1.2846153846153847"/>
    <n v="1.1000000000000001"/>
    <n v="1.52"/>
  </r>
  <r>
    <n v="959"/>
    <x v="18"/>
    <s v="East"/>
    <s v="Small Market"/>
    <s v="Mint"/>
    <s v="Herbal Tea"/>
    <s v="Connecticut"/>
    <s v="Decaf"/>
    <n v="40"/>
    <n v="60"/>
    <n v="40"/>
    <n v="100"/>
    <n v="60"/>
    <n v="1070"/>
    <n v="72"/>
    <n v="18"/>
    <n v="46"/>
    <n v="131"/>
    <n v="1.31"/>
    <n v="1.1499999999999999"/>
    <n v="1.5"/>
  </r>
  <r>
    <n v="959"/>
    <x v="18"/>
    <s v="East"/>
    <s v="Small Market"/>
    <s v="Darjeeling"/>
    <s v="Tea"/>
    <s v="Connecticut"/>
    <s v="Regular"/>
    <n v="30"/>
    <n v="60"/>
    <n v="50"/>
    <n v="90"/>
    <n v="35"/>
    <n v="894"/>
    <n v="52"/>
    <n v="9"/>
    <n v="44"/>
    <n v="86"/>
    <n v="0.9555555555555556"/>
    <n v="0.88"/>
    <n v="1.1666666666666667"/>
  </r>
  <r>
    <n v="860"/>
    <x v="18"/>
    <s v="East"/>
    <s v="Small Market"/>
    <s v="Green Tea"/>
    <s v="Tea"/>
    <s v="Connecticut"/>
    <s v="Regular"/>
    <n v="20"/>
    <n v="30"/>
    <n v="20"/>
    <n v="50"/>
    <n v="20"/>
    <n v="814"/>
    <n v="31"/>
    <n v="5"/>
    <n v="21"/>
    <n v="51"/>
    <n v="1.02"/>
    <n v="1.05"/>
    <n v="1"/>
  </r>
  <r>
    <n v="475"/>
    <x v="18"/>
    <s v="East"/>
    <s v="Small Market"/>
    <s v="Caffe Mocha"/>
    <s v="Espresso"/>
    <s v="Connecticut"/>
    <s v="Regular"/>
    <n v="40"/>
    <n v="70"/>
    <n v="20"/>
    <n v="110"/>
    <n v="47"/>
    <n v="622"/>
    <n v="66"/>
    <n v="42"/>
    <n v="-7"/>
    <n v="112"/>
    <n v="1.0181818181818181"/>
    <n v="-0.35"/>
    <n v="1.175"/>
  </r>
  <r>
    <n v="860"/>
    <x v="18"/>
    <s v="East"/>
    <s v="Small Market"/>
    <s v="Decaf Espresso"/>
    <s v="Espresso"/>
    <s v="Connecticut"/>
    <s v="Decaf"/>
    <n v="40"/>
    <n v="50"/>
    <n v="20"/>
    <n v="90"/>
    <n v="43"/>
    <n v="388"/>
    <n v="57"/>
    <n v="14"/>
    <n v="22"/>
    <n v="99"/>
    <n v="1.1000000000000001"/>
    <n v="1.1000000000000001"/>
    <n v="1.075"/>
  </r>
  <r>
    <n v="203"/>
    <x v="18"/>
    <s v="East"/>
    <s v="Small Market"/>
    <s v="Columbian"/>
    <s v="Coffee"/>
    <s v="Connecticut"/>
    <s v="Regular"/>
    <n v="80"/>
    <n v="130"/>
    <n v="90"/>
    <n v="210"/>
    <n v="90"/>
    <n v="1148"/>
    <n v="135"/>
    <n v="29"/>
    <n v="104"/>
    <n v="223"/>
    <n v="1.0619047619047619"/>
    <n v="1.1555555555555554"/>
    <n v="1.125"/>
  </r>
  <r>
    <n v="352"/>
    <x v="18"/>
    <s v="East"/>
    <s v="Major Market"/>
    <s v="Chamomile"/>
    <s v="Herbal Tea"/>
    <s v="Florida"/>
    <s v="Decaf"/>
    <n v="30"/>
    <n v="50"/>
    <n v="30"/>
    <n v="80"/>
    <n v="50"/>
    <n v="587"/>
    <n v="65"/>
    <n v="16"/>
    <n v="50"/>
    <n v="114"/>
    <n v="1.425"/>
    <n v="1.6666666666666667"/>
    <n v="1.6666666666666667"/>
  </r>
  <r>
    <n v="352"/>
    <x v="18"/>
    <s v="East"/>
    <s v="Major Market"/>
    <s v="Lemon"/>
    <s v="Herbal Tea"/>
    <s v="Florida"/>
    <s v="Decaf"/>
    <n v="40"/>
    <n v="60"/>
    <n v="30"/>
    <n v="100"/>
    <n v="59"/>
    <n v="403"/>
    <n v="74"/>
    <n v="22"/>
    <n v="26"/>
    <n v="132"/>
    <n v="1.32"/>
    <n v="0.8666666666666667"/>
    <n v="1.4750000000000001"/>
  </r>
  <r>
    <n v="239"/>
    <x v="18"/>
    <s v="East"/>
    <s v="Major Market"/>
    <s v="Mint"/>
    <s v="Herbal Tea"/>
    <s v="Florida"/>
    <s v="Decaf"/>
    <n v="60"/>
    <n v="80"/>
    <n v="50"/>
    <n v="140"/>
    <n v="86"/>
    <n v="1081"/>
    <n v="103"/>
    <n v="26"/>
    <n v="76"/>
    <n v="187"/>
    <n v="1.3357142857142856"/>
    <n v="1.52"/>
    <n v="1.4333333333333333"/>
  </r>
  <r>
    <n v="772"/>
    <x v="18"/>
    <s v="East"/>
    <s v="Major Market"/>
    <s v="Darjeeling"/>
    <s v="Tea"/>
    <s v="Florida"/>
    <s v="Regular"/>
    <n v="40"/>
    <n v="70"/>
    <n v="50"/>
    <n v="110"/>
    <n v="45"/>
    <n v="885"/>
    <n v="65"/>
    <n v="12"/>
    <n v="57"/>
    <n v="109"/>
    <n v="0.99090909090909096"/>
    <n v="1.1399999999999999"/>
    <n v="1.125"/>
  </r>
  <r>
    <n v="239"/>
    <x v="18"/>
    <s v="East"/>
    <s v="Major Market"/>
    <s v="Green Tea"/>
    <s v="Tea"/>
    <s v="Florida"/>
    <s v="Regular"/>
    <n v="60"/>
    <n v="90"/>
    <n v="70"/>
    <n v="150"/>
    <n v="59"/>
    <n v="870"/>
    <n v="85"/>
    <n v="16"/>
    <n v="80"/>
    <n v="143"/>
    <n v="0.95333333333333337"/>
    <n v="1.1428571428571428"/>
    <n v="0.98333333333333328"/>
  </r>
  <r>
    <n v="239"/>
    <x v="18"/>
    <s v="East"/>
    <s v="Major Market"/>
    <s v="Caffe Mocha"/>
    <s v="Espresso"/>
    <s v="Florida"/>
    <s v="Regular"/>
    <n v="110"/>
    <n v="180"/>
    <n v="60"/>
    <n v="290"/>
    <n v="124"/>
    <n v="717"/>
    <n v="173"/>
    <n v="112"/>
    <n v="44"/>
    <n v="294"/>
    <n v="1.0137931034482759"/>
    <n v="0.73333333333333328"/>
    <n v="1.1272727272727272"/>
  </r>
  <r>
    <n v="754"/>
    <x v="18"/>
    <s v="East"/>
    <s v="Major Market"/>
    <s v="Decaf Espresso"/>
    <s v="Espresso"/>
    <s v="Florida"/>
    <s v="Decaf"/>
    <n v="90"/>
    <n v="130"/>
    <n v="80"/>
    <n v="220"/>
    <n v="97"/>
    <n v="575"/>
    <n v="130"/>
    <n v="32"/>
    <n v="98"/>
    <n v="225"/>
    <n v="1.0227272727272727"/>
    <n v="1.2250000000000001"/>
    <n v="1.0777777777777777"/>
  </r>
  <r>
    <n v="305"/>
    <x v="18"/>
    <s v="East"/>
    <s v="Major Market"/>
    <s v="Columbian"/>
    <s v="Coffee"/>
    <s v="Florida"/>
    <s v="Regular"/>
    <n v="100"/>
    <n v="170"/>
    <n v="120"/>
    <n v="270"/>
    <n v="114"/>
    <n v="822"/>
    <n v="172"/>
    <n v="37"/>
    <n v="144"/>
    <n v="283"/>
    <n v="1.0481481481481481"/>
    <n v="1.2"/>
    <n v="1.1399999999999999"/>
  </r>
  <r>
    <n v="754"/>
    <x v="18"/>
    <s v="East"/>
    <s v="Major Market"/>
    <s v="Decaf Irish Cream"/>
    <s v="Coffee"/>
    <s v="Florida"/>
    <s v="Decaf"/>
    <n v="130"/>
    <n v="180"/>
    <n v="130"/>
    <n v="310"/>
    <n v="141"/>
    <n v="692"/>
    <n v="195"/>
    <n v="43"/>
    <n v="178"/>
    <n v="333"/>
    <n v="1.0741935483870968"/>
    <n v="1.3692307692307693"/>
    <n v="1.0846153846153845"/>
  </r>
  <r>
    <n v="774"/>
    <x v="18"/>
    <s v="East"/>
    <s v="Major Market"/>
    <s v="Lemon"/>
    <s v="Herbal Tea"/>
    <s v="Massachusetts"/>
    <s v="Decaf"/>
    <n v="30"/>
    <n v="50"/>
    <n v="20"/>
    <n v="80"/>
    <n v="51"/>
    <n v="419"/>
    <n v="64"/>
    <n v="19"/>
    <n v="15"/>
    <n v="114"/>
    <n v="1.425"/>
    <n v="0.75"/>
    <n v="1.7"/>
  </r>
  <r>
    <n v="413"/>
    <x v="18"/>
    <s v="East"/>
    <s v="Major Market"/>
    <s v="Darjeeling"/>
    <s v="Tea"/>
    <s v="Massachusetts"/>
    <s v="Regular"/>
    <n v="20"/>
    <n v="40"/>
    <n v="30"/>
    <n v="60"/>
    <n v="23"/>
    <n v="868"/>
    <n v="34"/>
    <n v="6"/>
    <n v="22"/>
    <n v="56"/>
    <n v="0.93333333333333335"/>
    <n v="0.73333333333333328"/>
    <n v="1.1499999999999999"/>
  </r>
  <r>
    <n v="774"/>
    <x v="18"/>
    <s v="East"/>
    <s v="Major Market"/>
    <s v="Green Tea"/>
    <s v="Tea"/>
    <s v="Massachusetts"/>
    <s v="Regular"/>
    <n v="10"/>
    <n v="30"/>
    <n v="20"/>
    <n v="40"/>
    <n v="18"/>
    <n v="486"/>
    <n v="26"/>
    <n v="5"/>
    <n v="12"/>
    <n v="44"/>
    <n v="1.1000000000000001"/>
    <n v="0.6"/>
    <n v="1.8"/>
  </r>
  <r>
    <n v="413"/>
    <x v="18"/>
    <s v="East"/>
    <s v="Major Market"/>
    <s v="Caffe Mocha"/>
    <s v="Espresso"/>
    <s v="Massachusetts"/>
    <s v="Regular"/>
    <n v="30"/>
    <n v="70"/>
    <n v="20"/>
    <n v="100"/>
    <n v="39"/>
    <n v="560"/>
    <n v="72"/>
    <n v="36"/>
    <n v="10"/>
    <n v="110"/>
    <n v="1.1000000000000001"/>
    <n v="0.5"/>
    <n v="1.3"/>
  </r>
  <r>
    <n v="339"/>
    <x v="18"/>
    <s v="East"/>
    <s v="Major Market"/>
    <s v="Regular Espresso"/>
    <s v="Espresso"/>
    <s v="Massachusetts"/>
    <s v="Regular"/>
    <n v="130"/>
    <n v="150"/>
    <n v="100"/>
    <n v="280"/>
    <n v="145"/>
    <n v="1304"/>
    <n v="146"/>
    <n v="40"/>
    <n v="112"/>
    <n v="288"/>
    <n v="1.0285714285714285"/>
    <n v="1.1200000000000001"/>
    <n v="1.1153846153846154"/>
  </r>
  <r>
    <n v="978"/>
    <x v="18"/>
    <s v="East"/>
    <s v="Major Market"/>
    <s v="Columbian"/>
    <s v="Coffee"/>
    <s v="Massachusetts"/>
    <s v="Regular"/>
    <n v="40"/>
    <n v="590"/>
    <n v="560"/>
    <n v="630"/>
    <n v="52"/>
    <n v="-1493"/>
    <n v="613"/>
    <n v="17"/>
    <n v="778"/>
    <n v="659"/>
    <n v="1.0460317460317461"/>
    <n v="1.3892857142857142"/>
    <n v="1.3"/>
  </r>
  <r>
    <n v="603"/>
    <x v="18"/>
    <s v="East"/>
    <s v="Small Market"/>
    <s v="Lemon"/>
    <s v="Herbal Tea"/>
    <s v="New Hampshire"/>
    <s v="Decaf"/>
    <n v="20"/>
    <n v="40"/>
    <n v="10"/>
    <n v="60"/>
    <n v="36"/>
    <n v="252"/>
    <n v="46"/>
    <n v="13"/>
    <n v="0"/>
    <n v="81"/>
    <n v="1.35"/>
    <n v="0"/>
    <n v="1.8"/>
  </r>
  <r>
    <n v="603"/>
    <x v="18"/>
    <s v="East"/>
    <s v="Small Market"/>
    <s v="Darjeeling"/>
    <s v="Tea"/>
    <s v="New Hampshire"/>
    <s v="Regular"/>
    <n v="20"/>
    <n v="40"/>
    <n v="30"/>
    <n v="60"/>
    <n v="25"/>
    <n v="854"/>
    <n v="36"/>
    <n v="7"/>
    <n v="23"/>
    <n v="60"/>
    <n v="1"/>
    <n v="0.76666666666666672"/>
    <n v="1.25"/>
  </r>
  <r>
    <n v="603"/>
    <x v="18"/>
    <s v="East"/>
    <s v="Small Market"/>
    <s v="Green Tea"/>
    <s v="Tea"/>
    <s v="New Hampshire"/>
    <s v="Regular"/>
    <n v="0"/>
    <n v="40"/>
    <n v="30"/>
    <n v="40"/>
    <n v="0"/>
    <n v="559"/>
    <n v="43"/>
    <n v="0"/>
    <n v="43"/>
    <n v="43"/>
    <n v="1.075"/>
    <n v="1.4333333333333333"/>
    <m/>
  </r>
  <r>
    <n v="603"/>
    <x v="18"/>
    <s v="East"/>
    <s v="Small Market"/>
    <s v="Caffe Mocha"/>
    <s v="Espresso"/>
    <s v="New Hampshire"/>
    <s v="Regular"/>
    <n v="50"/>
    <n v="80"/>
    <n v="10"/>
    <n v="130"/>
    <n v="59"/>
    <n v="338"/>
    <n v="82"/>
    <n v="53"/>
    <n v="-1"/>
    <n v="140"/>
    <n v="1.0769230769230769"/>
    <n v="-0.1"/>
    <n v="1.18"/>
  </r>
  <r>
    <n v="603"/>
    <x v="18"/>
    <s v="East"/>
    <s v="Small Market"/>
    <s v="Regular Espresso"/>
    <s v="Espresso"/>
    <s v="New Hampshire"/>
    <s v="Regular"/>
    <n v="30"/>
    <n v="50"/>
    <n v="10"/>
    <n v="80"/>
    <n v="40"/>
    <n v="219"/>
    <n v="49"/>
    <n v="15"/>
    <n v="0"/>
    <n v="88"/>
    <n v="1.1000000000000001"/>
    <n v="0"/>
    <n v="1.3333333333333333"/>
  </r>
  <r>
    <n v="603"/>
    <x v="18"/>
    <s v="East"/>
    <s v="Small Market"/>
    <s v="Amaretto"/>
    <s v="Coffee"/>
    <s v="New Hampshire"/>
    <s v="Regular"/>
    <n v="50"/>
    <n v="90"/>
    <n v="70"/>
    <n v="140"/>
    <n v="61"/>
    <n v="329"/>
    <n v="90"/>
    <n v="19"/>
    <n v="68"/>
    <n v="150"/>
    <n v="1.0714285714285714"/>
    <n v="0.97142857142857142"/>
    <n v="1.22"/>
  </r>
  <r>
    <n v="603"/>
    <x v="18"/>
    <s v="East"/>
    <s v="Small Market"/>
    <s v="Columbian"/>
    <s v="Coffee"/>
    <s v="New Hampshire"/>
    <s v="Regular"/>
    <n v="60"/>
    <n v="90"/>
    <n v="60"/>
    <n v="150"/>
    <n v="64"/>
    <n v="467"/>
    <n v="96"/>
    <n v="21"/>
    <n v="59"/>
    <n v="159"/>
    <n v="1.06"/>
    <n v="0.98333333333333328"/>
    <n v="1.0666666666666667"/>
  </r>
  <r>
    <n v="516"/>
    <x v="18"/>
    <s v="East"/>
    <s v="Major Market"/>
    <s v="Lemon"/>
    <s v="Herbal Tea"/>
    <s v="New York"/>
    <s v="Decaf"/>
    <n v="200"/>
    <n v="410"/>
    <n v="310"/>
    <n v="610"/>
    <n v="270"/>
    <n v="1781"/>
    <n v="523"/>
    <n v="102"/>
    <n v="536"/>
    <n v="786"/>
    <n v="1.2885245901639344"/>
    <n v="1.7290322580645161"/>
    <n v="1.35"/>
  </r>
  <r>
    <n v="914"/>
    <x v="18"/>
    <s v="East"/>
    <s v="Major Market"/>
    <s v="Mint"/>
    <s v="Herbal Tea"/>
    <s v="New York"/>
    <s v="Decaf"/>
    <n v="190"/>
    <n v="-40"/>
    <n v="-110"/>
    <n v="150"/>
    <n v="260"/>
    <n v="3076"/>
    <n v="-62"/>
    <n v="80"/>
    <n v="-226"/>
    <n v="196"/>
    <n v="1.3066666666666666"/>
    <n v="2.0545454545454547"/>
    <n v="1.368421052631579"/>
  </r>
  <r>
    <n v="212"/>
    <x v="18"/>
    <s v="East"/>
    <s v="Major Market"/>
    <s v="Darjeeling"/>
    <s v="Tea"/>
    <s v="New York"/>
    <s v="Regular"/>
    <n v="130"/>
    <n v="200"/>
    <n v="160"/>
    <n v="330"/>
    <n v="127"/>
    <n v="1007"/>
    <n v="185"/>
    <n v="35"/>
    <n v="190"/>
    <n v="309"/>
    <n v="0.9363636363636364"/>
    <n v="1.1875"/>
    <n v="0.97692307692307689"/>
  </r>
  <r>
    <n v="914"/>
    <x v="18"/>
    <s v="East"/>
    <s v="Major Market"/>
    <s v="Earl Grey"/>
    <s v="Tea"/>
    <s v="New York"/>
    <s v="Regular"/>
    <n v="110"/>
    <n v="160"/>
    <n v="120"/>
    <n v="270"/>
    <n v="104"/>
    <n v="952"/>
    <n v="152"/>
    <n v="29"/>
    <n v="153"/>
    <n v="254"/>
    <n v="0.94074074074074077"/>
    <n v="1.2749999999999999"/>
    <n v="0.94545454545454544"/>
  </r>
  <r>
    <n v="631"/>
    <x v="18"/>
    <s v="East"/>
    <s v="Major Market"/>
    <s v="Green Tea"/>
    <s v="Tea"/>
    <s v="New York"/>
    <s v="Regular"/>
    <n v="90"/>
    <n v="150"/>
    <n v="120"/>
    <n v="240"/>
    <n v="94"/>
    <n v="608"/>
    <n v="136"/>
    <n v="26"/>
    <n v="135"/>
    <n v="228"/>
    <n v="0.95"/>
    <n v="1.125"/>
    <n v="1.0444444444444445"/>
  </r>
  <r>
    <n v="347"/>
    <x v="18"/>
    <s v="East"/>
    <s v="Major Market"/>
    <s v="Caffe Mocha"/>
    <s v="Espresso"/>
    <s v="New York"/>
    <s v="Regular"/>
    <n v="150"/>
    <n v="-80"/>
    <n v="-240"/>
    <n v="70"/>
    <n v="162"/>
    <n v="2321"/>
    <n v="-85"/>
    <n v="147"/>
    <n v="-367"/>
    <n v="76"/>
    <n v="1.0857142857142856"/>
    <n v="1.5291666666666666"/>
    <n v="1.08"/>
  </r>
  <r>
    <n v="631"/>
    <x v="18"/>
    <s v="East"/>
    <s v="Major Market"/>
    <s v="Regular Espresso"/>
    <s v="Espresso"/>
    <s v="New York"/>
    <s v="Regular"/>
    <n v="250"/>
    <n v="280"/>
    <n v="190"/>
    <n v="530"/>
    <n v="266"/>
    <n v="1355"/>
    <n v="280"/>
    <n v="74"/>
    <n v="251"/>
    <n v="541"/>
    <n v="1.0207547169811322"/>
    <n v="1.3210526315789475"/>
    <n v="1.0640000000000001"/>
  </r>
  <r>
    <n v="716"/>
    <x v="18"/>
    <s v="East"/>
    <s v="Major Market"/>
    <s v="Columbian"/>
    <s v="Coffee"/>
    <s v="New York"/>
    <s v="Regular"/>
    <n v="340"/>
    <n v="520"/>
    <n v="370"/>
    <n v="860"/>
    <n v="364"/>
    <n v="2654"/>
    <n v="548"/>
    <n v="127"/>
    <n v="511"/>
    <n v="904"/>
    <n v="1.0511627906976744"/>
    <n v="1.3810810810810812"/>
    <n v="1.0705882352941176"/>
  </r>
  <r>
    <n v="337"/>
    <x v="18"/>
    <s v="South"/>
    <s v="Small Market"/>
    <s v="Chamomile"/>
    <s v="Herbal Tea"/>
    <s v="Louisiana"/>
    <s v="Decaf"/>
    <n v="40"/>
    <n v="60"/>
    <n v="40"/>
    <n v="100"/>
    <n v="46"/>
    <n v="587"/>
    <n v="60"/>
    <n v="15"/>
    <n v="44"/>
    <n v="105"/>
    <n v="1.05"/>
    <n v="1.1000000000000001"/>
    <n v="1.1499999999999999"/>
  </r>
  <r>
    <n v="985"/>
    <x v="18"/>
    <s v="South"/>
    <s v="Small Market"/>
    <s v="Lemon"/>
    <s v="Herbal Tea"/>
    <s v="Louisiana"/>
    <s v="Decaf"/>
    <n v="70"/>
    <n v="90"/>
    <n v="40"/>
    <n v="160"/>
    <n v="76"/>
    <n v="613"/>
    <n v="93"/>
    <n v="28"/>
    <n v="43"/>
    <n v="167"/>
    <n v="1.04375"/>
    <n v="1.075"/>
    <n v="1.0857142857142856"/>
  </r>
  <r>
    <n v="337"/>
    <x v="18"/>
    <s v="South"/>
    <s v="Small Market"/>
    <s v="Columbian"/>
    <s v="Coffee"/>
    <s v="Louisiana"/>
    <s v="Regular"/>
    <n v="50"/>
    <n v="70"/>
    <n v="50"/>
    <n v="120"/>
    <n v="40"/>
    <n v="843"/>
    <n v="59"/>
    <n v="11"/>
    <n v="50"/>
    <n v="98"/>
    <n v="0.81666666666666665"/>
    <n v="1"/>
    <n v="0.8"/>
  </r>
  <r>
    <n v="504"/>
    <x v="18"/>
    <s v="South"/>
    <s v="Small Market"/>
    <s v="Decaf Irish Cream"/>
    <s v="Coffee"/>
    <s v="Louisiana"/>
    <s v="Decaf"/>
    <n v="70"/>
    <n v="110"/>
    <n v="90"/>
    <n v="180"/>
    <n v="59"/>
    <n v="870"/>
    <n v="85"/>
    <n v="16"/>
    <n v="80"/>
    <n v="143"/>
    <n v="0.7944444444444444"/>
    <n v="0.88888888888888884"/>
    <n v="0.84285714285714286"/>
  </r>
  <r>
    <n v="225"/>
    <x v="18"/>
    <s v="South"/>
    <s v="Small Market"/>
    <s v="Caffe Latte"/>
    <s v="Espresso"/>
    <s v="Louisiana"/>
    <s v="Regular"/>
    <n v="40"/>
    <n v="50"/>
    <n v="0"/>
    <n v="90"/>
    <n v="47"/>
    <n v="-395"/>
    <n v="66"/>
    <n v="42"/>
    <n v="-8"/>
    <n v="112"/>
    <n v="1.2444444444444445"/>
    <m/>
    <n v="1.175"/>
  </r>
  <r>
    <n v="318"/>
    <x v="18"/>
    <s v="South"/>
    <s v="Small Market"/>
    <s v="Caffe Mocha"/>
    <s v="Espresso"/>
    <s v="Louisiana"/>
    <s v="Regular"/>
    <n v="30"/>
    <n v="50"/>
    <n v="30"/>
    <n v="80"/>
    <n v="39"/>
    <n v="380"/>
    <n v="65"/>
    <n v="12"/>
    <n v="41"/>
    <n v="103"/>
    <n v="1.2875000000000001"/>
    <n v="1.3666666666666667"/>
    <n v="1.3"/>
  </r>
  <r>
    <n v="225"/>
    <x v="18"/>
    <s v="South"/>
    <s v="Small Market"/>
    <s v="Decaf Espresso"/>
    <s v="Espresso"/>
    <s v="Louisiana"/>
    <s v="Decaf"/>
    <n v="30"/>
    <n v="40"/>
    <n v="20"/>
    <n v="70"/>
    <n v="36"/>
    <n v="462"/>
    <n v="54"/>
    <n v="11"/>
    <n v="29"/>
    <n v="89"/>
    <n v="1.2714285714285714"/>
    <n v="1.45"/>
    <n v="1.2"/>
  </r>
  <r>
    <n v="505"/>
    <x v="18"/>
    <s v="South"/>
    <s v="Small Market"/>
    <s v="Chamomile"/>
    <s v="Herbal Tea"/>
    <s v="New Mexico"/>
    <s v="Decaf"/>
    <n v="20"/>
    <n v="30"/>
    <n v="20"/>
    <n v="50"/>
    <n v="25"/>
    <n v="854"/>
    <n v="36"/>
    <n v="7"/>
    <n v="23"/>
    <n v="60"/>
    <n v="1.2"/>
    <n v="1.1499999999999999"/>
    <n v="1.25"/>
  </r>
  <r>
    <n v="505"/>
    <x v="18"/>
    <s v="South"/>
    <s v="Small Market"/>
    <s v="Lemon"/>
    <s v="Herbal Tea"/>
    <s v="New Mexico"/>
    <s v="Decaf"/>
    <n v="30"/>
    <n v="40"/>
    <n v="20"/>
    <n v="70"/>
    <n v="34"/>
    <n v="1010"/>
    <n v="41"/>
    <n v="10"/>
    <n v="14"/>
    <n v="74"/>
    <n v="1.0571428571428572"/>
    <n v="0.7"/>
    <n v="1.1333333333333333"/>
  </r>
  <r>
    <n v="505"/>
    <x v="18"/>
    <s v="South"/>
    <s v="Small Market"/>
    <s v="Columbian"/>
    <s v="Coffee"/>
    <s v="New Mexico"/>
    <s v="Regular"/>
    <n v="80"/>
    <n v="120"/>
    <n v="70"/>
    <n v="200"/>
    <n v="64"/>
    <n v="467"/>
    <n v="96"/>
    <n v="21"/>
    <n v="61"/>
    <n v="159"/>
    <n v="0.79500000000000004"/>
    <n v="0.87142857142857144"/>
    <n v="0.8"/>
  </r>
  <r>
    <n v="505"/>
    <x v="18"/>
    <s v="South"/>
    <s v="Small Market"/>
    <s v="Decaf Irish Cream"/>
    <s v="Coffee"/>
    <s v="New Mexico"/>
    <s v="Decaf"/>
    <n v="150"/>
    <n v="60"/>
    <n v="10"/>
    <n v="210"/>
    <n v="120"/>
    <n v="1334"/>
    <n v="49"/>
    <n v="37"/>
    <n v="-15"/>
    <n v="167"/>
    <n v="0.79523809523809519"/>
    <n v="-1.5"/>
    <n v="0.8"/>
  </r>
  <r>
    <n v="505"/>
    <x v="18"/>
    <s v="South"/>
    <s v="Small Market"/>
    <s v="Caffe Latte"/>
    <s v="Espresso"/>
    <s v="New Mexico"/>
    <s v="Regular"/>
    <n v="30"/>
    <n v="40"/>
    <n v="10"/>
    <n v="70"/>
    <n v="40"/>
    <n v="-258"/>
    <n v="49"/>
    <n v="15"/>
    <n v="1"/>
    <n v="88"/>
    <n v="1.2571428571428571"/>
    <n v="0.1"/>
    <n v="1.3333333333333333"/>
  </r>
  <r>
    <n v="505"/>
    <x v="18"/>
    <s v="South"/>
    <s v="Small Market"/>
    <s v="Caffe Mocha"/>
    <s v="Espresso"/>
    <s v="New Mexico"/>
    <s v="Regular"/>
    <n v="50"/>
    <n v="70"/>
    <n v="0"/>
    <n v="120"/>
    <n v="59"/>
    <n v="338"/>
    <n v="82"/>
    <n v="53"/>
    <n v="-1"/>
    <n v="140"/>
    <n v="1.1666666666666667"/>
    <m/>
    <n v="1.18"/>
  </r>
  <r>
    <n v="505"/>
    <x v="18"/>
    <s v="South"/>
    <s v="Small Market"/>
    <s v="Decaf Espresso"/>
    <s v="Espresso"/>
    <s v="New Mexico"/>
    <s v="Decaf"/>
    <n v="30"/>
    <n v="50"/>
    <n v="20"/>
    <n v="80"/>
    <n v="44"/>
    <n v="258"/>
    <n v="59"/>
    <n v="14"/>
    <n v="25"/>
    <n v="102"/>
    <n v="1.2749999999999999"/>
    <n v="1.25"/>
    <n v="1.4666666666666666"/>
  </r>
  <r>
    <n v="580"/>
    <x v="18"/>
    <s v="South"/>
    <s v="Small Market"/>
    <s v="Chamomile"/>
    <s v="Herbal Tea"/>
    <s v="Oklahoma"/>
    <s v="Decaf"/>
    <n v="50"/>
    <n v="80"/>
    <n v="30"/>
    <n v="130"/>
    <n v="59"/>
    <n v="403"/>
    <n v="74"/>
    <n v="22"/>
    <n v="26"/>
    <n v="132"/>
    <n v="1.0153846153846153"/>
    <n v="0.8666666666666667"/>
    <n v="1.18"/>
  </r>
  <r>
    <n v="405"/>
    <x v="18"/>
    <s v="South"/>
    <s v="Small Market"/>
    <s v="Lemon"/>
    <s v="Herbal Tea"/>
    <s v="Oklahoma"/>
    <s v="Decaf"/>
    <n v="110"/>
    <n v="180"/>
    <n v="60"/>
    <n v="290"/>
    <n v="124"/>
    <n v="717"/>
    <n v="173"/>
    <n v="112"/>
    <n v="44"/>
    <n v="294"/>
    <n v="1.0137931034482759"/>
    <n v="0.73333333333333328"/>
    <n v="1.1272727272727272"/>
  </r>
  <r>
    <n v="580"/>
    <x v="18"/>
    <s v="South"/>
    <s v="Small Market"/>
    <s v="Columbian"/>
    <s v="Coffee"/>
    <s v="Oklahoma"/>
    <s v="Regular"/>
    <n v="50"/>
    <n v="60"/>
    <n v="40"/>
    <n v="110"/>
    <n v="41"/>
    <n v="592"/>
    <n v="53"/>
    <n v="13"/>
    <n v="39"/>
    <n v="93"/>
    <n v="0.84545454545454546"/>
    <n v="0.97499999999999998"/>
    <n v="0.82"/>
  </r>
  <r>
    <n v="918"/>
    <x v="18"/>
    <s v="South"/>
    <s v="Small Market"/>
    <s v="Decaf Irish Cream"/>
    <s v="Coffee"/>
    <s v="Oklahoma"/>
    <s v="Decaf"/>
    <n v="20"/>
    <n v="50"/>
    <n v="40"/>
    <n v="70"/>
    <n v="23"/>
    <n v="868"/>
    <n v="34"/>
    <n v="6"/>
    <n v="22"/>
    <n v="56"/>
    <n v="0.8"/>
    <n v="0.55000000000000004"/>
    <n v="1.1499999999999999"/>
  </r>
  <r>
    <n v="405"/>
    <x v="18"/>
    <s v="South"/>
    <s v="Small Market"/>
    <s v="Caffe Latte"/>
    <s v="Espresso"/>
    <s v="Oklahoma"/>
    <s v="Regular"/>
    <n v="120"/>
    <n v="160"/>
    <n v="110"/>
    <n v="280"/>
    <n v="141"/>
    <n v="-942"/>
    <n v="195"/>
    <n v="43"/>
    <n v="177"/>
    <n v="333"/>
    <n v="1.1892857142857143"/>
    <n v="1.6090909090909091"/>
    <n v="1.175"/>
  </r>
  <r>
    <n v="918"/>
    <x v="18"/>
    <s v="South"/>
    <s v="Small Market"/>
    <s v="Caffe Mocha"/>
    <s v="Espresso"/>
    <s v="Oklahoma"/>
    <s v="Regular"/>
    <n v="10"/>
    <n v="20"/>
    <n v="20"/>
    <n v="30"/>
    <n v="18"/>
    <n v="486"/>
    <n v="26"/>
    <n v="5"/>
    <n v="12"/>
    <n v="44"/>
    <n v="1.4666666666666666"/>
    <n v="0.6"/>
    <n v="1.8"/>
  </r>
  <r>
    <n v="405"/>
    <x v="18"/>
    <s v="South"/>
    <s v="Small Market"/>
    <s v="Decaf Espresso"/>
    <s v="Espresso"/>
    <s v="Oklahoma"/>
    <s v="Decaf"/>
    <n v="90"/>
    <n v="150"/>
    <n v="100"/>
    <n v="240"/>
    <n v="114"/>
    <n v="822"/>
    <n v="172"/>
    <n v="37"/>
    <n v="142"/>
    <n v="283"/>
    <n v="1.1791666666666667"/>
    <n v="1.42"/>
    <n v="1.2666666666666666"/>
  </r>
  <r>
    <n v="214"/>
    <x v="18"/>
    <s v="South"/>
    <s v="Major Market"/>
    <s v="Chamomile"/>
    <s v="Herbal Tea"/>
    <s v="Texas"/>
    <s v="Decaf"/>
    <n v="40"/>
    <n v="60"/>
    <n v="30"/>
    <n v="100"/>
    <n v="47"/>
    <n v="420"/>
    <n v="63"/>
    <n v="15"/>
    <n v="28"/>
    <n v="109"/>
    <n v="1.0900000000000001"/>
    <n v="0.93333333333333335"/>
    <n v="1.175"/>
  </r>
  <r>
    <n v="254"/>
    <x v="18"/>
    <s v="South"/>
    <s v="Major Market"/>
    <s v="Lemon"/>
    <s v="Herbal Tea"/>
    <s v="Texas"/>
    <s v="Decaf"/>
    <n v="30"/>
    <n v="50"/>
    <n v="30"/>
    <n v="80"/>
    <n v="34"/>
    <n v="432"/>
    <n v="51"/>
    <n v="10"/>
    <n v="26"/>
    <n v="84"/>
    <n v="1.05"/>
    <n v="0.8666666666666667"/>
    <n v="1.1333333333333333"/>
  </r>
  <r>
    <n v="972"/>
    <x v="18"/>
    <s v="South"/>
    <s v="Major Market"/>
    <s v="Columbian"/>
    <s v="Coffee"/>
    <s v="Texas"/>
    <s v="Regular"/>
    <n v="320"/>
    <n v="380"/>
    <n v="290"/>
    <n v="700"/>
    <n v="260"/>
    <n v="1319"/>
    <n v="307"/>
    <n v="80"/>
    <n v="284"/>
    <n v="562"/>
    <n v="0.80285714285714282"/>
    <n v="0.97931034482758617"/>
    <n v="0.8125"/>
  </r>
  <r>
    <n v="806"/>
    <x v="18"/>
    <s v="South"/>
    <s v="Major Market"/>
    <s v="Decaf Irish Cream"/>
    <s v="Coffee"/>
    <s v="Texas"/>
    <s v="Decaf"/>
    <n v="100"/>
    <n v="140"/>
    <n v="110"/>
    <n v="240"/>
    <n v="87"/>
    <n v="564"/>
    <n v="112"/>
    <n v="28"/>
    <n v="98"/>
    <n v="197"/>
    <n v="0.8208333333333333"/>
    <n v="0.89090909090909087"/>
    <n v="0.87"/>
  </r>
  <r>
    <n v="682"/>
    <x v="18"/>
    <s v="South"/>
    <s v="Major Market"/>
    <s v="Caffe Latte"/>
    <s v="Espresso"/>
    <s v="Texas"/>
    <s v="Regular"/>
    <n v="40"/>
    <n v="70"/>
    <n v="40"/>
    <n v="110"/>
    <n v="52"/>
    <n v="-456"/>
    <n v="79"/>
    <n v="17"/>
    <n v="41"/>
    <n v="130"/>
    <n v="1.1818181818181819"/>
    <n v="1.0249999999999999"/>
    <n v="1.3"/>
  </r>
  <r>
    <n v="979"/>
    <x v="18"/>
    <s v="South"/>
    <s v="Major Market"/>
    <s v="Caffe Mocha"/>
    <s v="Espresso"/>
    <s v="Texas"/>
    <s v="Regular"/>
    <n v="80"/>
    <n v="140"/>
    <n v="120"/>
    <n v="220"/>
    <n v="104"/>
    <n v="952"/>
    <n v="152"/>
    <n v="29"/>
    <n v="155"/>
    <n v="254"/>
    <n v="1.1545454545454545"/>
    <n v="1.2916666666666667"/>
    <n v="1.3"/>
  </r>
  <r>
    <n v="254"/>
    <x v="18"/>
    <s v="South"/>
    <s v="Major Market"/>
    <s v="Decaf Espresso"/>
    <s v="Espresso"/>
    <s v="Texas"/>
    <s v="Decaf"/>
    <n v="80"/>
    <n v="110"/>
    <n v="90"/>
    <n v="190"/>
    <n v="94"/>
    <n v="608"/>
    <n v="136"/>
    <n v="26"/>
    <n v="135"/>
    <n v="228"/>
    <n v="1.2"/>
    <n v="1.5"/>
    <n v="1.175"/>
  </r>
  <r>
    <n v="801"/>
    <x v="18"/>
    <s v="West"/>
    <s v="Small Market"/>
    <s v="Earl Grey"/>
    <s v="Tea"/>
    <s v="Utah"/>
    <s v="Regular"/>
    <n v="20"/>
    <n v="50"/>
    <n v="30"/>
    <n v="70"/>
    <n v="44"/>
    <n v="258"/>
    <n v="59"/>
    <n v="14"/>
    <n v="23"/>
    <n v="102"/>
    <n v="1.4571428571428571"/>
    <n v="0.76666666666666672"/>
    <n v="2.2000000000000002"/>
  </r>
  <r>
    <n v="435"/>
    <x v="18"/>
    <s v="West"/>
    <s v="Small Market"/>
    <s v="Green Tea"/>
    <s v="Tea"/>
    <s v="Utah"/>
    <s v="Regular"/>
    <n v="20"/>
    <n v="40"/>
    <n v="20"/>
    <n v="60"/>
    <n v="40"/>
    <n v="219"/>
    <n v="49"/>
    <n v="15"/>
    <n v="1"/>
    <n v="88"/>
    <n v="1.4666666666666666"/>
    <n v="0.05"/>
    <n v="2"/>
  </r>
  <r>
    <n v="435"/>
    <x v="18"/>
    <s v="West"/>
    <s v="Small Market"/>
    <s v="Chamomile"/>
    <s v="Herbal Tea"/>
    <s v="Utah"/>
    <s v="Decaf"/>
    <n v="50"/>
    <n v="80"/>
    <n v="60"/>
    <n v="130"/>
    <n v="61"/>
    <n v="329"/>
    <n v="90"/>
    <n v="19"/>
    <n v="66"/>
    <n v="150"/>
    <n v="1.1538461538461537"/>
    <n v="1.1000000000000001"/>
    <n v="1.22"/>
  </r>
  <r>
    <n v="435"/>
    <x v="18"/>
    <s v="West"/>
    <s v="Small Market"/>
    <s v="Lemon"/>
    <s v="Herbal Tea"/>
    <s v="Utah"/>
    <s v="Decaf"/>
    <n v="50"/>
    <n v="90"/>
    <n v="60"/>
    <n v="140"/>
    <n v="64"/>
    <n v="467"/>
    <n v="96"/>
    <n v="21"/>
    <n v="61"/>
    <n v="159"/>
    <n v="1.1357142857142857"/>
    <n v="1.0166666666666666"/>
    <n v="1.28"/>
  </r>
  <r>
    <n v="801"/>
    <x v="18"/>
    <s v="West"/>
    <s v="Small Market"/>
    <s v="Mint"/>
    <s v="Herbal Tea"/>
    <s v="Utah"/>
    <s v="Decaf"/>
    <n v="100"/>
    <n v="40"/>
    <n v="-10"/>
    <n v="140"/>
    <n v="120"/>
    <n v="1334"/>
    <n v="49"/>
    <n v="37"/>
    <n v="-17"/>
    <n v="167"/>
    <n v="1.1928571428571428"/>
    <n v="1.7"/>
    <n v="1.2"/>
  </r>
  <r>
    <n v="801"/>
    <x v="18"/>
    <s v="West"/>
    <s v="Small Market"/>
    <s v="Darjeeling"/>
    <s v="Tea"/>
    <s v="Utah"/>
    <s v="Regular"/>
    <n v="30"/>
    <n v="60"/>
    <n v="10"/>
    <n v="90"/>
    <n v="59"/>
    <n v="338"/>
    <n v="82"/>
    <n v="53"/>
    <n v="0"/>
    <n v="140"/>
    <n v="1.5555555555555556"/>
    <n v="0"/>
    <n v="1.9666666666666666"/>
  </r>
  <r>
    <n v="801"/>
    <x v="18"/>
    <s v="West"/>
    <s v="Small Market"/>
    <s v="Amaretto"/>
    <s v="Coffee"/>
    <s v="Utah"/>
    <s v="Regular"/>
    <n v="70"/>
    <n v="90"/>
    <n v="60"/>
    <n v="160"/>
    <n v="60"/>
    <n v="1070"/>
    <n v="72"/>
    <n v="18"/>
    <n v="44"/>
    <n v="131"/>
    <n v="0.81874999999999998"/>
    <n v="0.73333333333333328"/>
    <n v="0.8571428571428571"/>
  </r>
  <r>
    <n v="435"/>
    <x v="18"/>
    <s v="West"/>
    <s v="Small Market"/>
    <s v="Columbian"/>
    <s v="Coffee"/>
    <s v="Utah"/>
    <s v="Regular"/>
    <n v="50"/>
    <n v="70"/>
    <n v="40"/>
    <n v="120"/>
    <n v="43"/>
    <n v="388"/>
    <n v="57"/>
    <n v="14"/>
    <n v="22"/>
    <n v="99"/>
    <n v="0.82499999999999996"/>
    <n v="0.55000000000000004"/>
    <n v="0.86"/>
  </r>
  <r>
    <n v="435"/>
    <x v="18"/>
    <s v="West"/>
    <s v="Small Market"/>
    <s v="Decaf Irish Cream"/>
    <s v="Coffee"/>
    <s v="Utah"/>
    <s v="Decaf"/>
    <n v="90"/>
    <n v="120"/>
    <n v="70"/>
    <n v="210"/>
    <n v="76"/>
    <n v="613"/>
    <n v="93"/>
    <n v="28"/>
    <n v="43"/>
    <n v="167"/>
    <n v="0.79523809523809519"/>
    <n v="0.61428571428571432"/>
    <n v="0.84444444444444444"/>
  </r>
  <r>
    <n v="435"/>
    <x v="18"/>
    <s v="West"/>
    <s v="Small Market"/>
    <s v="Caffe Latte"/>
    <s v="Espresso"/>
    <s v="Utah"/>
    <s v="Regular"/>
    <n v="30"/>
    <n v="60"/>
    <n v="50"/>
    <n v="90"/>
    <n v="39"/>
    <n v="845"/>
    <n v="57"/>
    <n v="10"/>
    <n v="50"/>
    <n v="95"/>
    <n v="1.0555555555555556"/>
    <n v="1"/>
    <n v="1.3"/>
  </r>
  <r>
    <n v="435"/>
    <x v="18"/>
    <s v="West"/>
    <s v="Small Market"/>
    <s v="Caffe Mocha"/>
    <s v="Espresso"/>
    <s v="Utah"/>
    <s v="Regular"/>
    <n v="40"/>
    <n v="60"/>
    <n v="40"/>
    <n v="100"/>
    <n v="46"/>
    <n v="587"/>
    <n v="60"/>
    <n v="15"/>
    <n v="44"/>
    <n v="105"/>
    <n v="1.05"/>
    <n v="1.1000000000000001"/>
    <n v="1.1499999999999999"/>
  </r>
  <r>
    <n v="435"/>
    <x v="18"/>
    <s v="West"/>
    <s v="Small Market"/>
    <s v="Decaf Espresso"/>
    <s v="Espresso"/>
    <s v="Utah"/>
    <s v="Decaf"/>
    <n v="30"/>
    <n v="50"/>
    <n v="40"/>
    <n v="80"/>
    <n v="35"/>
    <n v="894"/>
    <n v="52"/>
    <n v="9"/>
    <n v="43"/>
    <n v="86"/>
    <n v="1.075"/>
    <n v="1.075"/>
    <n v="1.1666666666666667"/>
  </r>
  <r>
    <n v="707"/>
    <x v="18"/>
    <s v="West"/>
    <s v="Major Market"/>
    <s v="Earl Grey"/>
    <s v="Tea"/>
    <s v="California"/>
    <s v="Regular"/>
    <n v="60"/>
    <n v="90"/>
    <n v="80"/>
    <n v="150"/>
    <n v="94"/>
    <n v="608"/>
    <n v="136"/>
    <n v="26"/>
    <n v="135"/>
    <n v="228"/>
    <n v="1.52"/>
    <n v="1.6875"/>
    <n v="1.5666666666666667"/>
  </r>
  <r>
    <n v="949"/>
    <x v="18"/>
    <s v="West"/>
    <s v="Major Market"/>
    <s v="Green Tea"/>
    <s v="Tea"/>
    <s v="California"/>
    <s v="Regular"/>
    <n v="30"/>
    <n v="50"/>
    <n v="20"/>
    <n v="80"/>
    <n v="52"/>
    <n v="668"/>
    <n v="79"/>
    <n v="17"/>
    <n v="41"/>
    <n v="130"/>
    <n v="1.625"/>
    <n v="2.0499999999999998"/>
    <n v="1.7333333333333334"/>
  </r>
  <r>
    <n v="619"/>
    <x v="18"/>
    <s v="West"/>
    <s v="Major Market"/>
    <s v="Chamomile"/>
    <s v="Herbal Tea"/>
    <s v="California"/>
    <s v="Decaf"/>
    <n v="100"/>
    <n v="170"/>
    <n v="150"/>
    <n v="270"/>
    <n v="127"/>
    <n v="1007"/>
    <n v="185"/>
    <n v="35"/>
    <n v="192"/>
    <n v="309"/>
    <n v="1.1444444444444444"/>
    <n v="1.28"/>
    <n v="1.27"/>
  </r>
  <r>
    <n v="714"/>
    <x v="18"/>
    <s v="West"/>
    <s v="Major Market"/>
    <s v="Lemon"/>
    <s v="Herbal Tea"/>
    <s v="California"/>
    <s v="Decaf"/>
    <n v="220"/>
    <n v="270"/>
    <n v="200"/>
    <n v="490"/>
    <n v="260"/>
    <n v="1319"/>
    <n v="307"/>
    <n v="80"/>
    <n v="283"/>
    <n v="562"/>
    <n v="1.1469387755102041"/>
    <n v="1.415"/>
    <n v="1.1818181818181819"/>
  </r>
  <r>
    <n v="909"/>
    <x v="18"/>
    <s v="West"/>
    <s v="Major Market"/>
    <s v="Mint"/>
    <s v="Herbal Tea"/>
    <s v="California"/>
    <s v="Decaf"/>
    <n v="70"/>
    <n v="100"/>
    <n v="70"/>
    <n v="170"/>
    <n v="87"/>
    <n v="564"/>
    <n v="112"/>
    <n v="28"/>
    <n v="99"/>
    <n v="197"/>
    <n v="1.1588235294117648"/>
    <n v="1.4142857142857144"/>
    <n v="1.2428571428571429"/>
  </r>
  <r>
    <n v="619"/>
    <x v="18"/>
    <s v="West"/>
    <s v="Major Market"/>
    <s v="Darjeeling"/>
    <s v="Tea"/>
    <s v="California"/>
    <s v="Regular"/>
    <n v="60"/>
    <n v="110"/>
    <n v="100"/>
    <n v="170"/>
    <n v="104"/>
    <n v="952"/>
    <n v="152"/>
    <n v="29"/>
    <n v="155"/>
    <n v="254"/>
    <n v="1.4941176470588236"/>
    <n v="1.55"/>
    <n v="1.7333333333333334"/>
  </r>
  <r>
    <n v="661"/>
    <x v="18"/>
    <s v="West"/>
    <s v="Major Market"/>
    <s v="Amaretto"/>
    <s v="Coffee"/>
    <s v="California"/>
    <s v="Regular"/>
    <n v="190"/>
    <n v="-90"/>
    <n v="-150"/>
    <n v="100"/>
    <n v="154"/>
    <n v="1832"/>
    <n v="-67"/>
    <n v="49"/>
    <n v="-190"/>
    <n v="86"/>
    <n v="0.86"/>
    <n v="1.2666666666666666"/>
    <n v="0.81052631578947365"/>
  </r>
  <r>
    <n v="650"/>
    <x v="18"/>
    <s v="West"/>
    <s v="Major Market"/>
    <s v="Columbian"/>
    <s v="Coffee"/>
    <s v="California"/>
    <s v="Regular"/>
    <n v="450"/>
    <n v="690"/>
    <n v="530"/>
    <n v="1140"/>
    <n v="364"/>
    <n v="2654"/>
    <n v="548"/>
    <n v="127"/>
    <n v="511"/>
    <n v="904"/>
    <n v="0.7929824561403509"/>
    <n v="0.96415094339622642"/>
    <n v="0.80888888888888888"/>
  </r>
  <r>
    <n v="909"/>
    <x v="18"/>
    <s v="West"/>
    <s v="Major Market"/>
    <s v="Decaf Irish Cream"/>
    <s v="Coffee"/>
    <s v="California"/>
    <s v="Decaf"/>
    <n v="290"/>
    <n v="-40"/>
    <n v="-150"/>
    <n v="250"/>
    <n v="238"/>
    <n v="2797"/>
    <n v="-36"/>
    <n v="78"/>
    <n v="-217"/>
    <n v="200"/>
    <n v="0.8"/>
    <n v="1.4466666666666668"/>
    <n v="0.82068965517241377"/>
  </r>
  <r>
    <n v="213"/>
    <x v="18"/>
    <s v="West"/>
    <s v="Major Market"/>
    <s v="Caffe Latte"/>
    <s v="Espresso"/>
    <s v="California"/>
    <s v="Regular"/>
    <n v="250"/>
    <n v="260"/>
    <n v="170"/>
    <n v="510"/>
    <n v="266"/>
    <n v="1819"/>
    <n v="266"/>
    <n v="74"/>
    <n v="230"/>
    <n v="527"/>
    <n v="1.0333333333333334"/>
    <n v="1.3529411764705883"/>
    <n v="1.0640000000000001"/>
  </r>
  <r>
    <n v="408"/>
    <x v="18"/>
    <s v="West"/>
    <s v="Major Market"/>
    <s v="Caffe Mocha"/>
    <s v="Espresso"/>
    <s v="California"/>
    <s v="Regular"/>
    <n v="150"/>
    <n v="220"/>
    <n v="60"/>
    <n v="370"/>
    <n v="162"/>
    <n v="943"/>
    <n v="225"/>
    <n v="147"/>
    <n v="62"/>
    <n v="384"/>
    <n v="1.0378378378378379"/>
    <n v="1.0333333333333334"/>
    <n v="1.08"/>
  </r>
  <r>
    <n v="562"/>
    <x v="18"/>
    <s v="West"/>
    <s v="Major Market"/>
    <s v="Decaf Espresso"/>
    <s v="Espresso"/>
    <s v="California"/>
    <s v="Decaf"/>
    <n v="270"/>
    <n v="380"/>
    <n v="260"/>
    <n v="650"/>
    <n v="291"/>
    <n v="1742"/>
    <n v="387"/>
    <n v="96"/>
    <n v="357"/>
    <n v="672"/>
    <n v="1.0338461538461539"/>
    <n v="1.3730769230769231"/>
    <n v="1.0777777777777777"/>
  </r>
  <r>
    <n v="702"/>
    <x v="18"/>
    <s v="West"/>
    <s v="Small Market"/>
    <s v="Darjeeling"/>
    <s v="Tea"/>
    <s v="Nevada"/>
    <s v="Regular"/>
    <n v="190"/>
    <n v="270"/>
    <n v="190"/>
    <n v="460"/>
    <n v="291"/>
    <n v="1742"/>
    <n v="387"/>
    <n v="96"/>
    <n v="356"/>
    <n v="672"/>
    <n v="1.4608695652173913"/>
    <n v="1.8736842105263158"/>
    <n v="1.5315789473684212"/>
  </r>
  <r>
    <n v="702"/>
    <x v="18"/>
    <s v="West"/>
    <s v="Small Market"/>
    <s v="Earl Grey"/>
    <s v="Tea"/>
    <s v="Nevada"/>
    <s v="Regular"/>
    <n v="170"/>
    <n v="190"/>
    <n v="130"/>
    <n v="360"/>
    <n v="266"/>
    <n v="1819"/>
    <n v="266"/>
    <n v="74"/>
    <n v="232"/>
    <n v="527"/>
    <n v="1.4638888888888888"/>
    <n v="1.7846153846153847"/>
    <n v="1.5647058823529412"/>
  </r>
  <r>
    <n v="775"/>
    <x v="18"/>
    <s v="West"/>
    <s v="Small Market"/>
    <s v="Green Tea"/>
    <s v="Tea"/>
    <s v="Nevada"/>
    <s v="Regular"/>
    <n v="170"/>
    <n v="-170"/>
    <n v="-250"/>
    <n v="0"/>
    <n v="270"/>
    <n v="5230"/>
    <n v="-270"/>
    <n v="102"/>
    <n v="-522"/>
    <n v="27"/>
    <m/>
    <n v="2.0880000000000001"/>
    <n v="1.588235294117647"/>
  </r>
  <r>
    <n v="702"/>
    <x v="18"/>
    <s v="West"/>
    <s v="Small Market"/>
    <s v="Chamomile"/>
    <s v="Herbal Tea"/>
    <s v="Nevada"/>
    <s v="Decaf"/>
    <n v="130"/>
    <n v="210"/>
    <n v="70"/>
    <n v="340"/>
    <n v="162"/>
    <n v="943"/>
    <n v="225"/>
    <n v="147"/>
    <n v="62"/>
    <n v="384"/>
    <n v="1.1294117647058823"/>
    <n v="0.88571428571428568"/>
    <n v="1.2461538461538462"/>
  </r>
  <r>
    <n v="702"/>
    <x v="18"/>
    <s v="West"/>
    <s v="Small Market"/>
    <s v="Lemon"/>
    <s v="Herbal Tea"/>
    <s v="Nevada"/>
    <s v="Decaf"/>
    <n v="200"/>
    <n v="290"/>
    <n v="200"/>
    <n v="490"/>
    <n v="238"/>
    <n v="1190"/>
    <n v="329"/>
    <n v="78"/>
    <n v="287"/>
    <n v="562"/>
    <n v="1.1469387755102041"/>
    <n v="1.4350000000000001"/>
    <n v="1.19"/>
  </r>
  <r>
    <n v="702"/>
    <x v="18"/>
    <s v="West"/>
    <s v="Small Market"/>
    <s v="Mint"/>
    <s v="Herbal Tea"/>
    <s v="Nevada"/>
    <s v="Decaf"/>
    <n v="130"/>
    <n v="200"/>
    <n v="150"/>
    <n v="330"/>
    <n v="154"/>
    <n v="833"/>
    <n v="222"/>
    <n v="49"/>
    <n v="207"/>
    <n v="373"/>
    <n v="1.1303030303030304"/>
    <n v="1.38"/>
    <n v="1.1846153846153846"/>
  </r>
  <r>
    <n v="775"/>
    <x v="18"/>
    <s v="West"/>
    <s v="Small Market"/>
    <s v="Columbian"/>
    <s v="Coffee"/>
    <s v="Nevada"/>
    <s v="Regular"/>
    <n v="40"/>
    <n v="60"/>
    <n v="20"/>
    <n v="100"/>
    <n v="36"/>
    <n v="252"/>
    <n v="46"/>
    <n v="13"/>
    <n v="-1"/>
    <n v="81"/>
    <n v="0.81"/>
    <n v="-0.05"/>
    <n v="0.9"/>
  </r>
  <r>
    <n v="702"/>
    <x v="18"/>
    <s v="West"/>
    <s v="Small Market"/>
    <s v="Decaf Irish Cream"/>
    <s v="Coffee"/>
    <s v="Nevada"/>
    <s v="Decaf"/>
    <n v="40"/>
    <n v="50"/>
    <n v="30"/>
    <n v="90"/>
    <n v="34"/>
    <n v="1010"/>
    <n v="41"/>
    <n v="10"/>
    <n v="12"/>
    <n v="74"/>
    <n v="0.82222222222222219"/>
    <n v="0.4"/>
    <n v="0.85"/>
  </r>
  <r>
    <n v="775"/>
    <x v="18"/>
    <s v="West"/>
    <s v="Small Market"/>
    <s v="Caffe Latte"/>
    <s v="Espresso"/>
    <s v="Nevada"/>
    <s v="Regular"/>
    <n v="0"/>
    <n v="40"/>
    <n v="30"/>
    <n v="40"/>
    <n v="0"/>
    <n v="559"/>
    <n v="43"/>
    <n v="0"/>
    <n v="44"/>
    <n v="43"/>
    <n v="1.075"/>
    <n v="1.4666666666666666"/>
    <m/>
  </r>
  <r>
    <n v="702"/>
    <x v="18"/>
    <s v="West"/>
    <s v="Small Market"/>
    <s v="Caffe Mocha"/>
    <s v="Espresso"/>
    <s v="Nevada"/>
    <s v="Regular"/>
    <n v="20"/>
    <n v="30"/>
    <n v="20"/>
    <n v="50"/>
    <n v="25"/>
    <n v="854"/>
    <n v="36"/>
    <n v="7"/>
    <n v="23"/>
    <n v="60"/>
    <n v="1.2"/>
    <n v="1.1499999999999999"/>
    <n v="1.25"/>
  </r>
  <r>
    <n v="775"/>
    <x v="18"/>
    <s v="West"/>
    <s v="Small Market"/>
    <s v="Decaf Espresso"/>
    <s v="Espresso"/>
    <s v="Nevada"/>
    <s v="Decaf"/>
    <n v="10"/>
    <n v="30"/>
    <n v="20"/>
    <n v="40"/>
    <n v="20"/>
    <n v="808"/>
    <n v="29"/>
    <n v="5"/>
    <n v="17"/>
    <n v="49"/>
    <n v="1.2250000000000001"/>
    <n v="0.85"/>
    <n v="2"/>
  </r>
  <r>
    <n v="503"/>
    <x v="18"/>
    <s v="West"/>
    <s v="Small Market"/>
    <s v="Darjeeling"/>
    <s v="Tea"/>
    <s v="Oregon"/>
    <s v="Regular"/>
    <n v="10"/>
    <n v="10"/>
    <n v="10"/>
    <n v="20"/>
    <n v="18"/>
    <n v="486"/>
    <n v="26"/>
    <n v="5"/>
    <n v="12"/>
    <n v="44"/>
    <n v="2.2000000000000002"/>
    <n v="1.2"/>
    <n v="1.8"/>
  </r>
  <r>
    <n v="541"/>
    <x v="18"/>
    <s v="West"/>
    <s v="Small Market"/>
    <s v="Earl Grey"/>
    <s v="Tea"/>
    <s v="Oregon"/>
    <s v="Regular"/>
    <n v="70"/>
    <n v="120"/>
    <n v="80"/>
    <n v="190"/>
    <n v="114"/>
    <n v="822"/>
    <n v="172"/>
    <n v="37"/>
    <n v="144"/>
    <n v="283"/>
    <n v="1.4894736842105263"/>
    <n v="1.8"/>
    <n v="1.6285714285714286"/>
  </r>
  <r>
    <n v="541"/>
    <x v="18"/>
    <s v="West"/>
    <s v="Small Market"/>
    <s v="Green Tea"/>
    <s v="Tea"/>
    <s v="Oregon"/>
    <s v="Regular"/>
    <n v="90"/>
    <n v="130"/>
    <n v="90"/>
    <n v="220"/>
    <n v="141"/>
    <n v="692"/>
    <n v="195"/>
    <n v="43"/>
    <n v="178"/>
    <n v="333"/>
    <n v="1.5136363636363637"/>
    <n v="1.9777777777777779"/>
    <n v="1.5666666666666667"/>
  </r>
  <r>
    <n v="503"/>
    <x v="18"/>
    <s v="West"/>
    <s v="Small Market"/>
    <s v="Chamomile"/>
    <s v="Herbal Tea"/>
    <s v="Oregon"/>
    <s v="Decaf"/>
    <n v="20"/>
    <n v="40"/>
    <n v="40"/>
    <n v="60"/>
    <n v="30"/>
    <n v="829"/>
    <n v="44"/>
    <n v="8"/>
    <n v="33"/>
    <n v="73"/>
    <n v="1.2166666666666666"/>
    <n v="0.82499999999999996"/>
    <n v="1.5"/>
  </r>
  <r>
    <n v="503"/>
    <x v="18"/>
    <s v="West"/>
    <s v="Small Market"/>
    <s v="Lemon"/>
    <s v="Herbal Tea"/>
    <s v="Oregon"/>
    <s v="Decaf"/>
    <n v="30"/>
    <n v="50"/>
    <n v="30"/>
    <n v="80"/>
    <n v="41"/>
    <n v="592"/>
    <n v="53"/>
    <n v="13"/>
    <n v="37"/>
    <n v="93"/>
    <n v="1.1625000000000001"/>
    <n v="1.2333333333333334"/>
    <n v="1.3666666666666667"/>
  </r>
  <r>
    <n v="503"/>
    <x v="18"/>
    <s v="West"/>
    <s v="Small Market"/>
    <s v="Amaretto"/>
    <s v="Coffee"/>
    <s v="Oregon"/>
    <s v="Regular"/>
    <n v="40"/>
    <n v="70"/>
    <n v="20"/>
    <n v="110"/>
    <n v="39"/>
    <n v="517"/>
    <n v="56"/>
    <n v="36"/>
    <n v="-14"/>
    <n v="94"/>
    <n v="0.8545454545454545"/>
    <n v="-0.7"/>
    <n v="0.97499999999999998"/>
  </r>
  <r>
    <n v="541"/>
    <x v="18"/>
    <s v="West"/>
    <s v="Small Market"/>
    <s v="Columbian"/>
    <s v="Coffee"/>
    <s v="Oregon"/>
    <s v="Regular"/>
    <n v="40"/>
    <n v="70"/>
    <n v="20"/>
    <n v="110"/>
    <n v="39"/>
    <n v="478"/>
    <n v="55"/>
    <n v="12"/>
    <n v="0"/>
    <n v="93"/>
    <n v="0.84545454545454546"/>
    <n v="0"/>
    <n v="0.97499999999999998"/>
  </r>
  <r>
    <n v="541"/>
    <x v="18"/>
    <s v="West"/>
    <s v="Small Market"/>
    <s v="Decaf Irish Cream"/>
    <s v="Coffee"/>
    <s v="Oregon"/>
    <s v="Decaf"/>
    <n v="40"/>
    <n v="60"/>
    <n v="40"/>
    <n v="100"/>
    <n v="34"/>
    <n v="432"/>
    <n v="51"/>
    <n v="10"/>
    <n v="25"/>
    <n v="84"/>
    <n v="0.84"/>
    <n v="0.625"/>
    <n v="0.85"/>
  </r>
  <r>
    <n v="971"/>
    <x v="18"/>
    <s v="West"/>
    <s v="Small Market"/>
    <s v="Caffe Latte"/>
    <s v="Espresso"/>
    <s v="Oregon"/>
    <s v="Regular"/>
    <n v="40"/>
    <n v="70"/>
    <n v="30"/>
    <n v="110"/>
    <n v="51"/>
    <n v="419"/>
    <n v="64"/>
    <n v="19"/>
    <n v="17"/>
    <n v="114"/>
    <n v="1.0363636363636364"/>
    <n v="0.56666666666666665"/>
    <n v="1.2749999999999999"/>
  </r>
  <r>
    <n v="503"/>
    <x v="18"/>
    <s v="West"/>
    <s v="Small Market"/>
    <s v="Caffe Mocha"/>
    <s v="Espresso"/>
    <s v="Oregon"/>
    <s v="Regular"/>
    <n v="40"/>
    <n v="60"/>
    <n v="30"/>
    <n v="100"/>
    <n v="47"/>
    <n v="420"/>
    <n v="63"/>
    <n v="15"/>
    <n v="28"/>
    <n v="109"/>
    <n v="1.0900000000000001"/>
    <n v="0.93333333333333335"/>
    <n v="1.175"/>
  </r>
  <r>
    <n v="503"/>
    <x v="18"/>
    <s v="West"/>
    <s v="Small Market"/>
    <s v="Decaf Espresso"/>
    <s v="Espresso"/>
    <s v="Oregon"/>
    <s v="Decaf"/>
    <n v="130"/>
    <n v="140"/>
    <n v="90"/>
    <n v="270"/>
    <n v="145"/>
    <n v="1304"/>
    <n v="146"/>
    <n v="40"/>
    <n v="112"/>
    <n v="288"/>
    <n v="1.0666666666666667"/>
    <n v="1.2444444444444445"/>
    <n v="1.1153846153846154"/>
  </r>
  <r>
    <n v="360"/>
    <x v="18"/>
    <s v="West"/>
    <s v="Small Market"/>
    <s v="Darjeeling"/>
    <s v="Tea"/>
    <s v="Washington"/>
    <s v="Regular"/>
    <n v="20"/>
    <n v="50"/>
    <n v="30"/>
    <n v="70"/>
    <n v="39"/>
    <n v="380"/>
    <n v="65"/>
    <n v="12"/>
    <n v="40"/>
    <n v="103"/>
    <n v="1.4714285714285715"/>
    <n v="1.3333333333333333"/>
    <n v="1.95"/>
  </r>
  <r>
    <n v="509"/>
    <x v="18"/>
    <s v="West"/>
    <s v="Small Market"/>
    <s v="Earl Grey"/>
    <s v="Tea"/>
    <s v="Washington"/>
    <s v="Regular"/>
    <n v="20"/>
    <n v="40"/>
    <n v="30"/>
    <n v="60"/>
    <n v="36"/>
    <n v="462"/>
    <n v="54"/>
    <n v="11"/>
    <n v="28"/>
    <n v="89"/>
    <n v="1.4833333333333334"/>
    <n v="0.93333333333333335"/>
    <n v="1.8"/>
  </r>
  <r>
    <n v="360"/>
    <x v="18"/>
    <s v="West"/>
    <s v="Small Market"/>
    <s v="Green Tea"/>
    <s v="Tea"/>
    <s v="Washington"/>
    <s v="Regular"/>
    <n v="30"/>
    <n v="40"/>
    <n v="0"/>
    <n v="70"/>
    <n v="47"/>
    <n v="622"/>
    <n v="66"/>
    <n v="42"/>
    <n v="-7"/>
    <n v="112"/>
    <n v="1.6"/>
    <m/>
    <n v="1.5666666666666667"/>
  </r>
  <r>
    <n v="425"/>
    <x v="18"/>
    <s v="West"/>
    <s v="Small Market"/>
    <s v="Chamomile"/>
    <s v="Herbal Tea"/>
    <s v="Washington"/>
    <s v="Decaf"/>
    <n v="70"/>
    <n v="120"/>
    <n v="80"/>
    <n v="190"/>
    <n v="90"/>
    <n v="1148"/>
    <n v="135"/>
    <n v="29"/>
    <n v="104"/>
    <n v="223"/>
    <n v="1.1736842105263159"/>
    <n v="1.3"/>
    <n v="1.2857142857142858"/>
  </r>
  <r>
    <n v="425"/>
    <x v="18"/>
    <s v="West"/>
    <s v="Small Market"/>
    <s v="Lemon"/>
    <s v="Herbal Tea"/>
    <s v="Washington"/>
    <s v="Decaf"/>
    <n v="30"/>
    <n v="50"/>
    <n v="50"/>
    <n v="80"/>
    <n v="40"/>
    <n v="843"/>
    <n v="59"/>
    <n v="11"/>
    <n v="51"/>
    <n v="98"/>
    <n v="1.2250000000000001"/>
    <n v="1.02"/>
    <n v="1.3333333333333333"/>
  </r>
  <r>
    <n v="253"/>
    <x v="18"/>
    <s v="West"/>
    <s v="Small Market"/>
    <s v="Columbian"/>
    <s v="Coffee"/>
    <s v="Washington"/>
    <s v="Regular"/>
    <n v="100"/>
    <n v="160"/>
    <n v="120"/>
    <n v="260"/>
    <n v="86"/>
    <n v="463"/>
    <n v="125"/>
    <n v="27"/>
    <n v="104"/>
    <n v="209"/>
    <n v="0.80384615384615388"/>
    <n v="0.8666666666666667"/>
    <n v="0.86"/>
  </r>
  <r>
    <n v="206"/>
    <x v="18"/>
    <s v="West"/>
    <s v="Small Market"/>
    <s v="Decaf Irish Cream"/>
    <s v="Coffee"/>
    <s v="Washington"/>
    <s v="Decaf"/>
    <n v="150"/>
    <n v="220"/>
    <n v="100"/>
    <n v="370"/>
    <n v="124"/>
    <n v="717"/>
    <n v="173"/>
    <n v="112"/>
    <n v="43"/>
    <n v="294"/>
    <n v="0.79459459459459458"/>
    <n v="0.43"/>
    <n v="0.82666666666666666"/>
  </r>
  <r>
    <n v="206"/>
    <x v="18"/>
    <s v="West"/>
    <s v="Small Market"/>
    <s v="Caffe Latte"/>
    <s v="Espresso"/>
    <s v="Washington"/>
    <s v="Regular"/>
    <n v="40"/>
    <n v="70"/>
    <n v="50"/>
    <n v="110"/>
    <n v="50"/>
    <n v="587"/>
    <n v="65"/>
    <n v="16"/>
    <n v="50"/>
    <n v="114"/>
    <n v="1.0363636363636364"/>
    <n v="1"/>
    <n v="1.25"/>
  </r>
  <r>
    <n v="360"/>
    <x v="18"/>
    <s v="West"/>
    <s v="Small Market"/>
    <s v="Caffe Mocha"/>
    <s v="Espresso"/>
    <s v="Washington"/>
    <s v="Regular"/>
    <n v="50"/>
    <n v="70"/>
    <n v="20"/>
    <n v="120"/>
    <n v="59"/>
    <n v="403"/>
    <n v="74"/>
    <n v="22"/>
    <n v="25"/>
    <n v="132"/>
    <n v="1.1000000000000001"/>
    <n v="1.25"/>
    <n v="1.18"/>
  </r>
  <r>
    <n v="360"/>
    <x v="18"/>
    <s v="West"/>
    <s v="Small Market"/>
    <s v="Decaf Espresso"/>
    <s v="Espresso"/>
    <s v="Washington"/>
    <s v="Decaf"/>
    <n v="80"/>
    <n v="100"/>
    <n v="70"/>
    <n v="180"/>
    <n v="86"/>
    <n v="1081"/>
    <n v="103"/>
    <n v="26"/>
    <n v="77"/>
    <n v="187"/>
    <n v="1.038888888888889"/>
    <n v="1.1000000000000001"/>
    <n v="1.075"/>
  </r>
  <r>
    <n v="719"/>
    <x v="19"/>
    <s v="Central"/>
    <s v="Major Market"/>
    <s v="Chamomile"/>
    <s v="Herbal Tea"/>
    <s v="Colorado"/>
    <s v="Decaf"/>
    <n v="120"/>
    <n v="130"/>
    <n v="80"/>
    <n v="250"/>
    <n v="145"/>
    <n v="1292"/>
    <n v="146"/>
    <n v="40"/>
    <n v="113"/>
    <n v="288"/>
    <n v="1.1519999999999999"/>
    <n v="1.4125000000000001"/>
    <n v="1.2083333333333333"/>
  </r>
  <r>
    <n v="719"/>
    <x v="19"/>
    <s v="Central"/>
    <s v="Major Market"/>
    <s v="Lemon"/>
    <s v="Herbal Tea"/>
    <s v="Colorado"/>
    <s v="Decaf"/>
    <n v="30"/>
    <n v="40"/>
    <n v="0"/>
    <n v="70"/>
    <n v="37"/>
    <n v="513"/>
    <n v="52"/>
    <n v="33"/>
    <n v="-14"/>
    <n v="88"/>
    <n v="1.2571428571428571"/>
    <m/>
    <n v="1.2333333333333334"/>
  </r>
  <r>
    <n v="303"/>
    <x v="19"/>
    <s v="Central"/>
    <s v="Major Market"/>
    <s v="Mint"/>
    <s v="Herbal Tea"/>
    <s v="Colorado"/>
    <s v="Decaf"/>
    <n v="30"/>
    <n v="60"/>
    <n v="30"/>
    <n v="90"/>
    <n v="46"/>
    <n v="415"/>
    <n v="62"/>
    <n v="15"/>
    <n v="28"/>
    <n v="107"/>
    <n v="1.1888888888888889"/>
    <n v="0.93333333333333335"/>
    <n v="1.5333333333333334"/>
  </r>
  <r>
    <n v="720"/>
    <x v="19"/>
    <s v="Central"/>
    <s v="Major Market"/>
    <s v="Darjeeling"/>
    <s v="Tea"/>
    <s v="Colorado"/>
    <s v="Regular"/>
    <n v="40"/>
    <n v="50"/>
    <n v="10"/>
    <n v="90"/>
    <n v="49"/>
    <n v="414"/>
    <n v="60"/>
    <n v="18"/>
    <n v="12"/>
    <n v="108"/>
    <n v="1.2"/>
    <n v="1.2"/>
    <n v="1.2250000000000001"/>
  </r>
  <r>
    <n v="720"/>
    <x v="19"/>
    <s v="Central"/>
    <s v="Major Market"/>
    <s v="Earl Grey"/>
    <s v="Tea"/>
    <s v="Colorado"/>
    <s v="Regular"/>
    <n v="30"/>
    <n v="50"/>
    <n v="20"/>
    <n v="80"/>
    <n v="41"/>
    <n v="1046"/>
    <n v="50"/>
    <n v="12"/>
    <n v="22"/>
    <n v="90"/>
    <n v="1.125"/>
    <n v="1.1000000000000001"/>
    <n v="1.3666666666666667"/>
  </r>
  <r>
    <n v="720"/>
    <x v="19"/>
    <s v="Central"/>
    <s v="Major Market"/>
    <s v="Green Tea"/>
    <s v="Tea"/>
    <s v="Colorado"/>
    <s v="Regular"/>
    <n v="50"/>
    <n v="80"/>
    <n v="50"/>
    <n v="130"/>
    <n v="68"/>
    <n v="587"/>
    <n v="87"/>
    <n v="22"/>
    <n v="73"/>
    <n v="154"/>
    <n v="1.1846153846153846"/>
    <n v="1.46"/>
    <n v="1.36"/>
  </r>
  <r>
    <n v="720"/>
    <x v="19"/>
    <s v="Central"/>
    <s v="Major Market"/>
    <s v="Amaretto"/>
    <s v="Coffee"/>
    <s v="Colorado"/>
    <s v="Regular"/>
    <n v="130"/>
    <n v="180"/>
    <n v="140"/>
    <n v="310"/>
    <n v="123"/>
    <n v="941"/>
    <n v="178"/>
    <n v="34"/>
    <n v="184"/>
    <n v="298"/>
    <n v="0.96129032258064517"/>
    <n v="1.3142857142857143"/>
    <n v="0.94615384615384612"/>
  </r>
  <r>
    <n v="970"/>
    <x v="19"/>
    <s v="Central"/>
    <s v="Major Market"/>
    <s v="Columbian"/>
    <s v="Coffee"/>
    <s v="Colorado"/>
    <s v="Regular"/>
    <n v="50"/>
    <n v="70"/>
    <n v="50"/>
    <n v="120"/>
    <n v="52"/>
    <n v="554"/>
    <n v="68"/>
    <n v="17"/>
    <n v="54"/>
    <n v="119"/>
    <n v="0.9916666666666667"/>
    <n v="1.08"/>
    <n v="1.04"/>
  </r>
  <r>
    <n v="720"/>
    <x v="19"/>
    <s v="Central"/>
    <s v="Major Market"/>
    <s v="Decaf Irish Cream"/>
    <s v="Coffee"/>
    <s v="Colorado"/>
    <s v="Decaf"/>
    <n v="130"/>
    <n v="200"/>
    <n v="160"/>
    <n v="330"/>
    <n v="132"/>
    <n v="994"/>
    <n v="191"/>
    <n v="36"/>
    <n v="199"/>
    <n v="320"/>
    <n v="0.96969696969696972"/>
    <n v="1.2437499999999999"/>
    <n v="1.0153846153846153"/>
  </r>
  <r>
    <n v="719"/>
    <x v="19"/>
    <s v="Central"/>
    <s v="Major Market"/>
    <s v="Caffe Mocha"/>
    <s v="Espresso"/>
    <s v="Colorado"/>
    <s v="Regular"/>
    <n v="110"/>
    <n v="170"/>
    <n v="130"/>
    <n v="280"/>
    <n v="100"/>
    <n v="598"/>
    <n v="145"/>
    <n v="28"/>
    <n v="145"/>
    <n v="243"/>
    <n v="0.86785714285714288"/>
    <n v="1.1153846153846154"/>
    <n v="0.90909090909090906"/>
  </r>
  <r>
    <n v="720"/>
    <x v="19"/>
    <s v="Central"/>
    <s v="Major Market"/>
    <s v="Decaf Espresso"/>
    <s v="Espresso"/>
    <s v="Colorado"/>
    <s v="Decaf"/>
    <n v="60"/>
    <n v="90"/>
    <n v="50"/>
    <n v="150"/>
    <n v="52"/>
    <n v="662"/>
    <n v="79"/>
    <n v="17"/>
    <n v="41"/>
    <n v="130"/>
    <n v="0.8666666666666667"/>
    <n v="0.82"/>
    <n v="0.8666666666666667"/>
  </r>
  <r>
    <n v="815"/>
    <x v="19"/>
    <s v="Central"/>
    <s v="Major Market"/>
    <s v="Chamomile"/>
    <s v="Herbal Tea"/>
    <s v="Illinois"/>
    <s v="Decaf"/>
    <n v="100"/>
    <n v="160"/>
    <n v="140"/>
    <n v="260"/>
    <n v="123"/>
    <n v="941"/>
    <n v="178"/>
    <n v="34"/>
    <n v="182"/>
    <n v="298"/>
    <n v="1.1461538461538461"/>
    <n v="1.3"/>
    <n v="1.23"/>
  </r>
  <r>
    <n v="312"/>
    <x v="19"/>
    <s v="Central"/>
    <s v="Major Market"/>
    <s v="Lemon"/>
    <s v="Herbal Tea"/>
    <s v="Illinois"/>
    <s v="Decaf"/>
    <n v="40"/>
    <n v="60"/>
    <n v="40"/>
    <n v="100"/>
    <n v="52"/>
    <n v="554"/>
    <n v="68"/>
    <n v="17"/>
    <n v="54"/>
    <n v="119"/>
    <n v="1.19"/>
    <n v="1.35"/>
    <n v="1.3"/>
  </r>
  <r>
    <n v="312"/>
    <x v="19"/>
    <s v="Central"/>
    <s v="Major Market"/>
    <s v="Mint"/>
    <s v="Herbal Tea"/>
    <s v="Illinois"/>
    <s v="Decaf"/>
    <n v="110"/>
    <n v="170"/>
    <n v="140"/>
    <n v="280"/>
    <n v="132"/>
    <n v="994"/>
    <n v="191"/>
    <n v="36"/>
    <n v="197"/>
    <n v="320"/>
    <n v="1.1428571428571428"/>
    <n v="1.4071428571428573"/>
    <n v="1.2"/>
  </r>
  <r>
    <n v="312"/>
    <x v="19"/>
    <s v="Central"/>
    <s v="Major Market"/>
    <s v="Darjeeling"/>
    <s v="Tea"/>
    <s v="Illinois"/>
    <s v="Regular"/>
    <n v="80"/>
    <n v="130"/>
    <n v="100"/>
    <n v="210"/>
    <n v="100"/>
    <n v="598"/>
    <n v="145"/>
    <n v="28"/>
    <n v="145"/>
    <n v="243"/>
    <n v="1.1571428571428573"/>
    <n v="1.45"/>
    <n v="1.25"/>
  </r>
  <r>
    <n v="815"/>
    <x v="19"/>
    <s v="Central"/>
    <s v="Major Market"/>
    <s v="Earl Grey"/>
    <s v="Tea"/>
    <s v="Illinois"/>
    <s v="Regular"/>
    <n v="40"/>
    <n v="70"/>
    <n v="30"/>
    <n v="110"/>
    <n v="52"/>
    <n v="662"/>
    <n v="79"/>
    <n v="17"/>
    <n v="41"/>
    <n v="130"/>
    <n v="1.1818181818181819"/>
    <n v="1.3666666666666667"/>
    <n v="1.3"/>
  </r>
  <r>
    <n v="224"/>
    <x v="19"/>
    <s v="Central"/>
    <s v="Major Market"/>
    <s v="Columbian"/>
    <s v="Coffee"/>
    <s v="Illinois"/>
    <s v="Regular"/>
    <n v="200"/>
    <n v="290"/>
    <n v="190"/>
    <n v="490"/>
    <n v="196"/>
    <n v="1167"/>
    <n v="271"/>
    <n v="64"/>
    <n v="225"/>
    <n v="463"/>
    <n v="0.94489795918367347"/>
    <n v="1.1842105263157894"/>
    <n v="0.98"/>
  </r>
  <r>
    <n v="309"/>
    <x v="19"/>
    <s v="Central"/>
    <s v="Major Market"/>
    <s v="Decaf Irish Cream"/>
    <s v="Coffee"/>
    <s v="Illinois"/>
    <s v="Decaf"/>
    <n v="160"/>
    <n v="230"/>
    <n v="170"/>
    <n v="390"/>
    <n v="154"/>
    <n v="817"/>
    <n v="222"/>
    <n v="49"/>
    <n v="207"/>
    <n v="373"/>
    <n v="0.95641025641025645"/>
    <n v="1.2176470588235293"/>
    <n v="0.96250000000000002"/>
  </r>
  <r>
    <n v="773"/>
    <x v="19"/>
    <s v="Central"/>
    <s v="Major Market"/>
    <s v="Caffe Mocha"/>
    <s v="Espresso"/>
    <s v="Illinois"/>
    <s v="Regular"/>
    <n v="340"/>
    <n v="470"/>
    <n v="340"/>
    <n v="810"/>
    <n v="295"/>
    <n v="1714"/>
    <n v="392"/>
    <n v="97"/>
    <n v="362"/>
    <n v="681"/>
    <n v="0.84074074074074079"/>
    <n v="1.0647058823529412"/>
    <n v="0.86764705882352944"/>
  </r>
  <r>
    <n v="847"/>
    <x v="19"/>
    <s v="Central"/>
    <s v="Major Market"/>
    <s v="Decaf Espresso"/>
    <s v="Espresso"/>
    <s v="Illinois"/>
    <s v="Decaf"/>
    <n v="300"/>
    <n v="320"/>
    <n v="220"/>
    <n v="620"/>
    <n v="266"/>
    <n v="1797"/>
    <n v="266"/>
    <n v="74"/>
    <n v="230"/>
    <n v="527"/>
    <n v="0.85"/>
    <n v="1.0454545454545454"/>
    <n v="0.88666666666666671"/>
  </r>
  <r>
    <n v="515"/>
    <x v="19"/>
    <s v="Central"/>
    <s v="Small Market"/>
    <s v="Chamomile"/>
    <s v="Herbal Tea"/>
    <s v="Iowa"/>
    <s v="Decaf"/>
    <n v="250"/>
    <n v="350"/>
    <n v="250"/>
    <n v="600"/>
    <n v="295"/>
    <n v="1714"/>
    <n v="392"/>
    <n v="97"/>
    <n v="362"/>
    <n v="681"/>
    <n v="1.135"/>
    <n v="1.448"/>
    <n v="1.18"/>
  </r>
  <r>
    <n v="515"/>
    <x v="19"/>
    <s v="Central"/>
    <s v="Small Market"/>
    <s v="Lemon"/>
    <s v="Herbal Tea"/>
    <s v="Iowa"/>
    <s v="Decaf"/>
    <n v="130"/>
    <n v="200"/>
    <n v="150"/>
    <n v="330"/>
    <n v="154"/>
    <n v="817"/>
    <n v="222"/>
    <n v="49"/>
    <n v="208"/>
    <n v="373"/>
    <n v="1.1303030303030304"/>
    <n v="1.3866666666666667"/>
    <n v="1.1846153846153846"/>
  </r>
  <r>
    <n v="319"/>
    <x v="19"/>
    <s v="Central"/>
    <s v="Small Market"/>
    <s v="Darjeeling"/>
    <s v="Tea"/>
    <s v="Iowa"/>
    <s v="Regular"/>
    <n v="220"/>
    <n v="240"/>
    <n v="150"/>
    <n v="460"/>
    <n v="266"/>
    <n v="1797"/>
    <n v="266"/>
    <n v="74"/>
    <n v="230"/>
    <n v="527"/>
    <n v="1.1456521739130434"/>
    <n v="1.5333333333333334"/>
    <n v="1.209090909090909"/>
  </r>
  <r>
    <n v="515"/>
    <x v="19"/>
    <s v="Central"/>
    <s v="Small Market"/>
    <s v="Earl Grey"/>
    <s v="Tea"/>
    <s v="Iowa"/>
    <s v="Regular"/>
    <n v="240"/>
    <n v="310"/>
    <n v="180"/>
    <n v="550"/>
    <n v="284"/>
    <n v="1809"/>
    <n v="348"/>
    <n v="107"/>
    <n v="286"/>
    <n v="626"/>
    <n v="1.1381818181818182"/>
    <n v="1.5888888888888888"/>
    <n v="1.1833333333333333"/>
  </r>
  <r>
    <n v="319"/>
    <x v="19"/>
    <s v="Central"/>
    <s v="Small Market"/>
    <s v="Amaretto"/>
    <s v="Coffee"/>
    <s v="Iowa"/>
    <s v="Regular"/>
    <n v="20"/>
    <n v="40"/>
    <n v="30"/>
    <n v="60"/>
    <n v="25"/>
    <n v="851"/>
    <n v="38"/>
    <n v="7"/>
    <n v="26"/>
    <n v="62"/>
    <n v="1.0333333333333334"/>
    <n v="0.8666666666666667"/>
    <n v="1.25"/>
  </r>
  <r>
    <n v="319"/>
    <x v="19"/>
    <s v="Central"/>
    <s v="Small Market"/>
    <s v="Columbian"/>
    <s v="Coffee"/>
    <s v="Iowa"/>
    <s v="Regular"/>
    <n v="40"/>
    <n v="50"/>
    <n v="20"/>
    <n v="90"/>
    <n v="41"/>
    <n v="1007"/>
    <n v="49"/>
    <n v="12"/>
    <n v="21"/>
    <n v="89"/>
    <n v="0.98888888888888893"/>
    <n v="1.05"/>
    <n v="1.0249999999999999"/>
  </r>
  <r>
    <n v="641"/>
    <x v="19"/>
    <s v="Central"/>
    <s v="Small Market"/>
    <s v="Decaf Irish Cream"/>
    <s v="Coffee"/>
    <s v="Iowa"/>
    <s v="Decaf"/>
    <n v="10"/>
    <n v="20"/>
    <n v="10"/>
    <n v="30"/>
    <n v="14"/>
    <n v="602"/>
    <n v="18"/>
    <n v="4"/>
    <n v="1"/>
    <n v="32"/>
    <n v="1.0666666666666667"/>
    <n v="0.1"/>
    <n v="1.4"/>
  </r>
  <r>
    <n v="563"/>
    <x v="19"/>
    <s v="Central"/>
    <s v="Small Market"/>
    <s v="Caffe Mocha"/>
    <s v="Espresso"/>
    <s v="Iowa"/>
    <s v="Regular"/>
    <n v="20"/>
    <n v="40"/>
    <n v="30"/>
    <n v="60"/>
    <n v="23"/>
    <n v="806"/>
    <n v="35"/>
    <n v="6"/>
    <n v="25"/>
    <n v="57"/>
    <n v="0.95"/>
    <n v="0.83333333333333337"/>
    <n v="1.1499999999999999"/>
  </r>
  <r>
    <n v="563"/>
    <x v="19"/>
    <s v="Central"/>
    <s v="Small Market"/>
    <s v="Decaf Espresso"/>
    <s v="Espresso"/>
    <s v="Iowa"/>
    <s v="Decaf"/>
    <n v="0"/>
    <n v="50"/>
    <n v="40"/>
    <n v="50"/>
    <n v="0"/>
    <n v="516"/>
    <n v="43"/>
    <n v="0"/>
    <n v="43"/>
    <n v="43"/>
    <n v="0.86"/>
    <n v="1.075"/>
    <m/>
  </r>
  <r>
    <n v="636"/>
    <x v="19"/>
    <s v="Central"/>
    <s v="Small Market"/>
    <s v="Chamomile"/>
    <s v="Herbal Tea"/>
    <s v="Missouri"/>
    <s v="Decaf"/>
    <n v="50"/>
    <n v="80"/>
    <n v="20"/>
    <n v="130"/>
    <n v="63"/>
    <n v="332"/>
    <n v="88"/>
    <n v="57"/>
    <n v="3"/>
    <n v="150"/>
    <n v="1.1538461538461537"/>
    <n v="0.15"/>
    <n v="1.26"/>
  </r>
  <r>
    <n v="816"/>
    <x v="19"/>
    <s v="Central"/>
    <s v="Small Market"/>
    <s v="Lemon"/>
    <s v="Herbal Tea"/>
    <s v="Missouri"/>
    <s v="Decaf"/>
    <n v="100"/>
    <n v="20"/>
    <n v="-20"/>
    <n v="120"/>
    <n v="120"/>
    <n v="1439"/>
    <n v="19"/>
    <n v="37"/>
    <n v="-57"/>
    <n v="138"/>
    <n v="1.1499999999999999"/>
    <n v="2.85"/>
    <n v="1.2"/>
  </r>
  <r>
    <n v="573"/>
    <x v="19"/>
    <s v="Central"/>
    <s v="Small Market"/>
    <s v="Darjeeling"/>
    <s v="Tea"/>
    <s v="Missouri"/>
    <s v="Regular"/>
    <n v="30"/>
    <n v="60"/>
    <n v="30"/>
    <n v="90"/>
    <n v="45"/>
    <n v="253"/>
    <n v="60"/>
    <n v="14"/>
    <n v="26"/>
    <n v="104"/>
    <n v="1.1555555555555554"/>
    <n v="0.8666666666666667"/>
    <n v="1.5"/>
  </r>
  <r>
    <n v="314"/>
    <x v="19"/>
    <s v="Central"/>
    <s v="Small Market"/>
    <s v="Earl Grey"/>
    <s v="Tea"/>
    <s v="Missouri"/>
    <s v="Regular"/>
    <n v="20"/>
    <n v="30"/>
    <n v="-10"/>
    <n v="50"/>
    <n v="29"/>
    <n v="215"/>
    <n v="36"/>
    <n v="11"/>
    <n v="-12"/>
    <n v="64"/>
    <n v="1.28"/>
    <n v="1.2"/>
    <n v="1.45"/>
  </r>
  <r>
    <n v="573"/>
    <x v="19"/>
    <s v="Central"/>
    <s v="Small Market"/>
    <s v="Green Tea"/>
    <s v="Tea"/>
    <s v="Missouri"/>
    <s v="Regular"/>
    <n v="30"/>
    <n v="40"/>
    <n v="0"/>
    <n v="70"/>
    <n v="38"/>
    <n v="248"/>
    <n v="48"/>
    <n v="14"/>
    <n v="1"/>
    <n v="85"/>
    <n v="1.2142857142857142"/>
    <m/>
    <n v="1.2666666666666666"/>
  </r>
  <r>
    <n v="660"/>
    <x v="19"/>
    <s v="Central"/>
    <s v="Small Market"/>
    <s v="Columbian"/>
    <s v="Coffee"/>
    <s v="Missouri"/>
    <s v="Regular"/>
    <n v="70"/>
    <n v="90"/>
    <n v="40"/>
    <n v="160"/>
    <n v="72"/>
    <n v="606"/>
    <n v="88"/>
    <n v="27"/>
    <n v="37"/>
    <n v="159"/>
    <n v="0.99375000000000002"/>
    <n v="0.92500000000000004"/>
    <n v="1.0285714285714285"/>
  </r>
  <r>
    <n v="417"/>
    <x v="19"/>
    <s v="Central"/>
    <s v="Small Market"/>
    <s v="Decaf Irish Cream"/>
    <s v="Coffee"/>
    <s v="Missouri"/>
    <s v="Decaf"/>
    <n v="50"/>
    <n v="60"/>
    <n v="30"/>
    <n v="110"/>
    <n v="50"/>
    <n v="1064"/>
    <n v="60"/>
    <n v="15"/>
    <n v="33"/>
    <n v="109"/>
    <n v="0.99090909090909096"/>
    <n v="1.1000000000000001"/>
    <n v="1"/>
  </r>
  <r>
    <n v="636"/>
    <x v="19"/>
    <s v="Central"/>
    <s v="Small Market"/>
    <s v="Caffe Mocha"/>
    <s v="Espresso"/>
    <s v="Missouri"/>
    <s v="Regular"/>
    <n v="30"/>
    <n v="60"/>
    <n v="40"/>
    <n v="90"/>
    <n v="34"/>
    <n v="890"/>
    <n v="49"/>
    <n v="9"/>
    <n v="40"/>
    <n v="82"/>
    <n v="0.91111111111111109"/>
    <n v="1"/>
    <n v="1.1333333333333333"/>
  </r>
  <r>
    <n v="573"/>
    <x v="19"/>
    <s v="Central"/>
    <s v="Small Market"/>
    <s v="Decaf Espresso"/>
    <s v="Espresso"/>
    <s v="Missouri"/>
    <s v="Decaf"/>
    <n v="30"/>
    <n v="60"/>
    <n v="50"/>
    <n v="90"/>
    <n v="32"/>
    <n v="841"/>
    <n v="48"/>
    <n v="8"/>
    <n v="39"/>
    <n v="79"/>
    <n v="0.87777777777777777"/>
    <n v="0.78"/>
    <n v="1.0666666666666667"/>
  </r>
  <r>
    <n v="513"/>
    <x v="19"/>
    <s v="Central"/>
    <s v="Major Market"/>
    <s v="Chamomile"/>
    <s v="Herbal Tea"/>
    <s v="Ohio"/>
    <s v="Decaf"/>
    <n v="10"/>
    <n v="20"/>
    <n v="20"/>
    <n v="30"/>
    <n v="16"/>
    <n v="484"/>
    <n v="25"/>
    <n v="4"/>
    <n v="12"/>
    <n v="41"/>
    <n v="1.3666666666666667"/>
    <n v="0.6"/>
    <n v="1.6"/>
  </r>
  <r>
    <n v="513"/>
    <x v="19"/>
    <s v="Central"/>
    <s v="Major Market"/>
    <s v="Lemon"/>
    <s v="Herbal Tea"/>
    <s v="Ohio"/>
    <s v="Decaf"/>
    <n v="10"/>
    <n v="30"/>
    <n v="30"/>
    <n v="40"/>
    <n v="22"/>
    <n v="865"/>
    <n v="33"/>
    <n v="6"/>
    <n v="22"/>
    <n v="55"/>
    <n v="1.375"/>
    <n v="0.73333333333333328"/>
    <n v="2.2000000000000002"/>
  </r>
  <r>
    <n v="614"/>
    <x v="19"/>
    <s v="Central"/>
    <s v="Major Market"/>
    <s v="Darjeeling"/>
    <s v="Tea"/>
    <s v="Ohio"/>
    <s v="Regular"/>
    <n v="90"/>
    <n v="160"/>
    <n v="100"/>
    <n v="250"/>
    <n v="114"/>
    <n v="810"/>
    <n v="172"/>
    <n v="37"/>
    <n v="142"/>
    <n v="283"/>
    <n v="1.1319999999999999"/>
    <n v="1.42"/>
    <n v="1.2666666666666666"/>
  </r>
  <r>
    <n v="419"/>
    <x v="19"/>
    <s v="Central"/>
    <s v="Major Market"/>
    <s v="Earl Grey"/>
    <s v="Tea"/>
    <s v="Ohio"/>
    <s v="Regular"/>
    <n v="90"/>
    <n v="150"/>
    <n v="100"/>
    <n v="240"/>
    <n v="116"/>
    <n v="678"/>
    <n v="161"/>
    <n v="35"/>
    <n v="142"/>
    <n v="275"/>
    <n v="1.1458333333333333"/>
    <n v="1.42"/>
    <n v="1.288888888888889"/>
  </r>
  <r>
    <n v="216"/>
    <x v="19"/>
    <s v="Central"/>
    <s v="Major Market"/>
    <s v="Decaf Espresso"/>
    <s v="Espresso"/>
    <s v="Ohio"/>
    <s v="Decaf"/>
    <n v="50"/>
    <n v="70"/>
    <n v="20"/>
    <n v="120"/>
    <n v="49"/>
    <n v="414"/>
    <n v="60"/>
    <n v="18"/>
    <n v="11"/>
    <n v="108"/>
    <n v="0.9"/>
    <n v="0.55000000000000004"/>
    <n v="0.98"/>
  </r>
  <r>
    <n v="419"/>
    <x v="19"/>
    <s v="Central"/>
    <s v="Major Market"/>
    <s v="Amaretto"/>
    <s v="Coffee"/>
    <s v="Ohio"/>
    <s v="Regular"/>
    <n v="40"/>
    <n v="70"/>
    <n v="40"/>
    <n v="110"/>
    <n v="46"/>
    <n v="415"/>
    <n v="62"/>
    <n v="15"/>
    <n v="26"/>
    <n v="107"/>
    <n v="0.97272727272727277"/>
    <n v="0.65"/>
    <n v="1.1499999999999999"/>
  </r>
  <r>
    <n v="330"/>
    <x v="19"/>
    <s v="Central"/>
    <s v="Major Market"/>
    <s v="Columbian"/>
    <s v="Coffee"/>
    <s v="Ohio"/>
    <s v="Regular"/>
    <n v="30"/>
    <n v="50"/>
    <n v="30"/>
    <n v="80"/>
    <n v="34"/>
    <n v="428"/>
    <n v="51"/>
    <n v="10"/>
    <n v="26"/>
    <n v="84"/>
    <n v="1.05"/>
    <n v="0.8666666666666667"/>
    <n v="1.1333333333333333"/>
  </r>
  <r>
    <n v="513"/>
    <x v="19"/>
    <s v="Central"/>
    <s v="Major Market"/>
    <s v="Decaf Irish Cream"/>
    <s v="Coffee"/>
    <s v="Ohio"/>
    <s v="Decaf"/>
    <n v="30"/>
    <n v="60"/>
    <n v="10"/>
    <n v="90"/>
    <n v="37"/>
    <n v="513"/>
    <n v="52"/>
    <n v="33"/>
    <n v="-15"/>
    <n v="88"/>
    <n v="0.97777777777777775"/>
    <n v="-1.5"/>
    <n v="1.2333333333333334"/>
  </r>
  <r>
    <n v="513"/>
    <x v="19"/>
    <s v="Central"/>
    <s v="Major Market"/>
    <s v="Caffe Mocha"/>
    <s v="Espresso"/>
    <s v="Ohio"/>
    <s v="Regular"/>
    <n v="160"/>
    <n v="180"/>
    <n v="120"/>
    <n v="340"/>
    <n v="145"/>
    <n v="1292"/>
    <n v="146"/>
    <n v="40"/>
    <n v="112"/>
    <n v="288"/>
    <n v="0.84705882352941175"/>
    <n v="0.93333333333333335"/>
    <n v="0.90625"/>
  </r>
  <r>
    <n v="414"/>
    <x v="19"/>
    <s v="Central"/>
    <s v="Small Market"/>
    <s v="Chamomile"/>
    <s v="Herbal Tea"/>
    <s v="Wisconsin"/>
    <s v="Decaf"/>
    <n v="40"/>
    <n v="70"/>
    <n v="50"/>
    <n v="110"/>
    <n v="47"/>
    <n v="366"/>
    <n v="79"/>
    <n v="14"/>
    <n v="57"/>
    <n v="125"/>
    <n v="1.1363636363636365"/>
    <n v="1.1399999999999999"/>
    <n v="1.175"/>
  </r>
  <r>
    <n v="262"/>
    <x v="19"/>
    <s v="Central"/>
    <s v="Small Market"/>
    <s v="Lemon"/>
    <s v="Herbal Tea"/>
    <s v="Wisconsin"/>
    <s v="Decaf"/>
    <n v="50"/>
    <n v="80"/>
    <n v="70"/>
    <n v="130"/>
    <n v="63"/>
    <n v="864"/>
    <n v="91"/>
    <n v="17"/>
    <n v="87"/>
    <n v="153"/>
    <n v="1.176923076923077"/>
    <n v="1.2428571428571429"/>
    <n v="1.26"/>
  </r>
  <r>
    <n v="715"/>
    <x v="19"/>
    <s v="Central"/>
    <s v="Small Market"/>
    <s v="Darjeeling"/>
    <s v="Tea"/>
    <s v="Wisconsin"/>
    <s v="Regular"/>
    <n v="30"/>
    <n v="40"/>
    <n v="10"/>
    <n v="70"/>
    <n v="36"/>
    <n v="458"/>
    <n v="54"/>
    <n v="11"/>
    <n v="28"/>
    <n v="89"/>
    <n v="1.2714285714285714"/>
    <n v="2.8"/>
    <n v="1.2"/>
  </r>
  <r>
    <n v="715"/>
    <x v="19"/>
    <s v="Central"/>
    <s v="Small Market"/>
    <s v="Earl Grey"/>
    <s v="Tea"/>
    <s v="Wisconsin"/>
    <s v="Regular"/>
    <n v="30"/>
    <n v="60"/>
    <n v="10"/>
    <n v="90"/>
    <n v="44"/>
    <n v="617"/>
    <n v="61"/>
    <n v="39"/>
    <n v="-10"/>
    <n v="104"/>
    <n v="1.1555555555555554"/>
    <n v="-1"/>
    <n v="1.4666666666666666"/>
  </r>
  <r>
    <n v="262"/>
    <x v="19"/>
    <s v="Central"/>
    <s v="Small Market"/>
    <s v="Decaf Espresso"/>
    <s v="Espresso"/>
    <s v="Wisconsin"/>
    <s v="Decaf"/>
    <n v="30"/>
    <n v="50"/>
    <n v="30"/>
    <n v="80"/>
    <n v="30"/>
    <n v="581"/>
    <n v="39"/>
    <n v="9"/>
    <n v="25"/>
    <n v="68"/>
    <n v="0.85"/>
    <n v="0.83333333333333337"/>
    <n v="1"/>
  </r>
  <r>
    <n v="414"/>
    <x v="19"/>
    <s v="Central"/>
    <s v="Small Market"/>
    <s v="Amaretto"/>
    <s v="Coffee"/>
    <s v="Wisconsin"/>
    <s v="Regular"/>
    <n v="60"/>
    <n v="80"/>
    <n v="30"/>
    <n v="140"/>
    <n v="63"/>
    <n v="397"/>
    <n v="77"/>
    <n v="23"/>
    <n v="29"/>
    <n v="139"/>
    <n v="0.99285714285714288"/>
    <n v="0.96666666666666667"/>
    <n v="1.05"/>
  </r>
  <r>
    <n v="920"/>
    <x v="19"/>
    <s v="Central"/>
    <s v="Small Market"/>
    <s v="Columbian"/>
    <s v="Coffee"/>
    <s v="Wisconsin"/>
    <s v="Regular"/>
    <n v="140"/>
    <n v="190"/>
    <n v="60"/>
    <n v="330"/>
    <n v="133"/>
    <n v="705"/>
    <n v="184"/>
    <n v="120"/>
    <n v="48"/>
    <n v="314"/>
    <n v="0.95151515151515154"/>
    <n v="0.8"/>
    <n v="0.95"/>
  </r>
  <r>
    <n v="715"/>
    <x v="19"/>
    <s v="Central"/>
    <s v="Small Market"/>
    <s v="Decaf Irish Cream"/>
    <s v="Coffee"/>
    <s v="Wisconsin"/>
    <s v="Decaf"/>
    <n v="100"/>
    <n v="140"/>
    <n v="90"/>
    <n v="240"/>
    <n v="99"/>
    <n v="565"/>
    <n v="132"/>
    <n v="32"/>
    <n v="101"/>
    <n v="229"/>
    <n v="0.95416666666666672"/>
    <n v="1.1222222222222222"/>
    <n v="0.99"/>
  </r>
  <r>
    <n v="715"/>
    <x v="19"/>
    <s v="Central"/>
    <s v="Small Market"/>
    <s v="Caffe Mocha"/>
    <s v="Espresso"/>
    <s v="Wisconsin"/>
    <s v="Regular"/>
    <n v="110"/>
    <n v="150"/>
    <n v="100"/>
    <n v="260"/>
    <n v="103"/>
    <n v="1073"/>
    <n v="123"/>
    <n v="31"/>
    <n v="97"/>
    <n v="224"/>
    <n v="0.86153846153846159"/>
    <n v="0.97"/>
    <n v="0.9363636363636364"/>
  </r>
  <r>
    <n v="959"/>
    <x v="19"/>
    <s v="East"/>
    <s v="Small Market"/>
    <s v="Lemon"/>
    <s v="Herbal Tea"/>
    <s v="Connecticut"/>
    <s v="Decaf"/>
    <n v="50"/>
    <n v="70"/>
    <n v="30"/>
    <n v="120"/>
    <n v="72"/>
    <n v="606"/>
    <n v="88"/>
    <n v="27"/>
    <n v="39"/>
    <n v="159"/>
    <n v="1.325"/>
    <n v="1.3"/>
    <n v="1.44"/>
  </r>
  <r>
    <n v="475"/>
    <x v="19"/>
    <s v="East"/>
    <s v="Small Market"/>
    <s v="Mint"/>
    <s v="Herbal Tea"/>
    <s v="Connecticut"/>
    <s v="Decaf"/>
    <n v="30"/>
    <n v="50"/>
    <n v="30"/>
    <n v="80"/>
    <n v="50"/>
    <n v="1064"/>
    <n v="60"/>
    <n v="15"/>
    <n v="33"/>
    <n v="109"/>
    <n v="1.3625"/>
    <n v="1.1000000000000001"/>
    <n v="1.6666666666666667"/>
  </r>
  <r>
    <n v="959"/>
    <x v="19"/>
    <s v="East"/>
    <s v="Small Market"/>
    <s v="Darjeeling"/>
    <s v="Tea"/>
    <s v="Connecticut"/>
    <s v="Regular"/>
    <n v="30"/>
    <n v="50"/>
    <n v="40"/>
    <n v="80"/>
    <n v="34"/>
    <n v="890"/>
    <n v="49"/>
    <n v="9"/>
    <n v="39"/>
    <n v="82"/>
    <n v="1.0249999999999999"/>
    <n v="0.97499999999999998"/>
    <n v="1.1333333333333333"/>
  </r>
  <r>
    <n v="203"/>
    <x v="19"/>
    <s v="East"/>
    <s v="Small Market"/>
    <s v="Green Tea"/>
    <s v="Tea"/>
    <s v="Connecticut"/>
    <s v="Regular"/>
    <n v="20"/>
    <n v="30"/>
    <n v="20"/>
    <n v="50"/>
    <n v="19"/>
    <n v="811"/>
    <n v="28"/>
    <n v="5"/>
    <n v="17"/>
    <n v="47"/>
    <n v="0.94"/>
    <n v="0.85"/>
    <n v="0.95"/>
  </r>
  <r>
    <n v="475"/>
    <x v="19"/>
    <s v="East"/>
    <s v="Small Market"/>
    <s v="Caffe Mocha"/>
    <s v="Espresso"/>
    <s v="Connecticut"/>
    <s v="Regular"/>
    <n v="40"/>
    <n v="60"/>
    <n v="10"/>
    <n v="100"/>
    <n v="44"/>
    <n v="617"/>
    <n v="61"/>
    <n v="39"/>
    <n v="-11"/>
    <n v="104"/>
    <n v="1.04"/>
    <n v="-1.1000000000000001"/>
    <n v="1.1000000000000001"/>
  </r>
  <r>
    <n v="203"/>
    <x v="19"/>
    <s v="East"/>
    <s v="Small Market"/>
    <s v="Decaf Espresso"/>
    <s v="Espresso"/>
    <s v="Connecticut"/>
    <s v="Decaf"/>
    <n v="40"/>
    <n v="50"/>
    <n v="20"/>
    <n v="90"/>
    <n v="42"/>
    <n v="384"/>
    <n v="56"/>
    <n v="13"/>
    <n v="22"/>
    <n v="97"/>
    <n v="1.0777777777777777"/>
    <n v="1.1000000000000001"/>
    <n v="1.05"/>
  </r>
  <r>
    <n v="203"/>
    <x v="19"/>
    <s v="East"/>
    <s v="Small Market"/>
    <s v="Columbian"/>
    <s v="Coffee"/>
    <s v="Connecticut"/>
    <s v="Regular"/>
    <n v="80"/>
    <n v="130"/>
    <n v="90"/>
    <n v="210"/>
    <n v="90"/>
    <n v="1139"/>
    <n v="135"/>
    <n v="29"/>
    <n v="104"/>
    <n v="223"/>
    <n v="1.0619047619047619"/>
    <n v="1.1555555555555554"/>
    <n v="1.125"/>
  </r>
  <r>
    <n v="786"/>
    <x v="19"/>
    <s v="East"/>
    <s v="Major Market"/>
    <s v="Chamomile"/>
    <s v="Herbal Tea"/>
    <s v="Florida"/>
    <s v="Decaf"/>
    <n v="20"/>
    <n v="30"/>
    <n v="20"/>
    <n v="50"/>
    <n v="30"/>
    <n v="581"/>
    <n v="39"/>
    <n v="9"/>
    <n v="25"/>
    <n v="68"/>
    <n v="1.36"/>
    <n v="1.25"/>
    <n v="1.5"/>
  </r>
  <r>
    <n v="727"/>
    <x v="19"/>
    <s v="East"/>
    <s v="Major Market"/>
    <s v="Lemon"/>
    <s v="Herbal Tea"/>
    <s v="Florida"/>
    <s v="Decaf"/>
    <n v="40"/>
    <n v="60"/>
    <n v="30"/>
    <n v="100"/>
    <n v="63"/>
    <n v="397"/>
    <n v="77"/>
    <n v="23"/>
    <n v="28"/>
    <n v="139"/>
    <n v="1.39"/>
    <n v="0.93333333333333335"/>
    <n v="1.575"/>
  </r>
  <r>
    <n v="850"/>
    <x v="19"/>
    <s v="East"/>
    <s v="Major Market"/>
    <s v="Mint"/>
    <s v="Herbal Tea"/>
    <s v="Florida"/>
    <s v="Decaf"/>
    <n v="70"/>
    <n v="100"/>
    <n v="70"/>
    <n v="170"/>
    <n v="103"/>
    <n v="1073"/>
    <n v="123"/>
    <n v="31"/>
    <n v="97"/>
    <n v="224"/>
    <n v="1.3176470588235294"/>
    <n v="1.3857142857142857"/>
    <n v="1.4714285714285715"/>
  </r>
  <r>
    <n v="954"/>
    <x v="19"/>
    <s v="East"/>
    <s v="Major Market"/>
    <s v="Darjeeling"/>
    <s v="Tea"/>
    <s v="Florida"/>
    <s v="Regular"/>
    <n v="40"/>
    <n v="80"/>
    <n v="60"/>
    <n v="120"/>
    <n v="46"/>
    <n v="880"/>
    <n v="68"/>
    <n v="12"/>
    <n v="61"/>
    <n v="113"/>
    <n v="0.94166666666666665"/>
    <n v="1.0166666666666666"/>
    <n v="1.1499999999999999"/>
  </r>
  <r>
    <n v="904"/>
    <x v="19"/>
    <s v="East"/>
    <s v="Major Market"/>
    <s v="Green Tea"/>
    <s v="Tea"/>
    <s v="Florida"/>
    <s v="Regular"/>
    <n v="60"/>
    <n v="100"/>
    <n v="80"/>
    <n v="160"/>
    <n v="63"/>
    <n v="864"/>
    <n v="91"/>
    <n v="17"/>
    <n v="87"/>
    <n v="153"/>
    <n v="0.95625000000000004"/>
    <n v="1.0874999999999999"/>
    <n v="1.05"/>
  </r>
  <r>
    <n v="941"/>
    <x v="19"/>
    <s v="East"/>
    <s v="Major Market"/>
    <s v="Caffe Mocha"/>
    <s v="Espresso"/>
    <s v="Florida"/>
    <s v="Regular"/>
    <n v="120"/>
    <n v="190"/>
    <n v="60"/>
    <n v="310"/>
    <n v="133"/>
    <n v="705"/>
    <n v="184"/>
    <n v="120"/>
    <n v="48"/>
    <n v="314"/>
    <n v="1.0129032258064516"/>
    <n v="0.8"/>
    <n v="1.1083333333333334"/>
  </r>
  <r>
    <n v="904"/>
    <x v="19"/>
    <s v="East"/>
    <s v="Major Market"/>
    <s v="Decaf Espresso"/>
    <s v="Espresso"/>
    <s v="Florida"/>
    <s v="Decaf"/>
    <n v="90"/>
    <n v="130"/>
    <n v="80"/>
    <n v="220"/>
    <n v="99"/>
    <n v="565"/>
    <n v="132"/>
    <n v="32"/>
    <n v="101"/>
    <n v="229"/>
    <n v="1.040909090909091"/>
    <n v="1.2625"/>
    <n v="1.1000000000000001"/>
  </r>
  <r>
    <n v="954"/>
    <x v="19"/>
    <s v="East"/>
    <s v="Major Market"/>
    <s v="Columbian"/>
    <s v="Coffee"/>
    <s v="Florida"/>
    <s v="Regular"/>
    <n v="100"/>
    <n v="170"/>
    <n v="120"/>
    <n v="270"/>
    <n v="114"/>
    <n v="810"/>
    <n v="172"/>
    <n v="37"/>
    <n v="144"/>
    <n v="283"/>
    <n v="1.0481481481481481"/>
    <n v="1.2"/>
    <n v="1.1399999999999999"/>
  </r>
  <r>
    <n v="561"/>
    <x v="19"/>
    <s v="East"/>
    <s v="Major Market"/>
    <s v="Decaf Irish Cream"/>
    <s v="Coffee"/>
    <s v="Florida"/>
    <s v="Decaf"/>
    <n v="110"/>
    <n v="150"/>
    <n v="100"/>
    <n v="260"/>
    <n v="116"/>
    <n v="678"/>
    <n v="161"/>
    <n v="35"/>
    <n v="141"/>
    <n v="275"/>
    <n v="1.0576923076923077"/>
    <n v="1.41"/>
    <n v="1.0545454545454545"/>
  </r>
  <r>
    <n v="978"/>
    <x v="19"/>
    <s v="East"/>
    <s v="Major Market"/>
    <s v="Lemon"/>
    <s v="Herbal Tea"/>
    <s v="Massachusetts"/>
    <s v="Decaf"/>
    <n v="30"/>
    <n v="50"/>
    <n v="20"/>
    <n v="80"/>
    <n v="49"/>
    <n v="414"/>
    <n v="60"/>
    <n v="18"/>
    <n v="12"/>
    <n v="108"/>
    <n v="1.35"/>
    <n v="0.6"/>
    <n v="1.6333333333333333"/>
  </r>
  <r>
    <n v="508"/>
    <x v="19"/>
    <s v="East"/>
    <s v="Major Market"/>
    <s v="Darjeeling"/>
    <s v="Tea"/>
    <s v="Massachusetts"/>
    <s v="Regular"/>
    <n v="20"/>
    <n v="30"/>
    <n v="20"/>
    <n v="50"/>
    <n v="22"/>
    <n v="865"/>
    <n v="33"/>
    <n v="6"/>
    <n v="22"/>
    <n v="55"/>
    <n v="1.1000000000000001"/>
    <n v="1.1000000000000001"/>
    <n v="1.1000000000000001"/>
  </r>
  <r>
    <n v="781"/>
    <x v="19"/>
    <s v="East"/>
    <s v="Major Market"/>
    <s v="Green Tea"/>
    <s v="Tea"/>
    <s v="Massachusetts"/>
    <s v="Regular"/>
    <n v="10"/>
    <n v="30"/>
    <n v="20"/>
    <n v="40"/>
    <n v="16"/>
    <n v="484"/>
    <n v="25"/>
    <n v="4"/>
    <n v="12"/>
    <n v="41"/>
    <n v="1.0249999999999999"/>
    <n v="0.6"/>
    <n v="1.6"/>
  </r>
  <r>
    <n v="339"/>
    <x v="19"/>
    <s v="East"/>
    <s v="Major Market"/>
    <s v="Caffe Mocha"/>
    <s v="Espresso"/>
    <s v="Massachusetts"/>
    <s v="Regular"/>
    <n v="30"/>
    <n v="70"/>
    <n v="20"/>
    <n v="100"/>
    <n v="37"/>
    <n v="540"/>
    <n v="68"/>
    <n v="33"/>
    <n v="8"/>
    <n v="104"/>
    <n v="1.04"/>
    <n v="0.4"/>
    <n v="1.2333333333333334"/>
  </r>
  <r>
    <n v="857"/>
    <x v="19"/>
    <s v="East"/>
    <s v="Major Market"/>
    <s v="Regular Espresso"/>
    <s v="Espresso"/>
    <s v="Massachusetts"/>
    <s v="Regular"/>
    <n v="130"/>
    <n v="150"/>
    <n v="100"/>
    <n v="280"/>
    <n v="145"/>
    <n v="1292"/>
    <n v="146"/>
    <n v="40"/>
    <n v="113"/>
    <n v="288"/>
    <n v="1.0285714285714285"/>
    <n v="1.1299999999999999"/>
    <n v="1.1153846153846154"/>
  </r>
  <r>
    <n v="617"/>
    <x v="19"/>
    <s v="East"/>
    <s v="Major Market"/>
    <s v="Columbian"/>
    <s v="Coffee"/>
    <s v="Massachusetts"/>
    <s v="Regular"/>
    <n v="40"/>
    <n v="590"/>
    <n v="560"/>
    <n v="630"/>
    <n v="52"/>
    <n v="-2033"/>
    <n v="612"/>
    <n v="17"/>
    <n v="777"/>
    <n v="658"/>
    <n v="1.0444444444444445"/>
    <n v="1.3875"/>
    <n v="1.3"/>
  </r>
  <r>
    <n v="603"/>
    <x v="19"/>
    <s v="East"/>
    <s v="Small Market"/>
    <s v="Lemon"/>
    <s v="Herbal Tea"/>
    <s v="New Hampshire"/>
    <s v="Decaf"/>
    <n v="20"/>
    <n v="40"/>
    <n v="10"/>
    <n v="60"/>
    <n v="38"/>
    <n v="248"/>
    <n v="48"/>
    <n v="14"/>
    <n v="1"/>
    <n v="85"/>
    <n v="1.4166666666666667"/>
    <n v="0.1"/>
    <n v="1.9"/>
  </r>
  <r>
    <n v="603"/>
    <x v="19"/>
    <s v="East"/>
    <s v="Small Market"/>
    <s v="Darjeeling"/>
    <s v="Tea"/>
    <s v="New Hampshire"/>
    <s v="Regular"/>
    <n v="20"/>
    <n v="40"/>
    <n v="30"/>
    <n v="60"/>
    <n v="25"/>
    <n v="851"/>
    <n v="38"/>
    <n v="7"/>
    <n v="28"/>
    <n v="62"/>
    <n v="1.0333333333333334"/>
    <n v="0.93333333333333335"/>
    <n v="1.25"/>
  </r>
  <r>
    <n v="603"/>
    <x v="19"/>
    <s v="East"/>
    <s v="Small Market"/>
    <s v="Green Tea"/>
    <s v="Tea"/>
    <s v="New Hampshire"/>
    <s v="Regular"/>
    <n v="0"/>
    <n v="40"/>
    <n v="30"/>
    <n v="40"/>
    <n v="0"/>
    <n v="516"/>
    <n v="43"/>
    <n v="0"/>
    <n v="43"/>
    <n v="43"/>
    <n v="1.075"/>
    <n v="1.4333333333333333"/>
    <m/>
  </r>
  <r>
    <n v="603"/>
    <x v="19"/>
    <s v="East"/>
    <s v="Small Market"/>
    <s v="Caffe Mocha"/>
    <s v="Espresso"/>
    <s v="New Hampshire"/>
    <s v="Regular"/>
    <n v="60"/>
    <n v="80"/>
    <n v="10"/>
    <n v="140"/>
    <n v="63"/>
    <n v="332"/>
    <n v="88"/>
    <n v="57"/>
    <n v="1"/>
    <n v="150"/>
    <n v="1.0714285714285714"/>
    <n v="0.1"/>
    <n v="1.05"/>
  </r>
  <r>
    <n v="603"/>
    <x v="19"/>
    <s v="East"/>
    <s v="Small Market"/>
    <s v="Regular Espresso"/>
    <s v="Espresso"/>
    <s v="New Hampshire"/>
    <s v="Regular"/>
    <n v="20"/>
    <n v="40"/>
    <n v="0"/>
    <n v="60"/>
    <n v="29"/>
    <n v="215"/>
    <n v="36"/>
    <n v="11"/>
    <n v="-12"/>
    <n v="64"/>
    <n v="1.0666666666666667"/>
    <m/>
    <n v="1.45"/>
  </r>
  <r>
    <n v="603"/>
    <x v="19"/>
    <s v="East"/>
    <s v="Small Market"/>
    <s v="Amaretto"/>
    <s v="Coffee"/>
    <s v="New Hampshire"/>
    <s v="Regular"/>
    <n v="50"/>
    <n v="90"/>
    <n v="70"/>
    <n v="140"/>
    <n v="61"/>
    <n v="322"/>
    <n v="90"/>
    <n v="19"/>
    <n v="66"/>
    <n v="150"/>
    <n v="1.0714285714285714"/>
    <n v="0.94285714285714284"/>
    <n v="1.22"/>
  </r>
  <r>
    <n v="603"/>
    <x v="19"/>
    <s v="East"/>
    <s v="Small Market"/>
    <s v="Columbian"/>
    <s v="Coffee"/>
    <s v="New Hampshire"/>
    <s v="Regular"/>
    <n v="60"/>
    <n v="90"/>
    <n v="60"/>
    <n v="150"/>
    <n v="64"/>
    <n v="460"/>
    <n v="96"/>
    <n v="21"/>
    <n v="61"/>
    <n v="159"/>
    <n v="1.06"/>
    <n v="1.0166666666666666"/>
    <n v="1.0666666666666667"/>
  </r>
  <r>
    <n v="212"/>
    <x v="19"/>
    <s v="East"/>
    <s v="Major Market"/>
    <s v="Lemon"/>
    <s v="Herbal Tea"/>
    <s v="New York"/>
    <s v="Decaf"/>
    <n v="210"/>
    <n v="290"/>
    <n v="180"/>
    <n v="500"/>
    <n v="284"/>
    <n v="1565"/>
    <n v="369"/>
    <n v="107"/>
    <n v="316"/>
    <n v="647"/>
    <n v="1.294"/>
    <n v="1.7555555555555555"/>
    <n v="1.3523809523809525"/>
  </r>
  <r>
    <n v="718"/>
    <x v="19"/>
    <s v="East"/>
    <s v="Major Market"/>
    <s v="Mint"/>
    <s v="Herbal Tea"/>
    <s v="New York"/>
    <s v="Decaf"/>
    <n v="230"/>
    <n v="-140"/>
    <n v="-230"/>
    <n v="90"/>
    <n v="311"/>
    <n v="3422"/>
    <n v="-187"/>
    <n v="96"/>
    <n v="-420"/>
    <n v="123"/>
    <n v="1.3666666666666667"/>
    <n v="1.826086956521739"/>
    <n v="1.3521739130434782"/>
  </r>
  <r>
    <n v="646"/>
    <x v="19"/>
    <s v="East"/>
    <s v="Major Market"/>
    <s v="Darjeeling"/>
    <s v="Tea"/>
    <s v="New York"/>
    <s v="Regular"/>
    <n v="130"/>
    <n v="210"/>
    <n v="170"/>
    <n v="340"/>
    <n v="132"/>
    <n v="994"/>
    <n v="191"/>
    <n v="36"/>
    <n v="199"/>
    <n v="320"/>
    <n v="0.94117647058823528"/>
    <n v="1.1705882352941177"/>
    <n v="1.0153846153846153"/>
  </r>
  <r>
    <n v="716"/>
    <x v="19"/>
    <s v="East"/>
    <s v="Major Market"/>
    <s v="Earl Grey"/>
    <s v="Tea"/>
    <s v="New York"/>
    <s v="Regular"/>
    <n v="130"/>
    <n v="190"/>
    <n v="150"/>
    <n v="320"/>
    <n v="123"/>
    <n v="941"/>
    <n v="178"/>
    <n v="34"/>
    <n v="184"/>
    <n v="298"/>
    <n v="0.93125000000000002"/>
    <n v="1.2266666666666666"/>
    <n v="0.94615384615384612"/>
  </r>
  <r>
    <n v="845"/>
    <x v="19"/>
    <s v="East"/>
    <s v="Major Market"/>
    <s v="Green Tea"/>
    <s v="Tea"/>
    <s v="New York"/>
    <s v="Regular"/>
    <n v="100"/>
    <n v="160"/>
    <n v="130"/>
    <n v="260"/>
    <n v="100"/>
    <n v="598"/>
    <n v="145"/>
    <n v="28"/>
    <n v="145"/>
    <n v="243"/>
    <n v="0.93461538461538463"/>
    <n v="1.1153846153846154"/>
    <n v="1"/>
  </r>
  <r>
    <n v="212"/>
    <x v="19"/>
    <s v="East"/>
    <s v="Major Market"/>
    <s v="Caffe Mocha"/>
    <s v="Espresso"/>
    <s v="New York"/>
    <s v="Regular"/>
    <n v="160"/>
    <n v="-90"/>
    <n v="-260"/>
    <n v="70"/>
    <n v="173"/>
    <n v="2615"/>
    <n v="-95"/>
    <n v="156"/>
    <n v="-392"/>
    <n v="77"/>
    <n v="1.1000000000000001"/>
    <n v="1.5076923076923077"/>
    <n v="1.08125"/>
  </r>
  <r>
    <n v="585"/>
    <x v="19"/>
    <s v="East"/>
    <s v="Major Market"/>
    <s v="Regular Espresso"/>
    <s v="Espresso"/>
    <s v="New York"/>
    <s v="Regular"/>
    <n v="250"/>
    <n v="280"/>
    <n v="190"/>
    <n v="530"/>
    <n v="266"/>
    <n v="1319"/>
    <n v="277"/>
    <n v="74"/>
    <n v="247"/>
    <n v="538"/>
    <n v="1.0150943396226415"/>
    <n v="1.3"/>
    <n v="1.0640000000000001"/>
  </r>
  <r>
    <n v="914"/>
    <x v="19"/>
    <s v="East"/>
    <s v="Major Market"/>
    <s v="Columbian"/>
    <s v="Coffee"/>
    <s v="New York"/>
    <s v="Regular"/>
    <n v="340"/>
    <n v="520"/>
    <n v="370"/>
    <n v="860"/>
    <n v="364"/>
    <n v="2617"/>
    <n v="546"/>
    <n v="127"/>
    <n v="508"/>
    <n v="902"/>
    <n v="1.0488372093023255"/>
    <n v="1.3729729729729729"/>
    <n v="1.0705882352941176"/>
  </r>
  <r>
    <n v="504"/>
    <x v="19"/>
    <s v="South"/>
    <s v="Small Market"/>
    <s v="Chamomile"/>
    <s v="Herbal Tea"/>
    <s v="Louisiana"/>
    <s v="Decaf"/>
    <n v="70"/>
    <n v="100"/>
    <n v="70"/>
    <n v="170"/>
    <n v="77"/>
    <n v="581"/>
    <n v="99"/>
    <n v="25"/>
    <n v="84"/>
    <n v="174"/>
    <n v="1.0235294117647058"/>
    <n v="1.2"/>
    <n v="1.1000000000000001"/>
  </r>
  <r>
    <n v="225"/>
    <x v="19"/>
    <s v="South"/>
    <s v="Small Market"/>
    <s v="Lemon"/>
    <s v="Herbal Tea"/>
    <s v="Louisiana"/>
    <s v="Decaf"/>
    <n v="60"/>
    <n v="90"/>
    <n v="40"/>
    <n v="150"/>
    <n v="72"/>
    <n v="606"/>
    <n v="88"/>
    <n v="27"/>
    <n v="39"/>
    <n v="159"/>
    <n v="1.06"/>
    <n v="0.97499999999999998"/>
    <n v="1.2"/>
  </r>
  <r>
    <n v="504"/>
    <x v="19"/>
    <s v="South"/>
    <s v="Small Market"/>
    <s v="Columbian"/>
    <s v="Coffee"/>
    <s v="Louisiana"/>
    <s v="Regular"/>
    <n v="60"/>
    <n v="80"/>
    <n v="60"/>
    <n v="140"/>
    <n v="48"/>
    <n v="839"/>
    <n v="70"/>
    <n v="13"/>
    <n v="63"/>
    <n v="117"/>
    <n v="0.83571428571428574"/>
    <n v="1.05"/>
    <n v="0.8"/>
  </r>
  <r>
    <n v="985"/>
    <x v="19"/>
    <s v="South"/>
    <s v="Small Market"/>
    <s v="Decaf Irish Cream"/>
    <s v="Coffee"/>
    <s v="Louisiana"/>
    <s v="Decaf"/>
    <n v="70"/>
    <n v="120"/>
    <n v="100"/>
    <n v="190"/>
    <n v="63"/>
    <n v="864"/>
    <n v="91"/>
    <n v="17"/>
    <n v="87"/>
    <n v="153"/>
    <n v="0.80526315789473679"/>
    <n v="0.87"/>
    <n v="0.9"/>
  </r>
  <r>
    <n v="337"/>
    <x v="19"/>
    <s v="South"/>
    <s v="Small Market"/>
    <s v="Caffe Latte"/>
    <s v="Espresso"/>
    <s v="Louisiana"/>
    <s v="Regular"/>
    <n v="30"/>
    <n v="60"/>
    <n v="10"/>
    <n v="90"/>
    <n v="44"/>
    <n v="-508"/>
    <n v="61"/>
    <n v="39"/>
    <n v="-10"/>
    <n v="104"/>
    <n v="1.1555555555555554"/>
    <n v="-1"/>
    <n v="1.4666666666666666"/>
  </r>
  <r>
    <n v="318"/>
    <x v="19"/>
    <s v="South"/>
    <s v="Small Market"/>
    <s v="Caffe Mocha"/>
    <s v="Espresso"/>
    <s v="Louisiana"/>
    <s v="Regular"/>
    <n v="40"/>
    <n v="60"/>
    <n v="40"/>
    <n v="100"/>
    <n v="47"/>
    <n v="366"/>
    <n v="79"/>
    <n v="14"/>
    <n v="57"/>
    <n v="125"/>
    <n v="1.25"/>
    <n v="1.425"/>
    <n v="1.175"/>
  </r>
  <r>
    <n v="504"/>
    <x v="19"/>
    <s v="South"/>
    <s v="Small Market"/>
    <s v="Decaf Espresso"/>
    <s v="Espresso"/>
    <s v="Louisiana"/>
    <s v="Decaf"/>
    <n v="30"/>
    <n v="40"/>
    <n v="20"/>
    <n v="70"/>
    <n v="36"/>
    <n v="458"/>
    <n v="54"/>
    <n v="11"/>
    <n v="29"/>
    <n v="89"/>
    <n v="1.2714285714285714"/>
    <n v="1.45"/>
    <n v="1.2"/>
  </r>
  <r>
    <n v="505"/>
    <x v="19"/>
    <s v="South"/>
    <s v="Small Market"/>
    <s v="Chamomile"/>
    <s v="Herbal Tea"/>
    <s v="New Mexico"/>
    <s v="Decaf"/>
    <n v="20"/>
    <n v="40"/>
    <n v="30"/>
    <n v="60"/>
    <n v="25"/>
    <n v="851"/>
    <n v="38"/>
    <n v="7"/>
    <n v="26"/>
    <n v="62"/>
    <n v="1.0333333333333334"/>
    <n v="0.8666666666666667"/>
    <n v="1.25"/>
  </r>
  <r>
    <n v="505"/>
    <x v="19"/>
    <s v="South"/>
    <s v="Small Market"/>
    <s v="Lemon"/>
    <s v="Herbal Tea"/>
    <s v="New Mexico"/>
    <s v="Decaf"/>
    <n v="30"/>
    <n v="50"/>
    <n v="20"/>
    <n v="80"/>
    <n v="41"/>
    <n v="1007"/>
    <n v="49"/>
    <n v="12"/>
    <n v="21"/>
    <n v="89"/>
    <n v="1.1125"/>
    <n v="1.05"/>
    <n v="1.3666666666666667"/>
  </r>
  <r>
    <n v="505"/>
    <x v="19"/>
    <s v="South"/>
    <s v="Small Market"/>
    <s v="Columbian"/>
    <s v="Coffee"/>
    <s v="New Mexico"/>
    <s v="Regular"/>
    <n v="80"/>
    <n v="120"/>
    <n v="70"/>
    <n v="200"/>
    <n v="64"/>
    <n v="460"/>
    <n v="96"/>
    <n v="21"/>
    <n v="61"/>
    <n v="159"/>
    <n v="0.79500000000000004"/>
    <n v="0.87142857142857144"/>
    <n v="0.8"/>
  </r>
  <r>
    <n v="505"/>
    <x v="19"/>
    <s v="South"/>
    <s v="Small Market"/>
    <s v="Decaf Irish Cream"/>
    <s v="Coffee"/>
    <s v="New Mexico"/>
    <s v="Decaf"/>
    <n v="150"/>
    <n v="20"/>
    <n v="-30"/>
    <n v="170"/>
    <n v="120"/>
    <n v="1439"/>
    <n v="19"/>
    <n v="37"/>
    <n v="-58"/>
    <n v="138"/>
    <n v="0.81176470588235294"/>
    <n v="1.9333333333333333"/>
    <n v="0.8"/>
  </r>
  <r>
    <n v="505"/>
    <x v="19"/>
    <s v="South"/>
    <s v="Small Market"/>
    <s v="Caffe Latte"/>
    <s v="Espresso"/>
    <s v="New Mexico"/>
    <s v="Regular"/>
    <n v="20"/>
    <n v="30"/>
    <n v="0"/>
    <n v="50"/>
    <n v="29"/>
    <n v="-347"/>
    <n v="36"/>
    <n v="11"/>
    <n v="-11"/>
    <n v="64"/>
    <n v="1.28"/>
    <m/>
    <n v="1.45"/>
  </r>
  <r>
    <n v="505"/>
    <x v="19"/>
    <s v="South"/>
    <s v="Small Market"/>
    <s v="Caffe Mocha"/>
    <s v="Espresso"/>
    <s v="New Mexico"/>
    <s v="Regular"/>
    <n v="50"/>
    <n v="70"/>
    <n v="0"/>
    <n v="120"/>
    <n v="63"/>
    <n v="332"/>
    <n v="88"/>
    <n v="57"/>
    <n v="3"/>
    <n v="150"/>
    <n v="1.25"/>
    <m/>
    <n v="1.26"/>
  </r>
  <r>
    <n v="505"/>
    <x v="19"/>
    <s v="South"/>
    <s v="Small Market"/>
    <s v="Decaf Espresso"/>
    <s v="Espresso"/>
    <s v="New Mexico"/>
    <s v="Decaf"/>
    <n v="30"/>
    <n v="60"/>
    <n v="30"/>
    <n v="90"/>
    <n v="45"/>
    <n v="253"/>
    <n v="60"/>
    <n v="14"/>
    <n v="25"/>
    <n v="104"/>
    <n v="1.1555555555555554"/>
    <n v="0.83333333333333337"/>
    <n v="1.5"/>
  </r>
  <r>
    <n v="918"/>
    <x v="19"/>
    <s v="South"/>
    <s v="Small Market"/>
    <s v="Chamomile"/>
    <s v="Herbal Tea"/>
    <s v="Oklahoma"/>
    <s v="Decaf"/>
    <n v="60"/>
    <n v="70"/>
    <n v="20"/>
    <n v="130"/>
    <n v="63"/>
    <n v="397"/>
    <n v="77"/>
    <n v="23"/>
    <n v="28"/>
    <n v="139"/>
    <n v="1.0692307692307692"/>
    <n v="1.4"/>
    <n v="1.05"/>
  </r>
  <r>
    <n v="405"/>
    <x v="19"/>
    <s v="South"/>
    <s v="Small Market"/>
    <s v="Lemon"/>
    <s v="Herbal Tea"/>
    <s v="Oklahoma"/>
    <s v="Decaf"/>
    <n v="120"/>
    <n v="190"/>
    <n v="60"/>
    <n v="310"/>
    <n v="133"/>
    <n v="705"/>
    <n v="184"/>
    <n v="120"/>
    <n v="47"/>
    <n v="314"/>
    <n v="1.0129032258064516"/>
    <n v="0.78333333333333333"/>
    <n v="1.1083333333333334"/>
  </r>
  <r>
    <n v="580"/>
    <x v="19"/>
    <s v="South"/>
    <s v="Small Market"/>
    <s v="Columbian"/>
    <s v="Coffee"/>
    <s v="Oklahoma"/>
    <s v="Regular"/>
    <n v="80"/>
    <n v="110"/>
    <n v="80"/>
    <n v="190"/>
    <n v="68"/>
    <n v="587"/>
    <n v="87"/>
    <n v="22"/>
    <n v="73"/>
    <n v="154"/>
    <n v="0.81052631578947365"/>
    <n v="0.91249999999999998"/>
    <n v="0.85"/>
  </r>
  <r>
    <n v="918"/>
    <x v="19"/>
    <s v="South"/>
    <s v="Small Market"/>
    <s v="Decaf Irish Cream"/>
    <s v="Coffee"/>
    <s v="Oklahoma"/>
    <s v="Decaf"/>
    <n v="20"/>
    <n v="40"/>
    <n v="30"/>
    <n v="60"/>
    <n v="22"/>
    <n v="865"/>
    <n v="33"/>
    <n v="6"/>
    <n v="22"/>
    <n v="55"/>
    <n v="0.91666666666666663"/>
    <n v="0.73333333333333328"/>
    <n v="1.1000000000000001"/>
  </r>
  <r>
    <n v="918"/>
    <x v="19"/>
    <s v="South"/>
    <s v="Small Market"/>
    <s v="Caffe Latte"/>
    <s v="Espresso"/>
    <s v="Oklahoma"/>
    <s v="Regular"/>
    <n v="90"/>
    <n v="140"/>
    <n v="100"/>
    <n v="230"/>
    <n v="116"/>
    <n v="-1278"/>
    <n v="161"/>
    <n v="35"/>
    <n v="141"/>
    <n v="275"/>
    <n v="1.1956521739130435"/>
    <n v="1.41"/>
    <n v="1.288888888888889"/>
  </r>
  <r>
    <n v="580"/>
    <x v="19"/>
    <s v="South"/>
    <s v="Small Market"/>
    <s v="Caffe Mocha"/>
    <s v="Espresso"/>
    <s v="Oklahoma"/>
    <s v="Regular"/>
    <n v="10"/>
    <n v="20"/>
    <n v="20"/>
    <n v="30"/>
    <n v="16"/>
    <n v="484"/>
    <n v="25"/>
    <n v="4"/>
    <n v="14"/>
    <n v="41"/>
    <n v="1.3666666666666667"/>
    <n v="0.7"/>
    <n v="1.6"/>
  </r>
  <r>
    <n v="580"/>
    <x v="19"/>
    <s v="South"/>
    <s v="Small Market"/>
    <s v="Decaf Espresso"/>
    <s v="Espresso"/>
    <s v="Oklahoma"/>
    <s v="Decaf"/>
    <n v="90"/>
    <n v="150"/>
    <n v="100"/>
    <n v="240"/>
    <n v="114"/>
    <n v="810"/>
    <n v="172"/>
    <n v="37"/>
    <n v="142"/>
    <n v="283"/>
    <n v="1.1791666666666667"/>
    <n v="1.42"/>
    <n v="1.2666666666666666"/>
  </r>
  <r>
    <n v="817"/>
    <x v="19"/>
    <s v="South"/>
    <s v="Major Market"/>
    <s v="Chamomile"/>
    <s v="Herbal Tea"/>
    <s v="Texas"/>
    <s v="Decaf"/>
    <n v="40"/>
    <n v="60"/>
    <n v="30"/>
    <n v="100"/>
    <n v="46"/>
    <n v="415"/>
    <n v="62"/>
    <n v="15"/>
    <n v="26"/>
    <n v="107"/>
    <n v="1.07"/>
    <n v="0.8666666666666667"/>
    <n v="1.1499999999999999"/>
  </r>
  <r>
    <n v="210"/>
    <x v="19"/>
    <s v="South"/>
    <s v="Major Market"/>
    <s v="Lemon"/>
    <s v="Herbal Tea"/>
    <s v="Texas"/>
    <s v="Decaf"/>
    <n v="30"/>
    <n v="50"/>
    <n v="30"/>
    <n v="80"/>
    <n v="34"/>
    <n v="428"/>
    <n v="51"/>
    <n v="10"/>
    <n v="26"/>
    <n v="84"/>
    <n v="1.05"/>
    <n v="0.8666666666666667"/>
    <n v="1.1333333333333333"/>
  </r>
  <r>
    <n v="940"/>
    <x v="19"/>
    <s v="South"/>
    <s v="Major Market"/>
    <s v="Columbian"/>
    <s v="Coffee"/>
    <s v="Texas"/>
    <s v="Regular"/>
    <n v="390"/>
    <n v="450"/>
    <n v="340"/>
    <n v="840"/>
    <n v="311"/>
    <n v="1296"/>
    <n v="367"/>
    <n v="96"/>
    <n v="345"/>
    <n v="672"/>
    <n v="0.8"/>
    <n v="1.0147058823529411"/>
    <n v="0.79743589743589749"/>
  </r>
  <r>
    <n v="469"/>
    <x v="19"/>
    <s v="South"/>
    <s v="Major Market"/>
    <s v="Decaf Irish Cream"/>
    <s v="Coffee"/>
    <s v="Texas"/>
    <s v="Decaf"/>
    <n v="60"/>
    <n v="90"/>
    <n v="70"/>
    <n v="150"/>
    <n v="52"/>
    <n v="554"/>
    <n v="68"/>
    <n v="17"/>
    <n v="54"/>
    <n v="119"/>
    <n v="0.79333333333333333"/>
    <n v="0.77142857142857146"/>
    <n v="0.8666666666666667"/>
  </r>
  <r>
    <n v="817"/>
    <x v="19"/>
    <s v="South"/>
    <s v="Major Market"/>
    <s v="Caffe Latte"/>
    <s v="Espresso"/>
    <s v="Texas"/>
    <s v="Regular"/>
    <n v="40"/>
    <n v="70"/>
    <n v="40"/>
    <n v="110"/>
    <n v="52"/>
    <n v="-587"/>
    <n v="79"/>
    <n v="17"/>
    <n v="41"/>
    <n v="130"/>
    <n v="1.1818181818181819"/>
    <n v="1.0249999999999999"/>
    <n v="1.3"/>
  </r>
  <r>
    <n v="210"/>
    <x v="19"/>
    <s v="South"/>
    <s v="Major Market"/>
    <s v="Caffe Mocha"/>
    <s v="Espresso"/>
    <s v="Texas"/>
    <s v="Regular"/>
    <n v="100"/>
    <n v="150"/>
    <n v="120"/>
    <n v="250"/>
    <n v="123"/>
    <n v="941"/>
    <n v="178"/>
    <n v="34"/>
    <n v="184"/>
    <n v="298"/>
    <n v="1.1919999999999999"/>
    <n v="1.5333333333333334"/>
    <n v="1.23"/>
  </r>
  <r>
    <n v="469"/>
    <x v="19"/>
    <s v="South"/>
    <s v="Major Market"/>
    <s v="Decaf Espresso"/>
    <s v="Espresso"/>
    <s v="Texas"/>
    <s v="Decaf"/>
    <n v="80"/>
    <n v="130"/>
    <n v="110"/>
    <n v="210"/>
    <n v="100"/>
    <n v="598"/>
    <n v="145"/>
    <n v="28"/>
    <n v="145"/>
    <n v="243"/>
    <n v="1.1571428571428573"/>
    <n v="1.3181818181818181"/>
    <n v="1.25"/>
  </r>
  <r>
    <n v="435"/>
    <x v="19"/>
    <s v="West"/>
    <s v="Small Market"/>
    <s v="Darjeeling"/>
    <s v="Tea"/>
    <s v="Utah"/>
    <s v="Regular"/>
    <n v="40"/>
    <n v="60"/>
    <n v="10"/>
    <n v="100"/>
    <n v="63"/>
    <n v="332"/>
    <n v="88"/>
    <n v="57"/>
    <n v="3"/>
    <n v="150"/>
    <n v="1.5"/>
    <n v="0.3"/>
    <n v="1.575"/>
  </r>
  <r>
    <n v="435"/>
    <x v="19"/>
    <s v="West"/>
    <s v="Small Market"/>
    <s v="Earl Grey"/>
    <s v="Tea"/>
    <s v="Utah"/>
    <s v="Regular"/>
    <n v="20"/>
    <n v="50"/>
    <n v="30"/>
    <n v="70"/>
    <n v="45"/>
    <n v="253"/>
    <n v="60"/>
    <n v="14"/>
    <n v="26"/>
    <n v="104"/>
    <n v="1.4857142857142858"/>
    <n v="0.8666666666666667"/>
    <n v="2.25"/>
  </r>
  <r>
    <n v="435"/>
    <x v="19"/>
    <s v="West"/>
    <s v="Small Market"/>
    <s v="Green Tea"/>
    <s v="Tea"/>
    <s v="Utah"/>
    <s v="Regular"/>
    <n v="10"/>
    <n v="30"/>
    <n v="10"/>
    <n v="40"/>
    <n v="29"/>
    <n v="215"/>
    <n v="36"/>
    <n v="11"/>
    <n v="-12"/>
    <n v="64"/>
    <n v="1.6"/>
    <n v="-1.2"/>
    <n v="2.9"/>
  </r>
  <r>
    <n v="435"/>
    <x v="19"/>
    <s v="West"/>
    <s v="Small Market"/>
    <s v="Chamomile"/>
    <s v="Herbal Tea"/>
    <s v="Utah"/>
    <s v="Decaf"/>
    <n v="50"/>
    <n v="80"/>
    <n v="60"/>
    <n v="130"/>
    <n v="61"/>
    <n v="322"/>
    <n v="90"/>
    <n v="19"/>
    <n v="68"/>
    <n v="150"/>
    <n v="1.1538461538461537"/>
    <n v="1.1333333333333333"/>
    <n v="1.22"/>
  </r>
  <r>
    <n v="435"/>
    <x v="19"/>
    <s v="West"/>
    <s v="Small Market"/>
    <s v="Lemon"/>
    <s v="Herbal Tea"/>
    <s v="Utah"/>
    <s v="Decaf"/>
    <n v="50"/>
    <n v="90"/>
    <n v="60"/>
    <n v="140"/>
    <n v="64"/>
    <n v="460"/>
    <n v="96"/>
    <n v="21"/>
    <n v="61"/>
    <n v="159"/>
    <n v="1.1357142857142857"/>
    <n v="1.0166666666666666"/>
    <n v="1.28"/>
  </r>
  <r>
    <n v="801"/>
    <x v="19"/>
    <s v="West"/>
    <s v="Small Market"/>
    <s v="Mint"/>
    <s v="Herbal Tea"/>
    <s v="Utah"/>
    <s v="Decaf"/>
    <n v="100"/>
    <n v="20"/>
    <n v="-30"/>
    <n v="120"/>
    <n v="120"/>
    <n v="1439"/>
    <n v="19"/>
    <n v="37"/>
    <n v="-57"/>
    <n v="138"/>
    <n v="1.1499999999999999"/>
    <n v="1.9"/>
    <n v="1.2"/>
  </r>
  <r>
    <n v="435"/>
    <x v="19"/>
    <s v="West"/>
    <s v="Small Market"/>
    <s v="Amaretto"/>
    <s v="Coffee"/>
    <s v="Utah"/>
    <s v="Regular"/>
    <n v="60"/>
    <n v="70"/>
    <n v="40"/>
    <n v="130"/>
    <n v="50"/>
    <n v="1064"/>
    <n v="60"/>
    <n v="15"/>
    <n v="33"/>
    <n v="109"/>
    <n v="0.83846153846153848"/>
    <n v="0.82499999999999996"/>
    <n v="0.83333333333333337"/>
  </r>
  <r>
    <n v="435"/>
    <x v="19"/>
    <s v="West"/>
    <s v="Small Market"/>
    <s v="Columbian"/>
    <s v="Coffee"/>
    <s v="Utah"/>
    <s v="Regular"/>
    <n v="50"/>
    <n v="70"/>
    <n v="40"/>
    <n v="120"/>
    <n v="42"/>
    <n v="384"/>
    <n v="56"/>
    <n v="13"/>
    <n v="21"/>
    <n v="97"/>
    <n v="0.80833333333333335"/>
    <n v="0.52500000000000002"/>
    <n v="0.84"/>
  </r>
  <r>
    <n v="801"/>
    <x v="19"/>
    <s v="West"/>
    <s v="Small Market"/>
    <s v="Decaf Irish Cream"/>
    <s v="Coffee"/>
    <s v="Utah"/>
    <s v="Decaf"/>
    <n v="90"/>
    <n v="110"/>
    <n v="60"/>
    <n v="200"/>
    <n v="72"/>
    <n v="606"/>
    <n v="88"/>
    <n v="27"/>
    <n v="37"/>
    <n v="159"/>
    <n v="0.79500000000000004"/>
    <n v="0.6166666666666667"/>
    <n v="0.8"/>
  </r>
  <r>
    <n v="435"/>
    <x v="19"/>
    <s v="West"/>
    <s v="Small Market"/>
    <s v="Caffe Latte"/>
    <s v="Espresso"/>
    <s v="Utah"/>
    <s v="Regular"/>
    <n v="30"/>
    <n v="40"/>
    <n v="30"/>
    <n v="70"/>
    <n v="32"/>
    <n v="841"/>
    <n v="48"/>
    <n v="8"/>
    <n v="39"/>
    <n v="79"/>
    <n v="1.1285714285714286"/>
    <n v="1.3"/>
    <n v="1.0666666666666667"/>
  </r>
  <r>
    <n v="435"/>
    <x v="19"/>
    <s v="West"/>
    <s v="Small Market"/>
    <s v="Caffe Mocha"/>
    <s v="Espresso"/>
    <s v="Utah"/>
    <s v="Regular"/>
    <n v="70"/>
    <n v="90"/>
    <n v="60"/>
    <n v="160"/>
    <n v="77"/>
    <n v="581"/>
    <n v="99"/>
    <n v="25"/>
    <n v="86"/>
    <n v="174"/>
    <n v="1.0874999999999999"/>
    <n v="1.4333333333333333"/>
    <n v="1.1000000000000001"/>
  </r>
  <r>
    <n v="435"/>
    <x v="19"/>
    <s v="West"/>
    <s v="Small Market"/>
    <s v="Decaf Espresso"/>
    <s v="Espresso"/>
    <s v="Utah"/>
    <s v="Decaf"/>
    <n v="30"/>
    <n v="40"/>
    <n v="30"/>
    <n v="70"/>
    <n v="34"/>
    <n v="890"/>
    <n v="49"/>
    <n v="9"/>
    <n v="39"/>
    <n v="82"/>
    <n v="1.1714285714285715"/>
    <n v="1.3"/>
    <n v="1.1333333333333333"/>
  </r>
  <r>
    <n v="805"/>
    <x v="19"/>
    <s v="West"/>
    <s v="Major Market"/>
    <s v="Darjeeling"/>
    <s v="Tea"/>
    <s v="California"/>
    <s v="Regular"/>
    <n v="80"/>
    <n v="120"/>
    <n v="100"/>
    <n v="200"/>
    <n v="123"/>
    <n v="941"/>
    <n v="178"/>
    <n v="34"/>
    <n v="184"/>
    <n v="298"/>
    <n v="1.49"/>
    <n v="1.84"/>
    <n v="1.5375000000000001"/>
  </r>
  <r>
    <n v="760"/>
    <x v="19"/>
    <s v="West"/>
    <s v="Major Market"/>
    <s v="Earl Grey"/>
    <s v="Tea"/>
    <s v="California"/>
    <s v="Regular"/>
    <n v="60"/>
    <n v="100"/>
    <n v="90"/>
    <n v="160"/>
    <n v="100"/>
    <n v="598"/>
    <n v="145"/>
    <n v="28"/>
    <n v="145"/>
    <n v="243"/>
    <n v="1.51875"/>
    <n v="1.6111111111111112"/>
    <n v="1.6666666666666667"/>
  </r>
  <r>
    <n v="650"/>
    <x v="19"/>
    <s v="West"/>
    <s v="Major Market"/>
    <s v="Green Tea"/>
    <s v="Tea"/>
    <s v="California"/>
    <s v="Regular"/>
    <n v="30"/>
    <n v="50"/>
    <n v="20"/>
    <n v="80"/>
    <n v="52"/>
    <n v="662"/>
    <n v="79"/>
    <n v="17"/>
    <n v="41"/>
    <n v="130"/>
    <n v="1.625"/>
    <n v="2.0499999999999998"/>
    <n v="1.7333333333333334"/>
  </r>
  <r>
    <n v="916"/>
    <x v="19"/>
    <s v="West"/>
    <s v="Major Market"/>
    <s v="Chamomile"/>
    <s v="Herbal Tea"/>
    <s v="California"/>
    <s v="Decaf"/>
    <n v="110"/>
    <n v="170"/>
    <n v="140"/>
    <n v="280"/>
    <n v="132"/>
    <n v="994"/>
    <n v="191"/>
    <n v="36"/>
    <n v="197"/>
    <n v="320"/>
    <n v="1.1428571428571428"/>
    <n v="1.4071428571428573"/>
    <n v="1.2"/>
  </r>
  <r>
    <n v="818"/>
    <x v="19"/>
    <s v="West"/>
    <s v="Major Market"/>
    <s v="Lemon"/>
    <s v="Herbal Tea"/>
    <s v="California"/>
    <s v="Decaf"/>
    <n v="260"/>
    <n v="330"/>
    <n v="240"/>
    <n v="590"/>
    <n v="311"/>
    <n v="1296"/>
    <n v="367"/>
    <n v="96"/>
    <n v="344"/>
    <n v="672"/>
    <n v="1.1389830508474577"/>
    <n v="1.4333333333333333"/>
    <n v="1.1961538461538461"/>
  </r>
  <r>
    <n v="213"/>
    <x v="19"/>
    <s v="West"/>
    <s v="Major Market"/>
    <s v="Mint"/>
    <s v="Herbal Tea"/>
    <s v="California"/>
    <s v="Decaf"/>
    <n v="40"/>
    <n v="60"/>
    <n v="40"/>
    <n v="100"/>
    <n v="52"/>
    <n v="554"/>
    <n v="68"/>
    <n v="17"/>
    <n v="52"/>
    <n v="119"/>
    <n v="1.19"/>
    <n v="1.3"/>
    <n v="1.3"/>
  </r>
  <r>
    <n v="858"/>
    <x v="19"/>
    <s v="West"/>
    <s v="Major Market"/>
    <s v="Amaretto"/>
    <s v="Coffee"/>
    <s v="California"/>
    <s v="Regular"/>
    <n v="190"/>
    <n v="-90"/>
    <n v="-150"/>
    <n v="100"/>
    <n v="154"/>
    <n v="2105"/>
    <n v="-67"/>
    <n v="49"/>
    <n v="-192"/>
    <n v="86"/>
    <n v="0.86"/>
    <n v="1.28"/>
    <n v="0.81052631578947365"/>
  </r>
  <r>
    <n v="213"/>
    <x v="19"/>
    <s v="West"/>
    <s v="Major Market"/>
    <s v="Columbian"/>
    <s v="Coffee"/>
    <s v="California"/>
    <s v="Regular"/>
    <n v="450"/>
    <n v="680"/>
    <n v="520"/>
    <n v="1130"/>
    <n v="364"/>
    <n v="2617"/>
    <n v="546"/>
    <n v="127"/>
    <n v="508"/>
    <n v="902"/>
    <n v="0.7982300884955752"/>
    <n v="0.97692307692307689"/>
    <n v="0.80888888888888888"/>
  </r>
  <r>
    <n v="530"/>
    <x v="19"/>
    <s v="West"/>
    <s v="Major Market"/>
    <s v="Decaf Irish Cream"/>
    <s v="Coffee"/>
    <s v="California"/>
    <s v="Decaf"/>
    <n v="240"/>
    <n v="-40"/>
    <n v="-140"/>
    <n v="200"/>
    <n v="196"/>
    <n v="3139"/>
    <n v="-30"/>
    <n v="64"/>
    <n v="-189"/>
    <n v="165"/>
    <n v="0.82499999999999996"/>
    <n v="1.35"/>
    <n v="0.81666666666666665"/>
  </r>
  <r>
    <n v="213"/>
    <x v="19"/>
    <s v="West"/>
    <s v="Major Market"/>
    <s v="Caffe Latte"/>
    <s v="Espresso"/>
    <s v="California"/>
    <s v="Regular"/>
    <n v="250"/>
    <n v="260"/>
    <n v="170"/>
    <n v="510"/>
    <n v="266"/>
    <n v="1797"/>
    <n v="266"/>
    <n v="74"/>
    <n v="230"/>
    <n v="527"/>
    <n v="1.0333333333333334"/>
    <n v="1.3529411764705883"/>
    <n v="1.0640000000000001"/>
  </r>
  <r>
    <n v="951"/>
    <x v="19"/>
    <s v="West"/>
    <s v="Major Market"/>
    <s v="Caffe Mocha"/>
    <s v="Espresso"/>
    <s v="California"/>
    <s v="Regular"/>
    <n v="160"/>
    <n v="230"/>
    <n v="60"/>
    <n v="390"/>
    <n v="173"/>
    <n v="927"/>
    <n v="239"/>
    <n v="156"/>
    <n v="69"/>
    <n v="408"/>
    <n v="1.0461538461538462"/>
    <n v="1.1499999999999999"/>
    <n v="1.08125"/>
  </r>
  <r>
    <n v="909"/>
    <x v="19"/>
    <s v="West"/>
    <s v="Major Market"/>
    <s v="Decaf Espresso"/>
    <s v="Espresso"/>
    <s v="California"/>
    <s v="Decaf"/>
    <n v="280"/>
    <n v="370"/>
    <n v="250"/>
    <n v="650"/>
    <n v="295"/>
    <n v="1714"/>
    <n v="392"/>
    <n v="97"/>
    <n v="362"/>
    <n v="681"/>
    <n v="1.0476923076923077"/>
    <n v="1.448"/>
    <n v="1.0535714285714286"/>
  </r>
  <r>
    <n v="702"/>
    <x v="19"/>
    <s v="West"/>
    <s v="Small Market"/>
    <s v="Darjeeling"/>
    <s v="Tea"/>
    <s v="Nevada"/>
    <s v="Regular"/>
    <n v="190"/>
    <n v="270"/>
    <n v="190"/>
    <n v="460"/>
    <n v="295"/>
    <n v="1714"/>
    <n v="392"/>
    <n v="97"/>
    <n v="362"/>
    <n v="681"/>
    <n v="1.4804347826086957"/>
    <n v="1.9052631578947368"/>
    <n v="1.5526315789473684"/>
  </r>
  <r>
    <n v="702"/>
    <x v="19"/>
    <s v="West"/>
    <s v="Small Market"/>
    <s v="Earl Grey"/>
    <s v="Tea"/>
    <s v="Nevada"/>
    <s v="Regular"/>
    <n v="170"/>
    <n v="190"/>
    <n v="130"/>
    <n v="360"/>
    <n v="266"/>
    <n v="1797"/>
    <n v="266"/>
    <n v="74"/>
    <n v="230"/>
    <n v="527"/>
    <n v="1.4638888888888888"/>
    <n v="1.7692307692307692"/>
    <n v="1.5647058823529412"/>
  </r>
  <r>
    <n v="775"/>
    <x v="19"/>
    <s v="West"/>
    <s v="Small Market"/>
    <s v="Green Tea"/>
    <s v="Tea"/>
    <s v="Nevada"/>
    <s v="Regular"/>
    <n v="180"/>
    <n v="-180"/>
    <n v="-260"/>
    <n v="0"/>
    <n v="284"/>
    <n v="5807"/>
    <n v="-284"/>
    <n v="107"/>
    <n v="-558"/>
    <n v="21"/>
    <m/>
    <n v="2.1461538461538461"/>
    <n v="1.5777777777777777"/>
  </r>
  <r>
    <n v="702"/>
    <x v="19"/>
    <s v="West"/>
    <s v="Small Market"/>
    <s v="Chamomile"/>
    <s v="Herbal Tea"/>
    <s v="Nevada"/>
    <s v="Decaf"/>
    <n v="140"/>
    <n v="220"/>
    <n v="70"/>
    <n v="360"/>
    <n v="173"/>
    <n v="927"/>
    <n v="239"/>
    <n v="156"/>
    <n v="68"/>
    <n v="408"/>
    <n v="1.1333333333333333"/>
    <n v="0.97142857142857142"/>
    <n v="1.2357142857142858"/>
  </r>
  <r>
    <n v="775"/>
    <x v="19"/>
    <s v="West"/>
    <s v="Small Market"/>
    <s v="Lemon"/>
    <s v="Herbal Tea"/>
    <s v="Nevada"/>
    <s v="Decaf"/>
    <n v="160"/>
    <n v="250"/>
    <n v="170"/>
    <n v="410"/>
    <n v="196"/>
    <n v="1167"/>
    <n v="271"/>
    <n v="64"/>
    <n v="225"/>
    <n v="463"/>
    <n v="1.1292682926829267"/>
    <n v="1.3235294117647058"/>
    <n v="1.2250000000000001"/>
  </r>
  <r>
    <n v="775"/>
    <x v="19"/>
    <s v="West"/>
    <s v="Small Market"/>
    <s v="Mint"/>
    <s v="Herbal Tea"/>
    <s v="Nevada"/>
    <s v="Decaf"/>
    <n v="130"/>
    <n v="200"/>
    <n v="150"/>
    <n v="330"/>
    <n v="154"/>
    <n v="817"/>
    <n v="222"/>
    <n v="49"/>
    <n v="207"/>
    <n v="373"/>
    <n v="1.1303030303030304"/>
    <n v="1.38"/>
    <n v="1.1846153846153846"/>
  </r>
  <r>
    <n v="775"/>
    <x v="19"/>
    <s v="West"/>
    <s v="Small Market"/>
    <s v="Columbian"/>
    <s v="Coffee"/>
    <s v="Nevada"/>
    <s v="Regular"/>
    <n v="40"/>
    <n v="60"/>
    <n v="20"/>
    <n v="100"/>
    <n v="38"/>
    <n v="248"/>
    <n v="48"/>
    <n v="14"/>
    <n v="1"/>
    <n v="85"/>
    <n v="0.85"/>
    <n v="0.05"/>
    <n v="0.95"/>
  </r>
  <r>
    <n v="702"/>
    <x v="19"/>
    <s v="West"/>
    <s v="Small Market"/>
    <s v="Decaf Irish Cream"/>
    <s v="Coffee"/>
    <s v="Nevada"/>
    <s v="Decaf"/>
    <n v="50"/>
    <n v="60"/>
    <n v="30"/>
    <n v="110"/>
    <n v="41"/>
    <n v="1007"/>
    <n v="49"/>
    <n v="12"/>
    <n v="22"/>
    <n v="89"/>
    <n v="0.80909090909090908"/>
    <n v="0.73333333333333328"/>
    <n v="0.82"/>
  </r>
  <r>
    <n v="775"/>
    <x v="19"/>
    <s v="West"/>
    <s v="Small Market"/>
    <s v="Caffe Latte"/>
    <s v="Espresso"/>
    <s v="Nevada"/>
    <s v="Regular"/>
    <n v="0"/>
    <n v="40"/>
    <n v="30"/>
    <n v="40"/>
    <n v="0"/>
    <n v="516"/>
    <n v="43"/>
    <n v="0"/>
    <n v="44"/>
    <n v="43"/>
    <n v="1.075"/>
    <n v="1.4666666666666666"/>
    <m/>
  </r>
  <r>
    <n v="702"/>
    <x v="19"/>
    <s v="West"/>
    <s v="Small Market"/>
    <s v="Caffe Mocha"/>
    <s v="Espresso"/>
    <s v="Nevada"/>
    <s v="Regular"/>
    <n v="20"/>
    <n v="40"/>
    <n v="30"/>
    <n v="60"/>
    <n v="25"/>
    <n v="851"/>
    <n v="38"/>
    <n v="7"/>
    <n v="26"/>
    <n v="62"/>
    <n v="1.0333333333333334"/>
    <n v="0.8666666666666667"/>
    <n v="1.25"/>
  </r>
  <r>
    <n v="775"/>
    <x v="19"/>
    <s v="West"/>
    <s v="Small Market"/>
    <s v="Decaf Espresso"/>
    <s v="Espresso"/>
    <s v="Nevada"/>
    <s v="Decaf"/>
    <n v="20"/>
    <n v="30"/>
    <n v="20"/>
    <n v="50"/>
    <n v="23"/>
    <n v="806"/>
    <n v="35"/>
    <n v="6"/>
    <n v="23"/>
    <n v="57"/>
    <n v="1.1399999999999999"/>
    <n v="1.1499999999999999"/>
    <n v="1.1499999999999999"/>
  </r>
  <r>
    <n v="541"/>
    <x v="19"/>
    <s v="West"/>
    <s v="Small Market"/>
    <s v="Darjeeling"/>
    <s v="Tea"/>
    <s v="Oregon"/>
    <s v="Regular"/>
    <n v="10"/>
    <n v="10"/>
    <n v="10"/>
    <n v="20"/>
    <n v="16"/>
    <n v="484"/>
    <n v="25"/>
    <n v="4"/>
    <n v="12"/>
    <n v="41"/>
    <n v="2.0499999999999998"/>
    <n v="1.2"/>
    <n v="1.6"/>
  </r>
  <r>
    <n v="541"/>
    <x v="19"/>
    <s v="West"/>
    <s v="Small Market"/>
    <s v="Earl Grey"/>
    <s v="Tea"/>
    <s v="Oregon"/>
    <s v="Regular"/>
    <n v="70"/>
    <n v="120"/>
    <n v="80"/>
    <n v="190"/>
    <n v="114"/>
    <n v="810"/>
    <n v="172"/>
    <n v="37"/>
    <n v="144"/>
    <n v="283"/>
    <n v="1.4894736842105263"/>
    <n v="1.8"/>
    <n v="1.6285714285714286"/>
  </r>
  <r>
    <n v="503"/>
    <x v="19"/>
    <s v="West"/>
    <s v="Small Market"/>
    <s v="Green Tea"/>
    <s v="Tea"/>
    <s v="Oregon"/>
    <s v="Regular"/>
    <n v="70"/>
    <n v="110"/>
    <n v="70"/>
    <n v="180"/>
    <n v="116"/>
    <n v="678"/>
    <n v="161"/>
    <n v="35"/>
    <n v="141"/>
    <n v="275"/>
    <n v="1.5277777777777777"/>
    <n v="2.0142857142857142"/>
    <n v="1.6571428571428573"/>
  </r>
  <r>
    <n v="971"/>
    <x v="19"/>
    <s v="West"/>
    <s v="Small Market"/>
    <s v="Chamomile"/>
    <s v="Herbal Tea"/>
    <s v="Oregon"/>
    <s v="Decaf"/>
    <n v="20"/>
    <n v="30"/>
    <n v="30"/>
    <n v="50"/>
    <n v="25"/>
    <n v="826"/>
    <n v="37"/>
    <n v="7"/>
    <n v="26"/>
    <n v="61"/>
    <n v="1.22"/>
    <n v="0.8666666666666667"/>
    <n v="1.25"/>
  </r>
  <r>
    <n v="541"/>
    <x v="19"/>
    <s v="West"/>
    <s v="Small Market"/>
    <s v="Lemon"/>
    <s v="Herbal Tea"/>
    <s v="Oregon"/>
    <s v="Decaf"/>
    <n v="50"/>
    <n v="80"/>
    <n v="60"/>
    <n v="130"/>
    <n v="68"/>
    <n v="587"/>
    <n v="87"/>
    <n v="22"/>
    <n v="73"/>
    <n v="154"/>
    <n v="1.1846153846153846"/>
    <n v="1.2166666666666666"/>
    <n v="1.36"/>
  </r>
  <r>
    <n v="971"/>
    <x v="19"/>
    <s v="West"/>
    <s v="Small Market"/>
    <s v="Amaretto"/>
    <s v="Coffee"/>
    <s v="Oregon"/>
    <s v="Regular"/>
    <n v="40"/>
    <n v="70"/>
    <n v="20"/>
    <n v="110"/>
    <n v="37"/>
    <n v="513"/>
    <n v="52"/>
    <n v="33"/>
    <n v="-15"/>
    <n v="88"/>
    <n v="0.8"/>
    <n v="-0.75"/>
    <n v="0.92500000000000004"/>
  </r>
  <r>
    <n v="971"/>
    <x v="19"/>
    <s v="West"/>
    <s v="Small Market"/>
    <s v="Columbian"/>
    <s v="Coffee"/>
    <s v="Oregon"/>
    <s v="Regular"/>
    <n v="50"/>
    <n v="90"/>
    <n v="40"/>
    <n v="140"/>
    <n v="47"/>
    <n v="474"/>
    <n v="67"/>
    <n v="15"/>
    <n v="11"/>
    <n v="113"/>
    <n v="0.80714285714285716"/>
    <n v="0.27500000000000002"/>
    <n v="0.94"/>
  </r>
  <r>
    <n v="503"/>
    <x v="19"/>
    <s v="West"/>
    <s v="Small Market"/>
    <s v="Decaf Irish Cream"/>
    <s v="Coffee"/>
    <s v="Oregon"/>
    <s v="Decaf"/>
    <n v="40"/>
    <n v="60"/>
    <n v="40"/>
    <n v="100"/>
    <n v="34"/>
    <n v="428"/>
    <n v="51"/>
    <n v="10"/>
    <n v="26"/>
    <n v="84"/>
    <n v="0.84"/>
    <n v="0.65"/>
    <n v="0.85"/>
  </r>
  <r>
    <n v="541"/>
    <x v="19"/>
    <s v="West"/>
    <s v="Small Market"/>
    <s v="Caffe Latte"/>
    <s v="Espresso"/>
    <s v="Oregon"/>
    <s v="Regular"/>
    <n v="40"/>
    <n v="60"/>
    <n v="20"/>
    <n v="100"/>
    <n v="49"/>
    <n v="414"/>
    <n v="60"/>
    <n v="18"/>
    <n v="12"/>
    <n v="108"/>
    <n v="1.08"/>
    <n v="0.6"/>
    <n v="1.2250000000000001"/>
  </r>
  <r>
    <n v="971"/>
    <x v="19"/>
    <s v="West"/>
    <s v="Small Market"/>
    <s v="Caffe Mocha"/>
    <s v="Espresso"/>
    <s v="Oregon"/>
    <s v="Regular"/>
    <n v="40"/>
    <n v="60"/>
    <n v="30"/>
    <n v="100"/>
    <n v="46"/>
    <n v="415"/>
    <n v="62"/>
    <n v="15"/>
    <n v="26"/>
    <n v="107"/>
    <n v="1.07"/>
    <n v="0.8666666666666667"/>
    <n v="1.1499999999999999"/>
  </r>
  <r>
    <n v="541"/>
    <x v="19"/>
    <s v="West"/>
    <s v="Small Market"/>
    <s v="Decaf Espresso"/>
    <s v="Espresso"/>
    <s v="Oregon"/>
    <s v="Decaf"/>
    <n v="130"/>
    <n v="140"/>
    <n v="90"/>
    <n v="270"/>
    <n v="145"/>
    <n v="1292"/>
    <n v="146"/>
    <n v="40"/>
    <n v="112"/>
    <n v="288"/>
    <n v="1.0666666666666667"/>
    <n v="1.2444444444444445"/>
    <n v="1.1153846153846154"/>
  </r>
  <r>
    <n v="425"/>
    <x v="19"/>
    <s v="West"/>
    <s v="Small Market"/>
    <s v="Darjeeling"/>
    <s v="Tea"/>
    <s v="Washington"/>
    <s v="Regular"/>
    <n v="30"/>
    <n v="50"/>
    <n v="30"/>
    <n v="80"/>
    <n v="47"/>
    <n v="366"/>
    <n v="79"/>
    <n v="14"/>
    <n v="58"/>
    <n v="125"/>
    <n v="1.5625"/>
    <n v="1.9333333333333333"/>
    <n v="1.5666666666666667"/>
  </r>
  <r>
    <n v="206"/>
    <x v="19"/>
    <s v="West"/>
    <s v="Small Market"/>
    <s v="Earl Grey"/>
    <s v="Tea"/>
    <s v="Washington"/>
    <s v="Regular"/>
    <n v="20"/>
    <n v="40"/>
    <n v="30"/>
    <n v="60"/>
    <n v="36"/>
    <n v="458"/>
    <n v="54"/>
    <n v="11"/>
    <n v="28"/>
    <n v="89"/>
    <n v="1.4833333333333334"/>
    <n v="0.93333333333333335"/>
    <n v="1.8"/>
  </r>
  <r>
    <n v="253"/>
    <x v="19"/>
    <s v="West"/>
    <s v="Small Market"/>
    <s v="Green Tea"/>
    <s v="Tea"/>
    <s v="Washington"/>
    <s v="Regular"/>
    <n v="20"/>
    <n v="50"/>
    <n v="10"/>
    <n v="70"/>
    <n v="44"/>
    <n v="617"/>
    <n v="61"/>
    <n v="39"/>
    <n v="-11"/>
    <n v="104"/>
    <n v="1.4857142857142858"/>
    <n v="-1.1000000000000001"/>
    <n v="2.2000000000000002"/>
  </r>
  <r>
    <n v="253"/>
    <x v="19"/>
    <s v="West"/>
    <s v="Small Market"/>
    <s v="Chamomile"/>
    <s v="Herbal Tea"/>
    <s v="Washington"/>
    <s v="Decaf"/>
    <n v="70"/>
    <n v="120"/>
    <n v="80"/>
    <n v="190"/>
    <n v="90"/>
    <n v="1139"/>
    <n v="135"/>
    <n v="29"/>
    <n v="104"/>
    <n v="223"/>
    <n v="1.1736842105263159"/>
    <n v="1.3"/>
    <n v="1.2857142857142858"/>
  </r>
  <r>
    <n v="360"/>
    <x v="19"/>
    <s v="West"/>
    <s v="Small Market"/>
    <s v="Lemon"/>
    <s v="Herbal Tea"/>
    <s v="Washington"/>
    <s v="Decaf"/>
    <n v="40"/>
    <n v="60"/>
    <n v="50"/>
    <n v="100"/>
    <n v="48"/>
    <n v="839"/>
    <n v="70"/>
    <n v="13"/>
    <n v="62"/>
    <n v="117"/>
    <n v="1.17"/>
    <n v="1.24"/>
    <n v="1.2"/>
  </r>
  <r>
    <n v="425"/>
    <x v="19"/>
    <s v="West"/>
    <s v="Small Market"/>
    <s v="Columbian"/>
    <s v="Coffee"/>
    <s v="Washington"/>
    <s v="Regular"/>
    <n v="100"/>
    <n v="160"/>
    <n v="120"/>
    <n v="260"/>
    <n v="86"/>
    <n v="454"/>
    <n v="125"/>
    <n v="27"/>
    <n v="105"/>
    <n v="209"/>
    <n v="0.80384615384615388"/>
    <n v="0.875"/>
    <n v="0.86"/>
  </r>
  <r>
    <n v="360"/>
    <x v="19"/>
    <s v="West"/>
    <s v="Small Market"/>
    <s v="Decaf Irish Cream"/>
    <s v="Coffee"/>
    <s v="Washington"/>
    <s v="Decaf"/>
    <n v="160"/>
    <n v="230"/>
    <n v="100"/>
    <n v="390"/>
    <n v="133"/>
    <n v="705"/>
    <n v="184"/>
    <n v="120"/>
    <n v="47"/>
    <n v="314"/>
    <n v="0.80512820512820515"/>
    <n v="0.47"/>
    <n v="0.83125000000000004"/>
  </r>
  <r>
    <n v="425"/>
    <x v="19"/>
    <s v="West"/>
    <s v="Small Market"/>
    <s v="Caffe Latte"/>
    <s v="Espresso"/>
    <s v="Washington"/>
    <s v="Regular"/>
    <n v="20"/>
    <n v="40"/>
    <n v="30"/>
    <n v="60"/>
    <n v="30"/>
    <n v="581"/>
    <n v="39"/>
    <n v="9"/>
    <n v="23"/>
    <n v="68"/>
    <n v="1.1333333333333333"/>
    <n v="0.76666666666666672"/>
    <n v="1.5"/>
  </r>
  <r>
    <n v="360"/>
    <x v="19"/>
    <s v="West"/>
    <s v="Small Market"/>
    <s v="Caffe Mocha"/>
    <s v="Espresso"/>
    <s v="Washington"/>
    <s v="Regular"/>
    <n v="60"/>
    <n v="70"/>
    <n v="20"/>
    <n v="130"/>
    <n v="63"/>
    <n v="397"/>
    <n v="77"/>
    <n v="23"/>
    <n v="28"/>
    <n v="139"/>
    <n v="1.0692307692307692"/>
    <n v="1.4"/>
    <n v="1.05"/>
  </r>
  <r>
    <n v="425"/>
    <x v="19"/>
    <s v="West"/>
    <s v="Small Market"/>
    <s v="Decaf Espresso"/>
    <s v="Espresso"/>
    <s v="Washington"/>
    <s v="Decaf"/>
    <n v="90"/>
    <n v="120"/>
    <n v="90"/>
    <n v="210"/>
    <n v="103"/>
    <n v="1073"/>
    <n v="123"/>
    <n v="31"/>
    <n v="98"/>
    <n v="224"/>
    <n v="1.0666666666666667"/>
    <n v="1.0888888888888888"/>
    <n v="1.1444444444444444"/>
  </r>
  <r>
    <n v="303"/>
    <x v="20"/>
    <s v="Central"/>
    <s v="Major Market"/>
    <s v="Chamomile"/>
    <s v="Herbal Tea"/>
    <s v="Colorado"/>
    <s v="Decaf"/>
    <n v="130"/>
    <n v="140"/>
    <n v="90"/>
    <n v="270"/>
    <n v="155"/>
    <n v="1280"/>
    <n v="155"/>
    <n v="43"/>
    <n v="129"/>
    <n v="330"/>
    <n v="1.2222222222222223"/>
    <n v="1.4333333333333333"/>
    <n v="1.1923076923076923"/>
  </r>
  <r>
    <n v="970"/>
    <x v="20"/>
    <s v="Central"/>
    <s v="Major Market"/>
    <s v="Lemon"/>
    <s v="Herbal Tea"/>
    <s v="Colorado"/>
    <s v="Decaf"/>
    <n v="40"/>
    <n v="70"/>
    <n v="20"/>
    <n v="110"/>
    <n v="52"/>
    <n v="509"/>
    <n v="74"/>
    <n v="47"/>
    <n v="-3"/>
    <n v="134"/>
    <n v="1.2181818181818183"/>
    <n v="-0.15"/>
    <n v="1.3"/>
  </r>
  <r>
    <n v="720"/>
    <x v="20"/>
    <s v="Central"/>
    <s v="Major Market"/>
    <s v="Mint"/>
    <s v="Herbal Tea"/>
    <s v="Colorado"/>
    <s v="Decaf"/>
    <n v="40"/>
    <n v="70"/>
    <n v="40"/>
    <n v="110"/>
    <n v="53"/>
    <n v="410"/>
    <n v="72"/>
    <n v="17"/>
    <n v="40"/>
    <n v="133"/>
    <n v="1.209090909090909"/>
    <n v="1"/>
    <n v="1.325"/>
  </r>
  <r>
    <n v="719"/>
    <x v="20"/>
    <s v="Central"/>
    <s v="Major Market"/>
    <s v="Darjeeling"/>
    <s v="Tea"/>
    <s v="Colorado"/>
    <s v="Regular"/>
    <n v="30"/>
    <n v="50"/>
    <n v="10"/>
    <n v="80"/>
    <n v="45"/>
    <n v="409"/>
    <n v="57"/>
    <n v="17"/>
    <n v="10"/>
    <n v="109"/>
    <n v="1.3625"/>
    <n v="1"/>
    <n v="1.5"/>
  </r>
  <r>
    <n v="719"/>
    <x v="20"/>
    <s v="Central"/>
    <s v="Major Market"/>
    <s v="Earl Grey"/>
    <s v="Tea"/>
    <s v="Colorado"/>
    <s v="Regular"/>
    <n v="40"/>
    <n v="50"/>
    <n v="20"/>
    <n v="90"/>
    <n v="51"/>
    <n v="1042"/>
    <n v="62"/>
    <n v="15"/>
    <n v="37"/>
    <n v="120"/>
    <n v="1.3333333333333333"/>
    <n v="1.85"/>
    <n v="1.2749999999999999"/>
  </r>
  <r>
    <n v="719"/>
    <x v="20"/>
    <s v="Central"/>
    <s v="Major Market"/>
    <s v="Green Tea"/>
    <s v="Tea"/>
    <s v="Colorado"/>
    <s v="Regular"/>
    <n v="50"/>
    <n v="70"/>
    <n v="50"/>
    <n v="120"/>
    <n v="61"/>
    <n v="579"/>
    <n v="79"/>
    <n v="20"/>
    <n v="70"/>
    <n v="149"/>
    <n v="1.2416666666666667"/>
    <n v="1.4"/>
    <n v="1.22"/>
  </r>
  <r>
    <n v="970"/>
    <x v="20"/>
    <s v="Central"/>
    <s v="Major Market"/>
    <s v="Amaretto"/>
    <s v="Coffee"/>
    <s v="Colorado"/>
    <s v="Regular"/>
    <n v="130"/>
    <n v="180"/>
    <n v="140"/>
    <n v="310"/>
    <n v="123"/>
    <n v="928"/>
    <n v="179"/>
    <n v="34"/>
    <n v="199"/>
    <n v="322"/>
    <n v="1.0387096774193549"/>
    <n v="1.4214285714285715"/>
    <n v="0.94615384615384612"/>
  </r>
  <r>
    <n v="303"/>
    <x v="20"/>
    <s v="Central"/>
    <s v="Major Market"/>
    <s v="Columbian"/>
    <s v="Coffee"/>
    <s v="Colorado"/>
    <s v="Regular"/>
    <n v="60"/>
    <n v="70"/>
    <n v="50"/>
    <n v="130"/>
    <n v="58"/>
    <n v="548"/>
    <n v="74"/>
    <n v="19"/>
    <n v="62"/>
    <n v="141"/>
    <n v="1.0846153846153845"/>
    <n v="1.24"/>
    <n v="0.96666666666666667"/>
  </r>
  <r>
    <n v="720"/>
    <x v="20"/>
    <s v="Central"/>
    <s v="Major Market"/>
    <s v="Decaf Irish Cream"/>
    <s v="Coffee"/>
    <s v="Colorado"/>
    <s v="Decaf"/>
    <n v="100"/>
    <n v="150"/>
    <n v="120"/>
    <n v="250"/>
    <n v="100"/>
    <n v="981"/>
    <n v="145"/>
    <n v="28"/>
    <n v="157"/>
    <n v="261"/>
    <n v="1.044"/>
    <n v="1.3083333333333333"/>
    <n v="1"/>
  </r>
  <r>
    <n v="719"/>
    <x v="20"/>
    <s v="Central"/>
    <s v="Major Market"/>
    <s v="Caffe Mocha"/>
    <s v="Espresso"/>
    <s v="Colorado"/>
    <s v="Regular"/>
    <n v="90"/>
    <n v="140"/>
    <n v="110"/>
    <n v="230"/>
    <n v="81"/>
    <n v="588"/>
    <n v="118"/>
    <n v="22"/>
    <n v="125"/>
    <n v="212"/>
    <n v="0.92173913043478262"/>
    <n v="1.1363636363636365"/>
    <n v="0.9"/>
  </r>
  <r>
    <n v="970"/>
    <x v="20"/>
    <s v="Central"/>
    <s v="Major Market"/>
    <s v="Decaf Espresso"/>
    <s v="Espresso"/>
    <s v="Colorado"/>
    <s v="Decaf"/>
    <n v="60"/>
    <n v="110"/>
    <n v="60"/>
    <n v="170"/>
    <n v="60"/>
    <n v="656"/>
    <n v="90"/>
    <n v="19"/>
    <n v="58"/>
    <n v="160"/>
    <n v="0.94117647058823528"/>
    <n v="0.96666666666666667"/>
    <n v="1"/>
  </r>
  <r>
    <n v="312"/>
    <x v="20"/>
    <s v="Central"/>
    <s v="Major Market"/>
    <s v="Chamomile"/>
    <s v="Herbal Tea"/>
    <s v="Illinois"/>
    <s v="Decaf"/>
    <n v="100"/>
    <n v="160"/>
    <n v="140"/>
    <n v="260"/>
    <n v="123"/>
    <n v="928"/>
    <n v="179"/>
    <n v="34"/>
    <n v="197"/>
    <n v="322"/>
    <n v="1.2384615384615385"/>
    <n v="1.4071428571428573"/>
    <n v="1.23"/>
  </r>
  <r>
    <n v="312"/>
    <x v="20"/>
    <s v="Central"/>
    <s v="Major Market"/>
    <s v="Lemon"/>
    <s v="Herbal Tea"/>
    <s v="Illinois"/>
    <s v="Decaf"/>
    <n v="40"/>
    <n v="70"/>
    <n v="50"/>
    <n v="110"/>
    <n v="58"/>
    <n v="548"/>
    <n v="74"/>
    <n v="19"/>
    <n v="64"/>
    <n v="141"/>
    <n v="1.2818181818181817"/>
    <n v="1.28"/>
    <n v="1.45"/>
  </r>
  <r>
    <n v="773"/>
    <x v="20"/>
    <s v="Central"/>
    <s v="Major Market"/>
    <s v="Mint"/>
    <s v="Herbal Tea"/>
    <s v="Illinois"/>
    <s v="Decaf"/>
    <n v="80"/>
    <n v="130"/>
    <n v="110"/>
    <n v="210"/>
    <n v="100"/>
    <n v="981"/>
    <n v="145"/>
    <n v="28"/>
    <n v="157"/>
    <n v="261"/>
    <n v="1.2428571428571429"/>
    <n v="1.4272727272727272"/>
    <n v="1.25"/>
  </r>
  <r>
    <n v="630"/>
    <x v="20"/>
    <s v="Central"/>
    <s v="Major Market"/>
    <s v="Darjeeling"/>
    <s v="Tea"/>
    <s v="Illinois"/>
    <s v="Regular"/>
    <n v="60"/>
    <n v="110"/>
    <n v="80"/>
    <n v="170"/>
    <n v="81"/>
    <n v="588"/>
    <n v="118"/>
    <n v="22"/>
    <n v="125"/>
    <n v="212"/>
    <n v="1.2470588235294118"/>
    <n v="1.5625"/>
    <n v="1.35"/>
  </r>
  <r>
    <n v="630"/>
    <x v="20"/>
    <s v="Central"/>
    <s v="Major Market"/>
    <s v="Earl Grey"/>
    <s v="Tea"/>
    <s v="Illinois"/>
    <s v="Regular"/>
    <n v="50"/>
    <n v="80"/>
    <n v="40"/>
    <n v="130"/>
    <n v="60"/>
    <n v="656"/>
    <n v="90"/>
    <n v="19"/>
    <n v="59"/>
    <n v="160"/>
    <n v="1.2307692307692308"/>
    <n v="1.4750000000000001"/>
    <n v="1.2"/>
  </r>
  <r>
    <n v="630"/>
    <x v="20"/>
    <s v="Central"/>
    <s v="Major Market"/>
    <s v="Columbian"/>
    <s v="Coffee"/>
    <s v="Illinois"/>
    <s v="Regular"/>
    <n v="170"/>
    <n v="230"/>
    <n v="140"/>
    <n v="400"/>
    <n v="162"/>
    <n v="1148"/>
    <n v="225"/>
    <n v="53"/>
    <n v="191"/>
    <n v="412"/>
    <n v="1.03"/>
    <n v="1.3642857142857143"/>
    <n v="0.95294117647058818"/>
  </r>
  <r>
    <n v="847"/>
    <x v="20"/>
    <s v="Central"/>
    <s v="Major Market"/>
    <s v="Decaf Irish Cream"/>
    <s v="Coffee"/>
    <s v="Illinois"/>
    <s v="Decaf"/>
    <n v="120"/>
    <n v="190"/>
    <n v="140"/>
    <n v="310"/>
    <n v="122"/>
    <n v="801"/>
    <n v="176"/>
    <n v="39"/>
    <n v="171"/>
    <n v="318"/>
    <n v="1.0258064516129033"/>
    <n v="1.2214285714285715"/>
    <n v="1.0166666666666666"/>
  </r>
  <r>
    <n v="309"/>
    <x v="20"/>
    <s v="Central"/>
    <s v="Major Market"/>
    <s v="Caffe Mocha"/>
    <s v="Espresso"/>
    <s v="Illinois"/>
    <s v="Regular"/>
    <n v="290"/>
    <n v="400"/>
    <n v="280"/>
    <n v="690"/>
    <n v="253"/>
    <n v="1686"/>
    <n v="336"/>
    <n v="83"/>
    <n v="326"/>
    <n v="628"/>
    <n v="0.91014492753623188"/>
    <n v="1.1642857142857144"/>
    <n v="0.87241379310344824"/>
  </r>
  <r>
    <n v="773"/>
    <x v="20"/>
    <s v="Central"/>
    <s v="Major Market"/>
    <s v="Decaf Espresso"/>
    <s v="Espresso"/>
    <s v="Illinois"/>
    <s v="Decaf"/>
    <n v="280"/>
    <n v="300"/>
    <n v="210"/>
    <n v="580"/>
    <n v="249"/>
    <n v="1775"/>
    <n v="249"/>
    <n v="69"/>
    <n v="230"/>
    <n v="531"/>
    <n v="0.91551724137931034"/>
    <n v="1.0952380952380953"/>
    <n v="0.88928571428571423"/>
  </r>
  <r>
    <n v="319"/>
    <x v="20"/>
    <s v="Central"/>
    <s v="Small Market"/>
    <s v="Chamomile"/>
    <s v="Herbal Tea"/>
    <s v="Iowa"/>
    <s v="Decaf"/>
    <n v="210"/>
    <n v="300"/>
    <n v="210"/>
    <n v="510"/>
    <n v="253"/>
    <n v="1686"/>
    <n v="336"/>
    <n v="83"/>
    <n v="326"/>
    <n v="628"/>
    <n v="1.2313725490196079"/>
    <n v="1.5523809523809524"/>
    <n v="1.2047619047619047"/>
  </r>
  <r>
    <n v="515"/>
    <x v="20"/>
    <s v="Central"/>
    <s v="Small Market"/>
    <s v="Lemon"/>
    <s v="Herbal Tea"/>
    <s v="Iowa"/>
    <s v="Decaf"/>
    <n v="100"/>
    <n v="160"/>
    <n v="120"/>
    <n v="260"/>
    <n v="122"/>
    <n v="801"/>
    <n v="176"/>
    <n v="39"/>
    <n v="171"/>
    <n v="318"/>
    <n v="1.2230769230769232"/>
    <n v="1.425"/>
    <n v="1.22"/>
  </r>
  <r>
    <n v="563"/>
    <x v="20"/>
    <s v="Central"/>
    <s v="Small Market"/>
    <s v="Darjeeling"/>
    <s v="Tea"/>
    <s v="Iowa"/>
    <s v="Regular"/>
    <n v="210"/>
    <n v="220"/>
    <n v="140"/>
    <n v="430"/>
    <n v="249"/>
    <n v="1775"/>
    <n v="249"/>
    <n v="69"/>
    <n v="230"/>
    <n v="531"/>
    <n v="1.2348837209302326"/>
    <n v="1.6428571428571428"/>
    <n v="1.1857142857142857"/>
  </r>
  <r>
    <n v="641"/>
    <x v="20"/>
    <s v="Central"/>
    <s v="Small Market"/>
    <s v="Earl Grey"/>
    <s v="Tea"/>
    <s v="Iowa"/>
    <s v="Regular"/>
    <n v="250"/>
    <n v="340"/>
    <n v="210"/>
    <n v="590"/>
    <n v="302"/>
    <n v="1783"/>
    <n v="370"/>
    <n v="114"/>
    <n v="331"/>
    <n v="716"/>
    <n v="1.2135593220338983"/>
    <n v="1.5761904761904761"/>
    <n v="1.208"/>
  </r>
  <r>
    <n v="712"/>
    <x v="20"/>
    <s v="Central"/>
    <s v="Small Market"/>
    <s v="Decaf Espresso"/>
    <s v="Espresso"/>
    <s v="Iowa"/>
    <s v="Decaf"/>
    <n v="0"/>
    <n v="50"/>
    <n v="40"/>
    <n v="50"/>
    <n v="0"/>
    <n v="473"/>
    <n v="43"/>
    <n v="0"/>
    <n v="47"/>
    <n v="46"/>
    <n v="0.92"/>
    <n v="1.175"/>
    <m/>
  </r>
  <r>
    <n v="319"/>
    <x v="20"/>
    <s v="Central"/>
    <s v="Small Market"/>
    <s v="Amaretto"/>
    <s v="Coffee"/>
    <s v="Iowa"/>
    <s v="Regular"/>
    <n v="20"/>
    <n v="30"/>
    <n v="20"/>
    <n v="50"/>
    <n v="19"/>
    <n v="848"/>
    <n v="29"/>
    <n v="5"/>
    <n v="19"/>
    <n v="51"/>
    <n v="1.02"/>
    <n v="0.95"/>
    <n v="0.95"/>
  </r>
  <r>
    <n v="515"/>
    <x v="20"/>
    <s v="Central"/>
    <s v="Small Market"/>
    <s v="Columbian"/>
    <s v="Coffee"/>
    <s v="Iowa"/>
    <s v="Regular"/>
    <n v="30"/>
    <n v="40"/>
    <n v="20"/>
    <n v="70"/>
    <n v="33"/>
    <n v="1003"/>
    <n v="39"/>
    <n v="10"/>
    <n v="10"/>
    <n v="77"/>
    <n v="1.1000000000000001"/>
    <n v="0.5"/>
    <n v="1.1000000000000001"/>
  </r>
  <r>
    <n v="319"/>
    <x v="20"/>
    <s v="Central"/>
    <s v="Small Market"/>
    <s v="Decaf Irish Cream"/>
    <s v="Coffee"/>
    <s v="Iowa"/>
    <s v="Decaf"/>
    <n v="10"/>
    <n v="20"/>
    <n v="10"/>
    <n v="30"/>
    <n v="15"/>
    <n v="600"/>
    <n v="20"/>
    <n v="4"/>
    <n v="4"/>
    <n v="37"/>
    <n v="1.2333333333333334"/>
    <n v="0.4"/>
    <n v="1.5"/>
  </r>
  <r>
    <n v="319"/>
    <x v="20"/>
    <s v="Central"/>
    <s v="Small Market"/>
    <s v="Caffe Mocha"/>
    <s v="Espresso"/>
    <s v="Iowa"/>
    <s v="Regular"/>
    <n v="20"/>
    <n v="40"/>
    <n v="30"/>
    <n v="60"/>
    <n v="23"/>
    <n v="803"/>
    <n v="35"/>
    <n v="6"/>
    <n v="27"/>
    <n v="62"/>
    <n v="1.0333333333333334"/>
    <n v="0.9"/>
    <n v="1.1499999999999999"/>
  </r>
  <r>
    <n v="314"/>
    <x v="20"/>
    <s v="Central"/>
    <s v="Small Market"/>
    <s v="Chamomile"/>
    <s v="Herbal Tea"/>
    <s v="Missouri"/>
    <s v="Decaf"/>
    <n v="30"/>
    <n v="60"/>
    <n v="10"/>
    <n v="90"/>
    <n v="44"/>
    <n v="325"/>
    <n v="62"/>
    <n v="40"/>
    <n v="-10"/>
    <n v="113"/>
    <n v="1.2555555555555555"/>
    <n v="-1"/>
    <n v="1.4666666666666666"/>
  </r>
  <r>
    <n v="573"/>
    <x v="20"/>
    <s v="Central"/>
    <s v="Small Market"/>
    <s v="Lemon"/>
    <s v="Herbal Tea"/>
    <s v="Missouri"/>
    <s v="Decaf"/>
    <n v="80"/>
    <n v="20"/>
    <n v="-10"/>
    <n v="100"/>
    <n v="104"/>
    <n v="1574"/>
    <n v="11"/>
    <n v="32"/>
    <n v="-65"/>
    <n v="123"/>
    <n v="1.23"/>
    <n v="6.5"/>
    <n v="1.3"/>
  </r>
  <r>
    <n v="573"/>
    <x v="20"/>
    <s v="Central"/>
    <s v="Small Market"/>
    <s v="Darjeeling"/>
    <s v="Tea"/>
    <s v="Missouri"/>
    <s v="Regular"/>
    <n v="30"/>
    <n v="50"/>
    <n v="20"/>
    <n v="80"/>
    <n v="39"/>
    <n v="248"/>
    <n v="52"/>
    <n v="12"/>
    <n v="19"/>
    <n v="97"/>
    <n v="1.2124999999999999"/>
    <n v="0.95"/>
    <n v="1.3"/>
  </r>
  <r>
    <n v="660"/>
    <x v="20"/>
    <s v="Central"/>
    <s v="Small Market"/>
    <s v="Earl Grey"/>
    <s v="Tea"/>
    <s v="Missouri"/>
    <s v="Regular"/>
    <n v="20"/>
    <n v="20"/>
    <n v="-10"/>
    <n v="40"/>
    <n v="24"/>
    <n v="212"/>
    <n v="30"/>
    <n v="9"/>
    <n v="-18"/>
    <n v="58"/>
    <n v="1.45"/>
    <n v="1.8"/>
    <n v="1.2"/>
  </r>
  <r>
    <n v="314"/>
    <x v="20"/>
    <s v="Central"/>
    <s v="Small Market"/>
    <s v="Green Tea"/>
    <s v="Tea"/>
    <s v="Missouri"/>
    <s v="Regular"/>
    <n v="30"/>
    <n v="50"/>
    <n v="10"/>
    <n v="80"/>
    <n v="40"/>
    <n v="244"/>
    <n v="51"/>
    <n v="15"/>
    <n v="3"/>
    <n v="97"/>
    <n v="1.2124999999999999"/>
    <n v="0.3"/>
    <n v="1.3333333333333333"/>
  </r>
  <r>
    <n v="314"/>
    <x v="20"/>
    <s v="Central"/>
    <s v="Small Market"/>
    <s v="Decaf Espresso"/>
    <s v="Espresso"/>
    <s v="Missouri"/>
    <s v="Decaf"/>
    <n v="30"/>
    <n v="60"/>
    <n v="50"/>
    <n v="90"/>
    <n v="32"/>
    <n v="837"/>
    <n v="47"/>
    <n v="8"/>
    <n v="40"/>
    <n v="84"/>
    <n v="0.93333333333333335"/>
    <n v="0.8"/>
    <n v="1.0666666666666667"/>
  </r>
  <r>
    <n v="573"/>
    <x v="20"/>
    <s v="Central"/>
    <s v="Small Market"/>
    <s v="Columbian"/>
    <s v="Coffee"/>
    <s v="Missouri"/>
    <s v="Regular"/>
    <n v="70"/>
    <n v="80"/>
    <n v="30"/>
    <n v="150"/>
    <n v="67"/>
    <n v="599"/>
    <n v="83"/>
    <n v="25"/>
    <n v="37"/>
    <n v="160"/>
    <n v="1.0666666666666667"/>
    <n v="1.2333333333333334"/>
    <n v="0.95714285714285718"/>
  </r>
  <r>
    <n v="816"/>
    <x v="20"/>
    <s v="Central"/>
    <s v="Small Market"/>
    <s v="Decaf Irish Cream"/>
    <s v="Coffee"/>
    <s v="Missouri"/>
    <s v="Decaf"/>
    <n v="60"/>
    <n v="80"/>
    <n v="50"/>
    <n v="140"/>
    <n v="62"/>
    <n v="1059"/>
    <n v="74"/>
    <n v="19"/>
    <n v="50"/>
    <n v="145"/>
    <n v="1.0357142857142858"/>
    <n v="1"/>
    <n v="1.0333333333333334"/>
  </r>
  <r>
    <n v="573"/>
    <x v="20"/>
    <s v="Central"/>
    <s v="Small Market"/>
    <s v="Caffe Mocha"/>
    <s v="Espresso"/>
    <s v="Missouri"/>
    <s v="Regular"/>
    <n v="50"/>
    <n v="70"/>
    <n v="50"/>
    <n v="120"/>
    <n v="44"/>
    <n v="886"/>
    <n v="64"/>
    <n v="12"/>
    <n v="61"/>
    <n v="115"/>
    <n v="0.95833333333333337"/>
    <n v="1.22"/>
    <n v="0.88"/>
  </r>
  <r>
    <n v="513"/>
    <x v="20"/>
    <s v="Central"/>
    <s v="Major Market"/>
    <s v="Chamomile"/>
    <s v="Herbal Tea"/>
    <s v="Ohio"/>
    <s v="Decaf"/>
    <n v="10"/>
    <n v="30"/>
    <n v="30"/>
    <n v="40"/>
    <n v="20"/>
    <n v="482"/>
    <n v="30"/>
    <n v="5"/>
    <n v="21"/>
    <n v="53"/>
    <n v="1.325"/>
    <n v="0.7"/>
    <n v="2"/>
  </r>
  <r>
    <n v="614"/>
    <x v="20"/>
    <s v="Central"/>
    <s v="Major Market"/>
    <s v="Lemon"/>
    <s v="Herbal Tea"/>
    <s v="Ohio"/>
    <s v="Decaf"/>
    <n v="20"/>
    <n v="40"/>
    <n v="40"/>
    <n v="60"/>
    <n v="29"/>
    <n v="862"/>
    <n v="43"/>
    <n v="8"/>
    <n v="34"/>
    <n v="77"/>
    <n v="1.2833333333333334"/>
    <n v="0.85"/>
    <n v="1.45"/>
  </r>
  <r>
    <n v="614"/>
    <x v="20"/>
    <s v="Central"/>
    <s v="Major Market"/>
    <s v="Darjeeling"/>
    <s v="Tea"/>
    <s v="Ohio"/>
    <s v="Regular"/>
    <n v="80"/>
    <n v="130"/>
    <n v="70"/>
    <n v="210"/>
    <n v="99"/>
    <n v="798"/>
    <n v="150"/>
    <n v="32"/>
    <n v="129"/>
    <n v="265"/>
    <n v="1.2619047619047619"/>
    <n v="1.8428571428571427"/>
    <n v="1.2375"/>
  </r>
  <r>
    <n v="234"/>
    <x v="20"/>
    <s v="Central"/>
    <s v="Major Market"/>
    <s v="Earl Grey"/>
    <s v="Tea"/>
    <s v="Ohio"/>
    <s v="Regular"/>
    <n v="80"/>
    <n v="120"/>
    <n v="80"/>
    <n v="200"/>
    <n v="96"/>
    <n v="666"/>
    <n v="134"/>
    <n v="29"/>
    <n v="120"/>
    <n v="245"/>
    <n v="1.2250000000000001"/>
    <n v="1.5"/>
    <n v="1.2"/>
  </r>
  <r>
    <n v="419"/>
    <x v="20"/>
    <s v="Central"/>
    <s v="Major Market"/>
    <s v="Decaf Espresso"/>
    <s v="Espresso"/>
    <s v="Ohio"/>
    <s v="Decaf"/>
    <n v="50"/>
    <n v="70"/>
    <n v="30"/>
    <n v="120"/>
    <n v="45"/>
    <n v="409"/>
    <n v="57"/>
    <n v="17"/>
    <n v="9"/>
    <n v="109"/>
    <n v="0.90833333333333333"/>
    <n v="0.3"/>
    <n v="0.9"/>
  </r>
  <r>
    <n v="216"/>
    <x v="20"/>
    <s v="Central"/>
    <s v="Major Market"/>
    <s v="Amaretto"/>
    <s v="Coffee"/>
    <s v="Ohio"/>
    <s v="Regular"/>
    <n v="50"/>
    <n v="80"/>
    <n v="50"/>
    <n v="130"/>
    <n v="53"/>
    <n v="410"/>
    <n v="72"/>
    <n v="17"/>
    <n v="42"/>
    <n v="133"/>
    <n v="1.023076923076923"/>
    <n v="0.84"/>
    <n v="1.06"/>
  </r>
  <r>
    <n v="614"/>
    <x v="20"/>
    <s v="Central"/>
    <s v="Major Market"/>
    <s v="Columbian"/>
    <s v="Coffee"/>
    <s v="Ohio"/>
    <s v="Regular"/>
    <n v="40"/>
    <n v="70"/>
    <n v="40"/>
    <n v="110"/>
    <n v="43"/>
    <n v="424"/>
    <n v="64"/>
    <n v="13"/>
    <n v="43"/>
    <n v="114"/>
    <n v="1.0363636363636364"/>
    <n v="1.075"/>
    <n v="1.075"/>
  </r>
  <r>
    <n v="614"/>
    <x v="20"/>
    <s v="Central"/>
    <s v="Major Market"/>
    <s v="Decaf Irish Cream"/>
    <s v="Coffee"/>
    <s v="Ohio"/>
    <s v="Decaf"/>
    <n v="50"/>
    <n v="80"/>
    <n v="20"/>
    <n v="130"/>
    <n v="52"/>
    <n v="509"/>
    <n v="74"/>
    <n v="47"/>
    <n v="-4"/>
    <n v="134"/>
    <n v="1.0307692307692307"/>
    <n v="-0.2"/>
    <n v="1.04"/>
  </r>
  <r>
    <n v="440"/>
    <x v="20"/>
    <s v="Central"/>
    <s v="Major Market"/>
    <s v="Caffe Mocha"/>
    <s v="Espresso"/>
    <s v="Ohio"/>
    <s v="Regular"/>
    <n v="170"/>
    <n v="190"/>
    <n v="130"/>
    <n v="360"/>
    <n v="155"/>
    <n v="1280"/>
    <n v="155"/>
    <n v="43"/>
    <n v="129"/>
    <n v="330"/>
    <n v="0.91666666666666663"/>
    <n v="0.99230769230769234"/>
    <n v="0.91176470588235292"/>
  </r>
  <r>
    <n v="262"/>
    <x v="20"/>
    <s v="Central"/>
    <s v="Small Market"/>
    <s v="Chamomile"/>
    <s v="Herbal Tea"/>
    <s v="Wisconsin"/>
    <s v="Decaf"/>
    <n v="40"/>
    <n v="90"/>
    <n v="70"/>
    <n v="130"/>
    <n v="57"/>
    <n v="349"/>
    <n v="94"/>
    <n v="17"/>
    <n v="79"/>
    <n v="161"/>
    <n v="1.2384615384615385"/>
    <n v="1.1285714285714286"/>
    <n v="1.425"/>
  </r>
  <r>
    <n v="414"/>
    <x v="20"/>
    <s v="Central"/>
    <s v="Small Market"/>
    <s v="Lemon"/>
    <s v="Herbal Tea"/>
    <s v="Wisconsin"/>
    <s v="Decaf"/>
    <n v="40"/>
    <n v="70"/>
    <n v="60"/>
    <n v="110"/>
    <n v="51"/>
    <n v="857"/>
    <n v="75"/>
    <n v="14"/>
    <n v="74"/>
    <n v="134"/>
    <n v="1.2181818181818183"/>
    <n v="1.2333333333333334"/>
    <n v="1.2749999999999999"/>
  </r>
  <r>
    <n v="608"/>
    <x v="20"/>
    <s v="Central"/>
    <s v="Small Market"/>
    <s v="Darjeeling"/>
    <s v="Tea"/>
    <s v="Wisconsin"/>
    <s v="Regular"/>
    <n v="30"/>
    <n v="60"/>
    <n v="30"/>
    <n v="90"/>
    <n v="46"/>
    <n v="454"/>
    <n v="67"/>
    <n v="14"/>
    <n v="46"/>
    <n v="120"/>
    <n v="1.3333333333333333"/>
    <n v="1.5333333333333334"/>
    <n v="1.5333333333333334"/>
  </r>
  <r>
    <n v="715"/>
    <x v="20"/>
    <s v="Central"/>
    <s v="Small Market"/>
    <s v="Earl Grey"/>
    <s v="Tea"/>
    <s v="Wisconsin"/>
    <s v="Regular"/>
    <n v="50"/>
    <n v="80"/>
    <n v="10"/>
    <n v="130"/>
    <n v="62"/>
    <n v="612"/>
    <n v="87"/>
    <n v="56"/>
    <n v="3"/>
    <n v="159"/>
    <n v="1.2230769230769232"/>
    <n v="0.3"/>
    <n v="1.24"/>
  </r>
  <r>
    <n v="715"/>
    <x v="20"/>
    <s v="Central"/>
    <s v="Small Market"/>
    <s v="Decaf Espresso"/>
    <s v="Espresso"/>
    <s v="Wisconsin"/>
    <s v="Decaf"/>
    <n v="30"/>
    <n v="50"/>
    <n v="30"/>
    <n v="80"/>
    <n v="33"/>
    <n v="577"/>
    <n v="43"/>
    <n v="10"/>
    <n v="31"/>
    <n v="81"/>
    <n v="1.0125"/>
    <n v="1.0333333333333334"/>
    <n v="1.1000000000000001"/>
  </r>
  <r>
    <n v="608"/>
    <x v="20"/>
    <s v="Central"/>
    <s v="Small Market"/>
    <s v="Amaretto"/>
    <s v="Coffee"/>
    <s v="Wisconsin"/>
    <s v="Regular"/>
    <n v="70"/>
    <n v="80"/>
    <n v="30"/>
    <n v="150"/>
    <n v="67"/>
    <n v="391"/>
    <n v="82"/>
    <n v="25"/>
    <n v="34"/>
    <n v="159"/>
    <n v="1.06"/>
    <n v="1.1333333333333333"/>
    <n v="0.95714285714285718"/>
  </r>
  <r>
    <n v="715"/>
    <x v="20"/>
    <s v="Central"/>
    <s v="Small Market"/>
    <s v="Columbian"/>
    <s v="Coffee"/>
    <s v="Wisconsin"/>
    <s v="Regular"/>
    <n v="90"/>
    <n v="140"/>
    <n v="40"/>
    <n v="230"/>
    <n v="93"/>
    <n v="692"/>
    <n v="130"/>
    <n v="84"/>
    <n v="24"/>
    <n v="238"/>
    <n v="1.0347826086956522"/>
    <n v="0.6"/>
    <n v="1.0333333333333334"/>
  </r>
  <r>
    <n v="414"/>
    <x v="20"/>
    <s v="Central"/>
    <s v="Small Market"/>
    <s v="Decaf Irish Cream"/>
    <s v="Coffee"/>
    <s v="Wisconsin"/>
    <s v="Decaf"/>
    <n v="90"/>
    <n v="110"/>
    <n v="70"/>
    <n v="200"/>
    <n v="85"/>
    <n v="555"/>
    <n v="114"/>
    <n v="28"/>
    <n v="86"/>
    <n v="212"/>
    <n v="1.06"/>
    <n v="1.2285714285714286"/>
    <n v="0.94444444444444442"/>
  </r>
  <r>
    <n v="920"/>
    <x v="20"/>
    <s v="Central"/>
    <s v="Small Market"/>
    <s v="Caffe Mocha"/>
    <s v="Espresso"/>
    <s v="Wisconsin"/>
    <s v="Regular"/>
    <n v="90"/>
    <n v="120"/>
    <n v="80"/>
    <n v="210"/>
    <n v="83"/>
    <n v="1063"/>
    <n v="99"/>
    <n v="25"/>
    <n v="79"/>
    <n v="194"/>
    <n v="0.92380952380952386"/>
    <n v="0.98750000000000004"/>
    <n v="0.92222222222222228"/>
  </r>
  <r>
    <n v="203"/>
    <x v="20"/>
    <s v="East"/>
    <s v="Small Market"/>
    <s v="Lemon"/>
    <s v="Herbal Tea"/>
    <s v="Connecticut"/>
    <s v="Decaf"/>
    <n v="50"/>
    <n v="60"/>
    <n v="20"/>
    <n v="110"/>
    <n v="67"/>
    <n v="599"/>
    <n v="83"/>
    <n v="25"/>
    <n v="36"/>
    <n v="160"/>
    <n v="1.4545454545454546"/>
    <n v="1.8"/>
    <n v="1.34"/>
  </r>
  <r>
    <n v="203"/>
    <x v="20"/>
    <s v="East"/>
    <s v="Small Market"/>
    <s v="Mint"/>
    <s v="Herbal Tea"/>
    <s v="Connecticut"/>
    <s v="Decaf"/>
    <n v="40"/>
    <n v="60"/>
    <n v="40"/>
    <n v="100"/>
    <n v="62"/>
    <n v="1059"/>
    <n v="74"/>
    <n v="19"/>
    <n v="49"/>
    <n v="145"/>
    <n v="1.45"/>
    <n v="1.2250000000000001"/>
    <n v="1.55"/>
  </r>
  <r>
    <n v="860"/>
    <x v="20"/>
    <s v="East"/>
    <s v="Small Market"/>
    <s v="Darjeeling"/>
    <s v="Tea"/>
    <s v="Connecticut"/>
    <s v="Regular"/>
    <n v="40"/>
    <n v="70"/>
    <n v="50"/>
    <n v="110"/>
    <n v="44"/>
    <n v="886"/>
    <n v="64"/>
    <n v="12"/>
    <n v="61"/>
    <n v="115"/>
    <n v="1.0454545454545454"/>
    <n v="1.22"/>
    <n v="1.1000000000000001"/>
  </r>
  <r>
    <n v="959"/>
    <x v="20"/>
    <s v="East"/>
    <s v="Small Market"/>
    <s v="Green Tea"/>
    <s v="Tea"/>
    <s v="Connecticut"/>
    <s v="Regular"/>
    <n v="20"/>
    <n v="40"/>
    <n v="30"/>
    <n v="60"/>
    <n v="23"/>
    <n v="809"/>
    <n v="34"/>
    <n v="6"/>
    <n v="25"/>
    <n v="61"/>
    <n v="1.0166666666666666"/>
    <n v="0.83333333333333337"/>
    <n v="1.1499999999999999"/>
  </r>
  <r>
    <n v="203"/>
    <x v="20"/>
    <s v="East"/>
    <s v="Small Market"/>
    <s v="Caffe Mocha"/>
    <s v="Espresso"/>
    <s v="Connecticut"/>
    <s v="Regular"/>
    <n v="50"/>
    <n v="90"/>
    <n v="20"/>
    <n v="140"/>
    <n v="62"/>
    <n v="612"/>
    <n v="87"/>
    <n v="56"/>
    <n v="3"/>
    <n v="159"/>
    <n v="1.1357142857142857"/>
    <n v="0.15"/>
    <n v="1.24"/>
  </r>
  <r>
    <n v="959"/>
    <x v="20"/>
    <s v="East"/>
    <s v="Small Market"/>
    <s v="Decaf Espresso"/>
    <s v="Espresso"/>
    <s v="Connecticut"/>
    <s v="Decaf"/>
    <n v="40"/>
    <n v="70"/>
    <n v="40"/>
    <n v="110"/>
    <n v="48"/>
    <n v="380"/>
    <n v="65"/>
    <n v="15"/>
    <n v="34"/>
    <n v="120"/>
    <n v="1.0909090909090908"/>
    <n v="0.85"/>
    <n v="1.2"/>
  </r>
  <r>
    <n v="203"/>
    <x v="20"/>
    <s v="East"/>
    <s v="Small Market"/>
    <s v="Columbian"/>
    <s v="Coffee"/>
    <s v="Connecticut"/>
    <s v="Regular"/>
    <n v="90"/>
    <n v="150"/>
    <n v="110"/>
    <n v="240"/>
    <n v="103"/>
    <n v="1130"/>
    <n v="155"/>
    <n v="33"/>
    <n v="135"/>
    <n v="275"/>
    <n v="1.1458333333333333"/>
    <n v="1.2272727272727273"/>
    <n v="1.1444444444444444"/>
  </r>
  <r>
    <n v="727"/>
    <x v="20"/>
    <s v="East"/>
    <s v="Major Market"/>
    <s v="Chamomile"/>
    <s v="Herbal Tea"/>
    <s v="Florida"/>
    <s v="Decaf"/>
    <n v="20"/>
    <n v="30"/>
    <n v="20"/>
    <n v="50"/>
    <n v="33"/>
    <n v="577"/>
    <n v="43"/>
    <n v="10"/>
    <n v="31"/>
    <n v="81"/>
    <n v="1.62"/>
    <n v="1.55"/>
    <n v="1.65"/>
  </r>
  <r>
    <n v="305"/>
    <x v="20"/>
    <s v="East"/>
    <s v="Major Market"/>
    <s v="Lemon"/>
    <s v="Herbal Tea"/>
    <s v="Florida"/>
    <s v="Decaf"/>
    <n v="50"/>
    <n v="60"/>
    <n v="20"/>
    <n v="110"/>
    <n v="67"/>
    <n v="391"/>
    <n v="82"/>
    <n v="25"/>
    <n v="36"/>
    <n v="159"/>
    <n v="1.4454545454545455"/>
    <n v="1.8"/>
    <n v="1.34"/>
  </r>
  <r>
    <n v="754"/>
    <x v="20"/>
    <s v="East"/>
    <s v="Major Market"/>
    <s v="Mint"/>
    <s v="Herbal Tea"/>
    <s v="Florida"/>
    <s v="Decaf"/>
    <n v="60"/>
    <n v="80"/>
    <n v="50"/>
    <n v="140"/>
    <n v="83"/>
    <n v="1063"/>
    <n v="99"/>
    <n v="25"/>
    <n v="79"/>
    <n v="194"/>
    <n v="1.3857142857142857"/>
    <n v="1.58"/>
    <n v="1.3833333333333333"/>
  </r>
  <r>
    <n v="561"/>
    <x v="20"/>
    <s v="East"/>
    <s v="Major Market"/>
    <s v="Darjeeling"/>
    <s v="Tea"/>
    <s v="Florida"/>
    <s v="Regular"/>
    <n v="30"/>
    <n v="60"/>
    <n v="50"/>
    <n v="90"/>
    <n v="35"/>
    <n v="875"/>
    <n v="52"/>
    <n v="9"/>
    <n v="47"/>
    <n v="93"/>
    <n v="1.0333333333333334"/>
    <n v="0.94"/>
    <n v="1.1666666666666667"/>
  </r>
  <r>
    <n v="754"/>
    <x v="20"/>
    <s v="East"/>
    <s v="Major Market"/>
    <s v="Green Tea"/>
    <s v="Tea"/>
    <s v="Florida"/>
    <s v="Regular"/>
    <n v="50"/>
    <n v="80"/>
    <n v="60"/>
    <n v="130"/>
    <n v="51"/>
    <n v="857"/>
    <n v="75"/>
    <n v="14"/>
    <n v="73"/>
    <n v="134"/>
    <n v="1.0307692307692307"/>
    <n v="1.2166666666666666"/>
    <n v="1.02"/>
  </r>
  <r>
    <n v="754"/>
    <x v="20"/>
    <s v="East"/>
    <s v="Major Market"/>
    <s v="Caffe Mocha"/>
    <s v="Espresso"/>
    <s v="Florida"/>
    <s v="Regular"/>
    <n v="80"/>
    <n v="130"/>
    <n v="40"/>
    <n v="210"/>
    <n v="93"/>
    <n v="692"/>
    <n v="130"/>
    <n v="84"/>
    <n v="25"/>
    <n v="238"/>
    <n v="1.1333333333333333"/>
    <n v="0.625"/>
    <n v="1.1625000000000001"/>
  </r>
  <r>
    <n v="941"/>
    <x v="20"/>
    <s v="East"/>
    <s v="Major Market"/>
    <s v="Decaf Espresso"/>
    <s v="Espresso"/>
    <s v="Florida"/>
    <s v="Decaf"/>
    <n v="80"/>
    <n v="110"/>
    <n v="70"/>
    <n v="190"/>
    <n v="85"/>
    <n v="555"/>
    <n v="114"/>
    <n v="28"/>
    <n v="86"/>
    <n v="212"/>
    <n v="1.1157894736842104"/>
    <n v="1.2285714285714286"/>
    <n v="1.0625"/>
  </r>
  <r>
    <n v="352"/>
    <x v="20"/>
    <s v="East"/>
    <s v="Major Market"/>
    <s v="Columbian"/>
    <s v="Coffee"/>
    <s v="Florida"/>
    <s v="Regular"/>
    <n v="90"/>
    <n v="140"/>
    <n v="100"/>
    <n v="230"/>
    <n v="99"/>
    <n v="798"/>
    <n v="150"/>
    <n v="32"/>
    <n v="128"/>
    <n v="265"/>
    <n v="1.1521739130434783"/>
    <n v="1.28"/>
    <n v="1.1000000000000001"/>
  </r>
  <r>
    <n v="321"/>
    <x v="20"/>
    <s v="East"/>
    <s v="Major Market"/>
    <s v="Decaf Irish Cream"/>
    <s v="Coffee"/>
    <s v="Florida"/>
    <s v="Decaf"/>
    <n v="90"/>
    <n v="120"/>
    <n v="80"/>
    <n v="210"/>
    <n v="96"/>
    <n v="666"/>
    <n v="134"/>
    <n v="29"/>
    <n v="120"/>
    <n v="245"/>
    <n v="1.1666666666666667"/>
    <n v="1.5"/>
    <n v="1.0666666666666667"/>
  </r>
  <r>
    <n v="774"/>
    <x v="20"/>
    <s v="East"/>
    <s v="Major Market"/>
    <s v="Lemon"/>
    <s v="Herbal Tea"/>
    <s v="Massachusetts"/>
    <s v="Decaf"/>
    <n v="30"/>
    <n v="40"/>
    <n v="10"/>
    <n v="70"/>
    <n v="45"/>
    <n v="409"/>
    <n v="57"/>
    <n v="17"/>
    <n v="9"/>
    <n v="109"/>
    <n v="1.5571428571428572"/>
    <n v="0.9"/>
    <n v="1.5"/>
  </r>
  <r>
    <n v="617"/>
    <x v="20"/>
    <s v="East"/>
    <s v="Major Market"/>
    <s v="Darjeeling"/>
    <s v="Tea"/>
    <s v="Massachusetts"/>
    <s v="Regular"/>
    <n v="30"/>
    <n v="40"/>
    <n v="30"/>
    <n v="70"/>
    <n v="29"/>
    <n v="862"/>
    <n v="43"/>
    <n v="8"/>
    <n v="34"/>
    <n v="77"/>
    <n v="1.1000000000000001"/>
    <n v="1.1333333333333333"/>
    <n v="0.96666666666666667"/>
  </r>
  <r>
    <n v="617"/>
    <x v="20"/>
    <s v="East"/>
    <s v="Major Market"/>
    <s v="Green Tea"/>
    <s v="Tea"/>
    <s v="Massachusetts"/>
    <s v="Regular"/>
    <n v="20"/>
    <n v="30"/>
    <n v="20"/>
    <n v="50"/>
    <n v="20"/>
    <n v="482"/>
    <n v="30"/>
    <n v="5"/>
    <n v="19"/>
    <n v="53"/>
    <n v="1.06"/>
    <n v="0.95"/>
    <n v="1"/>
  </r>
  <r>
    <n v="857"/>
    <x v="20"/>
    <s v="East"/>
    <s v="Major Market"/>
    <s v="Caffe Mocha"/>
    <s v="Espresso"/>
    <s v="Massachusetts"/>
    <s v="Regular"/>
    <n v="40"/>
    <n v="50"/>
    <n v="-10"/>
    <n v="90"/>
    <n v="52"/>
    <n v="520"/>
    <n v="46"/>
    <n v="47"/>
    <n v="-46"/>
    <n v="104"/>
    <n v="1.1555555555555554"/>
    <n v="4.5999999999999996"/>
    <n v="1.3"/>
  </r>
  <r>
    <n v="774"/>
    <x v="20"/>
    <s v="East"/>
    <s v="Major Market"/>
    <s v="Regular Espresso"/>
    <s v="Espresso"/>
    <s v="Massachusetts"/>
    <s v="Regular"/>
    <n v="140"/>
    <n v="160"/>
    <n v="100"/>
    <n v="300"/>
    <n v="155"/>
    <n v="1280"/>
    <n v="155"/>
    <n v="43"/>
    <n v="129"/>
    <n v="330"/>
    <n v="1.1000000000000001"/>
    <n v="1.29"/>
    <n v="1.1071428571428572"/>
  </r>
  <r>
    <n v="774"/>
    <x v="20"/>
    <s v="East"/>
    <s v="Major Market"/>
    <s v="Columbian"/>
    <s v="Coffee"/>
    <s v="Massachusetts"/>
    <s v="Regular"/>
    <n v="50"/>
    <n v="490"/>
    <n v="460"/>
    <n v="540"/>
    <n v="60"/>
    <n v="-2572"/>
    <n v="516"/>
    <n v="19"/>
    <n v="690"/>
    <n v="614"/>
    <n v="1.1370370370370371"/>
    <n v="1.5"/>
    <n v="1.2"/>
  </r>
  <r>
    <n v="603"/>
    <x v="20"/>
    <s v="East"/>
    <s v="Small Market"/>
    <s v="Lemon"/>
    <s v="Herbal Tea"/>
    <s v="New Hampshire"/>
    <s v="Decaf"/>
    <n v="30"/>
    <n v="40"/>
    <n v="10"/>
    <n v="70"/>
    <n v="40"/>
    <n v="244"/>
    <n v="51"/>
    <n v="15"/>
    <n v="3"/>
    <n v="97"/>
    <n v="1.3857142857142857"/>
    <n v="0.3"/>
    <n v="1.3333333333333333"/>
  </r>
  <r>
    <n v="603"/>
    <x v="20"/>
    <s v="East"/>
    <s v="Small Market"/>
    <s v="Darjeeling"/>
    <s v="Tea"/>
    <s v="New Hampshire"/>
    <s v="Regular"/>
    <n v="20"/>
    <n v="30"/>
    <n v="20"/>
    <n v="50"/>
    <n v="19"/>
    <n v="848"/>
    <n v="29"/>
    <n v="5"/>
    <n v="18"/>
    <n v="51"/>
    <n v="1.02"/>
    <n v="0.9"/>
    <n v="0.95"/>
  </r>
  <r>
    <n v="603"/>
    <x v="20"/>
    <s v="East"/>
    <s v="Small Market"/>
    <s v="Green Tea"/>
    <s v="Tea"/>
    <s v="New Hampshire"/>
    <s v="Regular"/>
    <n v="0"/>
    <n v="40"/>
    <n v="30"/>
    <n v="40"/>
    <n v="0"/>
    <n v="473"/>
    <n v="43"/>
    <n v="0"/>
    <n v="46"/>
    <n v="46"/>
    <n v="1.1499999999999999"/>
    <n v="1.5333333333333334"/>
    <m/>
  </r>
  <r>
    <n v="603"/>
    <x v="20"/>
    <s v="East"/>
    <s v="Small Market"/>
    <s v="Caffe Mocha"/>
    <s v="Espresso"/>
    <s v="New Hampshire"/>
    <s v="Regular"/>
    <n v="40"/>
    <n v="60"/>
    <n v="10"/>
    <n v="100"/>
    <n v="44"/>
    <n v="325"/>
    <n v="62"/>
    <n v="40"/>
    <n v="-10"/>
    <n v="113"/>
    <n v="1.1299999999999999"/>
    <n v="-1"/>
    <n v="1.1000000000000001"/>
  </r>
  <r>
    <n v="603"/>
    <x v="20"/>
    <s v="East"/>
    <s v="Small Market"/>
    <s v="Regular Espresso"/>
    <s v="Espresso"/>
    <s v="New Hampshire"/>
    <s v="Regular"/>
    <n v="20"/>
    <n v="30"/>
    <n v="0"/>
    <n v="50"/>
    <n v="24"/>
    <n v="212"/>
    <n v="30"/>
    <n v="9"/>
    <n v="-18"/>
    <n v="58"/>
    <n v="1.1599999999999999"/>
    <m/>
    <n v="1.2"/>
  </r>
  <r>
    <n v="603"/>
    <x v="20"/>
    <s v="East"/>
    <s v="Small Market"/>
    <s v="Amaretto"/>
    <s v="Coffee"/>
    <s v="New Hampshire"/>
    <s v="Regular"/>
    <n v="40"/>
    <n v="70"/>
    <n v="50"/>
    <n v="110"/>
    <n v="49"/>
    <n v="315"/>
    <n v="71"/>
    <n v="15"/>
    <n v="49"/>
    <n v="128"/>
    <n v="1.1636363636363636"/>
    <n v="0.98"/>
    <n v="1.2250000000000001"/>
  </r>
  <r>
    <n v="603"/>
    <x v="20"/>
    <s v="East"/>
    <s v="Small Market"/>
    <s v="Columbian"/>
    <s v="Coffee"/>
    <s v="New Hampshire"/>
    <s v="Regular"/>
    <n v="50"/>
    <n v="80"/>
    <n v="50"/>
    <n v="130"/>
    <n v="55"/>
    <n v="453"/>
    <n v="84"/>
    <n v="18"/>
    <n v="50"/>
    <n v="148"/>
    <n v="1.1384615384615384"/>
    <n v="1"/>
    <n v="1.1000000000000001"/>
  </r>
  <r>
    <n v="845"/>
    <x v="20"/>
    <s v="East"/>
    <s v="Major Market"/>
    <s v="Lemon"/>
    <s v="Herbal Tea"/>
    <s v="New York"/>
    <s v="Decaf"/>
    <n v="220"/>
    <n v="200"/>
    <n v="90"/>
    <n v="420"/>
    <n v="302"/>
    <n v="1518"/>
    <n v="239"/>
    <n v="114"/>
    <n v="137"/>
    <n v="577"/>
    <n v="1.3738095238095238"/>
    <n v="1.5222222222222221"/>
    <n v="1.3727272727272728"/>
  </r>
  <r>
    <n v="845"/>
    <x v="20"/>
    <s v="East"/>
    <s v="Major Market"/>
    <s v="Mint"/>
    <s v="Herbal Tea"/>
    <s v="New York"/>
    <s v="Decaf"/>
    <n v="190"/>
    <n v="-110"/>
    <n v="-180"/>
    <n v="80"/>
    <n v="251"/>
    <n v="3948"/>
    <n v="-139"/>
    <n v="77"/>
    <n v="-353"/>
    <n v="119"/>
    <n v="1.4875"/>
    <n v="1.961111111111111"/>
    <n v="1.3210526315789475"/>
  </r>
  <r>
    <n v="845"/>
    <x v="20"/>
    <s v="East"/>
    <s v="Major Market"/>
    <s v="Darjeeling"/>
    <s v="Tea"/>
    <s v="New York"/>
    <s v="Regular"/>
    <n v="100"/>
    <n v="160"/>
    <n v="130"/>
    <n v="260"/>
    <n v="100"/>
    <n v="981"/>
    <n v="145"/>
    <n v="28"/>
    <n v="157"/>
    <n v="261"/>
    <n v="1.0038461538461538"/>
    <n v="1.2076923076923076"/>
    <n v="1"/>
  </r>
  <r>
    <n v="518"/>
    <x v="20"/>
    <s v="East"/>
    <s v="Major Market"/>
    <s v="Earl Grey"/>
    <s v="Tea"/>
    <s v="New York"/>
    <s v="Regular"/>
    <n v="130"/>
    <n v="190"/>
    <n v="150"/>
    <n v="320"/>
    <n v="123"/>
    <n v="928"/>
    <n v="179"/>
    <n v="34"/>
    <n v="197"/>
    <n v="322"/>
    <n v="1.0062500000000001"/>
    <n v="1.3133333333333332"/>
    <n v="0.94615384615384612"/>
  </r>
  <r>
    <n v="718"/>
    <x v="20"/>
    <s v="East"/>
    <s v="Major Market"/>
    <s v="Green Tea"/>
    <s v="Tea"/>
    <s v="New York"/>
    <s v="Regular"/>
    <n v="80"/>
    <n v="130"/>
    <n v="100"/>
    <n v="210"/>
    <n v="81"/>
    <n v="588"/>
    <n v="118"/>
    <n v="22"/>
    <n v="125"/>
    <n v="212"/>
    <n v="1.0095238095238095"/>
    <n v="1.25"/>
    <n v="1.0125"/>
  </r>
  <r>
    <n v="518"/>
    <x v="20"/>
    <s v="East"/>
    <s v="Major Market"/>
    <s v="Caffe Mocha"/>
    <s v="Espresso"/>
    <s v="New York"/>
    <s v="Regular"/>
    <n v="110"/>
    <n v="-50"/>
    <n v="-180"/>
    <n v="60"/>
    <n v="121"/>
    <n v="2932"/>
    <n v="-53"/>
    <n v="110"/>
    <n v="-292"/>
    <n v="72"/>
    <n v="1.2"/>
    <n v="1.6222222222222222"/>
    <n v="1.1000000000000001"/>
  </r>
  <r>
    <n v="516"/>
    <x v="20"/>
    <s v="East"/>
    <s v="Major Market"/>
    <s v="Regular Espresso"/>
    <s v="Espresso"/>
    <s v="New York"/>
    <s v="Regular"/>
    <n v="230"/>
    <n v="320"/>
    <n v="240"/>
    <n v="550"/>
    <n v="249"/>
    <n v="1286"/>
    <n v="318"/>
    <n v="69"/>
    <n v="332"/>
    <n v="604"/>
    <n v="1.0981818181818181"/>
    <n v="1.3833333333333333"/>
    <n v="1.0826086956521739"/>
  </r>
  <r>
    <n v="516"/>
    <x v="20"/>
    <s v="East"/>
    <s v="Major Market"/>
    <s v="Columbian"/>
    <s v="Coffee"/>
    <s v="New York"/>
    <s v="Regular"/>
    <n v="300"/>
    <n v="450"/>
    <n v="320"/>
    <n v="750"/>
    <n v="316"/>
    <n v="2580"/>
    <n v="474"/>
    <n v="110"/>
    <n v="463"/>
    <n v="842"/>
    <n v="1.1226666666666667"/>
    <n v="1.4468749999999999"/>
    <n v="1.0533333333333332"/>
  </r>
  <r>
    <n v="337"/>
    <x v="20"/>
    <s v="South"/>
    <s v="Small Market"/>
    <s v="Chamomile"/>
    <s v="Herbal Tea"/>
    <s v="Louisiana"/>
    <s v="Decaf"/>
    <n v="60"/>
    <n v="90"/>
    <n v="60"/>
    <n v="150"/>
    <n v="69"/>
    <n v="572"/>
    <n v="90"/>
    <n v="22"/>
    <n v="82"/>
    <n v="169"/>
    <n v="1.1266666666666667"/>
    <n v="1.3666666666666667"/>
    <n v="1.1499999999999999"/>
  </r>
  <r>
    <n v="985"/>
    <x v="20"/>
    <s v="South"/>
    <s v="Small Market"/>
    <s v="Lemon"/>
    <s v="Herbal Tea"/>
    <s v="Louisiana"/>
    <s v="Decaf"/>
    <n v="60"/>
    <n v="80"/>
    <n v="30"/>
    <n v="140"/>
    <n v="67"/>
    <n v="599"/>
    <n v="83"/>
    <n v="25"/>
    <n v="37"/>
    <n v="160"/>
    <n v="1.1428571428571428"/>
    <n v="1.2333333333333334"/>
    <n v="1.1166666666666667"/>
  </r>
  <r>
    <n v="318"/>
    <x v="20"/>
    <s v="South"/>
    <s v="Small Market"/>
    <s v="Columbian"/>
    <s v="Coffee"/>
    <s v="Louisiana"/>
    <s v="Regular"/>
    <n v="60"/>
    <n v="80"/>
    <n v="60"/>
    <n v="140"/>
    <n v="48"/>
    <n v="834"/>
    <n v="71"/>
    <n v="13"/>
    <n v="68"/>
    <n v="127"/>
    <n v="0.90714285714285714"/>
    <n v="1.1333333333333333"/>
    <n v="0.8"/>
  </r>
  <r>
    <n v="504"/>
    <x v="20"/>
    <s v="South"/>
    <s v="Small Market"/>
    <s v="Decaf Irish Cream"/>
    <s v="Coffee"/>
    <s v="Louisiana"/>
    <s v="Decaf"/>
    <n v="60"/>
    <n v="90"/>
    <n v="70"/>
    <n v="150"/>
    <n v="51"/>
    <n v="857"/>
    <n v="75"/>
    <n v="14"/>
    <n v="74"/>
    <n v="134"/>
    <n v="0.89333333333333331"/>
    <n v="1.0571428571428572"/>
    <n v="0.85"/>
  </r>
  <r>
    <n v="318"/>
    <x v="20"/>
    <s v="South"/>
    <s v="Small Market"/>
    <s v="Caffe Latte"/>
    <s v="Espresso"/>
    <s v="Louisiana"/>
    <s v="Regular"/>
    <n v="50"/>
    <n v="70"/>
    <n v="0"/>
    <n v="120"/>
    <n v="62"/>
    <n v="-613"/>
    <n v="87"/>
    <n v="56"/>
    <n v="3"/>
    <n v="159"/>
    <n v="1.325"/>
    <m/>
    <n v="1.24"/>
  </r>
  <r>
    <n v="337"/>
    <x v="20"/>
    <s v="South"/>
    <s v="Small Market"/>
    <s v="Caffe Mocha"/>
    <s v="Espresso"/>
    <s v="Louisiana"/>
    <s v="Regular"/>
    <n v="40"/>
    <n v="80"/>
    <n v="60"/>
    <n v="120"/>
    <n v="57"/>
    <n v="349"/>
    <n v="94"/>
    <n v="17"/>
    <n v="79"/>
    <n v="161"/>
    <n v="1.3416666666666666"/>
    <n v="1.3166666666666667"/>
    <n v="1.425"/>
  </r>
  <r>
    <n v="337"/>
    <x v="20"/>
    <s v="South"/>
    <s v="Small Market"/>
    <s v="Decaf Espresso"/>
    <s v="Espresso"/>
    <s v="Louisiana"/>
    <s v="Decaf"/>
    <n v="30"/>
    <n v="60"/>
    <n v="40"/>
    <n v="90"/>
    <n v="46"/>
    <n v="454"/>
    <n v="67"/>
    <n v="14"/>
    <n v="46"/>
    <n v="120"/>
    <n v="1.3333333333333333"/>
    <n v="1.1499999999999999"/>
    <n v="1.5333333333333334"/>
  </r>
  <r>
    <n v="505"/>
    <x v="20"/>
    <s v="South"/>
    <s v="Small Market"/>
    <s v="Chamomile"/>
    <s v="Herbal Tea"/>
    <s v="New Mexico"/>
    <s v="Decaf"/>
    <n v="10"/>
    <n v="30"/>
    <n v="20"/>
    <n v="40"/>
    <n v="19"/>
    <n v="848"/>
    <n v="29"/>
    <n v="5"/>
    <n v="19"/>
    <n v="51"/>
    <n v="1.2749999999999999"/>
    <n v="0.95"/>
    <n v="1.9"/>
  </r>
  <r>
    <n v="505"/>
    <x v="20"/>
    <s v="South"/>
    <s v="Small Market"/>
    <s v="Lemon"/>
    <s v="Herbal Tea"/>
    <s v="New Mexico"/>
    <s v="Decaf"/>
    <n v="30"/>
    <n v="40"/>
    <n v="20"/>
    <n v="70"/>
    <n v="33"/>
    <n v="1003"/>
    <n v="39"/>
    <n v="10"/>
    <n v="12"/>
    <n v="77"/>
    <n v="1.1000000000000001"/>
    <n v="0.6"/>
    <n v="1.1000000000000001"/>
  </r>
  <r>
    <n v="505"/>
    <x v="20"/>
    <s v="South"/>
    <s v="Small Market"/>
    <s v="Columbian"/>
    <s v="Coffee"/>
    <s v="New Mexico"/>
    <s v="Regular"/>
    <n v="60"/>
    <n v="110"/>
    <n v="70"/>
    <n v="170"/>
    <n v="55"/>
    <n v="453"/>
    <n v="84"/>
    <n v="18"/>
    <n v="50"/>
    <n v="148"/>
    <n v="0.87058823529411766"/>
    <n v="0.7142857142857143"/>
    <n v="0.91666666666666663"/>
  </r>
  <r>
    <n v="505"/>
    <x v="20"/>
    <s v="South"/>
    <s v="Small Market"/>
    <s v="Decaf Irish Cream"/>
    <s v="Coffee"/>
    <s v="New Mexico"/>
    <s v="Decaf"/>
    <n v="130"/>
    <n v="10"/>
    <n v="-40"/>
    <n v="140"/>
    <n v="104"/>
    <n v="1574"/>
    <n v="11"/>
    <n v="32"/>
    <n v="-65"/>
    <n v="123"/>
    <n v="0.87857142857142856"/>
    <n v="1.625"/>
    <n v="0.8"/>
  </r>
  <r>
    <n v="505"/>
    <x v="20"/>
    <s v="South"/>
    <s v="Small Market"/>
    <s v="Caffe Latte"/>
    <s v="Espresso"/>
    <s v="New Mexico"/>
    <s v="Regular"/>
    <n v="20"/>
    <n v="20"/>
    <n v="0"/>
    <n v="40"/>
    <n v="24"/>
    <n v="-412"/>
    <n v="30"/>
    <n v="9"/>
    <n v="-18"/>
    <n v="58"/>
    <n v="1.45"/>
    <m/>
    <n v="1.2"/>
  </r>
  <r>
    <n v="505"/>
    <x v="20"/>
    <s v="South"/>
    <s v="Small Market"/>
    <s v="Caffe Mocha"/>
    <s v="Espresso"/>
    <s v="New Mexico"/>
    <s v="Regular"/>
    <n v="30"/>
    <n v="60"/>
    <n v="10"/>
    <n v="90"/>
    <n v="44"/>
    <n v="325"/>
    <n v="62"/>
    <n v="40"/>
    <n v="-12"/>
    <n v="113"/>
    <n v="1.2555555555555555"/>
    <n v="-1.2"/>
    <n v="1.4666666666666666"/>
  </r>
  <r>
    <n v="505"/>
    <x v="20"/>
    <s v="South"/>
    <s v="Small Market"/>
    <s v="Decaf Espresso"/>
    <s v="Espresso"/>
    <s v="New Mexico"/>
    <s v="Decaf"/>
    <n v="30"/>
    <n v="40"/>
    <n v="10"/>
    <n v="70"/>
    <n v="39"/>
    <n v="248"/>
    <n v="52"/>
    <n v="12"/>
    <n v="19"/>
    <n v="97"/>
    <n v="1.3857142857142857"/>
    <n v="1.9"/>
    <n v="1.3"/>
  </r>
  <r>
    <n v="580"/>
    <x v="20"/>
    <s v="South"/>
    <s v="Small Market"/>
    <s v="Chamomile"/>
    <s v="Herbal Tea"/>
    <s v="Oklahoma"/>
    <s v="Decaf"/>
    <n v="60"/>
    <n v="80"/>
    <n v="30"/>
    <n v="140"/>
    <n v="67"/>
    <n v="391"/>
    <n v="82"/>
    <n v="25"/>
    <n v="36"/>
    <n v="159"/>
    <n v="1.1357142857142857"/>
    <n v="1.2"/>
    <n v="1.1166666666666667"/>
  </r>
  <r>
    <n v="405"/>
    <x v="20"/>
    <s v="South"/>
    <s v="Small Market"/>
    <s v="Lemon"/>
    <s v="Herbal Tea"/>
    <s v="Oklahoma"/>
    <s v="Decaf"/>
    <n v="80"/>
    <n v="130"/>
    <n v="40"/>
    <n v="210"/>
    <n v="93"/>
    <n v="692"/>
    <n v="130"/>
    <n v="84"/>
    <n v="24"/>
    <n v="238"/>
    <n v="1.1333333333333333"/>
    <n v="0.6"/>
    <n v="1.1625000000000001"/>
  </r>
  <r>
    <n v="580"/>
    <x v="20"/>
    <s v="South"/>
    <s v="Small Market"/>
    <s v="Columbian"/>
    <s v="Coffee"/>
    <s v="Oklahoma"/>
    <s v="Regular"/>
    <n v="70"/>
    <n v="100"/>
    <n v="80"/>
    <n v="170"/>
    <n v="61"/>
    <n v="579"/>
    <n v="79"/>
    <n v="20"/>
    <n v="70"/>
    <n v="149"/>
    <n v="0.87647058823529411"/>
    <n v="0.875"/>
    <n v="0.87142857142857144"/>
  </r>
  <r>
    <n v="580"/>
    <x v="20"/>
    <s v="South"/>
    <s v="Small Market"/>
    <s v="Decaf Irish Cream"/>
    <s v="Coffee"/>
    <s v="Oklahoma"/>
    <s v="Decaf"/>
    <n v="30"/>
    <n v="60"/>
    <n v="50"/>
    <n v="90"/>
    <n v="29"/>
    <n v="862"/>
    <n v="43"/>
    <n v="8"/>
    <n v="34"/>
    <n v="77"/>
    <n v="0.85555555555555551"/>
    <n v="0.68"/>
    <n v="0.96666666666666667"/>
  </r>
  <r>
    <n v="918"/>
    <x v="20"/>
    <s v="South"/>
    <s v="Small Market"/>
    <s v="Caffe Latte"/>
    <s v="Espresso"/>
    <s v="Oklahoma"/>
    <s v="Regular"/>
    <n v="80"/>
    <n v="110"/>
    <n v="80"/>
    <n v="190"/>
    <n v="96"/>
    <n v="-1555"/>
    <n v="134"/>
    <n v="29"/>
    <n v="122"/>
    <n v="245"/>
    <n v="1.2894736842105263"/>
    <n v="1.5249999999999999"/>
    <n v="1.2"/>
  </r>
  <r>
    <n v="580"/>
    <x v="20"/>
    <s v="South"/>
    <s v="Small Market"/>
    <s v="Caffe Mocha"/>
    <s v="Espresso"/>
    <s v="Oklahoma"/>
    <s v="Regular"/>
    <n v="10"/>
    <n v="30"/>
    <n v="30"/>
    <n v="40"/>
    <n v="20"/>
    <n v="482"/>
    <n v="30"/>
    <n v="5"/>
    <n v="19"/>
    <n v="53"/>
    <n v="1.325"/>
    <n v="0.6333333333333333"/>
    <n v="2"/>
  </r>
  <r>
    <n v="405"/>
    <x v="20"/>
    <s v="South"/>
    <s v="Small Market"/>
    <s v="Decaf Espresso"/>
    <s v="Espresso"/>
    <s v="Oklahoma"/>
    <s v="Decaf"/>
    <n v="80"/>
    <n v="130"/>
    <n v="80"/>
    <n v="210"/>
    <n v="99"/>
    <n v="798"/>
    <n v="150"/>
    <n v="32"/>
    <n v="129"/>
    <n v="265"/>
    <n v="1.2619047619047619"/>
    <n v="1.6125"/>
    <n v="1.2375"/>
  </r>
  <r>
    <n v="682"/>
    <x v="20"/>
    <s v="South"/>
    <s v="Major Market"/>
    <s v="Chamomile"/>
    <s v="Herbal Tea"/>
    <s v="Texas"/>
    <s v="Decaf"/>
    <n v="50"/>
    <n v="70"/>
    <n v="40"/>
    <n v="120"/>
    <n v="53"/>
    <n v="410"/>
    <n v="72"/>
    <n v="17"/>
    <n v="40"/>
    <n v="133"/>
    <n v="1.1083333333333334"/>
    <n v="1"/>
    <n v="1.06"/>
  </r>
  <r>
    <n v="469"/>
    <x v="20"/>
    <s v="South"/>
    <s v="Major Market"/>
    <s v="Lemon"/>
    <s v="Herbal Tea"/>
    <s v="Texas"/>
    <s v="Decaf"/>
    <n v="40"/>
    <n v="60"/>
    <n v="30"/>
    <n v="100"/>
    <n v="43"/>
    <n v="424"/>
    <n v="64"/>
    <n v="13"/>
    <n v="42"/>
    <n v="114"/>
    <n v="1.1399999999999999"/>
    <n v="1.4"/>
    <n v="1.075"/>
  </r>
  <r>
    <n v="281"/>
    <x v="20"/>
    <s v="South"/>
    <s v="Major Market"/>
    <s v="Columbian"/>
    <s v="Coffee"/>
    <s v="Texas"/>
    <s v="Regular"/>
    <n v="310"/>
    <n v="370"/>
    <n v="280"/>
    <n v="680"/>
    <n v="251"/>
    <n v="1268"/>
    <n v="295"/>
    <n v="77"/>
    <n v="292"/>
    <n v="582"/>
    <n v="0.85588235294117643"/>
    <n v="1.0428571428571429"/>
    <n v="0.80967741935483872"/>
  </r>
  <r>
    <n v="806"/>
    <x v="20"/>
    <s v="South"/>
    <s v="Major Market"/>
    <s v="Decaf Irish Cream"/>
    <s v="Coffee"/>
    <s v="Texas"/>
    <s v="Decaf"/>
    <n v="70"/>
    <n v="90"/>
    <n v="70"/>
    <n v="160"/>
    <n v="58"/>
    <n v="548"/>
    <n v="74"/>
    <n v="19"/>
    <n v="62"/>
    <n v="141"/>
    <n v="0.88124999999999998"/>
    <n v="0.88571428571428568"/>
    <n v="0.82857142857142863"/>
  </r>
  <r>
    <n v="903"/>
    <x v="20"/>
    <s v="South"/>
    <s v="Major Market"/>
    <s v="Caffe Latte"/>
    <s v="Espresso"/>
    <s v="Texas"/>
    <s v="Regular"/>
    <n v="50"/>
    <n v="70"/>
    <n v="40"/>
    <n v="120"/>
    <n v="60"/>
    <n v="-718"/>
    <n v="90"/>
    <n v="19"/>
    <n v="58"/>
    <n v="160"/>
    <n v="1.3333333333333333"/>
    <n v="1.45"/>
    <n v="1.2"/>
  </r>
  <r>
    <n v="713"/>
    <x v="20"/>
    <s v="South"/>
    <s v="Major Market"/>
    <s v="Caffe Mocha"/>
    <s v="Espresso"/>
    <s v="Texas"/>
    <s v="Regular"/>
    <n v="100"/>
    <n v="150"/>
    <n v="120"/>
    <n v="250"/>
    <n v="123"/>
    <n v="928"/>
    <n v="179"/>
    <n v="34"/>
    <n v="199"/>
    <n v="322"/>
    <n v="1.288"/>
    <n v="1.6583333333333334"/>
    <n v="1.23"/>
  </r>
  <r>
    <n v="325"/>
    <x v="20"/>
    <s v="South"/>
    <s v="Major Market"/>
    <s v="Decaf Espresso"/>
    <s v="Espresso"/>
    <s v="Texas"/>
    <s v="Decaf"/>
    <n v="60"/>
    <n v="110"/>
    <n v="90"/>
    <n v="170"/>
    <n v="81"/>
    <n v="588"/>
    <n v="118"/>
    <n v="22"/>
    <n v="126"/>
    <n v="212"/>
    <n v="1.2470588235294118"/>
    <n v="1.4"/>
    <n v="1.35"/>
  </r>
  <r>
    <n v="801"/>
    <x v="20"/>
    <s v="West"/>
    <s v="Small Market"/>
    <s v="Darjeeling"/>
    <s v="Tea"/>
    <s v="Utah"/>
    <s v="Regular"/>
    <n v="20"/>
    <n v="50"/>
    <n v="10"/>
    <n v="70"/>
    <n v="44"/>
    <n v="325"/>
    <n v="62"/>
    <n v="40"/>
    <n v="-10"/>
    <n v="113"/>
    <n v="1.6142857142857143"/>
    <n v="-1"/>
    <n v="2.2000000000000002"/>
  </r>
  <r>
    <n v="435"/>
    <x v="20"/>
    <s v="West"/>
    <s v="Small Market"/>
    <s v="Earl Grey"/>
    <s v="Tea"/>
    <s v="Utah"/>
    <s v="Regular"/>
    <n v="20"/>
    <n v="40"/>
    <n v="20"/>
    <n v="60"/>
    <n v="39"/>
    <n v="248"/>
    <n v="52"/>
    <n v="12"/>
    <n v="18"/>
    <n v="97"/>
    <n v="1.6166666666666667"/>
    <n v="0.9"/>
    <n v="1.95"/>
  </r>
  <r>
    <n v="435"/>
    <x v="20"/>
    <s v="West"/>
    <s v="Small Market"/>
    <s v="Green Tea"/>
    <s v="Tea"/>
    <s v="Utah"/>
    <s v="Regular"/>
    <n v="10"/>
    <n v="20"/>
    <n v="0"/>
    <n v="30"/>
    <n v="24"/>
    <n v="212"/>
    <n v="30"/>
    <n v="9"/>
    <n v="-19"/>
    <n v="58"/>
    <n v="1.9333333333333333"/>
    <m/>
    <n v="2.4"/>
  </r>
  <r>
    <n v="801"/>
    <x v="20"/>
    <s v="West"/>
    <s v="Small Market"/>
    <s v="Chamomile"/>
    <s v="Herbal Tea"/>
    <s v="Utah"/>
    <s v="Decaf"/>
    <n v="40"/>
    <n v="60"/>
    <n v="40"/>
    <n v="100"/>
    <n v="49"/>
    <n v="315"/>
    <n v="71"/>
    <n v="15"/>
    <n v="50"/>
    <n v="128"/>
    <n v="1.28"/>
    <n v="1.25"/>
    <n v="1.2250000000000001"/>
  </r>
  <r>
    <n v="435"/>
    <x v="20"/>
    <s v="West"/>
    <s v="Small Market"/>
    <s v="Lemon"/>
    <s v="Herbal Tea"/>
    <s v="Utah"/>
    <s v="Decaf"/>
    <n v="40"/>
    <n v="80"/>
    <n v="50"/>
    <n v="120"/>
    <n v="55"/>
    <n v="453"/>
    <n v="84"/>
    <n v="18"/>
    <n v="50"/>
    <n v="148"/>
    <n v="1.2333333333333334"/>
    <n v="1"/>
    <n v="1.375"/>
  </r>
  <r>
    <n v="435"/>
    <x v="20"/>
    <s v="West"/>
    <s v="Small Market"/>
    <s v="Mint"/>
    <s v="Herbal Tea"/>
    <s v="Utah"/>
    <s v="Decaf"/>
    <n v="80"/>
    <n v="20"/>
    <n v="-20"/>
    <n v="100"/>
    <n v="104"/>
    <n v="1574"/>
    <n v="11"/>
    <n v="32"/>
    <n v="-67"/>
    <n v="123"/>
    <n v="1.23"/>
    <n v="3.35"/>
    <n v="1.3"/>
  </r>
  <r>
    <n v="435"/>
    <x v="20"/>
    <s v="West"/>
    <s v="Small Market"/>
    <s v="Amaretto"/>
    <s v="Coffee"/>
    <s v="Utah"/>
    <s v="Regular"/>
    <n v="70"/>
    <n v="100"/>
    <n v="70"/>
    <n v="170"/>
    <n v="62"/>
    <n v="1059"/>
    <n v="74"/>
    <n v="19"/>
    <n v="49"/>
    <n v="145"/>
    <n v="0.8529411764705882"/>
    <n v="0.7"/>
    <n v="0.88571428571428568"/>
  </r>
  <r>
    <n v="801"/>
    <x v="20"/>
    <s v="West"/>
    <s v="Small Market"/>
    <s v="Columbian"/>
    <s v="Coffee"/>
    <s v="Utah"/>
    <s v="Regular"/>
    <n v="60"/>
    <n v="80"/>
    <n v="50"/>
    <n v="140"/>
    <n v="48"/>
    <n v="380"/>
    <n v="65"/>
    <n v="15"/>
    <n v="33"/>
    <n v="120"/>
    <n v="0.8571428571428571"/>
    <n v="0.66"/>
    <n v="0.8"/>
  </r>
  <r>
    <n v="435"/>
    <x v="20"/>
    <s v="West"/>
    <s v="Small Market"/>
    <s v="Decaf Irish Cream"/>
    <s v="Coffee"/>
    <s v="Utah"/>
    <s v="Decaf"/>
    <n v="80"/>
    <n v="100"/>
    <n v="50"/>
    <n v="180"/>
    <n v="67"/>
    <n v="599"/>
    <n v="83"/>
    <n v="25"/>
    <n v="36"/>
    <n v="160"/>
    <n v="0.88888888888888884"/>
    <n v="0.72"/>
    <n v="0.83750000000000002"/>
  </r>
  <r>
    <n v="435"/>
    <x v="20"/>
    <s v="West"/>
    <s v="Small Market"/>
    <s v="Caffe Latte"/>
    <s v="Espresso"/>
    <s v="Utah"/>
    <s v="Regular"/>
    <n v="30"/>
    <n v="40"/>
    <n v="30"/>
    <n v="70"/>
    <n v="32"/>
    <n v="837"/>
    <n v="47"/>
    <n v="8"/>
    <n v="40"/>
    <n v="84"/>
    <n v="1.2"/>
    <n v="1.3333333333333333"/>
    <n v="1.0666666666666667"/>
  </r>
  <r>
    <n v="801"/>
    <x v="20"/>
    <s v="West"/>
    <s v="Small Market"/>
    <s v="Caffe Mocha"/>
    <s v="Espresso"/>
    <s v="Utah"/>
    <s v="Regular"/>
    <n v="60"/>
    <n v="90"/>
    <n v="60"/>
    <n v="150"/>
    <n v="69"/>
    <n v="572"/>
    <n v="90"/>
    <n v="22"/>
    <n v="83"/>
    <n v="169"/>
    <n v="1.1266666666666667"/>
    <n v="1.3833333333333333"/>
    <n v="1.1499999999999999"/>
  </r>
  <r>
    <n v="435"/>
    <x v="20"/>
    <s v="West"/>
    <s v="Small Market"/>
    <s v="Decaf Espresso"/>
    <s v="Espresso"/>
    <s v="Utah"/>
    <s v="Decaf"/>
    <n v="40"/>
    <n v="60"/>
    <n v="40"/>
    <n v="100"/>
    <n v="44"/>
    <n v="886"/>
    <n v="64"/>
    <n v="12"/>
    <n v="59"/>
    <n v="115"/>
    <n v="1.1499999999999999"/>
    <n v="1.4750000000000001"/>
    <n v="1.1000000000000001"/>
  </r>
  <r>
    <n v="310"/>
    <x v="20"/>
    <s v="West"/>
    <s v="Major Market"/>
    <s v="Darjeeling"/>
    <s v="Tea"/>
    <s v="California"/>
    <s v="Regular"/>
    <n v="80"/>
    <n v="120"/>
    <n v="100"/>
    <n v="200"/>
    <n v="123"/>
    <n v="928"/>
    <n v="179"/>
    <n v="34"/>
    <n v="199"/>
    <n v="322"/>
    <n v="1.61"/>
    <n v="1.99"/>
    <n v="1.5375000000000001"/>
  </r>
  <r>
    <n v="650"/>
    <x v="20"/>
    <s v="West"/>
    <s v="Major Market"/>
    <s v="Earl Grey"/>
    <s v="Tea"/>
    <s v="California"/>
    <s v="Regular"/>
    <n v="50"/>
    <n v="80"/>
    <n v="70"/>
    <n v="130"/>
    <n v="81"/>
    <n v="588"/>
    <n v="118"/>
    <n v="22"/>
    <n v="125"/>
    <n v="212"/>
    <n v="1.6307692307692307"/>
    <n v="1.7857142857142858"/>
    <n v="1.62"/>
  </r>
  <r>
    <n v="530"/>
    <x v="20"/>
    <s v="West"/>
    <s v="Major Market"/>
    <s v="Green Tea"/>
    <s v="Tea"/>
    <s v="California"/>
    <s v="Regular"/>
    <n v="30"/>
    <n v="70"/>
    <n v="40"/>
    <n v="100"/>
    <n v="60"/>
    <n v="656"/>
    <n v="90"/>
    <n v="19"/>
    <n v="58"/>
    <n v="160"/>
    <n v="1.6"/>
    <n v="1.45"/>
    <n v="2"/>
  </r>
  <r>
    <n v="562"/>
    <x v="20"/>
    <s v="West"/>
    <s v="Major Market"/>
    <s v="Chamomile"/>
    <s v="Herbal Tea"/>
    <s v="California"/>
    <s v="Decaf"/>
    <n v="80"/>
    <n v="130"/>
    <n v="110"/>
    <n v="210"/>
    <n v="100"/>
    <n v="981"/>
    <n v="145"/>
    <n v="28"/>
    <n v="156"/>
    <n v="261"/>
    <n v="1.2428571428571429"/>
    <n v="1.4181818181818182"/>
    <n v="1.25"/>
  </r>
  <r>
    <n v="209"/>
    <x v="20"/>
    <s v="West"/>
    <s v="Major Market"/>
    <s v="Lemon"/>
    <s v="Herbal Tea"/>
    <s v="California"/>
    <s v="Decaf"/>
    <n v="210"/>
    <n v="270"/>
    <n v="200"/>
    <n v="480"/>
    <n v="251"/>
    <n v="1268"/>
    <n v="295"/>
    <n v="77"/>
    <n v="291"/>
    <n v="582"/>
    <n v="1.2124999999999999"/>
    <n v="1.4550000000000001"/>
    <n v="1.1952380952380952"/>
  </r>
  <r>
    <n v="818"/>
    <x v="20"/>
    <s v="West"/>
    <s v="Major Market"/>
    <s v="Mint"/>
    <s v="Herbal Tea"/>
    <s v="California"/>
    <s v="Decaf"/>
    <n v="40"/>
    <n v="70"/>
    <n v="50"/>
    <n v="110"/>
    <n v="58"/>
    <n v="548"/>
    <n v="74"/>
    <n v="19"/>
    <n v="64"/>
    <n v="141"/>
    <n v="1.2818181818181817"/>
    <n v="1.28"/>
    <n v="1.45"/>
  </r>
  <r>
    <n v="714"/>
    <x v="20"/>
    <s v="West"/>
    <s v="Major Market"/>
    <s v="Amaretto"/>
    <s v="Coffee"/>
    <s v="California"/>
    <s v="Regular"/>
    <n v="150"/>
    <n v="-20"/>
    <n v="-70"/>
    <n v="130"/>
    <n v="122"/>
    <n v="2378"/>
    <n v="-13"/>
    <n v="39"/>
    <n v="-110"/>
    <n v="116"/>
    <n v="0.89230769230769236"/>
    <n v="1.5714285714285714"/>
    <n v="0.81333333333333335"/>
  </r>
  <r>
    <n v="562"/>
    <x v="20"/>
    <s v="West"/>
    <s v="Major Market"/>
    <s v="Columbian"/>
    <s v="Coffee"/>
    <s v="California"/>
    <s v="Regular"/>
    <n v="390"/>
    <n v="590"/>
    <n v="450"/>
    <n v="980"/>
    <n v="316"/>
    <n v="2580"/>
    <n v="474"/>
    <n v="110"/>
    <n v="465"/>
    <n v="842"/>
    <n v="0.85918367346938773"/>
    <n v="1.0333333333333334"/>
    <n v="0.81025641025641026"/>
  </r>
  <r>
    <n v="818"/>
    <x v="20"/>
    <s v="West"/>
    <s v="Major Market"/>
    <s v="Decaf Irish Cream"/>
    <s v="Coffee"/>
    <s v="California"/>
    <s v="Decaf"/>
    <n v="200"/>
    <n v="-30"/>
    <n v="-120"/>
    <n v="170"/>
    <n v="162"/>
    <n v="3421"/>
    <n v="-24"/>
    <n v="53"/>
    <n v="-178"/>
    <n v="147"/>
    <n v="0.86470588235294121"/>
    <n v="1.4833333333333334"/>
    <n v="0.81"/>
  </r>
  <r>
    <n v="310"/>
    <x v="20"/>
    <s v="West"/>
    <s v="Major Market"/>
    <s v="Caffe Latte"/>
    <s v="Espresso"/>
    <s v="California"/>
    <s v="Regular"/>
    <n v="230"/>
    <n v="240"/>
    <n v="160"/>
    <n v="470"/>
    <n v="249"/>
    <n v="1775"/>
    <n v="249"/>
    <n v="69"/>
    <n v="232"/>
    <n v="531"/>
    <n v="1.1297872340425532"/>
    <n v="1.45"/>
    <n v="1.0826086956521739"/>
  </r>
  <r>
    <n v="951"/>
    <x v="20"/>
    <s v="West"/>
    <s v="Major Market"/>
    <s v="Caffe Mocha"/>
    <s v="Espresso"/>
    <s v="California"/>
    <s v="Regular"/>
    <n v="110"/>
    <n v="160"/>
    <n v="30"/>
    <n v="270"/>
    <n v="121"/>
    <n v="910"/>
    <n v="169"/>
    <n v="110"/>
    <n v="39"/>
    <n v="309"/>
    <n v="1.1444444444444444"/>
    <n v="1.3"/>
    <n v="1.1000000000000001"/>
  </r>
  <r>
    <n v="530"/>
    <x v="20"/>
    <s v="West"/>
    <s v="Major Market"/>
    <s v="Decaf Espresso"/>
    <s v="Espresso"/>
    <s v="California"/>
    <s v="Decaf"/>
    <n v="240"/>
    <n v="320"/>
    <n v="220"/>
    <n v="560"/>
    <n v="253"/>
    <n v="1686"/>
    <n v="336"/>
    <n v="83"/>
    <n v="326"/>
    <n v="628"/>
    <n v="1.1214285714285714"/>
    <n v="1.4818181818181819"/>
    <n v="1.0541666666666667"/>
  </r>
  <r>
    <n v="775"/>
    <x v="20"/>
    <s v="West"/>
    <s v="Small Market"/>
    <s v="Darjeeling"/>
    <s v="Tea"/>
    <s v="Nevada"/>
    <s v="Regular"/>
    <n v="160"/>
    <n v="240"/>
    <n v="170"/>
    <n v="400"/>
    <n v="253"/>
    <n v="1686"/>
    <n v="336"/>
    <n v="83"/>
    <n v="328"/>
    <n v="628"/>
    <n v="1.57"/>
    <n v="1.9294117647058824"/>
    <n v="1.58125"/>
  </r>
  <r>
    <n v="775"/>
    <x v="20"/>
    <s v="West"/>
    <s v="Small Market"/>
    <s v="Earl Grey"/>
    <s v="Tea"/>
    <s v="Nevada"/>
    <s v="Regular"/>
    <n v="160"/>
    <n v="170"/>
    <n v="110"/>
    <n v="330"/>
    <n v="249"/>
    <n v="1775"/>
    <n v="249"/>
    <n v="69"/>
    <n v="232"/>
    <n v="531"/>
    <n v="1.6090909090909091"/>
    <n v="2.1090909090909089"/>
    <n v="1.5562499999999999"/>
  </r>
  <r>
    <n v="775"/>
    <x v="20"/>
    <s v="West"/>
    <s v="Small Market"/>
    <s v="Green Tea"/>
    <s v="Tea"/>
    <s v="Nevada"/>
    <s v="Regular"/>
    <n v="190"/>
    <n v="-190"/>
    <n v="-280"/>
    <n v="0"/>
    <n v="302"/>
    <n v="6413"/>
    <n v="-302"/>
    <n v="114"/>
    <n v="-638"/>
    <n v="20"/>
    <m/>
    <n v="2.2785714285714285"/>
    <n v="1.5894736842105264"/>
  </r>
  <r>
    <n v="702"/>
    <x v="20"/>
    <s v="West"/>
    <s v="Small Market"/>
    <s v="Chamomile"/>
    <s v="Herbal Tea"/>
    <s v="Nevada"/>
    <s v="Decaf"/>
    <n v="100"/>
    <n v="150"/>
    <n v="40"/>
    <n v="250"/>
    <n v="121"/>
    <n v="910"/>
    <n v="169"/>
    <n v="110"/>
    <n v="39"/>
    <n v="309"/>
    <n v="1.236"/>
    <n v="0.97499999999999998"/>
    <n v="1.21"/>
  </r>
  <r>
    <n v="702"/>
    <x v="20"/>
    <s v="West"/>
    <s v="Small Market"/>
    <s v="Lemon"/>
    <s v="Herbal Tea"/>
    <s v="Nevada"/>
    <s v="Decaf"/>
    <n v="130"/>
    <n v="210"/>
    <n v="140"/>
    <n v="340"/>
    <n v="162"/>
    <n v="1148"/>
    <n v="225"/>
    <n v="53"/>
    <n v="191"/>
    <n v="412"/>
    <n v="1.2117647058823529"/>
    <n v="1.3642857142857143"/>
    <n v="1.2461538461538462"/>
  </r>
  <r>
    <n v="702"/>
    <x v="20"/>
    <s v="West"/>
    <s v="Small Market"/>
    <s v="Mint"/>
    <s v="Herbal Tea"/>
    <s v="Nevada"/>
    <s v="Decaf"/>
    <n v="100"/>
    <n v="160"/>
    <n v="120"/>
    <n v="260"/>
    <n v="122"/>
    <n v="801"/>
    <n v="176"/>
    <n v="39"/>
    <n v="171"/>
    <n v="318"/>
    <n v="1.2230769230769232"/>
    <n v="1.425"/>
    <n v="1.22"/>
  </r>
  <r>
    <n v="775"/>
    <x v="20"/>
    <s v="West"/>
    <s v="Small Market"/>
    <s v="Columbian"/>
    <s v="Coffee"/>
    <s v="Nevada"/>
    <s v="Regular"/>
    <n v="50"/>
    <n v="60"/>
    <n v="20"/>
    <n v="110"/>
    <n v="40"/>
    <n v="244"/>
    <n v="51"/>
    <n v="15"/>
    <n v="3"/>
    <n v="97"/>
    <n v="0.88181818181818183"/>
    <n v="0.15"/>
    <n v="0.8"/>
  </r>
  <r>
    <n v="702"/>
    <x v="20"/>
    <s v="West"/>
    <s v="Small Market"/>
    <s v="Decaf Irish Cream"/>
    <s v="Coffee"/>
    <s v="Nevada"/>
    <s v="Decaf"/>
    <n v="40"/>
    <n v="50"/>
    <n v="30"/>
    <n v="90"/>
    <n v="33"/>
    <n v="1003"/>
    <n v="39"/>
    <n v="10"/>
    <n v="10"/>
    <n v="77"/>
    <n v="0.85555555555555551"/>
    <n v="0.33333333333333331"/>
    <n v="0.82499999999999996"/>
  </r>
  <r>
    <n v="775"/>
    <x v="20"/>
    <s v="West"/>
    <s v="Small Market"/>
    <s v="Caffe Latte"/>
    <s v="Espresso"/>
    <s v="Nevada"/>
    <s v="Regular"/>
    <n v="0"/>
    <n v="40"/>
    <n v="30"/>
    <n v="40"/>
    <n v="0"/>
    <n v="473"/>
    <n v="43"/>
    <n v="0"/>
    <n v="47"/>
    <n v="46"/>
    <n v="1.1499999999999999"/>
    <n v="1.5666666666666667"/>
    <m/>
  </r>
  <r>
    <n v="702"/>
    <x v="20"/>
    <s v="West"/>
    <s v="Small Market"/>
    <s v="Caffe Mocha"/>
    <s v="Espresso"/>
    <s v="Nevada"/>
    <s v="Regular"/>
    <n v="10"/>
    <n v="30"/>
    <n v="20"/>
    <n v="40"/>
    <n v="19"/>
    <n v="848"/>
    <n v="29"/>
    <n v="5"/>
    <n v="18"/>
    <n v="51"/>
    <n v="1.2749999999999999"/>
    <n v="0.9"/>
    <n v="1.9"/>
  </r>
  <r>
    <n v="775"/>
    <x v="20"/>
    <s v="West"/>
    <s v="Small Market"/>
    <s v="Decaf Espresso"/>
    <s v="Espresso"/>
    <s v="Nevada"/>
    <s v="Decaf"/>
    <n v="20"/>
    <n v="30"/>
    <n v="20"/>
    <n v="50"/>
    <n v="23"/>
    <n v="803"/>
    <n v="35"/>
    <n v="6"/>
    <n v="25"/>
    <n v="62"/>
    <n v="1.24"/>
    <n v="1.25"/>
    <n v="1.1499999999999999"/>
  </r>
  <r>
    <n v="541"/>
    <x v="20"/>
    <s v="West"/>
    <s v="Small Market"/>
    <s v="Darjeeling"/>
    <s v="Tea"/>
    <s v="Oregon"/>
    <s v="Regular"/>
    <n v="10"/>
    <n v="20"/>
    <n v="20"/>
    <n v="30"/>
    <n v="20"/>
    <n v="482"/>
    <n v="30"/>
    <n v="5"/>
    <n v="19"/>
    <n v="53"/>
    <n v="1.7666666666666666"/>
    <n v="0.95"/>
    <n v="2"/>
  </r>
  <r>
    <n v="503"/>
    <x v="20"/>
    <s v="West"/>
    <s v="Small Market"/>
    <s v="Earl Grey"/>
    <s v="Tea"/>
    <s v="Oregon"/>
    <s v="Regular"/>
    <n v="60"/>
    <n v="100"/>
    <n v="60"/>
    <n v="160"/>
    <n v="99"/>
    <n v="798"/>
    <n v="150"/>
    <n v="32"/>
    <n v="129"/>
    <n v="265"/>
    <n v="1.65625"/>
    <n v="2.15"/>
    <n v="1.65"/>
  </r>
  <r>
    <n v="971"/>
    <x v="20"/>
    <s v="West"/>
    <s v="Small Market"/>
    <s v="Green Tea"/>
    <s v="Tea"/>
    <s v="Oregon"/>
    <s v="Regular"/>
    <n v="60"/>
    <n v="90"/>
    <n v="60"/>
    <n v="150"/>
    <n v="96"/>
    <n v="666"/>
    <n v="134"/>
    <n v="29"/>
    <n v="120"/>
    <n v="245"/>
    <n v="1.6333333333333333"/>
    <n v="2"/>
    <n v="1.6"/>
  </r>
  <r>
    <n v="503"/>
    <x v="20"/>
    <s v="West"/>
    <s v="Small Market"/>
    <s v="Chamomile"/>
    <s v="Herbal Tea"/>
    <s v="Oregon"/>
    <s v="Decaf"/>
    <n v="20"/>
    <n v="30"/>
    <n v="30"/>
    <n v="50"/>
    <n v="25"/>
    <n v="823"/>
    <n v="36"/>
    <n v="7"/>
    <n v="25"/>
    <n v="65"/>
    <n v="1.3"/>
    <n v="0.83333333333333337"/>
    <n v="1.25"/>
  </r>
  <r>
    <n v="541"/>
    <x v="20"/>
    <s v="West"/>
    <s v="Small Market"/>
    <s v="Lemon"/>
    <s v="Herbal Tea"/>
    <s v="Oregon"/>
    <s v="Decaf"/>
    <n v="50"/>
    <n v="70"/>
    <n v="50"/>
    <n v="120"/>
    <n v="61"/>
    <n v="579"/>
    <n v="79"/>
    <n v="20"/>
    <n v="70"/>
    <n v="149"/>
    <n v="1.2416666666666667"/>
    <n v="1.4"/>
    <n v="1.22"/>
  </r>
  <r>
    <n v="503"/>
    <x v="20"/>
    <s v="West"/>
    <s v="Small Market"/>
    <s v="Amaretto"/>
    <s v="Coffee"/>
    <s v="Oregon"/>
    <s v="Regular"/>
    <n v="60"/>
    <n v="90"/>
    <n v="30"/>
    <n v="150"/>
    <n v="52"/>
    <n v="509"/>
    <n v="74"/>
    <n v="47"/>
    <n v="-4"/>
    <n v="134"/>
    <n v="0.89333333333333331"/>
    <n v="-0.13333333333333333"/>
    <n v="0.8666666666666667"/>
  </r>
  <r>
    <n v="541"/>
    <x v="20"/>
    <s v="West"/>
    <s v="Small Market"/>
    <s v="Columbian"/>
    <s v="Coffee"/>
    <s v="Oregon"/>
    <s v="Regular"/>
    <n v="70"/>
    <n v="100"/>
    <n v="50"/>
    <n v="170"/>
    <n v="57"/>
    <n v="469"/>
    <n v="80"/>
    <n v="18"/>
    <n v="27"/>
    <n v="146"/>
    <n v="0.85882352941176465"/>
    <n v="0.54"/>
    <n v="0.81428571428571428"/>
  </r>
  <r>
    <n v="503"/>
    <x v="20"/>
    <s v="West"/>
    <s v="Small Market"/>
    <s v="Decaf Irish Cream"/>
    <s v="Coffee"/>
    <s v="Oregon"/>
    <s v="Decaf"/>
    <n v="50"/>
    <n v="80"/>
    <n v="50"/>
    <n v="130"/>
    <n v="43"/>
    <n v="424"/>
    <n v="64"/>
    <n v="13"/>
    <n v="42"/>
    <n v="114"/>
    <n v="0.87692307692307692"/>
    <n v="0.84"/>
    <n v="0.86"/>
  </r>
  <r>
    <n v="971"/>
    <x v="20"/>
    <s v="West"/>
    <s v="Small Market"/>
    <s v="Caffe Latte"/>
    <s v="Espresso"/>
    <s v="Oregon"/>
    <s v="Regular"/>
    <n v="40"/>
    <n v="50"/>
    <n v="10"/>
    <n v="90"/>
    <n v="45"/>
    <n v="409"/>
    <n v="57"/>
    <n v="17"/>
    <n v="9"/>
    <n v="109"/>
    <n v="1.211111111111111"/>
    <n v="0.9"/>
    <n v="1.125"/>
  </r>
  <r>
    <n v="503"/>
    <x v="20"/>
    <s v="West"/>
    <s v="Small Market"/>
    <s v="Caffe Mocha"/>
    <s v="Espresso"/>
    <s v="Oregon"/>
    <s v="Regular"/>
    <n v="50"/>
    <n v="70"/>
    <n v="40"/>
    <n v="120"/>
    <n v="53"/>
    <n v="410"/>
    <n v="72"/>
    <n v="17"/>
    <n v="42"/>
    <n v="133"/>
    <n v="1.1083333333333334"/>
    <n v="1.05"/>
    <n v="1.06"/>
  </r>
  <r>
    <n v="971"/>
    <x v="20"/>
    <s v="West"/>
    <s v="Small Market"/>
    <s v="Decaf Espresso"/>
    <s v="Espresso"/>
    <s v="Oregon"/>
    <s v="Decaf"/>
    <n v="140"/>
    <n v="150"/>
    <n v="90"/>
    <n v="290"/>
    <n v="155"/>
    <n v="1280"/>
    <n v="155"/>
    <n v="43"/>
    <n v="129"/>
    <n v="330"/>
    <n v="1.1379310344827587"/>
    <n v="1.4333333333333333"/>
    <n v="1.1071428571428572"/>
  </r>
  <r>
    <n v="206"/>
    <x v="20"/>
    <s v="West"/>
    <s v="Small Market"/>
    <s v="Darjeeling"/>
    <s v="Tea"/>
    <s v="Washington"/>
    <s v="Regular"/>
    <n v="30"/>
    <n v="70"/>
    <n v="40"/>
    <n v="100"/>
    <n v="57"/>
    <n v="349"/>
    <n v="94"/>
    <n v="17"/>
    <n v="80"/>
    <n v="161"/>
    <n v="1.61"/>
    <n v="2"/>
    <n v="1.9"/>
  </r>
  <r>
    <n v="509"/>
    <x v="20"/>
    <s v="West"/>
    <s v="Small Market"/>
    <s v="Earl Grey"/>
    <s v="Tea"/>
    <s v="Washington"/>
    <s v="Regular"/>
    <n v="30"/>
    <n v="40"/>
    <n v="30"/>
    <n v="70"/>
    <n v="46"/>
    <n v="454"/>
    <n v="67"/>
    <n v="14"/>
    <n v="46"/>
    <n v="120"/>
    <n v="1.7142857142857142"/>
    <n v="1.5333333333333334"/>
    <n v="1.5333333333333334"/>
  </r>
  <r>
    <n v="206"/>
    <x v="20"/>
    <s v="West"/>
    <s v="Small Market"/>
    <s v="Green Tea"/>
    <s v="Tea"/>
    <s v="Washington"/>
    <s v="Regular"/>
    <n v="40"/>
    <n v="60"/>
    <n v="10"/>
    <n v="100"/>
    <n v="62"/>
    <n v="612"/>
    <n v="87"/>
    <n v="56"/>
    <n v="3"/>
    <n v="159"/>
    <n v="1.59"/>
    <n v="0.3"/>
    <n v="1.55"/>
  </r>
  <r>
    <n v="509"/>
    <x v="20"/>
    <s v="West"/>
    <s v="Small Market"/>
    <s v="Chamomile"/>
    <s v="Herbal Tea"/>
    <s v="Washington"/>
    <s v="Decaf"/>
    <n v="80"/>
    <n v="140"/>
    <n v="100"/>
    <n v="220"/>
    <n v="103"/>
    <n v="1130"/>
    <n v="155"/>
    <n v="33"/>
    <n v="135"/>
    <n v="275"/>
    <n v="1.25"/>
    <n v="1.35"/>
    <n v="1.2875000000000001"/>
  </r>
  <r>
    <n v="425"/>
    <x v="20"/>
    <s v="West"/>
    <s v="Small Market"/>
    <s v="Lemon"/>
    <s v="Herbal Tea"/>
    <s v="Washington"/>
    <s v="Decaf"/>
    <n v="40"/>
    <n v="60"/>
    <n v="50"/>
    <n v="100"/>
    <n v="48"/>
    <n v="834"/>
    <n v="71"/>
    <n v="13"/>
    <n v="70"/>
    <n v="127"/>
    <n v="1.27"/>
    <n v="1.4"/>
    <n v="1.2"/>
  </r>
  <r>
    <n v="425"/>
    <x v="20"/>
    <s v="West"/>
    <s v="Small Market"/>
    <s v="Columbian"/>
    <s v="Coffee"/>
    <s v="Washington"/>
    <s v="Regular"/>
    <n v="80"/>
    <n v="120"/>
    <n v="80"/>
    <n v="200"/>
    <n v="68"/>
    <n v="445"/>
    <n v="99"/>
    <n v="21"/>
    <n v="83"/>
    <n v="178"/>
    <n v="0.89"/>
    <n v="1.0375000000000001"/>
    <n v="0.85"/>
  </r>
  <r>
    <n v="206"/>
    <x v="20"/>
    <s v="West"/>
    <s v="Small Market"/>
    <s v="Decaf Irish Cream"/>
    <s v="Coffee"/>
    <s v="Washington"/>
    <s v="Decaf"/>
    <n v="110"/>
    <n v="160"/>
    <n v="60"/>
    <n v="270"/>
    <n v="93"/>
    <n v="692"/>
    <n v="130"/>
    <n v="84"/>
    <n v="24"/>
    <n v="238"/>
    <n v="0.88148148148148153"/>
    <n v="0.4"/>
    <n v="0.84545454545454546"/>
  </r>
  <r>
    <n v="360"/>
    <x v="20"/>
    <s v="West"/>
    <s v="Small Market"/>
    <s v="Caffe Latte"/>
    <s v="Espresso"/>
    <s v="Washington"/>
    <s v="Regular"/>
    <n v="30"/>
    <n v="40"/>
    <n v="30"/>
    <n v="70"/>
    <n v="33"/>
    <n v="577"/>
    <n v="43"/>
    <n v="10"/>
    <n v="31"/>
    <n v="81"/>
    <n v="1.1571428571428573"/>
    <n v="1.0333333333333334"/>
    <n v="1.1000000000000001"/>
  </r>
  <r>
    <n v="360"/>
    <x v="20"/>
    <s v="West"/>
    <s v="Small Market"/>
    <s v="Caffe Mocha"/>
    <s v="Espresso"/>
    <s v="Washington"/>
    <s v="Regular"/>
    <n v="60"/>
    <n v="80"/>
    <n v="30"/>
    <n v="140"/>
    <n v="67"/>
    <n v="391"/>
    <n v="82"/>
    <n v="25"/>
    <n v="34"/>
    <n v="159"/>
    <n v="1.1357142857142857"/>
    <n v="1.1333333333333333"/>
    <n v="1.1166666666666667"/>
  </r>
  <r>
    <n v="206"/>
    <x v="20"/>
    <s v="West"/>
    <s v="Small Market"/>
    <s v="Decaf Espresso"/>
    <s v="Espresso"/>
    <s v="Washington"/>
    <s v="Decaf"/>
    <n v="70"/>
    <n v="100"/>
    <n v="70"/>
    <n v="170"/>
    <n v="83"/>
    <n v="1063"/>
    <n v="99"/>
    <n v="25"/>
    <n v="79"/>
    <n v="194"/>
    <n v="1.1411764705882352"/>
    <n v="1.1285714285714286"/>
    <n v="1.1857142857142857"/>
  </r>
  <r>
    <n v="720"/>
    <x v="21"/>
    <s v="Central"/>
    <s v="Major Market"/>
    <s v="Chamomile"/>
    <s v="Herbal Tea"/>
    <s v="Colorado"/>
    <s v="Decaf"/>
    <n v="120"/>
    <n v="140"/>
    <n v="110"/>
    <n v="260"/>
    <n v="161"/>
    <n v="1267"/>
    <n v="161"/>
    <n v="45"/>
    <n v="137"/>
    <n v="343"/>
    <n v="1.3192307692307692"/>
    <n v="1.2454545454545454"/>
    <n v="1.3416666666666666"/>
  </r>
  <r>
    <n v="720"/>
    <x v="21"/>
    <s v="Central"/>
    <s v="Major Market"/>
    <s v="Lemon"/>
    <s v="Herbal Tea"/>
    <s v="Colorado"/>
    <s v="Decaf"/>
    <n v="30"/>
    <n v="60"/>
    <n v="30"/>
    <n v="90"/>
    <n v="51"/>
    <n v="503"/>
    <n v="71"/>
    <n v="46"/>
    <n v="-7"/>
    <n v="130"/>
    <n v="1.4444444444444444"/>
    <n v="-0.23333333333333334"/>
    <n v="1.7"/>
  </r>
  <r>
    <n v="970"/>
    <x v="21"/>
    <s v="Central"/>
    <s v="Major Market"/>
    <s v="Mint"/>
    <s v="Herbal Tea"/>
    <s v="Colorado"/>
    <s v="Decaf"/>
    <n v="30"/>
    <n v="60"/>
    <n v="50"/>
    <n v="90"/>
    <n v="52"/>
    <n v="405"/>
    <n v="71"/>
    <n v="17"/>
    <n v="39"/>
    <n v="131"/>
    <n v="1.4555555555555555"/>
    <n v="0.78"/>
    <n v="1.7333333333333334"/>
  </r>
  <r>
    <n v="720"/>
    <x v="21"/>
    <s v="Central"/>
    <s v="Major Market"/>
    <s v="Darjeeling"/>
    <s v="Tea"/>
    <s v="Colorado"/>
    <s v="Regular"/>
    <n v="30"/>
    <n v="50"/>
    <n v="30"/>
    <n v="80"/>
    <n v="54"/>
    <n v="404"/>
    <n v="66"/>
    <n v="20"/>
    <n v="19"/>
    <n v="128"/>
    <n v="1.6"/>
    <n v="0.6333333333333333"/>
    <n v="1.8"/>
  </r>
  <r>
    <n v="970"/>
    <x v="21"/>
    <s v="Central"/>
    <s v="Major Market"/>
    <s v="Earl Grey"/>
    <s v="Tea"/>
    <s v="Colorado"/>
    <s v="Regular"/>
    <n v="30"/>
    <n v="50"/>
    <n v="40"/>
    <n v="80"/>
    <n v="54"/>
    <n v="1037"/>
    <n v="64"/>
    <n v="16"/>
    <n v="40"/>
    <n v="126"/>
    <n v="1.575"/>
    <n v="1"/>
    <n v="1.8"/>
  </r>
  <r>
    <n v="970"/>
    <x v="21"/>
    <s v="Central"/>
    <s v="Major Market"/>
    <s v="Green Tea"/>
    <s v="Tea"/>
    <s v="Colorado"/>
    <s v="Regular"/>
    <n v="50"/>
    <n v="90"/>
    <n v="80"/>
    <n v="140"/>
    <n v="90"/>
    <n v="572"/>
    <n v="115"/>
    <n v="29"/>
    <n v="110"/>
    <n v="218"/>
    <n v="1.5571428571428572"/>
    <n v="1.375"/>
    <n v="1.8"/>
  </r>
  <r>
    <n v="970"/>
    <x v="21"/>
    <s v="Central"/>
    <s v="Major Market"/>
    <s v="Caffe Mocha"/>
    <s v="Espresso"/>
    <s v="Colorado"/>
    <s v="Regular"/>
    <n v="100"/>
    <n v="180"/>
    <n v="170"/>
    <n v="280"/>
    <n v="76"/>
    <n v="580"/>
    <n v="111"/>
    <n v="21"/>
    <n v="117"/>
    <n v="199"/>
    <n v="0.71071428571428574"/>
    <n v="0.68823529411764706"/>
    <n v="0.76"/>
  </r>
  <r>
    <n v="970"/>
    <x v="21"/>
    <s v="Central"/>
    <s v="Major Market"/>
    <s v="Decaf Espresso"/>
    <s v="Espresso"/>
    <s v="Colorado"/>
    <s v="Decaf"/>
    <n v="100"/>
    <n v="160"/>
    <n v="130"/>
    <n v="260"/>
    <n v="72"/>
    <n v="650"/>
    <n v="110"/>
    <n v="23"/>
    <n v="83"/>
    <n v="194"/>
    <n v="0.74615384615384617"/>
    <n v="0.63846153846153841"/>
    <n v="0.72"/>
  </r>
  <r>
    <n v="719"/>
    <x v="21"/>
    <s v="Central"/>
    <s v="Major Market"/>
    <s v="Amaretto"/>
    <s v="Coffee"/>
    <s v="Colorado"/>
    <s v="Regular"/>
    <n v="120"/>
    <n v="180"/>
    <n v="160"/>
    <n v="300"/>
    <n v="123"/>
    <n v="915"/>
    <n v="179"/>
    <n v="34"/>
    <n v="197"/>
    <n v="322"/>
    <n v="1.0733333333333333"/>
    <n v="1.23125"/>
    <n v="1.0249999999999999"/>
  </r>
  <r>
    <n v="303"/>
    <x v="21"/>
    <s v="Central"/>
    <s v="Major Market"/>
    <s v="Columbian"/>
    <s v="Coffee"/>
    <s v="Colorado"/>
    <s v="Regular"/>
    <n v="30"/>
    <n v="50"/>
    <n v="50"/>
    <n v="80"/>
    <n v="39"/>
    <n v="541"/>
    <n v="51"/>
    <n v="12"/>
    <n v="40"/>
    <n v="96"/>
    <n v="1.2"/>
    <n v="0.8"/>
    <n v="1.3"/>
  </r>
  <r>
    <n v="719"/>
    <x v="21"/>
    <s v="Central"/>
    <s v="Major Market"/>
    <s v="Decaf Irish Cream"/>
    <s v="Coffee"/>
    <s v="Colorado"/>
    <s v="Decaf"/>
    <n v="100"/>
    <n v="160"/>
    <n v="150"/>
    <n v="260"/>
    <n v="108"/>
    <n v="971"/>
    <n v="157"/>
    <n v="30"/>
    <n v="172"/>
    <n v="282"/>
    <n v="1.0846153846153845"/>
    <n v="1.1466666666666667"/>
    <n v="1.08"/>
  </r>
  <r>
    <n v="708"/>
    <x v="21"/>
    <s v="Central"/>
    <s v="Major Market"/>
    <s v="Chamomile"/>
    <s v="Herbal Tea"/>
    <s v="Illinois"/>
    <s v="Decaf"/>
    <n v="90"/>
    <n v="150"/>
    <n v="140"/>
    <n v="240"/>
    <n v="123"/>
    <n v="915"/>
    <n v="179"/>
    <n v="34"/>
    <n v="197"/>
    <n v="322"/>
    <n v="1.3416666666666666"/>
    <n v="1.4071428571428573"/>
    <n v="1.3666666666666667"/>
  </r>
  <r>
    <n v="312"/>
    <x v="21"/>
    <s v="Central"/>
    <s v="Major Market"/>
    <s v="Lemon"/>
    <s v="Herbal Tea"/>
    <s v="Illinois"/>
    <s v="Decaf"/>
    <n v="20"/>
    <n v="40"/>
    <n v="40"/>
    <n v="60"/>
    <n v="39"/>
    <n v="541"/>
    <n v="51"/>
    <n v="12"/>
    <n v="40"/>
    <n v="96"/>
    <n v="1.6"/>
    <n v="1"/>
    <n v="1.95"/>
  </r>
  <r>
    <n v="815"/>
    <x v="21"/>
    <s v="Central"/>
    <s v="Major Market"/>
    <s v="Mint"/>
    <s v="Herbal Tea"/>
    <s v="Illinois"/>
    <s v="Decaf"/>
    <n v="80"/>
    <n v="130"/>
    <n v="120"/>
    <n v="210"/>
    <n v="108"/>
    <n v="971"/>
    <n v="157"/>
    <n v="30"/>
    <n v="172"/>
    <n v="282"/>
    <n v="1.3428571428571427"/>
    <n v="1.4333333333333333"/>
    <n v="1.35"/>
  </r>
  <r>
    <n v="815"/>
    <x v="21"/>
    <s v="Central"/>
    <s v="Major Market"/>
    <s v="Darjeeling"/>
    <s v="Tea"/>
    <s v="Illinois"/>
    <s v="Regular"/>
    <n v="50"/>
    <n v="80"/>
    <n v="80"/>
    <n v="130"/>
    <n v="76"/>
    <n v="580"/>
    <n v="111"/>
    <n v="21"/>
    <n v="116"/>
    <n v="199"/>
    <n v="1.5307692307692307"/>
    <n v="1.45"/>
    <n v="1.52"/>
  </r>
  <r>
    <n v="815"/>
    <x v="21"/>
    <s v="Central"/>
    <s v="Major Market"/>
    <s v="Earl Grey"/>
    <s v="Tea"/>
    <s v="Illinois"/>
    <s v="Regular"/>
    <n v="50"/>
    <n v="80"/>
    <n v="50"/>
    <n v="130"/>
    <n v="72"/>
    <n v="650"/>
    <n v="110"/>
    <n v="23"/>
    <n v="82"/>
    <n v="194"/>
    <n v="1.4923076923076923"/>
    <n v="1.64"/>
    <n v="1.44"/>
  </r>
  <r>
    <n v="312"/>
    <x v="21"/>
    <s v="Central"/>
    <s v="Major Market"/>
    <s v="Caffe Mocha"/>
    <s v="Espresso"/>
    <s v="Illinois"/>
    <s v="Regular"/>
    <n v="370"/>
    <n v="520"/>
    <n v="420"/>
    <n v="890"/>
    <n v="257"/>
    <n v="1662"/>
    <n v="341"/>
    <n v="84"/>
    <n v="332"/>
    <n v="637"/>
    <n v="0.71573033707865163"/>
    <n v="0.79047619047619044"/>
    <n v="0.69459459459459461"/>
  </r>
  <r>
    <n v="773"/>
    <x v="21"/>
    <s v="Central"/>
    <s v="Major Market"/>
    <s v="Decaf Espresso"/>
    <s v="Espresso"/>
    <s v="Illinois"/>
    <s v="Decaf"/>
    <n v="340"/>
    <n v="370"/>
    <n v="300"/>
    <n v="710"/>
    <n v="239"/>
    <n v="1755"/>
    <n v="239"/>
    <n v="66"/>
    <n v="221"/>
    <n v="509"/>
    <n v="0.71690140845070427"/>
    <n v="0.73666666666666669"/>
    <n v="0.70294117647058818"/>
  </r>
  <r>
    <n v="815"/>
    <x v="21"/>
    <s v="Central"/>
    <s v="Major Market"/>
    <s v="Columbian"/>
    <s v="Coffee"/>
    <s v="Illinois"/>
    <s v="Regular"/>
    <n v="150"/>
    <n v="220"/>
    <n v="160"/>
    <n v="370"/>
    <n v="154"/>
    <n v="1132"/>
    <n v="213"/>
    <n v="50"/>
    <n v="178"/>
    <n v="391"/>
    <n v="1.0567567567567568"/>
    <n v="1.1125"/>
    <n v="1.0266666666666666"/>
  </r>
  <r>
    <n v="815"/>
    <x v="21"/>
    <s v="Central"/>
    <s v="Major Market"/>
    <s v="Decaf Irish Cream"/>
    <s v="Coffee"/>
    <s v="Illinois"/>
    <s v="Decaf"/>
    <n v="110"/>
    <n v="190"/>
    <n v="160"/>
    <n v="300"/>
    <n v="122"/>
    <n v="789"/>
    <n v="176"/>
    <n v="39"/>
    <n v="171"/>
    <n v="318"/>
    <n v="1.06"/>
    <n v="1.0687500000000001"/>
    <n v="1.1090909090909091"/>
  </r>
  <r>
    <n v="319"/>
    <x v="21"/>
    <s v="Central"/>
    <s v="Small Market"/>
    <s v="Chamomile"/>
    <s v="Herbal Tea"/>
    <s v="Iowa"/>
    <s v="Decaf"/>
    <n v="200"/>
    <n v="280"/>
    <n v="210"/>
    <n v="480"/>
    <n v="257"/>
    <n v="1662"/>
    <n v="341"/>
    <n v="84"/>
    <n v="332"/>
    <n v="637"/>
    <n v="1.3270833333333334"/>
    <n v="1.5809523809523809"/>
    <n v="1.2849999999999999"/>
  </r>
  <r>
    <n v="515"/>
    <x v="21"/>
    <s v="Central"/>
    <s v="Small Market"/>
    <s v="Lemon"/>
    <s v="Herbal Tea"/>
    <s v="Iowa"/>
    <s v="Decaf"/>
    <n v="90"/>
    <n v="150"/>
    <n v="130"/>
    <n v="240"/>
    <n v="122"/>
    <n v="789"/>
    <n v="176"/>
    <n v="39"/>
    <n v="169"/>
    <n v="318"/>
    <n v="1.325"/>
    <n v="1.3"/>
    <n v="1.3555555555555556"/>
  </r>
  <r>
    <n v="515"/>
    <x v="21"/>
    <s v="Central"/>
    <s v="Small Market"/>
    <s v="Darjeeling"/>
    <s v="Tea"/>
    <s v="Iowa"/>
    <s v="Regular"/>
    <n v="170"/>
    <n v="170"/>
    <n v="110"/>
    <n v="340"/>
    <n v="239"/>
    <n v="1755"/>
    <n v="239"/>
    <n v="66"/>
    <n v="221"/>
    <n v="509"/>
    <n v="1.4970588235294118"/>
    <n v="2.0090909090909093"/>
    <n v="1.4058823529411764"/>
  </r>
  <r>
    <n v="515"/>
    <x v="21"/>
    <s v="Central"/>
    <s v="Small Market"/>
    <s v="Earl Grey"/>
    <s v="Tea"/>
    <s v="Iowa"/>
    <s v="Regular"/>
    <n v="170"/>
    <n v="230"/>
    <n v="130"/>
    <n v="400"/>
    <n v="255"/>
    <n v="1756"/>
    <n v="312"/>
    <n v="96"/>
    <n v="272"/>
    <n v="604"/>
    <n v="1.51"/>
    <n v="2.0923076923076924"/>
    <n v="1.5"/>
  </r>
  <r>
    <n v="641"/>
    <x v="21"/>
    <s v="Central"/>
    <s v="Small Market"/>
    <s v="Caffe Mocha"/>
    <s v="Espresso"/>
    <s v="Iowa"/>
    <s v="Regular"/>
    <n v="20"/>
    <n v="50"/>
    <n v="50"/>
    <n v="70"/>
    <n v="23"/>
    <n v="800"/>
    <n v="35"/>
    <n v="6"/>
    <n v="27"/>
    <n v="62"/>
    <n v="0.88571428571428568"/>
    <n v="0.54"/>
    <n v="1.1499999999999999"/>
  </r>
  <r>
    <n v="563"/>
    <x v="21"/>
    <s v="Central"/>
    <s v="Small Market"/>
    <s v="Decaf Espresso"/>
    <s v="Espresso"/>
    <s v="Iowa"/>
    <s v="Decaf"/>
    <n v="0"/>
    <n v="60"/>
    <n v="60"/>
    <n v="60"/>
    <n v="0"/>
    <n v="430"/>
    <n v="43"/>
    <n v="0"/>
    <n v="46"/>
    <n v="46"/>
    <n v="0.76666666666666672"/>
    <n v="0.76666666666666672"/>
    <m/>
  </r>
  <r>
    <n v="515"/>
    <x v="21"/>
    <s v="Central"/>
    <s v="Small Market"/>
    <s v="Amaretto"/>
    <s v="Coffee"/>
    <s v="Iowa"/>
    <s v="Regular"/>
    <n v="10"/>
    <n v="30"/>
    <n v="30"/>
    <n v="40"/>
    <n v="21"/>
    <n v="846"/>
    <n v="31"/>
    <n v="5"/>
    <n v="22"/>
    <n v="55"/>
    <n v="1.375"/>
    <n v="0.73333333333333328"/>
    <n v="2.1"/>
  </r>
  <r>
    <n v="515"/>
    <x v="21"/>
    <s v="Central"/>
    <s v="Small Market"/>
    <s v="Columbian"/>
    <s v="Coffee"/>
    <s v="Iowa"/>
    <s v="Regular"/>
    <n v="20"/>
    <n v="40"/>
    <n v="30"/>
    <n v="60"/>
    <n v="31"/>
    <n v="1000"/>
    <n v="37"/>
    <n v="9"/>
    <n v="10"/>
    <n v="72"/>
    <n v="1.2"/>
    <n v="0.33333333333333331"/>
    <n v="1.55"/>
  </r>
  <r>
    <n v="641"/>
    <x v="21"/>
    <s v="Central"/>
    <s v="Small Market"/>
    <s v="Decaf Irish Cream"/>
    <s v="Coffee"/>
    <s v="Iowa"/>
    <s v="Decaf"/>
    <n v="0"/>
    <n v="10"/>
    <n v="10"/>
    <n v="10"/>
    <n v="10"/>
    <n v="598"/>
    <n v="13"/>
    <n v="3"/>
    <n v="-3"/>
    <n v="25"/>
    <n v="2.5"/>
    <n v="-0.3"/>
    <m/>
  </r>
  <r>
    <n v="573"/>
    <x v="21"/>
    <s v="Central"/>
    <s v="Small Market"/>
    <s v="Chamomile"/>
    <s v="Herbal Tea"/>
    <s v="Missouri"/>
    <s v="Decaf"/>
    <n v="20"/>
    <n v="60"/>
    <n v="30"/>
    <n v="80"/>
    <n v="45"/>
    <n v="320"/>
    <n v="64"/>
    <n v="41"/>
    <n v="-9"/>
    <n v="116"/>
    <n v="1.45"/>
    <n v="-0.3"/>
    <n v="2.25"/>
  </r>
  <r>
    <n v="417"/>
    <x v="21"/>
    <s v="Central"/>
    <s v="Small Market"/>
    <s v="Lemon"/>
    <s v="Herbal Tea"/>
    <s v="Missouri"/>
    <s v="Decaf"/>
    <n v="60"/>
    <n v="20"/>
    <n v="10"/>
    <n v="80"/>
    <n v="86"/>
    <n v="1698"/>
    <n v="23"/>
    <n v="26"/>
    <n v="-39"/>
    <n v="116"/>
    <n v="1.45"/>
    <n v="-3.9"/>
    <n v="1.4333333333333333"/>
  </r>
  <r>
    <n v="314"/>
    <x v="21"/>
    <s v="Central"/>
    <s v="Small Market"/>
    <s v="Darjeeling"/>
    <s v="Tea"/>
    <s v="Missouri"/>
    <s v="Regular"/>
    <n v="20"/>
    <n v="40"/>
    <n v="30"/>
    <n v="60"/>
    <n v="39"/>
    <n v="244"/>
    <n v="53"/>
    <n v="12"/>
    <n v="19"/>
    <n v="98"/>
    <n v="1.6333333333333333"/>
    <n v="0.6333333333333333"/>
    <n v="1.95"/>
  </r>
  <r>
    <n v="573"/>
    <x v="21"/>
    <s v="Central"/>
    <s v="Small Market"/>
    <s v="Earl Grey"/>
    <s v="Tea"/>
    <s v="Missouri"/>
    <s v="Regular"/>
    <n v="10"/>
    <n v="20"/>
    <n v="0"/>
    <n v="30"/>
    <n v="25"/>
    <n v="209"/>
    <n v="31"/>
    <n v="9"/>
    <n v="-16"/>
    <n v="60"/>
    <n v="2"/>
    <m/>
    <n v="2.5"/>
  </r>
  <r>
    <n v="314"/>
    <x v="21"/>
    <s v="Central"/>
    <s v="Small Market"/>
    <s v="Green Tea"/>
    <s v="Tea"/>
    <s v="Missouri"/>
    <s v="Regular"/>
    <n v="10"/>
    <n v="30"/>
    <n v="10"/>
    <n v="40"/>
    <n v="34"/>
    <n v="240"/>
    <n v="43"/>
    <n v="12"/>
    <n v="-4"/>
    <n v="82"/>
    <n v="2.0499999999999998"/>
    <n v="-0.4"/>
    <n v="3.4"/>
  </r>
  <r>
    <n v="573"/>
    <x v="21"/>
    <s v="Central"/>
    <s v="Small Market"/>
    <s v="Caffe Mocha"/>
    <s v="Espresso"/>
    <s v="Missouri"/>
    <s v="Regular"/>
    <n v="50"/>
    <n v="90"/>
    <n v="90"/>
    <n v="140"/>
    <n v="40"/>
    <n v="881"/>
    <n v="59"/>
    <n v="11"/>
    <n v="53"/>
    <n v="106"/>
    <n v="0.75714285714285712"/>
    <n v="0.58888888888888891"/>
    <n v="0.8"/>
  </r>
  <r>
    <n v="417"/>
    <x v="21"/>
    <s v="Central"/>
    <s v="Small Market"/>
    <s v="Decaf Espresso"/>
    <s v="Espresso"/>
    <s v="Missouri"/>
    <s v="Decaf"/>
    <n v="30"/>
    <n v="80"/>
    <n v="80"/>
    <n v="110"/>
    <n v="32"/>
    <n v="833"/>
    <n v="47"/>
    <n v="8"/>
    <n v="42"/>
    <n v="84"/>
    <n v="0.76363636363636367"/>
    <n v="0.52500000000000002"/>
    <n v="1.0666666666666667"/>
  </r>
  <r>
    <n v="573"/>
    <x v="21"/>
    <s v="Central"/>
    <s v="Small Market"/>
    <s v="Columbian"/>
    <s v="Coffee"/>
    <s v="Missouri"/>
    <s v="Regular"/>
    <n v="70"/>
    <n v="100"/>
    <n v="70"/>
    <n v="170"/>
    <n v="79"/>
    <n v="593"/>
    <n v="98"/>
    <n v="30"/>
    <n v="52"/>
    <n v="189"/>
    <n v="1.111764705882353"/>
    <n v="0.74285714285714288"/>
    <n v="1.1285714285714286"/>
  </r>
  <r>
    <n v="636"/>
    <x v="21"/>
    <s v="Central"/>
    <s v="Small Market"/>
    <s v="Decaf Irish Cream"/>
    <s v="Coffee"/>
    <s v="Missouri"/>
    <s v="Decaf"/>
    <n v="50"/>
    <n v="80"/>
    <n v="70"/>
    <n v="130"/>
    <n v="65"/>
    <n v="1053"/>
    <n v="77"/>
    <n v="20"/>
    <n v="52"/>
    <n v="151"/>
    <n v="1.1615384615384616"/>
    <n v="0.74285714285714288"/>
    <n v="1.3"/>
  </r>
  <r>
    <n v="937"/>
    <x v="21"/>
    <s v="Central"/>
    <s v="Major Market"/>
    <s v="Chamomile"/>
    <s v="Herbal Tea"/>
    <s v="Ohio"/>
    <s v="Decaf"/>
    <n v="0"/>
    <n v="30"/>
    <n v="30"/>
    <n v="30"/>
    <n v="21"/>
    <n v="480"/>
    <n v="32"/>
    <n v="5"/>
    <n v="24"/>
    <n v="56"/>
    <n v="1.8666666666666667"/>
    <n v="0.8"/>
    <m/>
  </r>
  <r>
    <n v="937"/>
    <x v="21"/>
    <s v="Central"/>
    <s v="Major Market"/>
    <s v="Lemon"/>
    <s v="Herbal Tea"/>
    <s v="Ohio"/>
    <s v="Decaf"/>
    <n v="10"/>
    <n v="30"/>
    <n v="30"/>
    <n v="40"/>
    <n v="27"/>
    <n v="859"/>
    <n v="39"/>
    <n v="7"/>
    <n v="30"/>
    <n v="70"/>
    <n v="1.75"/>
    <n v="1"/>
    <n v="2.7"/>
  </r>
  <r>
    <n v="419"/>
    <x v="21"/>
    <s v="Central"/>
    <s v="Major Market"/>
    <s v="Darjeeling"/>
    <s v="Tea"/>
    <s v="Ohio"/>
    <s v="Regular"/>
    <n v="50"/>
    <n v="90"/>
    <n v="60"/>
    <n v="140"/>
    <n v="82"/>
    <n v="788"/>
    <n v="123"/>
    <n v="27"/>
    <n v="96"/>
    <n v="218"/>
    <n v="1.5571428571428572"/>
    <n v="1.6"/>
    <n v="1.64"/>
  </r>
  <r>
    <n v="419"/>
    <x v="21"/>
    <s v="Central"/>
    <s v="Major Market"/>
    <s v="Earl Grey"/>
    <s v="Tea"/>
    <s v="Ohio"/>
    <s v="Regular"/>
    <n v="50"/>
    <n v="100"/>
    <n v="80"/>
    <n v="150"/>
    <n v="91"/>
    <n v="656"/>
    <n v="127"/>
    <n v="28"/>
    <n v="113"/>
    <n v="232"/>
    <n v="1.5466666666666666"/>
    <n v="1.4125000000000001"/>
    <n v="1.82"/>
  </r>
  <r>
    <n v="513"/>
    <x v="21"/>
    <s v="Central"/>
    <s v="Major Market"/>
    <s v="Caffe Mocha"/>
    <s v="Espresso"/>
    <s v="Ohio"/>
    <s v="Regular"/>
    <n v="230"/>
    <n v="240"/>
    <n v="190"/>
    <n v="470"/>
    <n v="161"/>
    <n v="1267"/>
    <n v="161"/>
    <n v="45"/>
    <n v="137"/>
    <n v="343"/>
    <n v="0.72978723404255319"/>
    <n v="0.72105263157894739"/>
    <n v="0.7"/>
  </r>
  <r>
    <n v="419"/>
    <x v="21"/>
    <s v="Central"/>
    <s v="Major Market"/>
    <s v="Decaf Espresso"/>
    <s v="Espresso"/>
    <s v="Ohio"/>
    <s v="Decaf"/>
    <n v="70"/>
    <n v="100"/>
    <n v="70"/>
    <n v="170"/>
    <n v="54"/>
    <n v="404"/>
    <n v="66"/>
    <n v="20"/>
    <n v="18"/>
    <n v="128"/>
    <n v="0.75294117647058822"/>
    <n v="0.25714285714285712"/>
    <n v="0.77142857142857146"/>
  </r>
  <r>
    <n v="614"/>
    <x v="21"/>
    <s v="Central"/>
    <s v="Major Market"/>
    <s v="Amaretto"/>
    <s v="Coffee"/>
    <s v="Ohio"/>
    <s v="Regular"/>
    <n v="40"/>
    <n v="70"/>
    <n v="60"/>
    <n v="110"/>
    <n v="52"/>
    <n v="405"/>
    <n v="71"/>
    <n v="17"/>
    <n v="39"/>
    <n v="131"/>
    <n v="1.1909090909090909"/>
    <n v="0.65"/>
    <n v="1.3"/>
  </r>
  <r>
    <n v="937"/>
    <x v="21"/>
    <s v="Central"/>
    <s v="Major Market"/>
    <s v="Columbian"/>
    <s v="Coffee"/>
    <s v="Ohio"/>
    <s v="Regular"/>
    <n v="30"/>
    <n v="70"/>
    <n v="60"/>
    <n v="100"/>
    <n v="43"/>
    <n v="419"/>
    <n v="64"/>
    <n v="13"/>
    <n v="42"/>
    <n v="114"/>
    <n v="1.1399999999999999"/>
    <n v="0.7"/>
    <n v="1.4333333333333333"/>
  </r>
  <r>
    <n v="234"/>
    <x v="21"/>
    <s v="Central"/>
    <s v="Major Market"/>
    <s v="Decaf Irish Cream"/>
    <s v="Coffee"/>
    <s v="Ohio"/>
    <s v="Decaf"/>
    <n v="40"/>
    <n v="70"/>
    <n v="30"/>
    <n v="110"/>
    <n v="51"/>
    <n v="503"/>
    <n v="71"/>
    <n v="46"/>
    <n v="-7"/>
    <n v="130"/>
    <n v="1.1818181818181819"/>
    <n v="-0.23333333333333334"/>
    <n v="1.2749999999999999"/>
  </r>
  <r>
    <n v="715"/>
    <x v="21"/>
    <s v="Central"/>
    <s v="Small Market"/>
    <s v="Chamomile"/>
    <s v="Herbal Tea"/>
    <s v="Wisconsin"/>
    <s v="Decaf"/>
    <n v="40"/>
    <n v="80"/>
    <n v="80"/>
    <n v="120"/>
    <n v="60"/>
    <n v="329"/>
    <n v="99"/>
    <n v="18"/>
    <n v="85"/>
    <n v="169"/>
    <n v="1.4083333333333334"/>
    <n v="1.0625"/>
    <n v="1.5"/>
  </r>
  <r>
    <n v="262"/>
    <x v="21"/>
    <s v="Central"/>
    <s v="Small Market"/>
    <s v="Lemon"/>
    <s v="Herbal Tea"/>
    <s v="Wisconsin"/>
    <s v="Decaf"/>
    <n v="30"/>
    <n v="60"/>
    <n v="60"/>
    <n v="90"/>
    <n v="48"/>
    <n v="851"/>
    <n v="70"/>
    <n v="13"/>
    <n v="67"/>
    <n v="126"/>
    <n v="1.4"/>
    <n v="1.1166666666666667"/>
    <n v="1.6"/>
  </r>
  <r>
    <n v="262"/>
    <x v="21"/>
    <s v="Central"/>
    <s v="Small Market"/>
    <s v="Darjeeling"/>
    <s v="Tea"/>
    <s v="Wisconsin"/>
    <s v="Regular"/>
    <n v="20"/>
    <n v="50"/>
    <n v="40"/>
    <n v="70"/>
    <n v="46"/>
    <n v="449"/>
    <n v="67"/>
    <n v="14"/>
    <n v="45"/>
    <n v="120"/>
    <n v="1.7142857142857142"/>
    <n v="1.125"/>
    <n v="2.2999999999999998"/>
  </r>
  <r>
    <n v="262"/>
    <x v="21"/>
    <s v="Central"/>
    <s v="Small Market"/>
    <s v="Earl Grey"/>
    <s v="Tea"/>
    <s v="Wisconsin"/>
    <s v="Regular"/>
    <n v="40"/>
    <n v="50"/>
    <n v="0"/>
    <n v="90"/>
    <n v="60"/>
    <n v="606"/>
    <n v="84"/>
    <n v="54"/>
    <n v="0"/>
    <n v="153"/>
    <n v="1.7"/>
    <m/>
    <n v="1.5"/>
  </r>
  <r>
    <n v="262"/>
    <x v="21"/>
    <s v="Central"/>
    <s v="Small Market"/>
    <s v="Caffe Mocha"/>
    <s v="Espresso"/>
    <s v="Wisconsin"/>
    <s v="Regular"/>
    <n v="110"/>
    <n v="140"/>
    <n v="120"/>
    <n v="250"/>
    <n v="80"/>
    <n v="1055"/>
    <n v="94"/>
    <n v="24"/>
    <n v="71"/>
    <n v="185"/>
    <n v="0.74"/>
    <n v="0.59166666666666667"/>
    <n v="0.72727272727272729"/>
  </r>
  <r>
    <n v="262"/>
    <x v="21"/>
    <s v="Central"/>
    <s v="Small Market"/>
    <s v="Decaf Espresso"/>
    <s v="Espresso"/>
    <s v="Wisconsin"/>
    <s v="Decaf"/>
    <n v="20"/>
    <n v="50"/>
    <n v="50"/>
    <n v="70"/>
    <n v="22"/>
    <n v="573"/>
    <n v="29"/>
    <n v="7"/>
    <n v="15"/>
    <n v="54"/>
    <n v="0.77142857142857146"/>
    <n v="0.3"/>
    <n v="1.1000000000000001"/>
  </r>
  <r>
    <n v="414"/>
    <x v="21"/>
    <s v="Central"/>
    <s v="Small Market"/>
    <s v="Amaretto"/>
    <s v="Coffee"/>
    <s v="Wisconsin"/>
    <s v="Regular"/>
    <n v="40"/>
    <n v="80"/>
    <n v="50"/>
    <n v="120"/>
    <n v="56"/>
    <n v="385"/>
    <n v="70"/>
    <n v="21"/>
    <n v="22"/>
    <n v="134"/>
    <n v="1.1166666666666667"/>
    <n v="0.44"/>
    <n v="1.4"/>
  </r>
  <r>
    <n v="414"/>
    <x v="21"/>
    <s v="Central"/>
    <s v="Small Market"/>
    <s v="Columbian"/>
    <s v="Coffee"/>
    <s v="Wisconsin"/>
    <s v="Regular"/>
    <n v="90"/>
    <n v="140"/>
    <n v="60"/>
    <n v="230"/>
    <n v="96"/>
    <n v="683"/>
    <n v="134"/>
    <n v="87"/>
    <n v="27"/>
    <n v="245"/>
    <n v="1.0652173913043479"/>
    <n v="0.45"/>
    <n v="1.0666666666666667"/>
  </r>
  <r>
    <n v="920"/>
    <x v="21"/>
    <s v="Central"/>
    <s v="Small Market"/>
    <s v="Decaf Irish Cream"/>
    <s v="Coffee"/>
    <s v="Wisconsin"/>
    <s v="Decaf"/>
    <n v="80"/>
    <n v="120"/>
    <n v="100"/>
    <n v="200"/>
    <n v="86"/>
    <n v="547"/>
    <n v="116"/>
    <n v="28"/>
    <n v="91"/>
    <n v="215"/>
    <n v="1.075"/>
    <n v="0.91"/>
    <n v="1.075"/>
  </r>
  <r>
    <n v="203"/>
    <x v="21"/>
    <s v="East"/>
    <s v="Small Market"/>
    <s v="Lemon"/>
    <s v="Herbal Tea"/>
    <s v="Connecticut"/>
    <s v="Decaf"/>
    <n v="40"/>
    <n v="50"/>
    <n v="30"/>
    <n v="90"/>
    <n v="79"/>
    <n v="593"/>
    <n v="98"/>
    <n v="30"/>
    <n v="50"/>
    <n v="189"/>
    <n v="2.1"/>
    <n v="1.6666666666666667"/>
    <n v="1.9750000000000001"/>
  </r>
  <r>
    <n v="203"/>
    <x v="21"/>
    <s v="East"/>
    <s v="Small Market"/>
    <s v="Mint"/>
    <s v="Herbal Tea"/>
    <s v="Connecticut"/>
    <s v="Decaf"/>
    <n v="30"/>
    <n v="50"/>
    <n v="50"/>
    <n v="80"/>
    <n v="65"/>
    <n v="1053"/>
    <n v="77"/>
    <n v="20"/>
    <n v="52"/>
    <n v="151"/>
    <n v="1.8875"/>
    <n v="1.04"/>
    <n v="2.1666666666666665"/>
  </r>
  <r>
    <n v="475"/>
    <x v="21"/>
    <s v="East"/>
    <s v="Small Market"/>
    <s v="Darjeeling"/>
    <s v="Tea"/>
    <s v="Connecticut"/>
    <s v="Regular"/>
    <n v="40"/>
    <n v="60"/>
    <n v="50"/>
    <n v="100"/>
    <n v="40"/>
    <n v="881"/>
    <n v="59"/>
    <n v="11"/>
    <n v="53"/>
    <n v="106"/>
    <n v="1.06"/>
    <n v="1.06"/>
    <n v="1"/>
  </r>
  <r>
    <n v="203"/>
    <x v="21"/>
    <s v="East"/>
    <s v="Small Market"/>
    <s v="Green Tea"/>
    <s v="Tea"/>
    <s v="Connecticut"/>
    <s v="Regular"/>
    <n v="20"/>
    <n v="40"/>
    <n v="40"/>
    <n v="60"/>
    <n v="24"/>
    <n v="806"/>
    <n v="36"/>
    <n v="6"/>
    <n v="27"/>
    <n v="64"/>
    <n v="1.0666666666666667"/>
    <n v="0.67500000000000004"/>
    <n v="1.2"/>
  </r>
  <r>
    <n v="959"/>
    <x v="21"/>
    <s v="East"/>
    <s v="Small Market"/>
    <s v="Caffe Mocha"/>
    <s v="Espresso"/>
    <s v="Connecticut"/>
    <s v="Regular"/>
    <n v="40"/>
    <n v="90"/>
    <n v="40"/>
    <n v="130"/>
    <n v="60"/>
    <n v="606"/>
    <n v="84"/>
    <n v="54"/>
    <n v="1"/>
    <n v="153"/>
    <n v="1.176923076923077"/>
    <n v="2.5000000000000001E-2"/>
    <n v="1.5"/>
  </r>
  <r>
    <n v="203"/>
    <x v="21"/>
    <s v="East"/>
    <s v="Small Market"/>
    <s v="Decaf Espresso"/>
    <s v="Espresso"/>
    <s v="Connecticut"/>
    <s v="Decaf"/>
    <n v="30"/>
    <n v="60"/>
    <n v="50"/>
    <n v="90"/>
    <n v="47"/>
    <n v="375"/>
    <n v="64"/>
    <n v="15"/>
    <n v="31"/>
    <n v="118"/>
    <n v="1.3111111111111111"/>
    <n v="0.62"/>
    <n v="1.5666666666666667"/>
  </r>
  <r>
    <n v="203"/>
    <x v="21"/>
    <s v="East"/>
    <s v="Small Market"/>
    <s v="Columbian"/>
    <s v="Coffee"/>
    <s v="Connecticut"/>
    <s v="Regular"/>
    <n v="100"/>
    <n v="160"/>
    <n v="130"/>
    <n v="260"/>
    <n v="125"/>
    <n v="1119"/>
    <n v="188"/>
    <n v="41"/>
    <n v="171"/>
    <n v="334"/>
    <n v="1.2846153846153847"/>
    <n v="1.3153846153846154"/>
    <n v="1.25"/>
  </r>
  <r>
    <n v="904"/>
    <x v="21"/>
    <s v="East"/>
    <s v="Major Market"/>
    <s v="Chamomile"/>
    <s v="Herbal Tea"/>
    <s v="Florida"/>
    <s v="Decaf"/>
    <n v="0"/>
    <n v="20"/>
    <n v="20"/>
    <n v="20"/>
    <n v="22"/>
    <n v="573"/>
    <n v="29"/>
    <n v="7"/>
    <n v="15"/>
    <n v="54"/>
    <n v="2.7"/>
    <n v="0.75"/>
    <m/>
  </r>
  <r>
    <n v="786"/>
    <x v="21"/>
    <s v="East"/>
    <s v="Major Market"/>
    <s v="Lemon"/>
    <s v="Herbal Tea"/>
    <s v="Florida"/>
    <s v="Decaf"/>
    <n v="30"/>
    <n v="30"/>
    <n v="20"/>
    <n v="60"/>
    <n v="56"/>
    <n v="385"/>
    <n v="70"/>
    <n v="21"/>
    <n v="24"/>
    <n v="134"/>
    <n v="2.2333333333333334"/>
    <n v="1.2"/>
    <n v="1.8666666666666667"/>
  </r>
  <r>
    <n v="904"/>
    <x v="21"/>
    <s v="East"/>
    <s v="Major Market"/>
    <s v="Mint"/>
    <s v="Herbal Tea"/>
    <s v="Florida"/>
    <s v="Decaf"/>
    <n v="40"/>
    <n v="50"/>
    <n v="40"/>
    <n v="90"/>
    <n v="80"/>
    <n v="1055"/>
    <n v="94"/>
    <n v="24"/>
    <n v="71"/>
    <n v="185"/>
    <n v="2.0555555555555554"/>
    <n v="1.7749999999999999"/>
    <n v="2"/>
  </r>
  <r>
    <n v="561"/>
    <x v="21"/>
    <s v="East"/>
    <s v="Major Market"/>
    <s v="Darjeeling"/>
    <s v="Tea"/>
    <s v="Florida"/>
    <s v="Regular"/>
    <n v="40"/>
    <n v="60"/>
    <n v="50"/>
    <n v="100"/>
    <n v="38"/>
    <n v="871"/>
    <n v="56"/>
    <n v="10"/>
    <n v="52"/>
    <n v="100"/>
    <n v="1"/>
    <n v="1.04"/>
    <n v="0.95"/>
  </r>
  <r>
    <n v="772"/>
    <x v="21"/>
    <s v="East"/>
    <s v="Major Market"/>
    <s v="Green Tea"/>
    <s v="Tea"/>
    <s v="Florida"/>
    <s v="Regular"/>
    <n v="50"/>
    <n v="70"/>
    <n v="60"/>
    <n v="120"/>
    <n v="48"/>
    <n v="851"/>
    <n v="70"/>
    <n v="13"/>
    <n v="68"/>
    <n v="126"/>
    <n v="1.05"/>
    <n v="1.1333333333333333"/>
    <n v="0.96"/>
  </r>
  <r>
    <n v="727"/>
    <x v="21"/>
    <s v="East"/>
    <s v="Major Market"/>
    <s v="Caffe Mocha"/>
    <s v="Espresso"/>
    <s v="Florida"/>
    <s v="Regular"/>
    <n v="80"/>
    <n v="130"/>
    <n v="50"/>
    <n v="210"/>
    <n v="96"/>
    <n v="683"/>
    <n v="134"/>
    <n v="87"/>
    <n v="27"/>
    <n v="245"/>
    <n v="1.1666666666666667"/>
    <n v="0.54"/>
    <n v="1.2"/>
  </r>
  <r>
    <n v="321"/>
    <x v="21"/>
    <s v="East"/>
    <s v="Major Market"/>
    <s v="Decaf Espresso"/>
    <s v="Espresso"/>
    <s v="Florida"/>
    <s v="Decaf"/>
    <n v="70"/>
    <n v="110"/>
    <n v="90"/>
    <n v="180"/>
    <n v="86"/>
    <n v="547"/>
    <n v="116"/>
    <n v="28"/>
    <n v="89"/>
    <n v="215"/>
    <n v="1.1944444444444444"/>
    <n v="0.98888888888888893"/>
    <n v="1.2285714285714286"/>
  </r>
  <r>
    <n v="954"/>
    <x v="21"/>
    <s v="East"/>
    <s v="Major Market"/>
    <s v="Columbian"/>
    <s v="Coffee"/>
    <s v="Florida"/>
    <s v="Regular"/>
    <n v="60"/>
    <n v="110"/>
    <n v="90"/>
    <n v="170"/>
    <n v="82"/>
    <n v="788"/>
    <n v="123"/>
    <n v="27"/>
    <n v="95"/>
    <n v="218"/>
    <n v="1.2823529411764707"/>
    <n v="1.0555555555555556"/>
    <n v="1.3666666666666667"/>
  </r>
  <r>
    <n v="772"/>
    <x v="21"/>
    <s v="East"/>
    <s v="Major Market"/>
    <s v="Decaf Irish Cream"/>
    <s v="Coffee"/>
    <s v="Florida"/>
    <s v="Decaf"/>
    <n v="70"/>
    <n v="110"/>
    <n v="90"/>
    <n v="180"/>
    <n v="91"/>
    <n v="656"/>
    <n v="127"/>
    <n v="28"/>
    <n v="113"/>
    <n v="232"/>
    <n v="1.288888888888889"/>
    <n v="1.2555555555555555"/>
    <n v="1.3"/>
  </r>
  <r>
    <n v="339"/>
    <x v="21"/>
    <s v="East"/>
    <s v="Major Market"/>
    <s v="Lemon"/>
    <s v="Herbal Tea"/>
    <s v="Massachusetts"/>
    <s v="Decaf"/>
    <n v="30"/>
    <n v="30"/>
    <n v="20"/>
    <n v="60"/>
    <n v="54"/>
    <n v="404"/>
    <n v="66"/>
    <n v="20"/>
    <n v="19"/>
    <n v="128"/>
    <n v="2.1333333333333333"/>
    <n v="0.95"/>
    <n v="1.8"/>
  </r>
  <r>
    <n v="978"/>
    <x v="21"/>
    <s v="East"/>
    <s v="Major Market"/>
    <s v="Darjeeling"/>
    <s v="Tea"/>
    <s v="Massachusetts"/>
    <s v="Regular"/>
    <n v="20"/>
    <n v="50"/>
    <n v="50"/>
    <n v="70"/>
    <n v="27"/>
    <n v="859"/>
    <n v="39"/>
    <n v="7"/>
    <n v="30"/>
    <n v="70"/>
    <n v="1"/>
    <n v="0.6"/>
    <n v="1.35"/>
  </r>
  <r>
    <n v="781"/>
    <x v="21"/>
    <s v="East"/>
    <s v="Major Market"/>
    <s v="Green Tea"/>
    <s v="Tea"/>
    <s v="Massachusetts"/>
    <s v="Regular"/>
    <n v="20"/>
    <n v="30"/>
    <n v="30"/>
    <n v="50"/>
    <n v="21"/>
    <n v="480"/>
    <n v="32"/>
    <n v="5"/>
    <n v="22"/>
    <n v="56"/>
    <n v="1.1200000000000001"/>
    <n v="0.73333333333333328"/>
    <n v="1.05"/>
  </r>
  <r>
    <n v="774"/>
    <x v="21"/>
    <s v="East"/>
    <s v="Major Market"/>
    <s v="Caffe Mocha"/>
    <s v="Espresso"/>
    <s v="Massachusetts"/>
    <s v="Regular"/>
    <n v="30"/>
    <n v="70"/>
    <n v="30"/>
    <n v="100"/>
    <n v="51"/>
    <n v="542"/>
    <n v="65"/>
    <n v="46"/>
    <n v="-16"/>
    <n v="124"/>
    <n v="1.24"/>
    <n v="-0.53333333333333333"/>
    <n v="1.7"/>
  </r>
  <r>
    <n v="508"/>
    <x v="21"/>
    <s v="East"/>
    <s v="Major Market"/>
    <s v="Regular Espresso"/>
    <s v="Espresso"/>
    <s v="Massachusetts"/>
    <s v="Regular"/>
    <n v="140"/>
    <n v="160"/>
    <n v="120"/>
    <n v="300"/>
    <n v="161"/>
    <n v="1267"/>
    <n v="161"/>
    <n v="45"/>
    <n v="137"/>
    <n v="343"/>
    <n v="1.1433333333333333"/>
    <n v="1.1416666666666666"/>
    <n v="1.1499999999999999"/>
  </r>
  <r>
    <n v="857"/>
    <x v="21"/>
    <s v="East"/>
    <s v="Major Market"/>
    <s v="Columbian"/>
    <s v="Coffee"/>
    <s v="Massachusetts"/>
    <s v="Regular"/>
    <n v="50"/>
    <n v="350"/>
    <n v="330"/>
    <n v="400"/>
    <n v="72"/>
    <n v="-3004"/>
    <n v="402"/>
    <n v="23"/>
    <n v="516"/>
    <n v="505"/>
    <n v="1.2625"/>
    <n v="1.5636363636363637"/>
    <n v="1.44"/>
  </r>
  <r>
    <n v="603"/>
    <x v="21"/>
    <s v="East"/>
    <s v="Small Market"/>
    <s v="Lemon"/>
    <s v="Herbal Tea"/>
    <s v="New Hampshire"/>
    <s v="Decaf"/>
    <n v="10"/>
    <n v="30"/>
    <n v="20"/>
    <n v="40"/>
    <n v="34"/>
    <n v="240"/>
    <n v="43"/>
    <n v="12"/>
    <n v="-4"/>
    <n v="82"/>
    <n v="2.0499999999999998"/>
    <n v="-0.2"/>
    <n v="3.4"/>
  </r>
  <r>
    <n v="603"/>
    <x v="21"/>
    <s v="East"/>
    <s v="Small Market"/>
    <s v="Darjeeling"/>
    <s v="Tea"/>
    <s v="New Hampshire"/>
    <s v="Regular"/>
    <n v="20"/>
    <n v="30"/>
    <n v="30"/>
    <n v="50"/>
    <n v="21"/>
    <n v="846"/>
    <n v="31"/>
    <n v="5"/>
    <n v="21"/>
    <n v="55"/>
    <n v="1.1000000000000001"/>
    <n v="0.7"/>
    <n v="1.05"/>
  </r>
  <r>
    <n v="603"/>
    <x v="21"/>
    <s v="East"/>
    <s v="Small Market"/>
    <s v="Green Tea"/>
    <s v="Tea"/>
    <s v="New Hampshire"/>
    <s v="Regular"/>
    <n v="0"/>
    <n v="40"/>
    <n v="40"/>
    <n v="40"/>
    <n v="0"/>
    <n v="430"/>
    <n v="43"/>
    <n v="0"/>
    <n v="47"/>
    <n v="46"/>
    <n v="1.1499999999999999"/>
    <n v="1.175"/>
    <m/>
  </r>
  <r>
    <n v="603"/>
    <x v="21"/>
    <s v="East"/>
    <s v="Small Market"/>
    <s v="Caffe Mocha"/>
    <s v="Espresso"/>
    <s v="New Hampshire"/>
    <s v="Regular"/>
    <n v="30"/>
    <n v="60"/>
    <n v="30"/>
    <n v="90"/>
    <n v="45"/>
    <n v="320"/>
    <n v="64"/>
    <n v="41"/>
    <n v="-10"/>
    <n v="116"/>
    <n v="1.288888888888889"/>
    <n v="-0.33333333333333331"/>
    <n v="1.5"/>
  </r>
  <r>
    <n v="603"/>
    <x v="21"/>
    <s v="East"/>
    <s v="Small Market"/>
    <s v="Regular Espresso"/>
    <s v="Espresso"/>
    <s v="New Hampshire"/>
    <s v="Regular"/>
    <n v="10"/>
    <n v="30"/>
    <n v="10"/>
    <n v="40"/>
    <n v="25"/>
    <n v="209"/>
    <n v="31"/>
    <n v="9"/>
    <n v="-18"/>
    <n v="60"/>
    <n v="1.5"/>
    <n v="-1.8"/>
    <n v="2.5"/>
  </r>
  <r>
    <n v="603"/>
    <x v="21"/>
    <s v="East"/>
    <s v="Small Market"/>
    <s v="Amaretto"/>
    <s v="Coffee"/>
    <s v="New Hampshire"/>
    <s v="Regular"/>
    <n v="30"/>
    <n v="60"/>
    <n v="60"/>
    <n v="90"/>
    <n v="49"/>
    <n v="310"/>
    <n v="71"/>
    <n v="15"/>
    <n v="49"/>
    <n v="128"/>
    <n v="1.4222222222222223"/>
    <n v="0.81666666666666665"/>
    <n v="1.6333333333333333"/>
  </r>
  <r>
    <n v="603"/>
    <x v="21"/>
    <s v="East"/>
    <s v="Small Market"/>
    <s v="Columbian"/>
    <s v="Coffee"/>
    <s v="New Hampshire"/>
    <s v="Regular"/>
    <n v="30"/>
    <n v="60"/>
    <n v="50"/>
    <n v="90"/>
    <n v="45"/>
    <n v="447"/>
    <n v="69"/>
    <n v="14"/>
    <n v="36"/>
    <n v="121"/>
    <n v="1.3444444444444446"/>
    <n v="0.72"/>
    <n v="1.5"/>
  </r>
  <r>
    <n v="585"/>
    <x v="21"/>
    <s v="East"/>
    <s v="Major Market"/>
    <s v="Lemon"/>
    <s v="Herbal Tea"/>
    <s v="New York"/>
    <s v="Decaf"/>
    <n v="140"/>
    <n v="150"/>
    <n v="70"/>
    <n v="290"/>
    <n v="255"/>
    <n v="1622"/>
    <n v="258"/>
    <n v="96"/>
    <n v="191"/>
    <n v="547"/>
    <n v="1.8862068965517242"/>
    <n v="2.7285714285714286"/>
    <n v="1.8214285714285714"/>
  </r>
  <r>
    <n v="631"/>
    <x v="21"/>
    <s v="East"/>
    <s v="Major Market"/>
    <s v="Mint"/>
    <s v="Herbal Tea"/>
    <s v="New York"/>
    <s v="Decaf"/>
    <n v="130"/>
    <n v="-50"/>
    <n v="-100"/>
    <n v="80"/>
    <n v="239"/>
    <n v="4360"/>
    <n v="-75"/>
    <n v="74"/>
    <n v="-252"/>
    <n v="175"/>
    <n v="2.1875"/>
    <n v="2.52"/>
    <n v="1.8384615384615384"/>
  </r>
  <r>
    <n v="585"/>
    <x v="21"/>
    <s v="East"/>
    <s v="Major Market"/>
    <s v="Darjeeling"/>
    <s v="Tea"/>
    <s v="New York"/>
    <s v="Regular"/>
    <n v="110"/>
    <n v="170"/>
    <n v="140"/>
    <n v="280"/>
    <n v="108"/>
    <n v="971"/>
    <n v="157"/>
    <n v="30"/>
    <n v="171"/>
    <n v="282"/>
    <n v="1.0071428571428571"/>
    <n v="1.2214285714285715"/>
    <n v="0.98181818181818181"/>
  </r>
  <r>
    <n v="718"/>
    <x v="21"/>
    <s v="East"/>
    <s v="Major Market"/>
    <s v="Earl Grey"/>
    <s v="Tea"/>
    <s v="New York"/>
    <s v="Regular"/>
    <n v="130"/>
    <n v="190"/>
    <n v="160"/>
    <n v="320"/>
    <n v="123"/>
    <n v="915"/>
    <n v="179"/>
    <n v="34"/>
    <n v="199"/>
    <n v="322"/>
    <n v="1.0062500000000001"/>
    <n v="1.2437499999999999"/>
    <n v="0.94615384615384612"/>
  </r>
  <r>
    <n v="607"/>
    <x v="21"/>
    <s v="East"/>
    <s v="Major Market"/>
    <s v="Green Tea"/>
    <s v="Tea"/>
    <s v="New York"/>
    <s v="Regular"/>
    <n v="80"/>
    <n v="120"/>
    <n v="100"/>
    <n v="200"/>
    <n v="76"/>
    <n v="580"/>
    <n v="111"/>
    <n v="21"/>
    <n v="116"/>
    <n v="199"/>
    <n v="0.995"/>
    <n v="1.1599999999999999"/>
    <n v="0.95"/>
  </r>
  <r>
    <n v="914"/>
    <x v="21"/>
    <s v="East"/>
    <s v="Major Market"/>
    <s v="Caffe Mocha"/>
    <s v="Espresso"/>
    <s v="New York"/>
    <s v="Regular"/>
    <n v="110"/>
    <n v="-60"/>
    <n v="-170"/>
    <n v="50"/>
    <n v="125"/>
    <n v="3142"/>
    <n v="-56"/>
    <n v="113"/>
    <n v="-300"/>
    <n v="74"/>
    <n v="1.48"/>
    <n v="1.7647058823529411"/>
    <n v="1.1363636363636365"/>
  </r>
  <r>
    <n v="212"/>
    <x v="21"/>
    <s v="East"/>
    <s v="Major Market"/>
    <s v="Regular Espresso"/>
    <s v="Espresso"/>
    <s v="New York"/>
    <s v="Regular"/>
    <n v="210"/>
    <n v="510"/>
    <n v="450"/>
    <n v="720"/>
    <n v="239"/>
    <n v="1197"/>
    <n v="526"/>
    <n v="66"/>
    <n v="646"/>
    <n v="815"/>
    <n v="1.1319444444444444"/>
    <n v="1.4355555555555555"/>
    <n v="1.138095238095238"/>
  </r>
  <r>
    <n v="716"/>
    <x v="21"/>
    <s v="East"/>
    <s v="Major Market"/>
    <s v="Columbian"/>
    <s v="Coffee"/>
    <s v="New York"/>
    <s v="Regular"/>
    <n v="210"/>
    <n v="330"/>
    <n v="230"/>
    <n v="540"/>
    <n v="260"/>
    <n v="2548"/>
    <n v="390"/>
    <n v="91"/>
    <n v="367"/>
    <n v="693"/>
    <n v="1.2833333333333334"/>
    <n v="1.5956521739130434"/>
    <n v="1.2380952380952381"/>
  </r>
  <r>
    <n v="318"/>
    <x v="21"/>
    <s v="South"/>
    <s v="Small Market"/>
    <s v="Chamomile"/>
    <s v="Herbal Tea"/>
    <s v="Louisiana"/>
    <s v="Decaf"/>
    <n v="80"/>
    <n v="130"/>
    <n v="110"/>
    <n v="210"/>
    <n v="103"/>
    <n v="564"/>
    <n v="133"/>
    <n v="33"/>
    <n v="129"/>
    <n v="251"/>
    <n v="1.1952380952380952"/>
    <n v="1.1727272727272726"/>
    <n v="1.2875000000000001"/>
  </r>
  <r>
    <n v="225"/>
    <x v="21"/>
    <s v="South"/>
    <s v="Small Market"/>
    <s v="Lemon"/>
    <s v="Herbal Tea"/>
    <s v="Louisiana"/>
    <s v="Decaf"/>
    <n v="60"/>
    <n v="90"/>
    <n v="60"/>
    <n v="150"/>
    <n v="79"/>
    <n v="593"/>
    <n v="98"/>
    <n v="30"/>
    <n v="50"/>
    <n v="189"/>
    <n v="1.26"/>
    <n v="0.83333333333333337"/>
    <n v="1.3166666666666667"/>
  </r>
  <r>
    <n v="337"/>
    <x v="21"/>
    <s v="South"/>
    <s v="Small Market"/>
    <s v="Columbian"/>
    <s v="Coffee"/>
    <s v="Louisiana"/>
    <s v="Regular"/>
    <n v="70"/>
    <n v="90"/>
    <n v="80"/>
    <n v="160"/>
    <n v="48"/>
    <n v="829"/>
    <n v="71"/>
    <n v="13"/>
    <n v="70"/>
    <n v="127"/>
    <n v="0.79374999999999996"/>
    <n v="0.875"/>
    <n v="0.68571428571428572"/>
  </r>
  <r>
    <n v="985"/>
    <x v="21"/>
    <s v="South"/>
    <s v="Small Market"/>
    <s v="Decaf Irish Cream"/>
    <s v="Coffee"/>
    <s v="Louisiana"/>
    <s v="Decaf"/>
    <n v="70"/>
    <n v="90"/>
    <n v="80"/>
    <n v="160"/>
    <n v="48"/>
    <n v="851"/>
    <n v="70"/>
    <n v="13"/>
    <n v="67"/>
    <n v="126"/>
    <n v="0.78749999999999998"/>
    <n v="0.83750000000000002"/>
    <n v="0.68571428571428572"/>
  </r>
  <r>
    <n v="504"/>
    <x v="21"/>
    <s v="South"/>
    <s v="Small Market"/>
    <s v="Caffe Latte"/>
    <s v="Espresso"/>
    <s v="Louisiana"/>
    <s v="Regular"/>
    <n v="30"/>
    <n v="60"/>
    <n v="10"/>
    <n v="90"/>
    <n v="60"/>
    <n v="-762"/>
    <n v="84"/>
    <n v="54"/>
    <n v="1"/>
    <n v="153"/>
    <n v="1.7"/>
    <n v="0.1"/>
    <n v="2"/>
  </r>
  <r>
    <n v="225"/>
    <x v="21"/>
    <s v="South"/>
    <s v="Small Market"/>
    <s v="Caffe Mocha"/>
    <s v="Espresso"/>
    <s v="Louisiana"/>
    <s v="Regular"/>
    <n v="30"/>
    <n v="70"/>
    <n v="70"/>
    <n v="100"/>
    <n v="60"/>
    <n v="329"/>
    <n v="99"/>
    <n v="18"/>
    <n v="86"/>
    <n v="169"/>
    <n v="1.69"/>
    <n v="1.2285714285714286"/>
    <n v="2"/>
  </r>
  <r>
    <n v="318"/>
    <x v="21"/>
    <s v="South"/>
    <s v="Small Market"/>
    <s v="Decaf Espresso"/>
    <s v="Espresso"/>
    <s v="Louisiana"/>
    <s v="Decaf"/>
    <n v="20"/>
    <n v="40"/>
    <n v="40"/>
    <n v="60"/>
    <n v="46"/>
    <n v="449"/>
    <n v="67"/>
    <n v="14"/>
    <n v="45"/>
    <n v="120"/>
    <n v="2"/>
    <n v="1.125"/>
    <n v="2.2999999999999998"/>
  </r>
  <r>
    <n v="505"/>
    <x v="21"/>
    <s v="South"/>
    <s v="Small Market"/>
    <s v="Chamomile"/>
    <s v="Herbal Tea"/>
    <s v="New Mexico"/>
    <s v="Decaf"/>
    <n v="10"/>
    <n v="30"/>
    <n v="30"/>
    <n v="40"/>
    <n v="21"/>
    <n v="846"/>
    <n v="31"/>
    <n v="5"/>
    <n v="21"/>
    <n v="55"/>
    <n v="1.375"/>
    <n v="0.7"/>
    <n v="2.1"/>
  </r>
  <r>
    <n v="505"/>
    <x v="21"/>
    <s v="South"/>
    <s v="Small Market"/>
    <s v="Lemon"/>
    <s v="Herbal Tea"/>
    <s v="New Mexico"/>
    <s v="Decaf"/>
    <n v="10"/>
    <n v="40"/>
    <n v="30"/>
    <n v="50"/>
    <n v="31"/>
    <n v="1000"/>
    <n v="37"/>
    <n v="9"/>
    <n v="9"/>
    <n v="72"/>
    <n v="1.44"/>
    <n v="0.3"/>
    <n v="3.1"/>
  </r>
  <r>
    <n v="505"/>
    <x v="21"/>
    <s v="South"/>
    <s v="Small Market"/>
    <s v="Columbian"/>
    <s v="Coffee"/>
    <s v="New Mexico"/>
    <s v="Regular"/>
    <n v="50"/>
    <n v="110"/>
    <n v="80"/>
    <n v="160"/>
    <n v="45"/>
    <n v="447"/>
    <n v="69"/>
    <n v="14"/>
    <n v="34"/>
    <n v="121"/>
    <n v="0.75624999999999998"/>
    <n v="0.42499999999999999"/>
    <n v="0.9"/>
  </r>
  <r>
    <n v="505"/>
    <x v="21"/>
    <s v="South"/>
    <s v="Small Market"/>
    <s v="Decaf Irish Cream"/>
    <s v="Coffee"/>
    <s v="New Mexico"/>
    <s v="Decaf"/>
    <n v="110"/>
    <n v="40"/>
    <n v="10"/>
    <n v="150"/>
    <n v="86"/>
    <n v="1698"/>
    <n v="23"/>
    <n v="26"/>
    <n v="-39"/>
    <n v="116"/>
    <n v="0.77333333333333332"/>
    <n v="-3.9"/>
    <n v="0.78181818181818186"/>
  </r>
  <r>
    <n v="505"/>
    <x v="21"/>
    <s v="South"/>
    <s v="Small Market"/>
    <s v="Caffe Latte"/>
    <s v="Espresso"/>
    <s v="New Mexico"/>
    <s v="Regular"/>
    <n v="10"/>
    <n v="20"/>
    <n v="10"/>
    <n v="30"/>
    <n v="25"/>
    <n v="-466"/>
    <n v="31"/>
    <n v="9"/>
    <n v="-18"/>
    <n v="60"/>
    <n v="2"/>
    <n v="-1.8"/>
    <n v="2.5"/>
  </r>
  <r>
    <n v="505"/>
    <x v="21"/>
    <s v="South"/>
    <s v="Small Market"/>
    <s v="Caffe Mocha"/>
    <s v="Espresso"/>
    <s v="New Mexico"/>
    <s v="Regular"/>
    <n v="20"/>
    <n v="40"/>
    <n v="10"/>
    <n v="60"/>
    <n v="45"/>
    <n v="320"/>
    <n v="64"/>
    <n v="41"/>
    <n v="-9"/>
    <n v="116"/>
    <n v="1.9333333333333333"/>
    <n v="-0.9"/>
    <n v="2.25"/>
  </r>
  <r>
    <n v="505"/>
    <x v="21"/>
    <s v="South"/>
    <s v="Small Market"/>
    <s v="Decaf Espresso"/>
    <s v="Espresso"/>
    <s v="New Mexico"/>
    <s v="Decaf"/>
    <n v="20"/>
    <n v="30"/>
    <n v="20"/>
    <n v="50"/>
    <n v="39"/>
    <n v="244"/>
    <n v="53"/>
    <n v="12"/>
    <n v="21"/>
    <n v="98"/>
    <n v="1.96"/>
    <n v="1.05"/>
    <n v="1.95"/>
  </r>
  <r>
    <n v="580"/>
    <x v="21"/>
    <s v="South"/>
    <s v="Small Market"/>
    <s v="Chamomile"/>
    <s v="Herbal Tea"/>
    <s v="Oklahoma"/>
    <s v="Decaf"/>
    <n v="40"/>
    <n v="70"/>
    <n v="50"/>
    <n v="110"/>
    <n v="56"/>
    <n v="385"/>
    <n v="70"/>
    <n v="21"/>
    <n v="24"/>
    <n v="134"/>
    <n v="1.2181818181818183"/>
    <n v="0.48"/>
    <n v="1.4"/>
  </r>
  <r>
    <n v="918"/>
    <x v="21"/>
    <s v="South"/>
    <s v="Small Market"/>
    <s v="Lemon"/>
    <s v="Herbal Tea"/>
    <s v="Oklahoma"/>
    <s v="Decaf"/>
    <n v="80"/>
    <n v="120"/>
    <n v="40"/>
    <n v="200"/>
    <n v="96"/>
    <n v="683"/>
    <n v="134"/>
    <n v="87"/>
    <n v="25"/>
    <n v="245"/>
    <n v="1.2250000000000001"/>
    <n v="0.625"/>
    <n v="1.2"/>
  </r>
  <r>
    <n v="918"/>
    <x v="21"/>
    <s v="South"/>
    <s v="Small Market"/>
    <s v="Columbian"/>
    <s v="Coffee"/>
    <s v="Oklahoma"/>
    <s v="Regular"/>
    <n v="130"/>
    <n v="160"/>
    <n v="140"/>
    <n v="290"/>
    <n v="90"/>
    <n v="572"/>
    <n v="115"/>
    <n v="29"/>
    <n v="110"/>
    <n v="218"/>
    <n v="0.75172413793103443"/>
    <n v="0.7857142857142857"/>
    <n v="0.69230769230769229"/>
  </r>
  <r>
    <n v="405"/>
    <x v="21"/>
    <s v="South"/>
    <s v="Small Market"/>
    <s v="Decaf Irish Cream"/>
    <s v="Coffee"/>
    <s v="Oklahoma"/>
    <s v="Decaf"/>
    <n v="30"/>
    <n v="60"/>
    <n v="60"/>
    <n v="90"/>
    <n v="27"/>
    <n v="859"/>
    <n v="39"/>
    <n v="7"/>
    <n v="31"/>
    <n v="70"/>
    <n v="0.77777777777777779"/>
    <n v="0.51666666666666672"/>
    <n v="0.9"/>
  </r>
  <r>
    <n v="405"/>
    <x v="21"/>
    <s v="South"/>
    <s v="Small Market"/>
    <s v="Caffe Latte"/>
    <s v="Espresso"/>
    <s v="Oklahoma"/>
    <s v="Regular"/>
    <n v="50"/>
    <n v="80"/>
    <n v="70"/>
    <n v="130"/>
    <n v="91"/>
    <n v="-1785"/>
    <n v="127"/>
    <n v="28"/>
    <n v="113"/>
    <n v="232"/>
    <n v="1.7846153846153847"/>
    <n v="1.6142857142857143"/>
    <n v="1.82"/>
  </r>
  <r>
    <n v="580"/>
    <x v="21"/>
    <s v="South"/>
    <s v="Small Market"/>
    <s v="Caffe Mocha"/>
    <s v="Espresso"/>
    <s v="Oklahoma"/>
    <s v="Regular"/>
    <n v="0"/>
    <n v="30"/>
    <n v="30"/>
    <n v="30"/>
    <n v="21"/>
    <n v="480"/>
    <n v="32"/>
    <n v="5"/>
    <n v="22"/>
    <n v="56"/>
    <n v="1.8666666666666667"/>
    <n v="0.73333333333333328"/>
    <m/>
  </r>
  <r>
    <n v="405"/>
    <x v="21"/>
    <s v="South"/>
    <s v="Small Market"/>
    <s v="Decaf Espresso"/>
    <s v="Espresso"/>
    <s v="Oklahoma"/>
    <s v="Decaf"/>
    <n v="50"/>
    <n v="80"/>
    <n v="60"/>
    <n v="130"/>
    <n v="82"/>
    <n v="788"/>
    <n v="123"/>
    <n v="27"/>
    <n v="96"/>
    <n v="218"/>
    <n v="1.676923076923077"/>
    <n v="1.6"/>
    <n v="1.64"/>
  </r>
  <r>
    <n v="325"/>
    <x v="21"/>
    <s v="South"/>
    <s v="Major Market"/>
    <s v="Chamomile"/>
    <s v="Herbal Tea"/>
    <s v="Texas"/>
    <s v="Decaf"/>
    <n v="30"/>
    <n v="80"/>
    <n v="70"/>
    <n v="110"/>
    <n v="52"/>
    <n v="405"/>
    <n v="71"/>
    <n v="17"/>
    <n v="39"/>
    <n v="131"/>
    <n v="1.1909090909090909"/>
    <n v="0.55714285714285716"/>
    <n v="1.7333333333333334"/>
  </r>
  <r>
    <n v="430"/>
    <x v="21"/>
    <s v="South"/>
    <s v="Major Market"/>
    <s v="Lemon"/>
    <s v="Herbal Tea"/>
    <s v="Texas"/>
    <s v="Decaf"/>
    <n v="30"/>
    <n v="60"/>
    <n v="50"/>
    <n v="90"/>
    <n v="43"/>
    <n v="419"/>
    <n v="64"/>
    <n v="13"/>
    <n v="42"/>
    <n v="114"/>
    <n v="1.2666666666666666"/>
    <n v="0.84"/>
    <n v="1.4333333333333333"/>
  </r>
  <r>
    <n v="432"/>
    <x v="21"/>
    <s v="South"/>
    <s v="Major Market"/>
    <s v="Columbian"/>
    <s v="Coffee"/>
    <s v="Texas"/>
    <s v="Regular"/>
    <n v="350"/>
    <n v="420"/>
    <n v="340"/>
    <n v="770"/>
    <n v="239"/>
    <n v="1246"/>
    <n v="281"/>
    <n v="74"/>
    <n v="275"/>
    <n v="554"/>
    <n v="0.7194805194805195"/>
    <n v="0.80882352941176472"/>
    <n v="0.68285714285714283"/>
  </r>
  <r>
    <n v="281"/>
    <x v="21"/>
    <s v="South"/>
    <s v="Major Market"/>
    <s v="Decaf Irish Cream"/>
    <s v="Coffee"/>
    <s v="Texas"/>
    <s v="Decaf"/>
    <n v="40"/>
    <n v="90"/>
    <n v="80"/>
    <n v="130"/>
    <n v="39"/>
    <n v="541"/>
    <n v="51"/>
    <n v="12"/>
    <n v="39"/>
    <n v="96"/>
    <n v="0.7384615384615385"/>
    <n v="0.48749999999999999"/>
    <n v="0.97499999999999998"/>
  </r>
  <r>
    <n v="682"/>
    <x v="21"/>
    <s v="South"/>
    <s v="Major Market"/>
    <s v="Caffe Latte"/>
    <s v="Espresso"/>
    <s v="Texas"/>
    <s v="Regular"/>
    <n v="40"/>
    <n v="70"/>
    <n v="50"/>
    <n v="110"/>
    <n v="72"/>
    <n v="-868"/>
    <n v="110"/>
    <n v="23"/>
    <n v="82"/>
    <n v="194"/>
    <n v="1.7636363636363637"/>
    <n v="1.64"/>
    <n v="1.8"/>
  </r>
  <r>
    <n v="817"/>
    <x v="21"/>
    <s v="South"/>
    <s v="Major Market"/>
    <s v="Caffe Mocha"/>
    <s v="Espresso"/>
    <s v="Texas"/>
    <s v="Regular"/>
    <n v="70"/>
    <n v="120"/>
    <n v="100"/>
    <n v="190"/>
    <n v="123"/>
    <n v="915"/>
    <n v="179"/>
    <n v="34"/>
    <n v="197"/>
    <n v="322"/>
    <n v="1.6947368421052631"/>
    <n v="1.97"/>
    <n v="1.7571428571428571"/>
  </r>
  <r>
    <n v="432"/>
    <x v="21"/>
    <s v="South"/>
    <s v="Major Market"/>
    <s v="Decaf Espresso"/>
    <s v="Espresso"/>
    <s v="Texas"/>
    <s v="Decaf"/>
    <n v="40"/>
    <n v="80"/>
    <n v="80"/>
    <n v="120"/>
    <n v="76"/>
    <n v="580"/>
    <n v="111"/>
    <n v="21"/>
    <n v="116"/>
    <n v="199"/>
    <n v="1.6583333333333334"/>
    <n v="1.45"/>
    <n v="1.9"/>
  </r>
  <r>
    <n v="435"/>
    <x v="21"/>
    <s v="West"/>
    <s v="Small Market"/>
    <s v="Darjeeling"/>
    <s v="Tea"/>
    <s v="Utah"/>
    <s v="Regular"/>
    <n v="10"/>
    <n v="40"/>
    <n v="20"/>
    <n v="50"/>
    <n v="45"/>
    <n v="320"/>
    <n v="64"/>
    <n v="41"/>
    <n v="-9"/>
    <n v="116"/>
    <n v="2.3199999999999998"/>
    <n v="-0.45"/>
    <n v="4.5"/>
  </r>
  <r>
    <n v="435"/>
    <x v="21"/>
    <s v="West"/>
    <s v="Small Market"/>
    <s v="Earl Grey"/>
    <s v="Tea"/>
    <s v="Utah"/>
    <s v="Regular"/>
    <n v="10"/>
    <n v="30"/>
    <n v="20"/>
    <n v="40"/>
    <n v="39"/>
    <n v="244"/>
    <n v="53"/>
    <n v="12"/>
    <n v="21"/>
    <n v="98"/>
    <n v="2.4500000000000002"/>
    <n v="1.05"/>
    <n v="3.9"/>
  </r>
  <r>
    <n v="435"/>
    <x v="21"/>
    <s v="West"/>
    <s v="Small Market"/>
    <s v="Green Tea"/>
    <s v="Tea"/>
    <s v="Utah"/>
    <s v="Regular"/>
    <n v="0"/>
    <n v="20"/>
    <n v="10"/>
    <n v="20"/>
    <n v="25"/>
    <n v="209"/>
    <n v="31"/>
    <n v="9"/>
    <n v="-18"/>
    <n v="60"/>
    <n v="3"/>
    <n v="-1.8"/>
    <m/>
  </r>
  <r>
    <n v="801"/>
    <x v="21"/>
    <s v="West"/>
    <s v="Small Market"/>
    <s v="Chamomile"/>
    <s v="Herbal Tea"/>
    <s v="Utah"/>
    <s v="Decaf"/>
    <n v="30"/>
    <n v="60"/>
    <n v="60"/>
    <n v="90"/>
    <n v="49"/>
    <n v="310"/>
    <n v="71"/>
    <n v="15"/>
    <n v="49"/>
    <n v="128"/>
    <n v="1.4222222222222223"/>
    <n v="0.81666666666666665"/>
    <n v="1.6333333333333333"/>
  </r>
  <r>
    <n v="435"/>
    <x v="21"/>
    <s v="West"/>
    <s v="Small Market"/>
    <s v="Lemon"/>
    <s v="Herbal Tea"/>
    <s v="Utah"/>
    <s v="Decaf"/>
    <n v="20"/>
    <n v="70"/>
    <n v="60"/>
    <n v="90"/>
    <n v="45"/>
    <n v="447"/>
    <n v="69"/>
    <n v="14"/>
    <n v="34"/>
    <n v="121"/>
    <n v="1.3444444444444446"/>
    <n v="0.56666666666666665"/>
    <n v="2.25"/>
  </r>
  <r>
    <n v="435"/>
    <x v="21"/>
    <s v="West"/>
    <s v="Small Market"/>
    <s v="Mint"/>
    <s v="Herbal Tea"/>
    <s v="Utah"/>
    <s v="Decaf"/>
    <n v="60"/>
    <n v="20"/>
    <n v="0"/>
    <n v="80"/>
    <n v="86"/>
    <n v="1698"/>
    <n v="23"/>
    <n v="26"/>
    <n v="-40"/>
    <n v="116"/>
    <n v="1.45"/>
    <m/>
    <n v="1.4333333333333333"/>
  </r>
  <r>
    <n v="435"/>
    <x v="21"/>
    <s v="West"/>
    <s v="Small Market"/>
    <s v="Caffe Mocha"/>
    <s v="Espresso"/>
    <s v="Utah"/>
    <s v="Regular"/>
    <n v="80"/>
    <n v="130"/>
    <n v="110"/>
    <n v="210"/>
    <n v="103"/>
    <n v="564"/>
    <n v="133"/>
    <n v="33"/>
    <n v="129"/>
    <n v="251"/>
    <n v="1.1952380952380952"/>
    <n v="1.1727272727272726"/>
    <n v="1.2875000000000001"/>
  </r>
  <r>
    <n v="435"/>
    <x v="21"/>
    <s v="West"/>
    <s v="Small Market"/>
    <s v="Decaf Espresso"/>
    <s v="Espresso"/>
    <s v="Utah"/>
    <s v="Decaf"/>
    <n v="20"/>
    <n v="60"/>
    <n v="60"/>
    <n v="80"/>
    <n v="40"/>
    <n v="881"/>
    <n v="59"/>
    <n v="11"/>
    <n v="55"/>
    <n v="106"/>
    <n v="1.325"/>
    <n v="0.91666666666666663"/>
    <n v="2"/>
  </r>
  <r>
    <n v="435"/>
    <x v="21"/>
    <s v="West"/>
    <s v="Small Market"/>
    <s v="Amaretto"/>
    <s v="Coffee"/>
    <s v="Utah"/>
    <s v="Regular"/>
    <n v="90"/>
    <n v="110"/>
    <n v="90"/>
    <n v="200"/>
    <n v="65"/>
    <n v="1053"/>
    <n v="77"/>
    <n v="20"/>
    <n v="53"/>
    <n v="151"/>
    <n v="0.755"/>
    <n v="0.58888888888888891"/>
    <n v="0.72222222222222221"/>
  </r>
  <r>
    <n v="435"/>
    <x v="21"/>
    <s v="West"/>
    <s v="Small Market"/>
    <s v="Columbian"/>
    <s v="Coffee"/>
    <s v="Utah"/>
    <s v="Regular"/>
    <n v="50"/>
    <n v="100"/>
    <n v="80"/>
    <n v="150"/>
    <n v="47"/>
    <n v="375"/>
    <n v="64"/>
    <n v="15"/>
    <n v="33"/>
    <n v="118"/>
    <n v="0.78666666666666663"/>
    <n v="0.41249999999999998"/>
    <n v="0.94"/>
  </r>
  <r>
    <n v="435"/>
    <x v="21"/>
    <s v="West"/>
    <s v="Small Market"/>
    <s v="Decaf Irish Cream"/>
    <s v="Coffee"/>
    <s v="Utah"/>
    <s v="Decaf"/>
    <n v="100"/>
    <n v="160"/>
    <n v="120"/>
    <n v="260"/>
    <n v="79"/>
    <n v="593"/>
    <n v="98"/>
    <n v="30"/>
    <n v="50"/>
    <n v="189"/>
    <n v="0.72692307692307689"/>
    <n v="0.41666666666666669"/>
    <n v="0.79"/>
  </r>
  <r>
    <n v="435"/>
    <x v="21"/>
    <s v="West"/>
    <s v="Small Market"/>
    <s v="Caffe Latte"/>
    <s v="Espresso"/>
    <s v="Utah"/>
    <s v="Regular"/>
    <n v="20"/>
    <n v="40"/>
    <n v="40"/>
    <n v="60"/>
    <n v="32"/>
    <n v="833"/>
    <n v="47"/>
    <n v="8"/>
    <n v="42"/>
    <n v="84"/>
    <n v="1.4"/>
    <n v="1.05"/>
    <n v="1.6"/>
  </r>
  <r>
    <n v="831"/>
    <x v="21"/>
    <s v="West"/>
    <s v="Major Market"/>
    <s v="Darjeeling"/>
    <s v="Tea"/>
    <s v="California"/>
    <s v="Regular"/>
    <n v="50"/>
    <n v="90"/>
    <n v="80"/>
    <n v="140"/>
    <n v="123"/>
    <n v="915"/>
    <n v="179"/>
    <n v="34"/>
    <n v="199"/>
    <n v="322"/>
    <n v="2.2999999999999998"/>
    <n v="2.4874999999999998"/>
    <n v="2.46"/>
  </r>
  <r>
    <n v="626"/>
    <x v="21"/>
    <s v="West"/>
    <s v="Major Market"/>
    <s v="Earl Grey"/>
    <s v="Tea"/>
    <s v="California"/>
    <s v="Regular"/>
    <n v="30"/>
    <n v="50"/>
    <n v="50"/>
    <n v="80"/>
    <n v="76"/>
    <n v="580"/>
    <n v="111"/>
    <n v="21"/>
    <n v="117"/>
    <n v="199"/>
    <n v="2.4874999999999998"/>
    <n v="2.34"/>
    <n v="2.5333333333333332"/>
  </r>
  <r>
    <n v="510"/>
    <x v="21"/>
    <s v="West"/>
    <s v="Major Market"/>
    <s v="Green Tea"/>
    <s v="Tea"/>
    <s v="California"/>
    <s v="Regular"/>
    <n v="20"/>
    <n v="60"/>
    <n v="50"/>
    <n v="80"/>
    <n v="72"/>
    <n v="650"/>
    <n v="110"/>
    <n v="23"/>
    <n v="83"/>
    <n v="194"/>
    <n v="2.4249999999999998"/>
    <n v="1.66"/>
    <n v="3.6"/>
  </r>
  <r>
    <n v="925"/>
    <x v="21"/>
    <s v="West"/>
    <s v="Major Market"/>
    <s v="Chamomile"/>
    <s v="Herbal Tea"/>
    <s v="California"/>
    <s v="Decaf"/>
    <n v="80"/>
    <n v="130"/>
    <n v="120"/>
    <n v="210"/>
    <n v="108"/>
    <n v="971"/>
    <n v="157"/>
    <n v="30"/>
    <n v="171"/>
    <n v="282"/>
    <n v="1.3428571428571427"/>
    <n v="1.425"/>
    <n v="1.35"/>
  </r>
  <r>
    <n v="951"/>
    <x v="21"/>
    <s v="West"/>
    <s v="Major Market"/>
    <s v="Lemon"/>
    <s v="Herbal Tea"/>
    <s v="California"/>
    <s v="Decaf"/>
    <n v="190"/>
    <n v="220"/>
    <n v="170"/>
    <n v="410"/>
    <n v="239"/>
    <n v="1246"/>
    <n v="281"/>
    <n v="74"/>
    <n v="276"/>
    <n v="554"/>
    <n v="1.351219512195122"/>
    <n v="1.6235294117647059"/>
    <n v="1.2578947368421052"/>
  </r>
  <r>
    <n v="530"/>
    <x v="21"/>
    <s v="West"/>
    <s v="Major Market"/>
    <s v="Mint"/>
    <s v="Herbal Tea"/>
    <s v="California"/>
    <s v="Decaf"/>
    <n v="20"/>
    <n v="40"/>
    <n v="40"/>
    <n v="60"/>
    <n v="39"/>
    <n v="541"/>
    <n v="51"/>
    <n v="12"/>
    <n v="39"/>
    <n v="96"/>
    <n v="1.6"/>
    <n v="0.97499999999999998"/>
    <n v="1.95"/>
  </r>
  <r>
    <n v="805"/>
    <x v="21"/>
    <s v="West"/>
    <s v="Major Market"/>
    <s v="Caffe Mocha"/>
    <s v="Espresso"/>
    <s v="California"/>
    <s v="Regular"/>
    <n v="110"/>
    <n v="160"/>
    <n v="50"/>
    <n v="270"/>
    <n v="125"/>
    <n v="898"/>
    <n v="173"/>
    <n v="113"/>
    <n v="40"/>
    <n v="318"/>
    <n v="1.1777777777777778"/>
    <n v="0.8"/>
    <n v="1.1363636363636365"/>
  </r>
  <r>
    <n v="415"/>
    <x v="21"/>
    <s v="West"/>
    <s v="Major Market"/>
    <s v="Decaf Espresso"/>
    <s v="Espresso"/>
    <s v="California"/>
    <s v="Decaf"/>
    <n v="230"/>
    <n v="320"/>
    <n v="240"/>
    <n v="550"/>
    <n v="257"/>
    <n v="1662"/>
    <n v="341"/>
    <n v="84"/>
    <n v="334"/>
    <n v="637"/>
    <n v="1.1581818181818182"/>
    <n v="1.3916666666666666"/>
    <n v="1.1173913043478261"/>
  </r>
  <r>
    <n v="909"/>
    <x v="21"/>
    <s v="West"/>
    <s v="Major Market"/>
    <s v="Amaretto"/>
    <s v="Coffee"/>
    <s v="California"/>
    <s v="Regular"/>
    <n v="170"/>
    <n v="-20"/>
    <n v="-60"/>
    <n v="150"/>
    <n v="122"/>
    <n v="2555"/>
    <n v="-13"/>
    <n v="39"/>
    <n v="-110"/>
    <n v="116"/>
    <n v="0.77333333333333332"/>
    <n v="1.8333333333333333"/>
    <n v="0.71764705882352942"/>
  </r>
  <r>
    <n v="818"/>
    <x v="21"/>
    <s v="West"/>
    <s v="Major Market"/>
    <s v="Columbian"/>
    <s v="Coffee"/>
    <s v="California"/>
    <s v="Regular"/>
    <n v="380"/>
    <n v="580"/>
    <n v="470"/>
    <n v="960"/>
    <n v="260"/>
    <n v="2548"/>
    <n v="390"/>
    <n v="91"/>
    <n v="367"/>
    <n v="693"/>
    <n v="0.72187500000000004"/>
    <n v="0.7808510638297872"/>
    <n v="0.68421052631578949"/>
  </r>
  <r>
    <n v="650"/>
    <x v="21"/>
    <s v="West"/>
    <s v="Major Market"/>
    <s v="Decaf Irish Cream"/>
    <s v="Coffee"/>
    <s v="California"/>
    <s v="Decaf"/>
    <n v="220"/>
    <n v="-30"/>
    <n v="-100"/>
    <n v="190"/>
    <n v="154"/>
    <n v="3654"/>
    <n v="-24"/>
    <n v="50"/>
    <n v="-174"/>
    <n v="139"/>
    <n v="0.73157894736842111"/>
    <n v="1.74"/>
    <n v="0.7"/>
  </r>
  <r>
    <n v="714"/>
    <x v="21"/>
    <s v="West"/>
    <s v="Major Market"/>
    <s v="Caffe Latte"/>
    <s v="Espresso"/>
    <s v="California"/>
    <s v="Regular"/>
    <n v="210"/>
    <n v="220"/>
    <n v="160"/>
    <n v="430"/>
    <n v="239"/>
    <n v="1755"/>
    <n v="239"/>
    <n v="66"/>
    <n v="221"/>
    <n v="509"/>
    <n v="1.1837209302325582"/>
    <n v="1.3812500000000001"/>
    <n v="1.138095238095238"/>
  </r>
  <r>
    <n v="775"/>
    <x v="21"/>
    <s v="West"/>
    <s v="Small Market"/>
    <s v="Darjeeling"/>
    <s v="Tea"/>
    <s v="Nevada"/>
    <s v="Regular"/>
    <n v="110"/>
    <n v="180"/>
    <n v="130"/>
    <n v="290"/>
    <n v="257"/>
    <n v="1662"/>
    <n v="341"/>
    <n v="84"/>
    <n v="332"/>
    <n v="637"/>
    <n v="2.1965517241379309"/>
    <n v="2.5538461538461537"/>
    <n v="2.3363636363636364"/>
  </r>
  <r>
    <n v="775"/>
    <x v="21"/>
    <s v="West"/>
    <s v="Small Market"/>
    <s v="Earl Grey"/>
    <s v="Tea"/>
    <s v="Nevada"/>
    <s v="Regular"/>
    <n v="110"/>
    <n v="120"/>
    <n v="80"/>
    <n v="230"/>
    <n v="239"/>
    <n v="1755"/>
    <n v="239"/>
    <n v="66"/>
    <n v="221"/>
    <n v="509"/>
    <n v="2.2130434782608694"/>
    <n v="2.7625000000000002"/>
    <n v="2.1727272727272728"/>
  </r>
  <r>
    <n v="702"/>
    <x v="21"/>
    <s v="West"/>
    <s v="Small Market"/>
    <s v="Green Tea"/>
    <s v="Tea"/>
    <s v="Nevada"/>
    <s v="Regular"/>
    <n v="110"/>
    <n v="-110"/>
    <n v="-170"/>
    <n v="0"/>
    <n v="255"/>
    <n v="7058"/>
    <n v="-255"/>
    <n v="96"/>
    <n v="-539"/>
    <n v="22"/>
    <m/>
    <n v="3.1705882352941175"/>
    <n v="2.3181818181818183"/>
  </r>
  <r>
    <n v="702"/>
    <x v="21"/>
    <s v="West"/>
    <s v="Small Market"/>
    <s v="Chamomile"/>
    <s v="Herbal Tea"/>
    <s v="Nevada"/>
    <s v="Decaf"/>
    <n v="90"/>
    <n v="150"/>
    <n v="60"/>
    <n v="240"/>
    <n v="125"/>
    <n v="898"/>
    <n v="173"/>
    <n v="113"/>
    <n v="39"/>
    <n v="318"/>
    <n v="1.325"/>
    <n v="0.65"/>
    <n v="1.3888888888888888"/>
  </r>
  <r>
    <n v="775"/>
    <x v="21"/>
    <s v="West"/>
    <s v="Small Market"/>
    <s v="Lemon"/>
    <s v="Herbal Tea"/>
    <s v="Nevada"/>
    <s v="Decaf"/>
    <n v="120"/>
    <n v="170"/>
    <n v="120"/>
    <n v="290"/>
    <n v="154"/>
    <n v="1132"/>
    <n v="213"/>
    <n v="50"/>
    <n v="178"/>
    <n v="391"/>
    <n v="1.3482758620689654"/>
    <n v="1.4833333333333334"/>
    <n v="1.2833333333333334"/>
  </r>
  <r>
    <n v="775"/>
    <x v="21"/>
    <s v="West"/>
    <s v="Small Market"/>
    <s v="Mint"/>
    <s v="Herbal Tea"/>
    <s v="Nevada"/>
    <s v="Decaf"/>
    <n v="90"/>
    <n v="150"/>
    <n v="130"/>
    <n v="240"/>
    <n v="122"/>
    <n v="789"/>
    <n v="176"/>
    <n v="39"/>
    <n v="169"/>
    <n v="318"/>
    <n v="1.325"/>
    <n v="1.3"/>
    <n v="1.3555555555555556"/>
  </r>
  <r>
    <n v="775"/>
    <x v="21"/>
    <s v="West"/>
    <s v="Small Market"/>
    <s v="Caffe Mocha"/>
    <s v="Espresso"/>
    <s v="Nevada"/>
    <s v="Regular"/>
    <n v="10"/>
    <n v="20"/>
    <n v="20"/>
    <n v="30"/>
    <n v="21"/>
    <n v="846"/>
    <n v="31"/>
    <n v="5"/>
    <n v="21"/>
    <n v="55"/>
    <n v="1.8333333333333333"/>
    <n v="1.05"/>
    <n v="2.1"/>
  </r>
  <r>
    <n v="775"/>
    <x v="21"/>
    <s v="West"/>
    <s v="Small Market"/>
    <s v="Decaf Espresso"/>
    <s v="Espresso"/>
    <s v="Nevada"/>
    <s v="Decaf"/>
    <n v="10"/>
    <n v="30"/>
    <n v="30"/>
    <n v="40"/>
    <n v="23"/>
    <n v="800"/>
    <n v="35"/>
    <n v="6"/>
    <n v="25"/>
    <n v="62"/>
    <n v="1.55"/>
    <n v="0.83333333333333337"/>
    <n v="2.2999999999999998"/>
  </r>
  <r>
    <n v="702"/>
    <x v="21"/>
    <s v="West"/>
    <s v="Small Market"/>
    <s v="Columbian"/>
    <s v="Coffee"/>
    <s v="Nevada"/>
    <s v="Regular"/>
    <n v="40"/>
    <n v="60"/>
    <n v="30"/>
    <n v="100"/>
    <n v="34"/>
    <n v="240"/>
    <n v="43"/>
    <n v="12"/>
    <n v="-3"/>
    <n v="82"/>
    <n v="0.82"/>
    <n v="-0.1"/>
    <n v="0.85"/>
  </r>
  <r>
    <n v="775"/>
    <x v="21"/>
    <s v="West"/>
    <s v="Small Market"/>
    <s v="Decaf Irish Cream"/>
    <s v="Coffee"/>
    <s v="Nevada"/>
    <s v="Decaf"/>
    <n v="30"/>
    <n v="60"/>
    <n v="50"/>
    <n v="90"/>
    <n v="31"/>
    <n v="1000"/>
    <n v="37"/>
    <n v="9"/>
    <n v="10"/>
    <n v="72"/>
    <n v="0.8"/>
    <n v="0.2"/>
    <n v="1.0333333333333334"/>
  </r>
  <r>
    <n v="702"/>
    <x v="21"/>
    <s v="West"/>
    <s v="Small Market"/>
    <s v="Caffe Latte"/>
    <s v="Espresso"/>
    <s v="Nevada"/>
    <s v="Regular"/>
    <n v="0"/>
    <n v="30"/>
    <n v="30"/>
    <n v="30"/>
    <n v="0"/>
    <n v="430"/>
    <n v="43"/>
    <n v="0"/>
    <n v="47"/>
    <n v="46"/>
    <n v="1.5333333333333334"/>
    <n v="1.5666666666666667"/>
    <m/>
  </r>
  <r>
    <n v="971"/>
    <x v="21"/>
    <s v="West"/>
    <s v="Small Market"/>
    <s v="Darjeeling"/>
    <s v="Tea"/>
    <s v="Oregon"/>
    <s v="Regular"/>
    <n v="0"/>
    <n v="20"/>
    <n v="20"/>
    <n v="20"/>
    <n v="21"/>
    <n v="480"/>
    <n v="32"/>
    <n v="5"/>
    <n v="24"/>
    <n v="56"/>
    <n v="2.8"/>
    <n v="1.2"/>
    <m/>
  </r>
  <r>
    <n v="503"/>
    <x v="21"/>
    <s v="West"/>
    <s v="Small Market"/>
    <s v="Earl Grey"/>
    <s v="Tea"/>
    <s v="Oregon"/>
    <s v="Regular"/>
    <n v="30"/>
    <n v="60"/>
    <n v="50"/>
    <n v="90"/>
    <n v="82"/>
    <n v="788"/>
    <n v="123"/>
    <n v="27"/>
    <n v="95"/>
    <n v="218"/>
    <n v="2.4222222222222221"/>
    <n v="1.9"/>
    <n v="2.7333333333333334"/>
  </r>
  <r>
    <n v="541"/>
    <x v="21"/>
    <s v="West"/>
    <s v="Small Market"/>
    <s v="Green Tea"/>
    <s v="Tea"/>
    <s v="Oregon"/>
    <s v="Regular"/>
    <n v="40"/>
    <n v="60"/>
    <n v="50"/>
    <n v="100"/>
    <n v="91"/>
    <n v="656"/>
    <n v="127"/>
    <n v="28"/>
    <n v="113"/>
    <n v="232"/>
    <n v="2.3199999999999998"/>
    <n v="2.2599999999999998"/>
    <n v="2.2749999999999999"/>
  </r>
  <r>
    <n v="971"/>
    <x v="21"/>
    <s v="West"/>
    <s v="Small Market"/>
    <s v="Chamomile"/>
    <s v="Herbal Tea"/>
    <s v="Oregon"/>
    <s v="Decaf"/>
    <n v="10"/>
    <n v="30"/>
    <n v="30"/>
    <n v="40"/>
    <n v="25"/>
    <n v="820"/>
    <n v="36"/>
    <n v="7"/>
    <n v="25"/>
    <n v="65"/>
    <n v="1.625"/>
    <n v="0.83333333333333337"/>
    <n v="2.5"/>
  </r>
  <r>
    <n v="541"/>
    <x v="21"/>
    <s v="West"/>
    <s v="Small Market"/>
    <s v="Lemon"/>
    <s v="Herbal Tea"/>
    <s v="Oregon"/>
    <s v="Decaf"/>
    <n v="60"/>
    <n v="100"/>
    <n v="90"/>
    <n v="160"/>
    <n v="90"/>
    <n v="572"/>
    <n v="115"/>
    <n v="29"/>
    <n v="108"/>
    <n v="218"/>
    <n v="1.3625"/>
    <n v="1.2"/>
    <n v="1.5"/>
  </r>
  <r>
    <n v="971"/>
    <x v="21"/>
    <s v="West"/>
    <s v="Small Market"/>
    <s v="Caffe Latte"/>
    <s v="Espresso"/>
    <s v="Oregon"/>
    <s v="Regular"/>
    <n v="40"/>
    <n v="60"/>
    <n v="40"/>
    <n v="100"/>
    <n v="54"/>
    <n v="404"/>
    <n v="66"/>
    <n v="20"/>
    <n v="18"/>
    <n v="128"/>
    <n v="1.28"/>
    <n v="0.45"/>
    <n v="1.35"/>
  </r>
  <r>
    <n v="541"/>
    <x v="21"/>
    <s v="West"/>
    <s v="Small Market"/>
    <s v="Caffe Mocha"/>
    <s v="Espresso"/>
    <s v="Oregon"/>
    <s v="Regular"/>
    <n v="30"/>
    <n v="70"/>
    <n v="60"/>
    <n v="100"/>
    <n v="52"/>
    <n v="405"/>
    <n v="71"/>
    <n v="17"/>
    <n v="40"/>
    <n v="131"/>
    <n v="1.31"/>
    <n v="0.66666666666666663"/>
    <n v="1.7333333333333334"/>
  </r>
  <r>
    <n v="503"/>
    <x v="21"/>
    <s v="West"/>
    <s v="Small Market"/>
    <s v="Decaf Espresso"/>
    <s v="Espresso"/>
    <s v="Oregon"/>
    <s v="Decaf"/>
    <n v="140"/>
    <n v="150"/>
    <n v="110"/>
    <n v="290"/>
    <n v="161"/>
    <n v="1267"/>
    <n v="161"/>
    <n v="45"/>
    <n v="135"/>
    <n v="343"/>
    <n v="1.1827586206896552"/>
    <n v="1.2272727272727273"/>
    <n v="1.1499999999999999"/>
  </r>
  <r>
    <n v="503"/>
    <x v="21"/>
    <s v="West"/>
    <s v="Small Market"/>
    <s v="Amaretto"/>
    <s v="Coffee"/>
    <s v="Oregon"/>
    <s v="Regular"/>
    <n v="70"/>
    <n v="100"/>
    <n v="50"/>
    <n v="170"/>
    <n v="51"/>
    <n v="503"/>
    <n v="71"/>
    <n v="46"/>
    <n v="-7"/>
    <n v="130"/>
    <n v="0.76470588235294112"/>
    <n v="-0.14000000000000001"/>
    <n v="0.72857142857142854"/>
  </r>
  <r>
    <n v="503"/>
    <x v="21"/>
    <s v="West"/>
    <s v="Small Market"/>
    <s v="Columbian"/>
    <s v="Coffee"/>
    <s v="Oregon"/>
    <s v="Regular"/>
    <n v="80"/>
    <n v="130"/>
    <n v="90"/>
    <n v="210"/>
    <n v="60"/>
    <n v="463"/>
    <n v="84"/>
    <n v="19"/>
    <n v="31"/>
    <n v="153"/>
    <n v="0.72857142857142854"/>
    <n v="0.34444444444444444"/>
    <n v="0.75"/>
  </r>
  <r>
    <n v="971"/>
    <x v="21"/>
    <s v="West"/>
    <s v="Small Market"/>
    <s v="Decaf Irish Cream"/>
    <s v="Coffee"/>
    <s v="Oregon"/>
    <s v="Decaf"/>
    <n v="50"/>
    <n v="100"/>
    <n v="80"/>
    <n v="150"/>
    <n v="43"/>
    <n v="419"/>
    <n v="64"/>
    <n v="13"/>
    <n v="43"/>
    <n v="114"/>
    <n v="0.76"/>
    <n v="0.53749999999999998"/>
    <n v="0.86"/>
  </r>
  <r>
    <n v="425"/>
    <x v="21"/>
    <s v="West"/>
    <s v="Small Market"/>
    <s v="Darjeeling"/>
    <s v="Tea"/>
    <s v="Washington"/>
    <s v="Regular"/>
    <n v="20"/>
    <n v="50"/>
    <n v="40"/>
    <n v="70"/>
    <n v="60"/>
    <n v="329"/>
    <n v="99"/>
    <n v="18"/>
    <n v="85"/>
    <n v="169"/>
    <n v="2.4142857142857141"/>
    <n v="2.125"/>
    <n v="3"/>
  </r>
  <r>
    <n v="509"/>
    <x v="21"/>
    <s v="West"/>
    <s v="Small Market"/>
    <s v="Earl Grey"/>
    <s v="Tea"/>
    <s v="Washington"/>
    <s v="Regular"/>
    <n v="20"/>
    <n v="30"/>
    <n v="30"/>
    <n v="50"/>
    <n v="46"/>
    <n v="449"/>
    <n v="67"/>
    <n v="14"/>
    <n v="46"/>
    <n v="120"/>
    <n v="2.4"/>
    <n v="1.5333333333333334"/>
    <n v="2.2999999999999998"/>
  </r>
  <r>
    <n v="206"/>
    <x v="21"/>
    <s v="West"/>
    <s v="Small Market"/>
    <s v="Green Tea"/>
    <s v="Tea"/>
    <s v="Washington"/>
    <s v="Regular"/>
    <n v="20"/>
    <n v="40"/>
    <n v="10"/>
    <n v="60"/>
    <n v="60"/>
    <n v="606"/>
    <n v="84"/>
    <n v="54"/>
    <n v="0"/>
    <n v="153"/>
    <n v="2.5499999999999998"/>
    <n v="0"/>
    <n v="3"/>
  </r>
  <r>
    <n v="360"/>
    <x v="21"/>
    <s v="West"/>
    <s v="Small Market"/>
    <s v="Chamomile"/>
    <s v="Herbal Tea"/>
    <s v="Washington"/>
    <s v="Decaf"/>
    <n v="90"/>
    <n v="160"/>
    <n v="130"/>
    <n v="250"/>
    <n v="125"/>
    <n v="1119"/>
    <n v="188"/>
    <n v="41"/>
    <n v="171"/>
    <n v="334"/>
    <n v="1.3360000000000001"/>
    <n v="1.3153846153846154"/>
    <n v="1.3888888888888888"/>
  </r>
  <r>
    <n v="509"/>
    <x v="21"/>
    <s v="West"/>
    <s v="Small Market"/>
    <s v="Lemon"/>
    <s v="Herbal Tea"/>
    <s v="Washington"/>
    <s v="Decaf"/>
    <n v="30"/>
    <n v="60"/>
    <n v="60"/>
    <n v="90"/>
    <n v="48"/>
    <n v="829"/>
    <n v="71"/>
    <n v="13"/>
    <n v="70"/>
    <n v="127"/>
    <n v="1.4111111111111112"/>
    <n v="1.1666666666666667"/>
    <n v="1.6"/>
  </r>
  <r>
    <n v="206"/>
    <x v="21"/>
    <s v="West"/>
    <s v="Small Market"/>
    <s v="Caffe Latte"/>
    <s v="Espresso"/>
    <s v="Washington"/>
    <s v="Regular"/>
    <n v="10"/>
    <n v="20"/>
    <n v="20"/>
    <n v="30"/>
    <n v="22"/>
    <n v="573"/>
    <n v="29"/>
    <n v="7"/>
    <n v="15"/>
    <n v="54"/>
    <n v="1.8"/>
    <n v="0.75"/>
    <n v="2.2000000000000002"/>
  </r>
  <r>
    <n v="425"/>
    <x v="21"/>
    <s v="West"/>
    <s v="Small Market"/>
    <s v="Caffe Mocha"/>
    <s v="Espresso"/>
    <s v="Washington"/>
    <s v="Regular"/>
    <n v="40"/>
    <n v="70"/>
    <n v="50"/>
    <n v="110"/>
    <n v="56"/>
    <n v="385"/>
    <n v="70"/>
    <n v="21"/>
    <n v="24"/>
    <n v="134"/>
    <n v="1.2181818181818183"/>
    <n v="0.48"/>
    <n v="1.4"/>
  </r>
  <r>
    <n v="360"/>
    <x v="21"/>
    <s v="West"/>
    <s v="Small Market"/>
    <s v="Decaf Espresso"/>
    <s v="Espresso"/>
    <s v="Washington"/>
    <s v="Decaf"/>
    <n v="60"/>
    <n v="90"/>
    <n v="80"/>
    <n v="150"/>
    <n v="80"/>
    <n v="1055"/>
    <n v="94"/>
    <n v="24"/>
    <n v="71"/>
    <n v="185"/>
    <n v="1.2333333333333334"/>
    <n v="0.88749999999999996"/>
    <n v="1.3333333333333333"/>
  </r>
  <r>
    <n v="360"/>
    <x v="21"/>
    <s v="West"/>
    <s v="Small Market"/>
    <s v="Columbian"/>
    <s v="Coffee"/>
    <s v="Washington"/>
    <s v="Regular"/>
    <n v="90"/>
    <n v="140"/>
    <n v="110"/>
    <n v="230"/>
    <n v="68"/>
    <n v="438"/>
    <n v="99"/>
    <n v="21"/>
    <n v="83"/>
    <n v="178"/>
    <n v="0.77391304347826084"/>
    <n v="0.75454545454545452"/>
    <n v="0.75555555555555554"/>
  </r>
  <r>
    <n v="206"/>
    <x v="21"/>
    <s v="West"/>
    <s v="Small Market"/>
    <s v="Decaf Irish Cream"/>
    <s v="Coffee"/>
    <s v="Washington"/>
    <s v="Decaf"/>
    <n v="140"/>
    <n v="190"/>
    <n v="100"/>
    <n v="330"/>
    <n v="96"/>
    <n v="683"/>
    <n v="134"/>
    <n v="87"/>
    <n v="25"/>
    <n v="245"/>
    <n v="0.74242424242424243"/>
    <n v="0.25"/>
    <n v="0.68571428571428572"/>
  </r>
  <r>
    <n v="970"/>
    <x v="22"/>
    <s v="Central"/>
    <s v="Major Market"/>
    <s v="Chamomile"/>
    <s v="Herbal Tea"/>
    <s v="Colorado"/>
    <s v="Decaf"/>
    <n v="170"/>
    <n v="160"/>
    <n v="100"/>
    <n v="330"/>
    <n v="181"/>
    <n v="1283"/>
    <n v="182"/>
    <n v="50"/>
    <n v="159"/>
    <n v="387"/>
    <n v="1.1727272727272726"/>
    <n v="1.59"/>
    <n v="1.0647058823529412"/>
  </r>
  <r>
    <n v="970"/>
    <x v="22"/>
    <s v="Central"/>
    <s v="Major Market"/>
    <s v="Lemon"/>
    <s v="Herbal Tea"/>
    <s v="Colorado"/>
    <s v="Decaf"/>
    <n v="40"/>
    <n v="70"/>
    <n v="10"/>
    <n v="110"/>
    <n v="52"/>
    <n v="509"/>
    <n v="73"/>
    <n v="47"/>
    <n v="-6"/>
    <n v="133"/>
    <n v="1.209090909090909"/>
    <n v="-0.6"/>
    <n v="1.3"/>
  </r>
  <r>
    <n v="970"/>
    <x v="22"/>
    <s v="Central"/>
    <s v="Major Market"/>
    <s v="Mint"/>
    <s v="Herbal Tea"/>
    <s v="Colorado"/>
    <s v="Decaf"/>
    <n v="50"/>
    <n v="70"/>
    <n v="40"/>
    <n v="120"/>
    <n v="59"/>
    <n v="411"/>
    <n v="79"/>
    <n v="19"/>
    <n v="47"/>
    <n v="147"/>
    <n v="1.2250000000000001"/>
    <n v="1.175"/>
    <n v="1.18"/>
  </r>
  <r>
    <n v="719"/>
    <x v="22"/>
    <s v="Central"/>
    <s v="Major Market"/>
    <s v="Darjeeling"/>
    <s v="Tea"/>
    <s v="Colorado"/>
    <s v="Regular"/>
    <n v="40"/>
    <n v="60"/>
    <n v="20"/>
    <n v="100"/>
    <n v="55"/>
    <n v="410"/>
    <n v="69"/>
    <n v="20"/>
    <n v="22"/>
    <n v="132"/>
    <n v="1.32"/>
    <n v="1.1000000000000001"/>
    <n v="1.375"/>
  </r>
  <r>
    <n v="719"/>
    <x v="22"/>
    <s v="Central"/>
    <s v="Major Market"/>
    <s v="Earl Grey"/>
    <s v="Tea"/>
    <s v="Colorado"/>
    <s v="Regular"/>
    <n v="40"/>
    <n v="60"/>
    <n v="30"/>
    <n v="100"/>
    <n v="57"/>
    <n v="1042"/>
    <n v="68"/>
    <n v="17"/>
    <n v="43"/>
    <n v="133"/>
    <n v="1.33"/>
    <n v="1.4333333333333333"/>
    <n v="1.425"/>
  </r>
  <r>
    <n v="970"/>
    <x v="22"/>
    <s v="Central"/>
    <s v="Major Market"/>
    <s v="Green Tea"/>
    <s v="Tea"/>
    <s v="Colorado"/>
    <s v="Regular"/>
    <n v="70"/>
    <n v="90"/>
    <n v="60"/>
    <n v="160"/>
    <n v="88"/>
    <n v="561"/>
    <n v="112"/>
    <n v="29"/>
    <n v="104"/>
    <n v="213"/>
    <n v="1.33125"/>
    <n v="1.7333333333333334"/>
    <n v="1.2571428571428571"/>
  </r>
  <r>
    <n v="303"/>
    <x v="22"/>
    <s v="Central"/>
    <s v="Major Market"/>
    <s v="Caffe Mocha"/>
    <s v="Espresso"/>
    <s v="Colorado"/>
    <s v="Regular"/>
    <n v="60"/>
    <n v="90"/>
    <n v="70"/>
    <n v="150"/>
    <n v="50"/>
    <n v="589"/>
    <n v="73"/>
    <n v="14"/>
    <n v="71"/>
    <n v="131"/>
    <n v="0.87333333333333329"/>
    <n v="1.0142857142857142"/>
    <n v="0.83333333333333337"/>
  </r>
  <r>
    <n v="970"/>
    <x v="22"/>
    <s v="Central"/>
    <s v="Major Market"/>
    <s v="Decaf Espresso"/>
    <s v="Espresso"/>
    <s v="Colorado"/>
    <s v="Decaf"/>
    <n v="90"/>
    <n v="150"/>
    <n v="100"/>
    <n v="240"/>
    <n v="75"/>
    <n v="659"/>
    <n v="114"/>
    <n v="24"/>
    <n v="86"/>
    <n v="201"/>
    <n v="0.83750000000000002"/>
    <n v="0.86"/>
    <n v="0.83333333333333337"/>
  </r>
  <r>
    <n v="719"/>
    <x v="22"/>
    <s v="Central"/>
    <s v="Major Market"/>
    <s v="Amaretto"/>
    <s v="Coffee"/>
    <s v="Colorado"/>
    <s v="Regular"/>
    <n v="110"/>
    <n v="170"/>
    <n v="130"/>
    <n v="280"/>
    <n v="118"/>
    <n v="930"/>
    <n v="172"/>
    <n v="33"/>
    <n v="190"/>
    <n v="309"/>
    <n v="1.1035714285714286"/>
    <n v="1.4615384615384615"/>
    <n v="1.0727272727272728"/>
  </r>
  <r>
    <n v="719"/>
    <x v="22"/>
    <s v="Central"/>
    <s v="Major Market"/>
    <s v="Columbian"/>
    <s v="Coffee"/>
    <s v="Colorado"/>
    <s v="Regular"/>
    <n v="30"/>
    <n v="60"/>
    <n v="40"/>
    <n v="90"/>
    <n v="40"/>
    <n v="536"/>
    <n v="52"/>
    <n v="13"/>
    <n v="40"/>
    <n v="98"/>
    <n v="1.0888888888888888"/>
    <n v="1"/>
    <n v="1.3333333333333333"/>
  </r>
  <r>
    <n v="720"/>
    <x v="22"/>
    <s v="Central"/>
    <s v="Major Market"/>
    <s v="Decaf Irish Cream"/>
    <s v="Coffee"/>
    <s v="Colorado"/>
    <s v="Decaf"/>
    <n v="80"/>
    <n v="110"/>
    <n v="80"/>
    <n v="190"/>
    <n v="81"/>
    <n v="984"/>
    <n v="117"/>
    <n v="22"/>
    <n v="125"/>
    <n v="211"/>
    <n v="1.1105263157894736"/>
    <n v="1.5625"/>
    <n v="1.0125"/>
  </r>
  <r>
    <n v="708"/>
    <x v="22"/>
    <s v="Central"/>
    <s v="Major Market"/>
    <s v="Chamomile"/>
    <s v="Herbal Tea"/>
    <s v="Illinois"/>
    <s v="Decaf"/>
    <n v="110"/>
    <n v="150"/>
    <n v="110"/>
    <n v="260"/>
    <n v="118"/>
    <n v="930"/>
    <n v="172"/>
    <n v="33"/>
    <n v="188"/>
    <n v="309"/>
    <n v="1.1884615384615385"/>
    <n v="1.709090909090909"/>
    <n v="1.0727272727272728"/>
  </r>
  <r>
    <n v="312"/>
    <x v="22"/>
    <s v="Central"/>
    <s v="Major Market"/>
    <s v="Lemon"/>
    <s v="Herbal Tea"/>
    <s v="Illinois"/>
    <s v="Decaf"/>
    <n v="30"/>
    <n v="50"/>
    <n v="30"/>
    <n v="80"/>
    <n v="40"/>
    <n v="536"/>
    <n v="52"/>
    <n v="13"/>
    <n v="40"/>
    <n v="98"/>
    <n v="1.2250000000000001"/>
    <n v="1.3333333333333333"/>
    <n v="1.3333333333333333"/>
  </r>
  <r>
    <n v="708"/>
    <x v="22"/>
    <s v="Central"/>
    <s v="Major Market"/>
    <s v="Mint"/>
    <s v="Herbal Tea"/>
    <s v="Illinois"/>
    <s v="Decaf"/>
    <n v="70"/>
    <n v="110"/>
    <n v="80"/>
    <n v="180"/>
    <n v="81"/>
    <n v="984"/>
    <n v="117"/>
    <n v="22"/>
    <n v="125"/>
    <n v="211"/>
    <n v="1.1722222222222223"/>
    <n v="1.5625"/>
    <n v="1.1571428571428573"/>
  </r>
  <r>
    <n v="708"/>
    <x v="22"/>
    <s v="Central"/>
    <s v="Major Market"/>
    <s v="Darjeeling"/>
    <s v="Tea"/>
    <s v="Illinois"/>
    <s v="Regular"/>
    <n v="40"/>
    <n v="60"/>
    <n v="40"/>
    <n v="100"/>
    <n v="50"/>
    <n v="589"/>
    <n v="73"/>
    <n v="14"/>
    <n v="71"/>
    <n v="131"/>
    <n v="1.31"/>
    <n v="1.7749999999999999"/>
    <n v="1.25"/>
  </r>
  <r>
    <n v="309"/>
    <x v="22"/>
    <s v="Central"/>
    <s v="Major Market"/>
    <s v="Earl Grey"/>
    <s v="Tea"/>
    <s v="Illinois"/>
    <s v="Regular"/>
    <n v="60"/>
    <n v="90"/>
    <n v="50"/>
    <n v="150"/>
    <n v="75"/>
    <n v="659"/>
    <n v="114"/>
    <n v="24"/>
    <n v="88"/>
    <n v="201"/>
    <n v="1.34"/>
    <n v="1.76"/>
    <n v="1.25"/>
  </r>
  <r>
    <n v="630"/>
    <x v="22"/>
    <s v="Central"/>
    <s v="Major Market"/>
    <s v="Caffe Mocha"/>
    <s v="Espresso"/>
    <s v="Illinois"/>
    <s v="Regular"/>
    <n v="290"/>
    <n v="390"/>
    <n v="290"/>
    <n v="680"/>
    <n v="228"/>
    <n v="1691"/>
    <n v="304"/>
    <n v="75"/>
    <n v="291"/>
    <n v="567"/>
    <n v="0.83382352941176474"/>
    <n v="1.0034482758620689"/>
    <n v="0.78620689655172415"/>
  </r>
  <r>
    <n v="847"/>
    <x v="22"/>
    <s v="Central"/>
    <s v="Major Market"/>
    <s v="Decaf Espresso"/>
    <s v="Espresso"/>
    <s v="Illinois"/>
    <s v="Decaf"/>
    <n v="270"/>
    <n v="270"/>
    <n v="200"/>
    <n v="540"/>
    <n v="211"/>
    <n v="1778"/>
    <n v="212"/>
    <n v="59"/>
    <n v="191"/>
    <n v="451"/>
    <n v="0.83518518518518514"/>
    <n v="0.95499999999999996"/>
    <n v="0.78148148148148144"/>
  </r>
  <r>
    <n v="815"/>
    <x v="22"/>
    <s v="Central"/>
    <s v="Major Market"/>
    <s v="Columbian"/>
    <s v="Coffee"/>
    <s v="Illinois"/>
    <s v="Regular"/>
    <n v="170"/>
    <n v="230"/>
    <n v="140"/>
    <n v="400"/>
    <n v="173"/>
    <n v="1150"/>
    <n v="239"/>
    <n v="57"/>
    <n v="206"/>
    <n v="439"/>
    <n v="1.0974999999999999"/>
    <n v="1.4714285714285715"/>
    <n v="1.0176470588235293"/>
  </r>
  <r>
    <n v="847"/>
    <x v="22"/>
    <s v="Central"/>
    <s v="Major Market"/>
    <s v="Decaf Irish Cream"/>
    <s v="Coffee"/>
    <s v="Illinois"/>
    <s v="Decaf"/>
    <n v="110"/>
    <n v="160"/>
    <n v="110"/>
    <n v="270"/>
    <n v="113"/>
    <n v="803"/>
    <n v="165"/>
    <n v="36"/>
    <n v="157"/>
    <n v="296"/>
    <n v="1.0962962962962963"/>
    <n v="1.4272727272727272"/>
    <n v="1.0272727272727273"/>
  </r>
  <r>
    <n v="641"/>
    <x v="22"/>
    <s v="Central"/>
    <s v="Small Market"/>
    <s v="Chamomile"/>
    <s v="Herbal Tea"/>
    <s v="Iowa"/>
    <s v="Decaf"/>
    <n v="210"/>
    <n v="280"/>
    <n v="180"/>
    <n v="490"/>
    <n v="228"/>
    <n v="1691"/>
    <n v="304"/>
    <n v="75"/>
    <n v="291"/>
    <n v="567"/>
    <n v="1.1571428571428573"/>
    <n v="1.6166666666666667"/>
    <n v="1.0857142857142856"/>
  </r>
  <r>
    <n v="641"/>
    <x v="22"/>
    <s v="Central"/>
    <s v="Small Market"/>
    <s v="Lemon"/>
    <s v="Herbal Tea"/>
    <s v="Iowa"/>
    <s v="Decaf"/>
    <n v="100"/>
    <n v="150"/>
    <n v="100"/>
    <n v="250"/>
    <n v="113"/>
    <n v="803"/>
    <n v="165"/>
    <n v="36"/>
    <n v="159"/>
    <n v="296"/>
    <n v="1.1839999999999999"/>
    <n v="1.59"/>
    <n v="1.1299999999999999"/>
  </r>
  <r>
    <n v="563"/>
    <x v="22"/>
    <s v="Central"/>
    <s v="Small Market"/>
    <s v="Darjeeling"/>
    <s v="Tea"/>
    <s v="Iowa"/>
    <s v="Regular"/>
    <n v="170"/>
    <n v="180"/>
    <n v="110"/>
    <n v="350"/>
    <n v="211"/>
    <n v="1778"/>
    <n v="212"/>
    <n v="59"/>
    <n v="191"/>
    <n v="451"/>
    <n v="1.2885714285714285"/>
    <n v="1.7363636363636363"/>
    <n v="1.2411764705882353"/>
  </r>
  <r>
    <n v="641"/>
    <x v="22"/>
    <s v="Central"/>
    <s v="Small Market"/>
    <s v="Earl Grey"/>
    <s v="Tea"/>
    <s v="Iowa"/>
    <s v="Regular"/>
    <n v="200"/>
    <n v="250"/>
    <n v="130"/>
    <n v="450"/>
    <n v="245"/>
    <n v="1784"/>
    <n v="300"/>
    <n v="93"/>
    <n v="257"/>
    <n v="581"/>
    <n v="1.2911111111111111"/>
    <n v="1.976923076923077"/>
    <n v="1.2250000000000001"/>
  </r>
  <r>
    <n v="515"/>
    <x v="22"/>
    <s v="Central"/>
    <s v="Small Market"/>
    <s v="Caffe Mocha"/>
    <s v="Espresso"/>
    <s v="Iowa"/>
    <s v="Regular"/>
    <n v="20"/>
    <n v="50"/>
    <n v="40"/>
    <n v="70"/>
    <n v="22"/>
    <n v="802"/>
    <n v="34"/>
    <n v="6"/>
    <n v="24"/>
    <n v="60"/>
    <n v="0.8571428571428571"/>
    <n v="0.6"/>
    <n v="1.1000000000000001"/>
  </r>
  <r>
    <n v="515"/>
    <x v="22"/>
    <s v="Central"/>
    <s v="Small Market"/>
    <s v="Decaf Espresso"/>
    <s v="Espresso"/>
    <s v="Iowa"/>
    <s v="Decaf"/>
    <n v="0"/>
    <n v="50"/>
    <n v="40"/>
    <n v="50"/>
    <n v="0"/>
    <n v="387"/>
    <n v="43"/>
    <n v="0"/>
    <n v="46"/>
    <n v="46"/>
    <n v="0.92"/>
    <n v="1.1499999999999999"/>
    <m/>
  </r>
  <r>
    <n v="712"/>
    <x v="22"/>
    <s v="Central"/>
    <s v="Small Market"/>
    <s v="Amaretto"/>
    <s v="Coffee"/>
    <s v="Iowa"/>
    <s v="Regular"/>
    <n v="10"/>
    <n v="20"/>
    <n v="10"/>
    <n v="30"/>
    <n v="15"/>
    <n v="848"/>
    <n v="24"/>
    <n v="4"/>
    <n v="12"/>
    <n v="42"/>
    <n v="1.4"/>
    <n v="1.2"/>
    <n v="1.5"/>
  </r>
  <r>
    <n v="515"/>
    <x v="22"/>
    <s v="Central"/>
    <s v="Small Market"/>
    <s v="Columbian"/>
    <s v="Coffee"/>
    <s v="Iowa"/>
    <s v="Regular"/>
    <n v="20"/>
    <n v="40"/>
    <n v="20"/>
    <n v="60"/>
    <n v="29"/>
    <n v="1003"/>
    <n v="35"/>
    <n v="8"/>
    <n v="7"/>
    <n v="68"/>
    <n v="1.1333333333333333"/>
    <n v="0.35"/>
    <n v="1.45"/>
  </r>
  <r>
    <n v="319"/>
    <x v="22"/>
    <s v="Central"/>
    <s v="Small Market"/>
    <s v="Decaf Irish Cream"/>
    <s v="Coffee"/>
    <s v="Iowa"/>
    <s v="Decaf"/>
    <n v="0"/>
    <n v="20"/>
    <n v="10"/>
    <n v="20"/>
    <n v="10"/>
    <n v="596"/>
    <n v="13"/>
    <n v="3"/>
    <n v="-4"/>
    <n v="25"/>
    <n v="1.25"/>
    <n v="-0.4"/>
    <m/>
  </r>
  <r>
    <n v="314"/>
    <x v="22"/>
    <s v="Central"/>
    <s v="Small Market"/>
    <s v="Chamomile"/>
    <s v="Herbal Tea"/>
    <s v="Missouri"/>
    <s v="Decaf"/>
    <n v="40"/>
    <n v="50"/>
    <n v="0"/>
    <n v="90"/>
    <n v="44"/>
    <n v="325"/>
    <n v="62"/>
    <n v="40"/>
    <n v="-12"/>
    <n v="113"/>
    <n v="1.2555555555555555"/>
    <m/>
    <n v="1.1000000000000001"/>
  </r>
  <r>
    <n v="314"/>
    <x v="22"/>
    <s v="Central"/>
    <s v="Small Market"/>
    <s v="Lemon"/>
    <s v="Herbal Tea"/>
    <s v="Missouri"/>
    <s v="Decaf"/>
    <n v="70"/>
    <n v="40"/>
    <n v="0"/>
    <n v="110"/>
    <n v="82"/>
    <n v="1804"/>
    <n v="40"/>
    <n v="25"/>
    <n v="-13"/>
    <n v="130"/>
    <n v="1.1818181818181819"/>
    <m/>
    <n v="1.1714285714285715"/>
  </r>
  <r>
    <n v="636"/>
    <x v="22"/>
    <s v="Central"/>
    <s v="Small Market"/>
    <s v="Darjeeling"/>
    <s v="Tea"/>
    <s v="Missouri"/>
    <s v="Regular"/>
    <n v="20"/>
    <n v="40"/>
    <n v="10"/>
    <n v="60"/>
    <n v="35"/>
    <n v="248"/>
    <n v="47"/>
    <n v="11"/>
    <n v="13"/>
    <n v="87"/>
    <n v="1.45"/>
    <n v="1.3"/>
    <n v="1.75"/>
  </r>
  <r>
    <n v="573"/>
    <x v="22"/>
    <s v="Central"/>
    <s v="Small Market"/>
    <s v="Earl Grey"/>
    <s v="Tea"/>
    <s v="Missouri"/>
    <s v="Regular"/>
    <n v="20"/>
    <n v="40"/>
    <n v="0"/>
    <n v="60"/>
    <n v="34"/>
    <n v="211"/>
    <n v="42"/>
    <n v="12"/>
    <n v="-4"/>
    <n v="81"/>
    <n v="1.35"/>
    <m/>
    <n v="1.7"/>
  </r>
  <r>
    <n v="314"/>
    <x v="22"/>
    <s v="Central"/>
    <s v="Small Market"/>
    <s v="Green Tea"/>
    <s v="Tea"/>
    <s v="Missouri"/>
    <s v="Regular"/>
    <n v="20"/>
    <n v="40"/>
    <n v="0"/>
    <n v="60"/>
    <n v="33"/>
    <n v="243"/>
    <n v="41"/>
    <n v="12"/>
    <n v="-6"/>
    <n v="79"/>
    <n v="1.3166666666666667"/>
    <m/>
    <n v="1.65"/>
  </r>
  <r>
    <n v="573"/>
    <x v="22"/>
    <s v="Central"/>
    <s v="Small Market"/>
    <s v="Caffe Mocha"/>
    <s v="Espresso"/>
    <s v="Missouri"/>
    <s v="Regular"/>
    <n v="60"/>
    <n v="100"/>
    <n v="80"/>
    <n v="160"/>
    <n v="54"/>
    <n v="885"/>
    <n v="78"/>
    <n v="15"/>
    <n v="76"/>
    <n v="141"/>
    <n v="0.88124999999999998"/>
    <n v="0.95"/>
    <n v="0.9"/>
  </r>
  <r>
    <n v="636"/>
    <x v="22"/>
    <s v="Central"/>
    <s v="Small Market"/>
    <s v="Decaf Espresso"/>
    <s v="Espresso"/>
    <s v="Missouri"/>
    <s v="Decaf"/>
    <n v="40"/>
    <n v="60"/>
    <n v="50"/>
    <n v="100"/>
    <n v="33"/>
    <n v="836"/>
    <n v="48"/>
    <n v="9"/>
    <n v="40"/>
    <n v="86"/>
    <n v="0.86"/>
    <n v="0.8"/>
    <n v="0.82499999999999996"/>
  </r>
  <r>
    <n v="573"/>
    <x v="22"/>
    <s v="Central"/>
    <s v="Small Market"/>
    <s v="Columbian"/>
    <s v="Coffee"/>
    <s v="Missouri"/>
    <s v="Regular"/>
    <n v="80"/>
    <n v="100"/>
    <n v="40"/>
    <n v="180"/>
    <n v="82"/>
    <n v="601"/>
    <n v="102"/>
    <n v="31"/>
    <n v="56"/>
    <n v="196"/>
    <n v="1.0888888888888888"/>
    <n v="1.4"/>
    <n v="1.0249999999999999"/>
  </r>
  <r>
    <n v="417"/>
    <x v="22"/>
    <s v="Central"/>
    <s v="Small Market"/>
    <s v="Decaf Irish Cream"/>
    <s v="Coffee"/>
    <s v="Missouri"/>
    <s v="Decaf"/>
    <n v="60"/>
    <n v="80"/>
    <n v="40"/>
    <n v="140"/>
    <n v="69"/>
    <n v="1060"/>
    <n v="81"/>
    <n v="21"/>
    <n v="56"/>
    <n v="160"/>
    <n v="1.1428571428571428"/>
    <n v="1.4"/>
    <n v="1.1499999999999999"/>
  </r>
  <r>
    <n v="440"/>
    <x v="22"/>
    <s v="Central"/>
    <s v="Major Market"/>
    <s v="Chamomile"/>
    <s v="Herbal Tea"/>
    <s v="Ohio"/>
    <s v="Decaf"/>
    <n v="30"/>
    <n v="40"/>
    <n v="30"/>
    <n v="70"/>
    <n v="32"/>
    <n v="482"/>
    <n v="48"/>
    <n v="8"/>
    <n v="43"/>
    <n v="85"/>
    <n v="1.2142857142857142"/>
    <n v="1.4333333333333333"/>
    <n v="1.0666666666666667"/>
  </r>
  <r>
    <n v="419"/>
    <x v="22"/>
    <s v="Central"/>
    <s v="Major Market"/>
    <s v="Lemon"/>
    <s v="Herbal Tea"/>
    <s v="Ohio"/>
    <s v="Decaf"/>
    <n v="30"/>
    <n v="50"/>
    <n v="40"/>
    <n v="80"/>
    <n v="36"/>
    <n v="862"/>
    <n v="52"/>
    <n v="10"/>
    <n v="45"/>
    <n v="94"/>
    <n v="1.175"/>
    <n v="1.125"/>
    <n v="1.2"/>
  </r>
  <r>
    <n v="614"/>
    <x v="22"/>
    <s v="Central"/>
    <s v="Major Market"/>
    <s v="Darjeeling"/>
    <s v="Tea"/>
    <s v="Ohio"/>
    <s v="Regular"/>
    <n v="60"/>
    <n v="100"/>
    <n v="60"/>
    <n v="160"/>
    <n v="78"/>
    <n v="798"/>
    <n v="119"/>
    <n v="25"/>
    <n v="92"/>
    <n v="210"/>
    <n v="1.3125"/>
    <n v="1.5333333333333334"/>
    <n v="1.3"/>
  </r>
  <r>
    <n v="740"/>
    <x v="22"/>
    <s v="Central"/>
    <s v="Major Market"/>
    <s v="Earl Grey"/>
    <s v="Tea"/>
    <s v="Ohio"/>
    <s v="Regular"/>
    <n v="80"/>
    <n v="120"/>
    <n v="70"/>
    <n v="200"/>
    <n v="102"/>
    <n v="666"/>
    <n v="143"/>
    <n v="31"/>
    <n v="132"/>
    <n v="261"/>
    <n v="1.3049999999999999"/>
    <n v="1.8857142857142857"/>
    <n v="1.2749999999999999"/>
  </r>
  <r>
    <n v="234"/>
    <x v="22"/>
    <s v="Central"/>
    <s v="Major Market"/>
    <s v="Caffe Mocha"/>
    <s v="Espresso"/>
    <s v="Ohio"/>
    <s v="Regular"/>
    <n v="230"/>
    <n v="230"/>
    <n v="170"/>
    <n v="460"/>
    <n v="181"/>
    <n v="1283"/>
    <n v="182"/>
    <n v="50"/>
    <n v="159"/>
    <n v="387"/>
    <n v="0.84130434782608698"/>
    <n v="0.93529411764705883"/>
    <n v="0.78695652173913044"/>
  </r>
  <r>
    <n v="937"/>
    <x v="22"/>
    <s v="Central"/>
    <s v="Major Market"/>
    <s v="Decaf Espresso"/>
    <s v="Espresso"/>
    <s v="Ohio"/>
    <s v="Decaf"/>
    <n v="70"/>
    <n v="80"/>
    <n v="40"/>
    <n v="150"/>
    <n v="55"/>
    <n v="410"/>
    <n v="69"/>
    <n v="20"/>
    <n v="24"/>
    <n v="132"/>
    <n v="0.88"/>
    <n v="0.6"/>
    <n v="0.7857142857142857"/>
  </r>
  <r>
    <n v="234"/>
    <x v="22"/>
    <s v="Central"/>
    <s v="Major Market"/>
    <s v="Amaretto"/>
    <s v="Coffee"/>
    <s v="Ohio"/>
    <s v="Regular"/>
    <n v="50"/>
    <n v="80"/>
    <n v="50"/>
    <n v="130"/>
    <n v="59"/>
    <n v="411"/>
    <n v="79"/>
    <n v="19"/>
    <n v="49"/>
    <n v="147"/>
    <n v="1.1307692307692307"/>
    <n v="0.98"/>
    <n v="1.18"/>
  </r>
  <r>
    <n v="234"/>
    <x v="22"/>
    <s v="Central"/>
    <s v="Major Market"/>
    <s v="Columbian"/>
    <s v="Coffee"/>
    <s v="Ohio"/>
    <s v="Regular"/>
    <n v="40"/>
    <n v="70"/>
    <n v="40"/>
    <n v="110"/>
    <n v="46"/>
    <n v="424"/>
    <n v="68"/>
    <n v="14"/>
    <n v="47"/>
    <n v="121"/>
    <n v="1.1000000000000001"/>
    <n v="1.175"/>
    <n v="1.1499999999999999"/>
  </r>
  <r>
    <n v="614"/>
    <x v="22"/>
    <s v="Central"/>
    <s v="Major Market"/>
    <s v="Decaf Irish Cream"/>
    <s v="Coffee"/>
    <s v="Ohio"/>
    <s v="Decaf"/>
    <n v="50"/>
    <n v="70"/>
    <n v="10"/>
    <n v="120"/>
    <n v="52"/>
    <n v="509"/>
    <n v="73"/>
    <n v="47"/>
    <n v="-4"/>
    <n v="133"/>
    <n v="1.1083333333333334"/>
    <n v="-0.4"/>
    <n v="1.04"/>
  </r>
  <r>
    <n v="262"/>
    <x v="22"/>
    <s v="Central"/>
    <s v="Small Market"/>
    <s v="Chamomile"/>
    <s v="Herbal Tea"/>
    <s v="Wisconsin"/>
    <s v="Decaf"/>
    <n v="50"/>
    <n v="80"/>
    <n v="50"/>
    <n v="130"/>
    <n v="53"/>
    <n v="321"/>
    <n v="88"/>
    <n v="16"/>
    <n v="71"/>
    <n v="150"/>
    <n v="1.1538461538461537"/>
    <n v="1.42"/>
    <n v="1.06"/>
  </r>
  <r>
    <n v="715"/>
    <x v="22"/>
    <s v="Central"/>
    <s v="Small Market"/>
    <s v="Lemon"/>
    <s v="Herbal Tea"/>
    <s v="Wisconsin"/>
    <s v="Decaf"/>
    <n v="20"/>
    <n v="50"/>
    <n v="40"/>
    <n v="70"/>
    <n v="31"/>
    <n v="856"/>
    <n v="47"/>
    <n v="8"/>
    <n v="40"/>
    <n v="83"/>
    <n v="1.1857142857142857"/>
    <n v="1"/>
    <n v="1.55"/>
  </r>
  <r>
    <n v="715"/>
    <x v="22"/>
    <s v="Central"/>
    <s v="Small Market"/>
    <s v="Darjeeling"/>
    <s v="Tea"/>
    <s v="Wisconsin"/>
    <s v="Regular"/>
    <n v="40"/>
    <n v="50"/>
    <n v="20"/>
    <n v="90"/>
    <n v="49"/>
    <n v="454"/>
    <n v="71"/>
    <n v="15"/>
    <n v="49"/>
    <n v="128"/>
    <n v="1.4222222222222223"/>
    <n v="2.4500000000000002"/>
    <n v="1.2250000000000001"/>
  </r>
  <r>
    <n v="715"/>
    <x v="22"/>
    <s v="Central"/>
    <s v="Small Market"/>
    <s v="Earl Grey"/>
    <s v="Tea"/>
    <s v="Wisconsin"/>
    <s v="Regular"/>
    <n v="50"/>
    <n v="70"/>
    <n v="0"/>
    <n v="120"/>
    <n v="61"/>
    <n v="613"/>
    <n v="86"/>
    <n v="55"/>
    <n v="3"/>
    <n v="157"/>
    <n v="1.3083333333333333"/>
    <m/>
    <n v="1.22"/>
  </r>
  <r>
    <n v="715"/>
    <x v="22"/>
    <s v="Central"/>
    <s v="Small Market"/>
    <s v="Caffe Mocha"/>
    <s v="Espresso"/>
    <s v="Wisconsin"/>
    <s v="Regular"/>
    <n v="90"/>
    <n v="110"/>
    <n v="70"/>
    <n v="200"/>
    <n v="75"/>
    <n v="1063"/>
    <n v="89"/>
    <n v="23"/>
    <n v="67"/>
    <n v="175"/>
    <n v="0.875"/>
    <n v="0.95714285714285718"/>
    <n v="0.83333333333333337"/>
  </r>
  <r>
    <n v="920"/>
    <x v="22"/>
    <s v="Central"/>
    <s v="Small Market"/>
    <s v="Decaf Espresso"/>
    <s v="Espresso"/>
    <s v="Wisconsin"/>
    <s v="Decaf"/>
    <n v="20"/>
    <n v="40"/>
    <n v="30"/>
    <n v="60"/>
    <n v="22"/>
    <n v="570"/>
    <n v="30"/>
    <n v="7"/>
    <n v="16"/>
    <n v="55"/>
    <n v="0.91666666666666663"/>
    <n v="0.53333333333333333"/>
    <n v="1.1000000000000001"/>
  </r>
  <r>
    <n v="262"/>
    <x v="22"/>
    <s v="Central"/>
    <s v="Small Market"/>
    <s v="Amaretto"/>
    <s v="Coffee"/>
    <s v="Wisconsin"/>
    <s v="Regular"/>
    <n v="50"/>
    <n v="60"/>
    <n v="20"/>
    <n v="110"/>
    <n v="54"/>
    <n v="391"/>
    <n v="67"/>
    <n v="20"/>
    <n v="21"/>
    <n v="129"/>
    <n v="1.1727272727272726"/>
    <n v="1.05"/>
    <n v="1.08"/>
  </r>
  <r>
    <n v="608"/>
    <x v="22"/>
    <s v="Central"/>
    <s v="Small Market"/>
    <s v="Columbian"/>
    <s v="Coffee"/>
    <s v="Wisconsin"/>
    <s v="Regular"/>
    <n v="90"/>
    <n v="130"/>
    <n v="30"/>
    <n v="220"/>
    <n v="94"/>
    <n v="694"/>
    <n v="130"/>
    <n v="85"/>
    <n v="24"/>
    <n v="239"/>
    <n v="1.0863636363636364"/>
    <n v="0.8"/>
    <n v="1.0444444444444445"/>
  </r>
  <r>
    <n v="920"/>
    <x v="22"/>
    <s v="Central"/>
    <s v="Small Market"/>
    <s v="Decaf Irish Cream"/>
    <s v="Coffee"/>
    <s v="Wisconsin"/>
    <s v="Decaf"/>
    <n v="70"/>
    <n v="100"/>
    <n v="60"/>
    <n v="170"/>
    <n v="77"/>
    <n v="557"/>
    <n v="103"/>
    <n v="25"/>
    <n v="76"/>
    <n v="192"/>
    <n v="1.1294117647058823"/>
    <n v="1.2666666666666666"/>
    <n v="1.1000000000000001"/>
  </r>
  <r>
    <n v="475"/>
    <x v="22"/>
    <s v="East"/>
    <s v="Small Market"/>
    <s v="Lemon"/>
    <s v="Herbal Tea"/>
    <s v="Connecticut"/>
    <s v="Decaf"/>
    <n v="60"/>
    <n v="70"/>
    <n v="30"/>
    <n v="130"/>
    <n v="82"/>
    <n v="601"/>
    <n v="102"/>
    <n v="31"/>
    <n v="56"/>
    <n v="196"/>
    <n v="1.5076923076923077"/>
    <n v="1.8666666666666667"/>
    <n v="1.3666666666666667"/>
  </r>
  <r>
    <n v="959"/>
    <x v="22"/>
    <s v="East"/>
    <s v="Small Market"/>
    <s v="Mint"/>
    <s v="Herbal Tea"/>
    <s v="Connecticut"/>
    <s v="Decaf"/>
    <n v="50"/>
    <n v="50"/>
    <n v="30"/>
    <n v="100"/>
    <n v="69"/>
    <n v="1060"/>
    <n v="81"/>
    <n v="21"/>
    <n v="56"/>
    <n v="160"/>
    <n v="1.6"/>
    <n v="1.8666666666666667"/>
    <n v="1.38"/>
  </r>
  <r>
    <n v="860"/>
    <x v="22"/>
    <s v="East"/>
    <s v="Small Market"/>
    <s v="Darjeeling"/>
    <s v="Tea"/>
    <s v="Connecticut"/>
    <s v="Regular"/>
    <n v="50"/>
    <n v="80"/>
    <n v="60"/>
    <n v="130"/>
    <n v="54"/>
    <n v="885"/>
    <n v="78"/>
    <n v="15"/>
    <n v="76"/>
    <n v="141"/>
    <n v="1.0846153846153845"/>
    <n v="1.2666666666666666"/>
    <n v="1.08"/>
  </r>
  <r>
    <n v="203"/>
    <x v="22"/>
    <s v="East"/>
    <s v="Small Market"/>
    <s v="Green Tea"/>
    <s v="Tea"/>
    <s v="Connecticut"/>
    <s v="Regular"/>
    <n v="30"/>
    <n v="60"/>
    <n v="40"/>
    <n v="90"/>
    <n v="36"/>
    <n v="809"/>
    <n v="54"/>
    <n v="10"/>
    <n v="49"/>
    <n v="96"/>
    <n v="1.0666666666666667"/>
    <n v="1.2250000000000001"/>
    <n v="1.2"/>
  </r>
  <r>
    <n v="475"/>
    <x v="22"/>
    <s v="East"/>
    <s v="Small Market"/>
    <s v="Caffe Mocha"/>
    <s v="Espresso"/>
    <s v="Connecticut"/>
    <s v="Regular"/>
    <n v="60"/>
    <n v="80"/>
    <n v="10"/>
    <n v="140"/>
    <n v="61"/>
    <n v="613"/>
    <n v="86"/>
    <n v="55"/>
    <n v="3"/>
    <n v="157"/>
    <n v="1.1214285714285714"/>
    <n v="0.3"/>
    <n v="1.0166666666666666"/>
  </r>
  <r>
    <n v="203"/>
    <x v="22"/>
    <s v="East"/>
    <s v="Small Market"/>
    <s v="Decaf Espresso"/>
    <s v="Espresso"/>
    <s v="Connecticut"/>
    <s v="Decaf"/>
    <n v="50"/>
    <n v="70"/>
    <n v="40"/>
    <n v="120"/>
    <n v="53"/>
    <n v="380"/>
    <n v="71"/>
    <n v="17"/>
    <n v="39"/>
    <n v="132"/>
    <n v="1.1000000000000001"/>
    <n v="0.97499999999999998"/>
    <n v="1.06"/>
  </r>
  <r>
    <n v="203"/>
    <x v="22"/>
    <s v="East"/>
    <s v="Small Market"/>
    <s v="Columbian"/>
    <s v="Coffee"/>
    <s v="Connecticut"/>
    <s v="Regular"/>
    <n v="110"/>
    <n v="180"/>
    <n v="130"/>
    <n v="290"/>
    <n v="130"/>
    <n v="1134"/>
    <n v="195"/>
    <n v="42"/>
    <n v="181"/>
    <n v="346"/>
    <n v="1.193103448275862"/>
    <n v="1.3923076923076922"/>
    <n v="1.1818181818181819"/>
  </r>
  <r>
    <n v="727"/>
    <x v="22"/>
    <s v="East"/>
    <s v="Major Market"/>
    <s v="Chamomile"/>
    <s v="Herbal Tea"/>
    <s v="Florida"/>
    <s v="Decaf"/>
    <n v="10"/>
    <n v="20"/>
    <n v="10"/>
    <n v="30"/>
    <n v="22"/>
    <n v="570"/>
    <n v="30"/>
    <n v="7"/>
    <n v="16"/>
    <n v="55"/>
    <n v="1.8333333333333333"/>
    <n v="1.6"/>
    <n v="2.2000000000000002"/>
  </r>
  <r>
    <n v="561"/>
    <x v="22"/>
    <s v="East"/>
    <s v="Major Market"/>
    <s v="Lemon"/>
    <s v="Herbal Tea"/>
    <s v="Florida"/>
    <s v="Decaf"/>
    <n v="40"/>
    <n v="40"/>
    <n v="10"/>
    <n v="80"/>
    <n v="54"/>
    <n v="391"/>
    <n v="67"/>
    <n v="20"/>
    <n v="19"/>
    <n v="129"/>
    <n v="1.6125"/>
    <n v="1.9"/>
    <n v="1.35"/>
  </r>
  <r>
    <n v="561"/>
    <x v="22"/>
    <s v="East"/>
    <s v="Major Market"/>
    <s v="Mint"/>
    <s v="Herbal Tea"/>
    <s v="Florida"/>
    <s v="Decaf"/>
    <n v="50"/>
    <n v="60"/>
    <n v="30"/>
    <n v="110"/>
    <n v="75"/>
    <n v="1063"/>
    <n v="89"/>
    <n v="23"/>
    <n v="65"/>
    <n v="175"/>
    <n v="1.5909090909090908"/>
    <n v="2.1666666666666665"/>
    <n v="1.5"/>
  </r>
  <r>
    <n v="352"/>
    <x v="22"/>
    <s v="East"/>
    <s v="Major Market"/>
    <s v="Darjeeling"/>
    <s v="Tea"/>
    <s v="Florida"/>
    <s v="Regular"/>
    <n v="20"/>
    <n v="50"/>
    <n v="40"/>
    <n v="70"/>
    <n v="28"/>
    <n v="875"/>
    <n v="42"/>
    <n v="7"/>
    <n v="34"/>
    <n v="75"/>
    <n v="1.0714285714285714"/>
    <n v="0.85"/>
    <n v="1.4"/>
  </r>
  <r>
    <n v="904"/>
    <x v="22"/>
    <s v="East"/>
    <s v="Major Market"/>
    <s v="Green Tea"/>
    <s v="Tea"/>
    <s v="Florida"/>
    <s v="Regular"/>
    <n v="30"/>
    <n v="50"/>
    <n v="40"/>
    <n v="80"/>
    <n v="31"/>
    <n v="856"/>
    <n v="47"/>
    <n v="8"/>
    <n v="42"/>
    <n v="83"/>
    <n v="1.0375000000000001"/>
    <n v="1.05"/>
    <n v="1.0333333333333334"/>
  </r>
  <r>
    <n v="813"/>
    <x v="22"/>
    <s v="East"/>
    <s v="Major Market"/>
    <s v="Caffe Mocha"/>
    <s v="Espresso"/>
    <s v="Florida"/>
    <s v="Regular"/>
    <n v="90"/>
    <n v="120"/>
    <n v="20"/>
    <n v="210"/>
    <n v="94"/>
    <n v="694"/>
    <n v="130"/>
    <n v="85"/>
    <n v="22"/>
    <n v="239"/>
    <n v="1.138095238095238"/>
    <n v="1.1000000000000001"/>
    <n v="1.0444444444444445"/>
  </r>
  <r>
    <n v="772"/>
    <x v="22"/>
    <s v="East"/>
    <s v="Major Market"/>
    <s v="Decaf Espresso"/>
    <s v="Espresso"/>
    <s v="Florida"/>
    <s v="Decaf"/>
    <n v="70"/>
    <n v="100"/>
    <n v="60"/>
    <n v="170"/>
    <n v="77"/>
    <n v="557"/>
    <n v="103"/>
    <n v="25"/>
    <n v="76"/>
    <n v="192"/>
    <n v="1.1294117647058823"/>
    <n v="1.2666666666666666"/>
    <n v="1.1000000000000001"/>
  </r>
  <r>
    <n v="786"/>
    <x v="22"/>
    <s v="East"/>
    <s v="Major Market"/>
    <s v="Columbian"/>
    <s v="Coffee"/>
    <s v="Florida"/>
    <s v="Regular"/>
    <n v="70"/>
    <n v="100"/>
    <n v="60"/>
    <n v="170"/>
    <n v="78"/>
    <n v="798"/>
    <n v="119"/>
    <n v="25"/>
    <n v="93"/>
    <n v="210"/>
    <n v="1.2352941176470589"/>
    <n v="1.55"/>
    <n v="1.1142857142857143"/>
  </r>
  <r>
    <n v="904"/>
    <x v="22"/>
    <s v="East"/>
    <s v="Major Market"/>
    <s v="Decaf Irish Cream"/>
    <s v="Coffee"/>
    <s v="Florida"/>
    <s v="Decaf"/>
    <n v="90"/>
    <n v="130"/>
    <n v="90"/>
    <n v="220"/>
    <n v="102"/>
    <n v="666"/>
    <n v="143"/>
    <n v="31"/>
    <n v="132"/>
    <n v="261"/>
    <n v="1.1863636363636363"/>
    <n v="1.4666666666666666"/>
    <n v="1.1333333333333333"/>
  </r>
  <r>
    <n v="857"/>
    <x v="22"/>
    <s v="East"/>
    <s v="Major Market"/>
    <s v="Lemon"/>
    <s v="Herbal Tea"/>
    <s v="Massachusetts"/>
    <s v="Decaf"/>
    <n v="40"/>
    <n v="50"/>
    <n v="20"/>
    <n v="90"/>
    <n v="55"/>
    <n v="410"/>
    <n v="69"/>
    <n v="20"/>
    <n v="22"/>
    <n v="132"/>
    <n v="1.4666666666666666"/>
    <n v="1.1000000000000001"/>
    <n v="1.375"/>
  </r>
  <r>
    <n v="351"/>
    <x v="22"/>
    <s v="East"/>
    <s v="Major Market"/>
    <s v="Darjeeling"/>
    <s v="Tea"/>
    <s v="Massachusetts"/>
    <s v="Regular"/>
    <n v="30"/>
    <n v="60"/>
    <n v="40"/>
    <n v="90"/>
    <n v="36"/>
    <n v="862"/>
    <n v="52"/>
    <n v="10"/>
    <n v="46"/>
    <n v="94"/>
    <n v="1.0444444444444445"/>
    <n v="1.1499999999999999"/>
    <n v="1.2"/>
  </r>
  <r>
    <n v="978"/>
    <x v="22"/>
    <s v="East"/>
    <s v="Major Market"/>
    <s v="Green Tea"/>
    <s v="Tea"/>
    <s v="Massachusetts"/>
    <s v="Regular"/>
    <n v="30"/>
    <n v="50"/>
    <n v="40"/>
    <n v="80"/>
    <n v="32"/>
    <n v="482"/>
    <n v="48"/>
    <n v="8"/>
    <n v="43"/>
    <n v="85"/>
    <n v="1.0625"/>
    <n v="1.075"/>
    <n v="1.0666666666666667"/>
  </r>
  <r>
    <n v="339"/>
    <x v="22"/>
    <s v="East"/>
    <s v="Major Market"/>
    <s v="Caffe Mocha"/>
    <s v="Espresso"/>
    <s v="Massachusetts"/>
    <s v="Regular"/>
    <n v="50"/>
    <n v="60"/>
    <n v="0"/>
    <n v="110"/>
    <n v="52"/>
    <n v="554"/>
    <n v="68"/>
    <n v="47"/>
    <n v="-12"/>
    <n v="128"/>
    <n v="1.1636363636363636"/>
    <m/>
    <n v="1.04"/>
  </r>
  <r>
    <n v="617"/>
    <x v="22"/>
    <s v="East"/>
    <s v="Major Market"/>
    <s v="Regular Espresso"/>
    <s v="Espresso"/>
    <s v="Massachusetts"/>
    <s v="Regular"/>
    <n v="170"/>
    <n v="180"/>
    <n v="120"/>
    <n v="350"/>
    <n v="181"/>
    <n v="1283"/>
    <n v="182"/>
    <n v="50"/>
    <n v="160"/>
    <n v="387"/>
    <n v="1.1057142857142856"/>
    <n v="1.3333333333333333"/>
    <n v="1.0647058823529412"/>
  </r>
  <r>
    <n v="857"/>
    <x v="22"/>
    <s v="East"/>
    <s v="Major Market"/>
    <s v="Columbian"/>
    <s v="Coffee"/>
    <s v="Massachusetts"/>
    <s v="Regular"/>
    <n v="60"/>
    <n v="340"/>
    <n v="300"/>
    <n v="400"/>
    <n v="75"/>
    <n v="-3287"/>
    <n v="379"/>
    <n v="24"/>
    <n v="481"/>
    <n v="484"/>
    <n v="1.21"/>
    <n v="1.6033333333333333"/>
    <n v="1.25"/>
  </r>
  <r>
    <n v="603"/>
    <x v="22"/>
    <s v="East"/>
    <s v="Small Market"/>
    <s v="Lemon"/>
    <s v="Herbal Tea"/>
    <s v="New Hampshire"/>
    <s v="Decaf"/>
    <n v="20"/>
    <n v="30"/>
    <n v="0"/>
    <n v="50"/>
    <n v="33"/>
    <n v="243"/>
    <n v="41"/>
    <n v="12"/>
    <n v="-6"/>
    <n v="79"/>
    <n v="1.58"/>
    <m/>
    <n v="1.65"/>
  </r>
  <r>
    <n v="603"/>
    <x v="22"/>
    <s v="East"/>
    <s v="Small Market"/>
    <s v="Darjeeling"/>
    <s v="Tea"/>
    <s v="New Hampshire"/>
    <s v="Regular"/>
    <n v="10"/>
    <n v="30"/>
    <n v="20"/>
    <n v="40"/>
    <n v="15"/>
    <n v="848"/>
    <n v="24"/>
    <n v="4"/>
    <n v="12"/>
    <n v="42"/>
    <n v="1.05"/>
    <n v="0.6"/>
    <n v="1.5"/>
  </r>
  <r>
    <n v="603"/>
    <x v="22"/>
    <s v="East"/>
    <s v="Small Market"/>
    <s v="Green Tea"/>
    <s v="Tea"/>
    <s v="New Hampshire"/>
    <s v="Regular"/>
    <n v="0"/>
    <n v="40"/>
    <n v="30"/>
    <n v="40"/>
    <n v="0"/>
    <n v="387"/>
    <n v="43"/>
    <n v="0"/>
    <n v="47"/>
    <n v="46"/>
    <n v="1.1499999999999999"/>
    <n v="1.5666666666666667"/>
    <m/>
  </r>
  <r>
    <n v="603"/>
    <x v="22"/>
    <s v="East"/>
    <s v="Small Market"/>
    <s v="Caffe Mocha"/>
    <s v="Espresso"/>
    <s v="New Hampshire"/>
    <s v="Regular"/>
    <n v="40"/>
    <n v="60"/>
    <n v="10"/>
    <n v="100"/>
    <n v="44"/>
    <n v="325"/>
    <n v="62"/>
    <n v="40"/>
    <n v="-12"/>
    <n v="113"/>
    <n v="1.1299999999999999"/>
    <n v="-1.2"/>
    <n v="1.1000000000000001"/>
  </r>
  <r>
    <n v="603"/>
    <x v="22"/>
    <s v="East"/>
    <s v="Small Market"/>
    <s v="Regular Espresso"/>
    <s v="Espresso"/>
    <s v="New Hampshire"/>
    <s v="Regular"/>
    <n v="30"/>
    <n v="40"/>
    <n v="0"/>
    <n v="70"/>
    <n v="34"/>
    <n v="211"/>
    <n v="42"/>
    <n v="12"/>
    <n v="-4"/>
    <n v="81"/>
    <n v="1.1571428571428573"/>
    <m/>
    <n v="1.1333333333333333"/>
  </r>
  <r>
    <n v="603"/>
    <x v="22"/>
    <s v="East"/>
    <s v="Small Market"/>
    <s v="Amaretto"/>
    <s v="Coffee"/>
    <s v="New Hampshire"/>
    <s v="Regular"/>
    <n v="40"/>
    <n v="60"/>
    <n v="40"/>
    <n v="100"/>
    <n v="46"/>
    <n v="316"/>
    <n v="67"/>
    <n v="14"/>
    <n v="45"/>
    <n v="120"/>
    <n v="1.2"/>
    <n v="1.125"/>
    <n v="1.1499999999999999"/>
  </r>
  <r>
    <n v="603"/>
    <x v="22"/>
    <s v="East"/>
    <s v="Small Market"/>
    <s v="Columbian"/>
    <s v="Coffee"/>
    <s v="New Hampshire"/>
    <s v="Regular"/>
    <n v="30"/>
    <n v="60"/>
    <n v="30"/>
    <n v="90"/>
    <n v="43"/>
    <n v="452"/>
    <n v="66"/>
    <n v="14"/>
    <n v="30"/>
    <n v="116"/>
    <n v="1.288888888888889"/>
    <n v="1"/>
    <n v="1.4333333333333333"/>
  </r>
  <r>
    <n v="585"/>
    <x v="22"/>
    <s v="East"/>
    <s v="Major Market"/>
    <s v="Lemon"/>
    <s v="Herbal Tea"/>
    <s v="New York"/>
    <s v="Decaf"/>
    <n v="180"/>
    <n v="240"/>
    <n v="140"/>
    <n v="420"/>
    <n v="245"/>
    <n v="1704"/>
    <n v="331"/>
    <n v="93"/>
    <n v="303"/>
    <n v="614"/>
    <n v="1.4619047619047618"/>
    <n v="2.1642857142857141"/>
    <n v="1.3611111111111112"/>
  </r>
  <r>
    <n v="518"/>
    <x v="22"/>
    <s v="East"/>
    <s v="Major Market"/>
    <s v="Mint"/>
    <s v="Herbal Tea"/>
    <s v="New York"/>
    <s v="Decaf"/>
    <n v="160"/>
    <n v="-50"/>
    <n v="-120"/>
    <n v="110"/>
    <n v="225"/>
    <n v="4742"/>
    <n v="-65"/>
    <n v="69"/>
    <n v="-232"/>
    <n v="171"/>
    <n v="1.5545454545454545"/>
    <n v="1.9333333333333333"/>
    <n v="1.40625"/>
  </r>
  <r>
    <n v="516"/>
    <x v="22"/>
    <s v="East"/>
    <s v="Major Market"/>
    <s v="Darjeeling"/>
    <s v="Tea"/>
    <s v="New York"/>
    <s v="Regular"/>
    <n v="80"/>
    <n v="120"/>
    <n v="90"/>
    <n v="200"/>
    <n v="81"/>
    <n v="984"/>
    <n v="117"/>
    <n v="22"/>
    <n v="125"/>
    <n v="211"/>
    <n v="1.0549999999999999"/>
    <n v="1.3888888888888888"/>
    <n v="1.0125"/>
  </r>
  <r>
    <n v="914"/>
    <x v="22"/>
    <s v="East"/>
    <s v="Major Market"/>
    <s v="Earl Grey"/>
    <s v="Tea"/>
    <s v="New York"/>
    <s v="Regular"/>
    <n v="120"/>
    <n v="170"/>
    <n v="130"/>
    <n v="290"/>
    <n v="118"/>
    <n v="930"/>
    <n v="172"/>
    <n v="33"/>
    <n v="188"/>
    <n v="309"/>
    <n v="1.0655172413793104"/>
    <n v="1.4461538461538461"/>
    <n v="0.98333333333333328"/>
  </r>
  <r>
    <n v="914"/>
    <x v="22"/>
    <s v="East"/>
    <s v="Major Market"/>
    <s v="Green Tea"/>
    <s v="Tea"/>
    <s v="New York"/>
    <s v="Regular"/>
    <n v="50"/>
    <n v="70"/>
    <n v="50"/>
    <n v="120"/>
    <n v="50"/>
    <n v="589"/>
    <n v="73"/>
    <n v="14"/>
    <n v="70"/>
    <n v="131"/>
    <n v="1.0916666666666666"/>
    <n v="1.4"/>
    <n v="1"/>
  </r>
  <r>
    <n v="914"/>
    <x v="22"/>
    <s v="East"/>
    <s v="Major Market"/>
    <s v="Caffe Mocha"/>
    <s v="Espresso"/>
    <s v="New York"/>
    <s v="Regular"/>
    <n v="110"/>
    <n v="-60"/>
    <n v="-190"/>
    <n v="50"/>
    <n v="121"/>
    <n v="3385"/>
    <n v="-60"/>
    <n v="109"/>
    <n v="-300"/>
    <n v="65"/>
    <n v="1.3"/>
    <n v="1.5789473684210527"/>
    <n v="1.1000000000000001"/>
  </r>
  <r>
    <n v="917"/>
    <x v="22"/>
    <s v="East"/>
    <s v="Major Market"/>
    <s v="Regular Espresso"/>
    <s v="Espresso"/>
    <s v="New York"/>
    <s v="Regular"/>
    <n v="200"/>
    <n v="460"/>
    <n v="390"/>
    <n v="660"/>
    <n v="211"/>
    <n v="933"/>
    <n v="464"/>
    <n v="59"/>
    <n v="565"/>
    <n v="719"/>
    <n v="1.0893939393939394"/>
    <n v="1.4487179487179487"/>
    <n v="1.0549999999999999"/>
  </r>
  <r>
    <n v="607"/>
    <x v="22"/>
    <s v="East"/>
    <s v="Major Market"/>
    <s v="Columbian"/>
    <s v="Coffee"/>
    <s v="New York"/>
    <s v="Regular"/>
    <n v="220"/>
    <n v="340"/>
    <n v="230"/>
    <n v="560"/>
    <n v="249"/>
    <n v="2580"/>
    <n v="374"/>
    <n v="87"/>
    <n v="350"/>
    <n v="664"/>
    <n v="1.1857142857142857"/>
    <n v="1.5217391304347827"/>
    <n v="1.1318181818181818"/>
  </r>
  <r>
    <n v="985"/>
    <x v="22"/>
    <s v="South"/>
    <s v="Small Market"/>
    <s v="Chamomile"/>
    <s v="Herbal Tea"/>
    <s v="Louisiana"/>
    <s v="Decaf"/>
    <n v="90"/>
    <n v="120"/>
    <n v="80"/>
    <n v="210"/>
    <n v="101"/>
    <n v="552"/>
    <n v="130"/>
    <n v="33"/>
    <n v="126"/>
    <n v="246"/>
    <n v="1.1714285714285715"/>
    <n v="1.575"/>
    <n v="1.1222222222222222"/>
  </r>
  <r>
    <n v="337"/>
    <x v="22"/>
    <s v="South"/>
    <s v="Small Market"/>
    <s v="Lemon"/>
    <s v="Herbal Tea"/>
    <s v="Louisiana"/>
    <s v="Decaf"/>
    <n v="70"/>
    <n v="100"/>
    <n v="40"/>
    <n v="170"/>
    <n v="82"/>
    <n v="601"/>
    <n v="102"/>
    <n v="31"/>
    <n v="56"/>
    <n v="196"/>
    <n v="1.1529411764705881"/>
    <n v="1.4"/>
    <n v="1.1714285714285715"/>
  </r>
  <r>
    <n v="318"/>
    <x v="22"/>
    <s v="South"/>
    <s v="Small Market"/>
    <s v="Columbian"/>
    <s v="Coffee"/>
    <s v="Louisiana"/>
    <s v="Regular"/>
    <n v="50"/>
    <n v="80"/>
    <n v="60"/>
    <n v="130"/>
    <n v="47"/>
    <n v="834"/>
    <n v="68"/>
    <n v="13"/>
    <n v="65"/>
    <n v="123"/>
    <n v="0.94615384615384612"/>
    <n v="1.0833333333333333"/>
    <n v="0.94"/>
  </r>
  <r>
    <n v="504"/>
    <x v="22"/>
    <s v="South"/>
    <s v="Small Market"/>
    <s v="Decaf Irish Cream"/>
    <s v="Coffee"/>
    <s v="Louisiana"/>
    <s v="Decaf"/>
    <n v="30"/>
    <n v="60"/>
    <n v="50"/>
    <n v="90"/>
    <n v="31"/>
    <n v="856"/>
    <n v="47"/>
    <n v="8"/>
    <n v="42"/>
    <n v="83"/>
    <n v="0.92222222222222228"/>
    <n v="0.84"/>
    <n v="1.0333333333333334"/>
  </r>
  <r>
    <n v="318"/>
    <x v="22"/>
    <s v="South"/>
    <s v="Small Market"/>
    <s v="Caffe Latte"/>
    <s v="Espresso"/>
    <s v="Louisiana"/>
    <s v="Regular"/>
    <n v="40"/>
    <n v="70"/>
    <n v="10"/>
    <n v="110"/>
    <n v="61"/>
    <n v="-906"/>
    <n v="86"/>
    <n v="55"/>
    <n v="1"/>
    <n v="157"/>
    <n v="1.4272727272727272"/>
    <n v="0.1"/>
    <n v="1.5249999999999999"/>
  </r>
  <r>
    <n v="318"/>
    <x v="22"/>
    <s v="South"/>
    <s v="Small Market"/>
    <s v="Caffe Mocha"/>
    <s v="Espresso"/>
    <s v="Louisiana"/>
    <s v="Regular"/>
    <n v="40"/>
    <n v="60"/>
    <n v="30"/>
    <n v="100"/>
    <n v="53"/>
    <n v="321"/>
    <n v="88"/>
    <n v="16"/>
    <n v="73"/>
    <n v="150"/>
    <n v="1.5"/>
    <n v="2.4333333333333331"/>
    <n v="1.325"/>
  </r>
  <r>
    <n v="337"/>
    <x v="22"/>
    <s v="South"/>
    <s v="Small Market"/>
    <s v="Decaf Espresso"/>
    <s v="Espresso"/>
    <s v="Louisiana"/>
    <s v="Decaf"/>
    <n v="30"/>
    <n v="60"/>
    <n v="30"/>
    <n v="90"/>
    <n v="49"/>
    <n v="454"/>
    <n v="71"/>
    <n v="15"/>
    <n v="50"/>
    <n v="128"/>
    <n v="1.4222222222222223"/>
    <n v="1.6666666666666667"/>
    <n v="1.6333333333333333"/>
  </r>
  <r>
    <n v="505"/>
    <x v="22"/>
    <s v="South"/>
    <s v="Small Market"/>
    <s v="Chamomile"/>
    <s v="Herbal Tea"/>
    <s v="New Mexico"/>
    <s v="Decaf"/>
    <n v="10"/>
    <n v="20"/>
    <n v="10"/>
    <n v="30"/>
    <n v="15"/>
    <n v="848"/>
    <n v="24"/>
    <n v="4"/>
    <n v="13"/>
    <n v="42"/>
    <n v="1.4"/>
    <n v="1.3"/>
    <n v="1.5"/>
  </r>
  <r>
    <n v="505"/>
    <x v="22"/>
    <s v="South"/>
    <s v="Small Market"/>
    <s v="Lemon"/>
    <s v="Herbal Tea"/>
    <s v="New Mexico"/>
    <s v="Decaf"/>
    <n v="20"/>
    <n v="30"/>
    <n v="10"/>
    <n v="50"/>
    <n v="29"/>
    <n v="1003"/>
    <n v="35"/>
    <n v="8"/>
    <n v="7"/>
    <n v="68"/>
    <n v="1.36"/>
    <n v="0.7"/>
    <n v="1.45"/>
  </r>
  <r>
    <n v="505"/>
    <x v="22"/>
    <s v="South"/>
    <s v="Small Market"/>
    <s v="Columbian"/>
    <s v="Coffee"/>
    <s v="New Mexico"/>
    <s v="Regular"/>
    <n v="50"/>
    <n v="70"/>
    <n v="30"/>
    <n v="120"/>
    <n v="43"/>
    <n v="452"/>
    <n v="66"/>
    <n v="14"/>
    <n v="30"/>
    <n v="116"/>
    <n v="0.96666666666666667"/>
    <n v="1"/>
    <n v="0.86"/>
  </r>
  <r>
    <n v="505"/>
    <x v="22"/>
    <s v="South"/>
    <s v="Small Market"/>
    <s v="Decaf Irish Cream"/>
    <s v="Coffee"/>
    <s v="New Mexico"/>
    <s v="Decaf"/>
    <n v="90"/>
    <n v="50"/>
    <n v="10"/>
    <n v="140"/>
    <n v="82"/>
    <n v="1804"/>
    <n v="40"/>
    <n v="25"/>
    <n v="-12"/>
    <n v="130"/>
    <n v="0.9285714285714286"/>
    <n v="-1.2"/>
    <n v="0.91111111111111109"/>
  </r>
  <r>
    <n v="505"/>
    <x v="22"/>
    <s v="South"/>
    <s v="Small Market"/>
    <s v="Caffe Latte"/>
    <s v="Espresso"/>
    <s v="New Mexico"/>
    <s v="Regular"/>
    <n v="20"/>
    <n v="30"/>
    <n v="-10"/>
    <n v="50"/>
    <n v="34"/>
    <n v="-522"/>
    <n v="42"/>
    <n v="12"/>
    <n v="-6"/>
    <n v="81"/>
    <n v="1.62"/>
    <n v="0.6"/>
    <n v="1.7"/>
  </r>
  <r>
    <n v="505"/>
    <x v="22"/>
    <s v="South"/>
    <s v="Small Market"/>
    <s v="Caffe Mocha"/>
    <s v="Espresso"/>
    <s v="New Mexico"/>
    <s v="Regular"/>
    <n v="30"/>
    <n v="50"/>
    <n v="0"/>
    <n v="80"/>
    <n v="44"/>
    <n v="325"/>
    <n v="62"/>
    <n v="40"/>
    <n v="-10"/>
    <n v="113"/>
    <n v="1.4125000000000001"/>
    <m/>
    <n v="1.4666666666666666"/>
  </r>
  <r>
    <n v="505"/>
    <x v="22"/>
    <s v="South"/>
    <s v="Small Market"/>
    <s v="Decaf Espresso"/>
    <s v="Espresso"/>
    <s v="New Mexico"/>
    <s v="Decaf"/>
    <n v="20"/>
    <n v="40"/>
    <n v="20"/>
    <n v="60"/>
    <n v="35"/>
    <n v="248"/>
    <n v="47"/>
    <n v="11"/>
    <n v="12"/>
    <n v="87"/>
    <n v="1.45"/>
    <n v="0.6"/>
    <n v="1.75"/>
  </r>
  <r>
    <n v="580"/>
    <x v="22"/>
    <s v="South"/>
    <s v="Small Market"/>
    <s v="Chamomile"/>
    <s v="Herbal Tea"/>
    <s v="Oklahoma"/>
    <s v="Decaf"/>
    <n v="50"/>
    <n v="60"/>
    <n v="20"/>
    <n v="110"/>
    <n v="54"/>
    <n v="391"/>
    <n v="67"/>
    <n v="20"/>
    <n v="19"/>
    <n v="129"/>
    <n v="1.1727272727272726"/>
    <n v="0.95"/>
    <n v="1.08"/>
  </r>
  <r>
    <n v="405"/>
    <x v="22"/>
    <s v="South"/>
    <s v="Small Market"/>
    <s v="Lemon"/>
    <s v="Herbal Tea"/>
    <s v="Oklahoma"/>
    <s v="Decaf"/>
    <n v="80"/>
    <n v="120"/>
    <n v="20"/>
    <n v="200"/>
    <n v="94"/>
    <n v="694"/>
    <n v="130"/>
    <n v="85"/>
    <n v="22"/>
    <n v="239"/>
    <n v="1.1950000000000001"/>
    <n v="1.1000000000000001"/>
    <n v="1.175"/>
  </r>
  <r>
    <n v="918"/>
    <x v="22"/>
    <s v="South"/>
    <s v="Small Market"/>
    <s v="Columbian"/>
    <s v="Coffee"/>
    <s v="Oklahoma"/>
    <s v="Regular"/>
    <n v="100"/>
    <n v="130"/>
    <n v="90"/>
    <n v="230"/>
    <n v="88"/>
    <n v="561"/>
    <n v="112"/>
    <n v="29"/>
    <n v="105"/>
    <n v="213"/>
    <n v="0.92608695652173911"/>
    <n v="1.1666666666666667"/>
    <n v="0.88"/>
  </r>
  <r>
    <n v="580"/>
    <x v="22"/>
    <s v="South"/>
    <s v="Small Market"/>
    <s v="Decaf Irish Cream"/>
    <s v="Coffee"/>
    <s v="Oklahoma"/>
    <s v="Decaf"/>
    <n v="40"/>
    <n v="60"/>
    <n v="40"/>
    <n v="100"/>
    <n v="36"/>
    <n v="862"/>
    <n v="52"/>
    <n v="10"/>
    <n v="45"/>
    <n v="94"/>
    <n v="0.94"/>
    <n v="1.125"/>
    <n v="0.9"/>
  </r>
  <r>
    <n v="405"/>
    <x v="22"/>
    <s v="South"/>
    <s v="Small Market"/>
    <s v="Caffe Latte"/>
    <s v="Espresso"/>
    <s v="Oklahoma"/>
    <s v="Regular"/>
    <n v="80"/>
    <n v="100"/>
    <n v="60"/>
    <n v="180"/>
    <n v="102"/>
    <n v="-2003"/>
    <n v="143"/>
    <n v="31"/>
    <n v="132"/>
    <n v="261"/>
    <n v="1.45"/>
    <n v="2.2000000000000002"/>
    <n v="1.2749999999999999"/>
  </r>
  <r>
    <n v="580"/>
    <x v="22"/>
    <s v="South"/>
    <s v="Small Market"/>
    <s v="Caffe Mocha"/>
    <s v="Espresso"/>
    <s v="Oklahoma"/>
    <s v="Regular"/>
    <n v="20"/>
    <n v="40"/>
    <n v="30"/>
    <n v="60"/>
    <n v="32"/>
    <n v="482"/>
    <n v="48"/>
    <n v="8"/>
    <n v="43"/>
    <n v="85"/>
    <n v="1.4166666666666667"/>
    <n v="1.4333333333333333"/>
    <n v="1.6"/>
  </r>
  <r>
    <n v="580"/>
    <x v="22"/>
    <s v="South"/>
    <s v="Small Market"/>
    <s v="Decaf Espresso"/>
    <s v="Espresso"/>
    <s v="Oklahoma"/>
    <s v="Decaf"/>
    <n v="60"/>
    <n v="90"/>
    <n v="40"/>
    <n v="150"/>
    <n v="78"/>
    <n v="798"/>
    <n v="119"/>
    <n v="25"/>
    <n v="92"/>
    <n v="210"/>
    <n v="1.4"/>
    <n v="2.2999999999999998"/>
    <n v="1.3"/>
  </r>
  <r>
    <n v="936"/>
    <x v="22"/>
    <s v="South"/>
    <s v="Major Market"/>
    <s v="Chamomile"/>
    <s v="Herbal Tea"/>
    <s v="Texas"/>
    <s v="Decaf"/>
    <n v="50"/>
    <n v="70"/>
    <n v="40"/>
    <n v="120"/>
    <n v="59"/>
    <n v="411"/>
    <n v="79"/>
    <n v="19"/>
    <n v="47"/>
    <n v="147"/>
    <n v="1.2250000000000001"/>
    <n v="1.175"/>
    <n v="1.18"/>
  </r>
  <r>
    <n v="806"/>
    <x v="22"/>
    <s v="South"/>
    <s v="Major Market"/>
    <s v="Lemon"/>
    <s v="Herbal Tea"/>
    <s v="Texas"/>
    <s v="Decaf"/>
    <n v="40"/>
    <n v="60"/>
    <n v="30"/>
    <n v="100"/>
    <n v="46"/>
    <n v="424"/>
    <n v="68"/>
    <n v="14"/>
    <n v="46"/>
    <n v="121"/>
    <n v="1.21"/>
    <n v="1.5333333333333334"/>
    <n v="1.1499999999999999"/>
  </r>
  <r>
    <n v="432"/>
    <x v="22"/>
    <s v="South"/>
    <s v="Major Market"/>
    <s v="Columbian"/>
    <s v="Coffee"/>
    <s v="Texas"/>
    <s v="Regular"/>
    <n v="260"/>
    <n v="320"/>
    <n v="230"/>
    <n v="580"/>
    <n v="225"/>
    <n v="1272"/>
    <n v="265"/>
    <n v="69"/>
    <n v="258"/>
    <n v="522"/>
    <n v="0.9"/>
    <n v="1.1217391304347826"/>
    <n v="0.86538461538461542"/>
  </r>
  <r>
    <n v="936"/>
    <x v="22"/>
    <s v="South"/>
    <s v="Major Market"/>
    <s v="Decaf Irish Cream"/>
    <s v="Coffee"/>
    <s v="Texas"/>
    <s v="Decaf"/>
    <n v="40"/>
    <n v="60"/>
    <n v="40"/>
    <n v="100"/>
    <n v="40"/>
    <n v="536"/>
    <n v="52"/>
    <n v="13"/>
    <n v="39"/>
    <n v="98"/>
    <n v="0.98"/>
    <n v="0.97499999999999998"/>
    <n v="1"/>
  </r>
  <r>
    <n v="806"/>
    <x v="22"/>
    <s v="South"/>
    <s v="Major Market"/>
    <s v="Caffe Latte"/>
    <s v="Espresso"/>
    <s v="Texas"/>
    <s v="Regular"/>
    <n v="50"/>
    <n v="90"/>
    <n v="40"/>
    <n v="140"/>
    <n v="75"/>
    <n v="-1050"/>
    <n v="114"/>
    <n v="24"/>
    <n v="88"/>
    <n v="201"/>
    <n v="1.4357142857142857"/>
    <n v="2.2000000000000002"/>
    <n v="1.5"/>
  </r>
  <r>
    <n v="915"/>
    <x v="22"/>
    <s v="South"/>
    <s v="Major Market"/>
    <s v="Caffe Mocha"/>
    <s v="Espresso"/>
    <s v="Texas"/>
    <s v="Regular"/>
    <n v="90"/>
    <n v="130"/>
    <n v="100"/>
    <n v="220"/>
    <n v="118"/>
    <n v="930"/>
    <n v="172"/>
    <n v="33"/>
    <n v="188"/>
    <n v="309"/>
    <n v="1.4045454545454545"/>
    <n v="1.88"/>
    <n v="1.3111111111111111"/>
  </r>
  <r>
    <n v="254"/>
    <x v="22"/>
    <s v="South"/>
    <s v="Major Market"/>
    <s v="Decaf Espresso"/>
    <s v="Espresso"/>
    <s v="Texas"/>
    <s v="Decaf"/>
    <n v="30"/>
    <n v="60"/>
    <n v="40"/>
    <n v="90"/>
    <n v="50"/>
    <n v="589"/>
    <n v="73"/>
    <n v="14"/>
    <n v="71"/>
    <n v="131"/>
    <n v="1.4555555555555555"/>
    <n v="1.7749999999999999"/>
    <n v="1.6666666666666667"/>
  </r>
  <r>
    <n v="435"/>
    <x v="22"/>
    <s v="West"/>
    <s v="Small Market"/>
    <s v="Darjeeling"/>
    <s v="Tea"/>
    <s v="Utah"/>
    <s v="Regular"/>
    <n v="30"/>
    <n v="40"/>
    <n v="-10"/>
    <n v="70"/>
    <n v="44"/>
    <n v="325"/>
    <n v="62"/>
    <n v="40"/>
    <n v="-10"/>
    <n v="113"/>
    <n v="1.6142857142857143"/>
    <n v="1"/>
    <n v="1.4666666666666666"/>
  </r>
  <r>
    <n v="435"/>
    <x v="22"/>
    <s v="West"/>
    <s v="Small Market"/>
    <s v="Earl Grey"/>
    <s v="Tea"/>
    <s v="Utah"/>
    <s v="Regular"/>
    <n v="20"/>
    <n v="30"/>
    <n v="10"/>
    <n v="50"/>
    <n v="35"/>
    <n v="248"/>
    <n v="47"/>
    <n v="11"/>
    <n v="13"/>
    <n v="87"/>
    <n v="1.74"/>
    <n v="1.3"/>
    <n v="1.75"/>
  </r>
  <r>
    <n v="435"/>
    <x v="22"/>
    <s v="West"/>
    <s v="Small Market"/>
    <s v="Green Tea"/>
    <s v="Tea"/>
    <s v="Utah"/>
    <s v="Regular"/>
    <n v="20"/>
    <n v="30"/>
    <n v="0"/>
    <n v="50"/>
    <n v="34"/>
    <n v="211"/>
    <n v="42"/>
    <n v="12"/>
    <n v="-4"/>
    <n v="81"/>
    <n v="1.62"/>
    <m/>
    <n v="1.7"/>
  </r>
  <r>
    <n v="435"/>
    <x v="22"/>
    <s v="West"/>
    <s v="Small Market"/>
    <s v="Chamomile"/>
    <s v="Herbal Tea"/>
    <s v="Utah"/>
    <s v="Decaf"/>
    <n v="40"/>
    <n v="60"/>
    <n v="30"/>
    <n v="100"/>
    <n v="46"/>
    <n v="316"/>
    <n v="67"/>
    <n v="14"/>
    <n v="45"/>
    <n v="120"/>
    <n v="1.2"/>
    <n v="1.5"/>
    <n v="1.1499999999999999"/>
  </r>
  <r>
    <n v="435"/>
    <x v="22"/>
    <s v="West"/>
    <s v="Small Market"/>
    <s v="Lemon"/>
    <s v="Herbal Tea"/>
    <s v="Utah"/>
    <s v="Decaf"/>
    <n v="40"/>
    <n v="60"/>
    <n v="30"/>
    <n v="100"/>
    <n v="43"/>
    <n v="452"/>
    <n v="66"/>
    <n v="14"/>
    <n v="30"/>
    <n v="116"/>
    <n v="1.1599999999999999"/>
    <n v="1"/>
    <n v="1.075"/>
  </r>
  <r>
    <n v="435"/>
    <x v="22"/>
    <s v="West"/>
    <s v="Small Market"/>
    <s v="Mint"/>
    <s v="Herbal Tea"/>
    <s v="Utah"/>
    <s v="Decaf"/>
    <n v="70"/>
    <n v="40"/>
    <n v="0"/>
    <n v="110"/>
    <n v="82"/>
    <n v="1804"/>
    <n v="40"/>
    <n v="25"/>
    <n v="-12"/>
    <n v="130"/>
    <n v="1.1818181818181819"/>
    <m/>
    <n v="1.1714285714285715"/>
  </r>
  <r>
    <n v="801"/>
    <x v="22"/>
    <s v="West"/>
    <s v="Small Market"/>
    <s v="Caffe Mocha"/>
    <s v="Espresso"/>
    <s v="Utah"/>
    <s v="Regular"/>
    <n v="90"/>
    <n v="130"/>
    <n v="90"/>
    <n v="220"/>
    <n v="101"/>
    <n v="552"/>
    <n v="130"/>
    <n v="33"/>
    <n v="126"/>
    <n v="246"/>
    <n v="1.1181818181818182"/>
    <n v="1.4"/>
    <n v="1.1222222222222222"/>
  </r>
  <r>
    <n v="435"/>
    <x v="22"/>
    <s v="West"/>
    <s v="Small Market"/>
    <s v="Decaf Espresso"/>
    <s v="Espresso"/>
    <s v="Utah"/>
    <s v="Decaf"/>
    <n v="50"/>
    <n v="70"/>
    <n v="50"/>
    <n v="120"/>
    <n v="54"/>
    <n v="885"/>
    <n v="78"/>
    <n v="15"/>
    <n v="77"/>
    <n v="141"/>
    <n v="1.175"/>
    <n v="1.54"/>
    <n v="1.08"/>
  </r>
  <r>
    <n v="435"/>
    <x v="22"/>
    <s v="West"/>
    <s v="Small Market"/>
    <s v="Amaretto"/>
    <s v="Coffee"/>
    <s v="Utah"/>
    <s v="Regular"/>
    <n v="80"/>
    <n v="90"/>
    <n v="50"/>
    <n v="170"/>
    <n v="69"/>
    <n v="1060"/>
    <n v="81"/>
    <n v="21"/>
    <n v="58"/>
    <n v="160"/>
    <n v="0.94117647058823528"/>
    <n v="1.1599999999999999"/>
    <n v="0.86250000000000004"/>
  </r>
  <r>
    <n v="435"/>
    <x v="22"/>
    <s v="West"/>
    <s v="Small Market"/>
    <s v="Columbian"/>
    <s v="Coffee"/>
    <s v="Utah"/>
    <s v="Regular"/>
    <n v="60"/>
    <n v="80"/>
    <n v="50"/>
    <n v="140"/>
    <n v="53"/>
    <n v="380"/>
    <n v="71"/>
    <n v="17"/>
    <n v="40"/>
    <n v="132"/>
    <n v="0.94285714285714284"/>
    <n v="0.8"/>
    <n v="0.8833333333333333"/>
  </r>
  <r>
    <n v="435"/>
    <x v="22"/>
    <s v="West"/>
    <s v="Small Market"/>
    <s v="Decaf Irish Cream"/>
    <s v="Coffee"/>
    <s v="Utah"/>
    <s v="Decaf"/>
    <n v="90"/>
    <n v="120"/>
    <n v="60"/>
    <n v="210"/>
    <n v="82"/>
    <n v="601"/>
    <n v="102"/>
    <n v="31"/>
    <n v="56"/>
    <n v="196"/>
    <n v="0.93333333333333335"/>
    <n v="0.93333333333333335"/>
    <n v="0.91111111111111109"/>
  </r>
  <r>
    <n v="435"/>
    <x v="22"/>
    <s v="West"/>
    <s v="Small Market"/>
    <s v="Caffe Latte"/>
    <s v="Espresso"/>
    <s v="Utah"/>
    <s v="Regular"/>
    <n v="30"/>
    <n v="40"/>
    <n v="30"/>
    <n v="70"/>
    <n v="33"/>
    <n v="836"/>
    <n v="48"/>
    <n v="9"/>
    <n v="40"/>
    <n v="86"/>
    <n v="1.2285714285714286"/>
    <n v="1.3333333333333333"/>
    <n v="1.1000000000000001"/>
  </r>
  <r>
    <n v="805"/>
    <x v="22"/>
    <s v="West"/>
    <s v="Major Market"/>
    <s v="Darjeeling"/>
    <s v="Tea"/>
    <s v="California"/>
    <s v="Regular"/>
    <n v="80"/>
    <n v="130"/>
    <n v="110"/>
    <n v="210"/>
    <n v="118"/>
    <n v="930"/>
    <n v="172"/>
    <n v="33"/>
    <n v="190"/>
    <n v="309"/>
    <n v="1.4714285714285715"/>
    <n v="1.7272727272727273"/>
    <n v="1.4750000000000001"/>
  </r>
  <r>
    <n v="760"/>
    <x v="22"/>
    <s v="West"/>
    <s v="Major Market"/>
    <s v="Earl Grey"/>
    <s v="Tea"/>
    <s v="California"/>
    <s v="Regular"/>
    <n v="30"/>
    <n v="50"/>
    <n v="40"/>
    <n v="80"/>
    <n v="50"/>
    <n v="589"/>
    <n v="73"/>
    <n v="14"/>
    <n v="70"/>
    <n v="131"/>
    <n v="1.6375"/>
    <n v="1.75"/>
    <n v="1.6666666666666667"/>
  </r>
  <r>
    <n v="209"/>
    <x v="22"/>
    <s v="West"/>
    <s v="Major Market"/>
    <s v="Green Tea"/>
    <s v="Tea"/>
    <s v="California"/>
    <s v="Regular"/>
    <n v="50"/>
    <n v="80"/>
    <n v="40"/>
    <n v="130"/>
    <n v="75"/>
    <n v="659"/>
    <n v="114"/>
    <n v="24"/>
    <n v="88"/>
    <n v="201"/>
    <n v="1.5461538461538462"/>
    <n v="2.2000000000000002"/>
    <n v="1.5"/>
  </r>
  <r>
    <n v="760"/>
    <x v="22"/>
    <s v="West"/>
    <s v="Major Market"/>
    <s v="Chamomile"/>
    <s v="Herbal Tea"/>
    <s v="California"/>
    <s v="Decaf"/>
    <n v="70"/>
    <n v="110"/>
    <n v="80"/>
    <n v="180"/>
    <n v="81"/>
    <n v="984"/>
    <n v="117"/>
    <n v="22"/>
    <n v="125"/>
    <n v="211"/>
    <n v="1.1722222222222223"/>
    <n v="1.5625"/>
    <n v="1.1571428571428573"/>
  </r>
  <r>
    <n v="510"/>
    <x v="22"/>
    <s v="West"/>
    <s v="Major Market"/>
    <s v="Lemon"/>
    <s v="Herbal Tea"/>
    <s v="California"/>
    <s v="Decaf"/>
    <n v="210"/>
    <n v="240"/>
    <n v="160"/>
    <n v="450"/>
    <n v="225"/>
    <n v="1272"/>
    <n v="265"/>
    <n v="69"/>
    <n v="258"/>
    <n v="522"/>
    <n v="1.1599999999999999"/>
    <n v="1.6125"/>
    <n v="1.0714285714285714"/>
  </r>
  <r>
    <n v="323"/>
    <x v="22"/>
    <s v="West"/>
    <s v="Major Market"/>
    <s v="Mint"/>
    <s v="Herbal Tea"/>
    <s v="California"/>
    <s v="Decaf"/>
    <n v="30"/>
    <n v="50"/>
    <n v="30"/>
    <n v="80"/>
    <n v="40"/>
    <n v="536"/>
    <n v="52"/>
    <n v="13"/>
    <n v="40"/>
    <n v="98"/>
    <n v="1.2250000000000001"/>
    <n v="1.3333333333333333"/>
    <n v="1.3333333333333333"/>
  </r>
  <r>
    <n v="916"/>
    <x v="22"/>
    <s v="West"/>
    <s v="Major Market"/>
    <s v="Caffe Mocha"/>
    <s v="Espresso"/>
    <s v="California"/>
    <s v="Regular"/>
    <n v="110"/>
    <n v="170"/>
    <n v="40"/>
    <n v="280"/>
    <n v="121"/>
    <n v="912"/>
    <n v="168"/>
    <n v="109"/>
    <n v="39"/>
    <n v="308"/>
    <n v="1.1000000000000001"/>
    <n v="0.97499999999999998"/>
    <n v="1.1000000000000001"/>
  </r>
  <r>
    <n v="213"/>
    <x v="22"/>
    <s v="West"/>
    <s v="Major Market"/>
    <s v="Decaf Espresso"/>
    <s v="Espresso"/>
    <s v="California"/>
    <s v="Decaf"/>
    <n v="220"/>
    <n v="290"/>
    <n v="190"/>
    <n v="510"/>
    <n v="228"/>
    <n v="1691"/>
    <n v="304"/>
    <n v="75"/>
    <n v="292"/>
    <n v="567"/>
    <n v="1.111764705882353"/>
    <n v="1.5368421052631578"/>
    <n v="1.0363636363636364"/>
  </r>
  <r>
    <n v="916"/>
    <x v="22"/>
    <s v="West"/>
    <s v="Major Market"/>
    <s v="Amaretto"/>
    <s v="Coffee"/>
    <s v="California"/>
    <s v="Regular"/>
    <n v="130"/>
    <n v="0"/>
    <n v="-50"/>
    <n v="130"/>
    <n v="113"/>
    <n v="2758"/>
    <n v="3"/>
    <n v="36"/>
    <n v="-83"/>
    <n v="124"/>
    <n v="0.9538461538461539"/>
    <n v="1.66"/>
    <n v="0.86923076923076925"/>
  </r>
  <r>
    <n v="213"/>
    <x v="22"/>
    <s v="West"/>
    <s v="Major Market"/>
    <s v="Columbian"/>
    <s v="Coffee"/>
    <s v="California"/>
    <s v="Regular"/>
    <n v="290"/>
    <n v="450"/>
    <n v="310"/>
    <n v="740"/>
    <n v="249"/>
    <n v="2580"/>
    <n v="374"/>
    <n v="87"/>
    <n v="349"/>
    <n v="664"/>
    <n v="0.89729729729729735"/>
    <n v="1.1258064516129032"/>
    <n v="0.85862068965517246"/>
  </r>
  <r>
    <n v="626"/>
    <x v="22"/>
    <s v="West"/>
    <s v="Major Market"/>
    <s v="Decaf Irish Cream"/>
    <s v="Coffee"/>
    <s v="California"/>
    <s v="Decaf"/>
    <n v="200"/>
    <n v="-30"/>
    <n v="-130"/>
    <n v="170"/>
    <n v="173"/>
    <n v="3909"/>
    <n v="-27"/>
    <n v="57"/>
    <n v="-188"/>
    <n v="156"/>
    <n v="0.91764705882352937"/>
    <n v="1.4461538461538461"/>
    <n v="0.86499999999999999"/>
  </r>
  <r>
    <n v="951"/>
    <x v="22"/>
    <s v="West"/>
    <s v="Major Market"/>
    <s v="Caffe Latte"/>
    <s v="Espresso"/>
    <s v="California"/>
    <s v="Regular"/>
    <n v="200"/>
    <n v="210"/>
    <n v="140"/>
    <n v="410"/>
    <n v="211"/>
    <n v="1778"/>
    <n v="212"/>
    <n v="59"/>
    <n v="191"/>
    <n v="451"/>
    <n v="1.1000000000000001"/>
    <n v="1.3642857142857143"/>
    <n v="1.0549999999999999"/>
  </r>
  <r>
    <n v="775"/>
    <x v="22"/>
    <s v="West"/>
    <s v="Small Market"/>
    <s v="Darjeeling"/>
    <s v="Tea"/>
    <s v="Nevada"/>
    <s v="Regular"/>
    <n v="160"/>
    <n v="220"/>
    <n v="140"/>
    <n v="380"/>
    <n v="228"/>
    <n v="1691"/>
    <n v="304"/>
    <n v="75"/>
    <n v="291"/>
    <n v="567"/>
    <n v="1.4921052631578948"/>
    <n v="2.0785714285714287"/>
    <n v="1.425"/>
  </r>
  <r>
    <n v="702"/>
    <x v="22"/>
    <s v="West"/>
    <s v="Small Market"/>
    <s v="Earl Grey"/>
    <s v="Tea"/>
    <s v="Nevada"/>
    <s v="Regular"/>
    <n v="150"/>
    <n v="150"/>
    <n v="80"/>
    <n v="300"/>
    <n v="211"/>
    <n v="1778"/>
    <n v="212"/>
    <n v="59"/>
    <n v="190"/>
    <n v="451"/>
    <n v="1.5033333333333334"/>
    <n v="2.375"/>
    <n v="1.4066666666666667"/>
  </r>
  <r>
    <n v="775"/>
    <x v="22"/>
    <s v="West"/>
    <s v="Small Market"/>
    <s v="Green Tea"/>
    <s v="Tea"/>
    <s v="Nevada"/>
    <s v="Regular"/>
    <n v="180"/>
    <n v="-180"/>
    <n v="-280"/>
    <n v="0"/>
    <n v="245"/>
    <n v="7653"/>
    <n v="-245"/>
    <n v="93"/>
    <n v="-505"/>
    <n v="34"/>
    <m/>
    <n v="1.8035714285714286"/>
    <n v="1.3611111111111112"/>
  </r>
  <r>
    <n v="702"/>
    <x v="22"/>
    <s v="West"/>
    <s v="Small Market"/>
    <s v="Chamomile"/>
    <s v="Herbal Tea"/>
    <s v="Nevada"/>
    <s v="Decaf"/>
    <n v="110"/>
    <n v="150"/>
    <n v="20"/>
    <n v="260"/>
    <n v="121"/>
    <n v="912"/>
    <n v="168"/>
    <n v="109"/>
    <n v="39"/>
    <n v="308"/>
    <n v="1.1846153846153846"/>
    <n v="1.95"/>
    <n v="1.1000000000000001"/>
  </r>
  <r>
    <n v="702"/>
    <x v="22"/>
    <s v="West"/>
    <s v="Small Market"/>
    <s v="Lemon"/>
    <s v="Herbal Tea"/>
    <s v="Nevada"/>
    <s v="Decaf"/>
    <n v="160"/>
    <n v="220"/>
    <n v="130"/>
    <n v="380"/>
    <n v="173"/>
    <n v="1150"/>
    <n v="239"/>
    <n v="57"/>
    <n v="205"/>
    <n v="439"/>
    <n v="1.1552631578947368"/>
    <n v="1.5769230769230769"/>
    <n v="1.08125"/>
  </r>
  <r>
    <n v="775"/>
    <x v="22"/>
    <s v="West"/>
    <s v="Small Market"/>
    <s v="Mint"/>
    <s v="Herbal Tea"/>
    <s v="Nevada"/>
    <s v="Decaf"/>
    <n v="100"/>
    <n v="150"/>
    <n v="100"/>
    <n v="250"/>
    <n v="113"/>
    <n v="803"/>
    <n v="165"/>
    <n v="36"/>
    <n v="159"/>
    <n v="296"/>
    <n v="1.1839999999999999"/>
    <n v="1.59"/>
    <n v="1.1299999999999999"/>
  </r>
  <r>
    <n v="775"/>
    <x v="22"/>
    <s v="West"/>
    <s v="Small Market"/>
    <s v="Caffe Latte"/>
    <s v="Espresso"/>
    <s v="Nevada"/>
    <s v="Regular"/>
    <n v="0"/>
    <n v="40"/>
    <n v="30"/>
    <n v="40"/>
    <n v="0"/>
    <n v="387"/>
    <n v="43"/>
    <n v="0"/>
    <n v="46"/>
    <n v="46"/>
    <n v="1.1499999999999999"/>
    <n v="1.5333333333333334"/>
    <m/>
  </r>
  <r>
    <n v="775"/>
    <x v="22"/>
    <s v="West"/>
    <s v="Small Market"/>
    <s v="Caffe Mocha"/>
    <s v="Espresso"/>
    <s v="Nevada"/>
    <s v="Regular"/>
    <n v="10"/>
    <n v="20"/>
    <n v="10"/>
    <n v="30"/>
    <n v="15"/>
    <n v="848"/>
    <n v="24"/>
    <n v="4"/>
    <n v="13"/>
    <n v="42"/>
    <n v="1.4"/>
    <n v="1.3"/>
    <n v="1.5"/>
  </r>
  <r>
    <n v="775"/>
    <x v="22"/>
    <s v="West"/>
    <s v="Small Market"/>
    <s v="Decaf Espresso"/>
    <s v="Espresso"/>
    <s v="Nevada"/>
    <s v="Decaf"/>
    <n v="20"/>
    <n v="30"/>
    <n v="20"/>
    <n v="50"/>
    <n v="22"/>
    <n v="802"/>
    <n v="34"/>
    <n v="6"/>
    <n v="25"/>
    <n v="60"/>
    <n v="1.2"/>
    <n v="1.25"/>
    <n v="1.1000000000000001"/>
  </r>
  <r>
    <n v="775"/>
    <x v="22"/>
    <s v="West"/>
    <s v="Small Market"/>
    <s v="Columbian"/>
    <s v="Coffee"/>
    <s v="Nevada"/>
    <s v="Regular"/>
    <n v="30"/>
    <n v="50"/>
    <n v="10"/>
    <n v="80"/>
    <n v="33"/>
    <n v="243"/>
    <n v="41"/>
    <n v="12"/>
    <n v="-6"/>
    <n v="79"/>
    <n v="0.98750000000000004"/>
    <n v="-0.6"/>
    <n v="1.1000000000000001"/>
  </r>
  <r>
    <n v="702"/>
    <x v="22"/>
    <s v="West"/>
    <s v="Small Market"/>
    <s v="Decaf Irish Cream"/>
    <s v="Coffee"/>
    <s v="Nevada"/>
    <s v="Decaf"/>
    <n v="30"/>
    <n v="40"/>
    <n v="20"/>
    <n v="70"/>
    <n v="29"/>
    <n v="1003"/>
    <n v="35"/>
    <n v="8"/>
    <n v="7"/>
    <n v="68"/>
    <n v="0.97142857142857142"/>
    <n v="0.35"/>
    <n v="0.96666666666666667"/>
  </r>
  <r>
    <n v="503"/>
    <x v="22"/>
    <s v="West"/>
    <s v="Small Market"/>
    <s v="Darjeeling"/>
    <s v="Tea"/>
    <s v="Oregon"/>
    <s v="Regular"/>
    <n v="20"/>
    <n v="30"/>
    <n v="30"/>
    <n v="50"/>
    <n v="32"/>
    <n v="482"/>
    <n v="48"/>
    <n v="8"/>
    <n v="42"/>
    <n v="85"/>
    <n v="1.7"/>
    <n v="1.4"/>
    <n v="1.6"/>
  </r>
  <r>
    <n v="503"/>
    <x v="22"/>
    <s v="West"/>
    <s v="Small Market"/>
    <s v="Earl Grey"/>
    <s v="Tea"/>
    <s v="Oregon"/>
    <s v="Regular"/>
    <n v="50"/>
    <n v="90"/>
    <n v="50"/>
    <n v="140"/>
    <n v="78"/>
    <n v="798"/>
    <n v="119"/>
    <n v="25"/>
    <n v="92"/>
    <n v="210"/>
    <n v="1.5"/>
    <n v="1.84"/>
    <n v="1.56"/>
  </r>
  <r>
    <n v="971"/>
    <x v="22"/>
    <s v="West"/>
    <s v="Small Market"/>
    <s v="Green Tea"/>
    <s v="Tea"/>
    <s v="Oregon"/>
    <s v="Regular"/>
    <n v="70"/>
    <n v="100"/>
    <n v="70"/>
    <n v="170"/>
    <n v="102"/>
    <n v="666"/>
    <n v="143"/>
    <n v="31"/>
    <n v="132"/>
    <n v="261"/>
    <n v="1.5352941176470589"/>
    <n v="1.8857142857142857"/>
    <n v="1.4571428571428571"/>
  </r>
  <r>
    <n v="541"/>
    <x v="22"/>
    <s v="West"/>
    <s v="Small Market"/>
    <s v="Chamomile"/>
    <s v="Herbal Tea"/>
    <s v="Oregon"/>
    <s v="Decaf"/>
    <n v="20"/>
    <n v="30"/>
    <n v="20"/>
    <n v="50"/>
    <n v="25"/>
    <n v="823"/>
    <n v="38"/>
    <n v="7"/>
    <n v="28"/>
    <n v="67"/>
    <n v="1.34"/>
    <n v="1.4"/>
    <n v="1.25"/>
  </r>
  <r>
    <n v="541"/>
    <x v="22"/>
    <s v="West"/>
    <s v="Small Market"/>
    <s v="Lemon"/>
    <s v="Herbal Tea"/>
    <s v="Oregon"/>
    <s v="Decaf"/>
    <n v="80"/>
    <n v="100"/>
    <n v="70"/>
    <n v="180"/>
    <n v="88"/>
    <n v="561"/>
    <n v="112"/>
    <n v="29"/>
    <n v="104"/>
    <n v="213"/>
    <n v="1.1833333333333333"/>
    <n v="1.4857142857142858"/>
    <n v="1.1000000000000001"/>
  </r>
  <r>
    <n v="503"/>
    <x v="22"/>
    <s v="West"/>
    <s v="Small Market"/>
    <s v="Caffe Latte"/>
    <s v="Espresso"/>
    <s v="Oregon"/>
    <s v="Regular"/>
    <n v="50"/>
    <n v="70"/>
    <n v="30"/>
    <n v="120"/>
    <n v="55"/>
    <n v="410"/>
    <n v="69"/>
    <n v="20"/>
    <n v="24"/>
    <n v="132"/>
    <n v="1.1000000000000001"/>
    <n v="0.8"/>
    <n v="1.1000000000000001"/>
  </r>
  <r>
    <n v="541"/>
    <x v="22"/>
    <s v="West"/>
    <s v="Small Market"/>
    <s v="Caffe Mocha"/>
    <s v="Espresso"/>
    <s v="Oregon"/>
    <s v="Regular"/>
    <n v="50"/>
    <n v="80"/>
    <n v="50"/>
    <n v="130"/>
    <n v="59"/>
    <n v="411"/>
    <n v="79"/>
    <n v="19"/>
    <n v="49"/>
    <n v="147"/>
    <n v="1.1307692307692307"/>
    <n v="0.98"/>
    <n v="1.18"/>
  </r>
  <r>
    <n v="971"/>
    <x v="22"/>
    <s v="West"/>
    <s v="Small Market"/>
    <s v="Decaf Espresso"/>
    <s v="Espresso"/>
    <s v="Oregon"/>
    <s v="Decaf"/>
    <n v="170"/>
    <n v="180"/>
    <n v="120"/>
    <n v="350"/>
    <n v="181"/>
    <n v="1283"/>
    <n v="182"/>
    <n v="50"/>
    <n v="160"/>
    <n v="387"/>
    <n v="1.1057142857142856"/>
    <n v="1.3333333333333333"/>
    <n v="1.0647058823529412"/>
  </r>
  <r>
    <n v="971"/>
    <x v="22"/>
    <s v="West"/>
    <s v="Small Market"/>
    <s v="Amaretto"/>
    <s v="Coffee"/>
    <s v="Oregon"/>
    <s v="Regular"/>
    <n v="60"/>
    <n v="80"/>
    <n v="10"/>
    <n v="140"/>
    <n v="52"/>
    <n v="509"/>
    <n v="73"/>
    <n v="47"/>
    <n v="-6"/>
    <n v="133"/>
    <n v="0.95"/>
    <n v="-0.6"/>
    <n v="0.8666666666666667"/>
  </r>
  <r>
    <n v="541"/>
    <x v="22"/>
    <s v="West"/>
    <s v="Small Market"/>
    <s v="Columbian"/>
    <s v="Coffee"/>
    <s v="Oregon"/>
    <s v="Regular"/>
    <n v="60"/>
    <n v="90"/>
    <n v="40"/>
    <n v="150"/>
    <n v="53"/>
    <n v="470"/>
    <n v="75"/>
    <n v="17"/>
    <n v="21"/>
    <n v="136"/>
    <n v="0.90666666666666662"/>
    <n v="0.52500000000000002"/>
    <n v="0.8833333333333333"/>
  </r>
  <r>
    <n v="503"/>
    <x v="22"/>
    <s v="West"/>
    <s v="Small Market"/>
    <s v="Decaf Irish Cream"/>
    <s v="Coffee"/>
    <s v="Oregon"/>
    <s v="Decaf"/>
    <n v="50"/>
    <n v="80"/>
    <n v="50"/>
    <n v="130"/>
    <n v="46"/>
    <n v="424"/>
    <n v="68"/>
    <n v="14"/>
    <n v="47"/>
    <n v="121"/>
    <n v="0.93076923076923079"/>
    <n v="0.94"/>
    <n v="0.92"/>
  </r>
  <r>
    <n v="509"/>
    <x v="22"/>
    <s v="West"/>
    <s v="Small Market"/>
    <s v="Darjeeling"/>
    <s v="Tea"/>
    <s v="Washington"/>
    <s v="Regular"/>
    <n v="30"/>
    <n v="70"/>
    <n v="50"/>
    <n v="100"/>
    <n v="53"/>
    <n v="321"/>
    <n v="88"/>
    <n v="16"/>
    <n v="73"/>
    <n v="150"/>
    <n v="1.5"/>
    <n v="1.46"/>
    <n v="1.7666666666666666"/>
  </r>
  <r>
    <n v="206"/>
    <x v="22"/>
    <s v="West"/>
    <s v="Small Market"/>
    <s v="Earl Grey"/>
    <s v="Tea"/>
    <s v="Washington"/>
    <s v="Regular"/>
    <n v="30"/>
    <n v="50"/>
    <n v="30"/>
    <n v="80"/>
    <n v="49"/>
    <n v="454"/>
    <n v="71"/>
    <n v="15"/>
    <n v="50"/>
    <n v="128"/>
    <n v="1.6"/>
    <n v="1.6666666666666667"/>
    <n v="1.6333333333333333"/>
  </r>
  <r>
    <n v="509"/>
    <x v="22"/>
    <s v="West"/>
    <s v="Small Market"/>
    <s v="Green Tea"/>
    <s v="Tea"/>
    <s v="Washington"/>
    <s v="Regular"/>
    <n v="40"/>
    <n v="60"/>
    <n v="0"/>
    <n v="100"/>
    <n v="61"/>
    <n v="613"/>
    <n v="86"/>
    <n v="55"/>
    <n v="1"/>
    <n v="157"/>
    <n v="1.57"/>
    <m/>
    <n v="1.5249999999999999"/>
  </r>
  <r>
    <n v="206"/>
    <x v="22"/>
    <s v="West"/>
    <s v="Small Market"/>
    <s v="Chamomile"/>
    <s v="Herbal Tea"/>
    <s v="Washington"/>
    <s v="Decaf"/>
    <n v="120"/>
    <n v="180"/>
    <n v="120"/>
    <n v="300"/>
    <n v="130"/>
    <n v="1134"/>
    <n v="195"/>
    <n v="42"/>
    <n v="181"/>
    <n v="346"/>
    <n v="1.1533333333333333"/>
    <n v="1.5083333333333333"/>
    <n v="1.0833333333333333"/>
  </r>
  <r>
    <n v="253"/>
    <x v="22"/>
    <s v="West"/>
    <s v="Small Market"/>
    <s v="Lemon"/>
    <s v="Herbal Tea"/>
    <s v="Washington"/>
    <s v="Decaf"/>
    <n v="40"/>
    <n v="60"/>
    <n v="40"/>
    <n v="100"/>
    <n v="47"/>
    <n v="834"/>
    <n v="68"/>
    <n v="13"/>
    <n v="65"/>
    <n v="123"/>
    <n v="1.23"/>
    <n v="1.625"/>
    <n v="1.175"/>
  </r>
  <r>
    <n v="425"/>
    <x v="22"/>
    <s v="West"/>
    <s v="Small Market"/>
    <s v="Caffe Latte"/>
    <s v="Espresso"/>
    <s v="Washington"/>
    <s v="Regular"/>
    <n v="20"/>
    <n v="30"/>
    <n v="20"/>
    <n v="50"/>
    <n v="22"/>
    <n v="570"/>
    <n v="30"/>
    <n v="7"/>
    <n v="16"/>
    <n v="55"/>
    <n v="1.1000000000000001"/>
    <n v="0.8"/>
    <n v="1.1000000000000001"/>
  </r>
  <r>
    <n v="206"/>
    <x v="22"/>
    <s v="West"/>
    <s v="Small Market"/>
    <s v="Caffe Mocha"/>
    <s v="Espresso"/>
    <s v="Washington"/>
    <s v="Regular"/>
    <n v="50"/>
    <n v="60"/>
    <n v="20"/>
    <n v="110"/>
    <n v="54"/>
    <n v="391"/>
    <n v="67"/>
    <n v="20"/>
    <n v="19"/>
    <n v="129"/>
    <n v="1.1727272727272726"/>
    <n v="0.95"/>
    <n v="1.08"/>
  </r>
  <r>
    <n v="425"/>
    <x v="22"/>
    <s v="West"/>
    <s v="Small Market"/>
    <s v="Decaf Espresso"/>
    <s v="Espresso"/>
    <s v="Washington"/>
    <s v="Decaf"/>
    <n v="70"/>
    <n v="80"/>
    <n v="40"/>
    <n v="150"/>
    <n v="75"/>
    <n v="1063"/>
    <n v="89"/>
    <n v="23"/>
    <n v="67"/>
    <n v="175"/>
    <n v="1.1666666666666667"/>
    <n v="1.675"/>
    <n v="1.0714285714285714"/>
  </r>
  <r>
    <n v="253"/>
    <x v="22"/>
    <s v="West"/>
    <s v="Small Market"/>
    <s v="Columbian"/>
    <s v="Coffee"/>
    <s v="Washington"/>
    <s v="Regular"/>
    <n v="70"/>
    <n v="110"/>
    <n v="70"/>
    <n v="180"/>
    <n v="63"/>
    <n v="446"/>
    <n v="93"/>
    <n v="20"/>
    <n v="74"/>
    <n v="166"/>
    <n v="0.92222222222222228"/>
    <n v="1.0571428571428572"/>
    <n v="0.9"/>
  </r>
  <r>
    <n v="509"/>
    <x v="22"/>
    <s v="West"/>
    <s v="Small Market"/>
    <s v="Decaf Irish Cream"/>
    <s v="Coffee"/>
    <s v="Washington"/>
    <s v="Decaf"/>
    <n v="110"/>
    <n v="150"/>
    <n v="40"/>
    <n v="260"/>
    <n v="94"/>
    <n v="694"/>
    <n v="130"/>
    <n v="85"/>
    <n v="24"/>
    <n v="239"/>
    <n v="0.91923076923076918"/>
    <n v="0.6"/>
    <n v="0.8545454545454545"/>
  </r>
  <r>
    <n v="970"/>
    <x v="23"/>
    <s v="Central"/>
    <s v="Major Market"/>
    <s v="Chamomile"/>
    <s v="Herbal Tea"/>
    <s v="Colorado"/>
    <s v="Decaf"/>
    <n v="140"/>
    <n v="140"/>
    <n v="80"/>
    <n v="280"/>
    <n v="153"/>
    <n v="1319"/>
    <n v="153"/>
    <n v="42"/>
    <n v="129"/>
    <n v="326"/>
    <n v="1.1642857142857144"/>
    <n v="1.6125"/>
    <n v="1.0928571428571427"/>
  </r>
  <r>
    <n v="719"/>
    <x v="23"/>
    <s v="Central"/>
    <s v="Major Market"/>
    <s v="Lemon"/>
    <s v="Herbal Tea"/>
    <s v="Colorado"/>
    <s v="Decaf"/>
    <n v="40"/>
    <n v="60"/>
    <n v="0"/>
    <n v="100"/>
    <n v="47"/>
    <n v="521"/>
    <n v="65"/>
    <n v="42"/>
    <n v="-9"/>
    <n v="119"/>
    <n v="1.19"/>
    <m/>
    <n v="1.175"/>
  </r>
  <r>
    <n v="970"/>
    <x v="23"/>
    <s v="Central"/>
    <s v="Major Market"/>
    <s v="Mint"/>
    <s v="Herbal Tea"/>
    <s v="Colorado"/>
    <s v="Decaf"/>
    <n v="50"/>
    <n v="60"/>
    <n v="30"/>
    <n v="110"/>
    <n v="54"/>
    <n v="424"/>
    <n v="73"/>
    <n v="17"/>
    <n v="43"/>
    <n v="135"/>
    <n v="1.2272727272727273"/>
    <n v="1.4333333333333333"/>
    <n v="1.08"/>
  </r>
  <r>
    <n v="303"/>
    <x v="23"/>
    <s v="Central"/>
    <s v="Major Market"/>
    <s v="Darjeeling"/>
    <s v="Tea"/>
    <s v="Colorado"/>
    <s v="Regular"/>
    <n v="30"/>
    <n v="50"/>
    <n v="10"/>
    <n v="80"/>
    <n v="46"/>
    <n v="422"/>
    <n v="57"/>
    <n v="17"/>
    <n v="9"/>
    <n v="110"/>
    <n v="1.375"/>
    <n v="0.9"/>
    <n v="1.5333333333333334"/>
  </r>
  <r>
    <n v="970"/>
    <x v="23"/>
    <s v="Central"/>
    <s v="Major Market"/>
    <s v="Earl Grey"/>
    <s v="Tea"/>
    <s v="Colorado"/>
    <s v="Regular"/>
    <n v="40"/>
    <n v="50"/>
    <n v="20"/>
    <n v="90"/>
    <n v="53"/>
    <n v="1054"/>
    <n v="63"/>
    <n v="16"/>
    <n v="39"/>
    <n v="124"/>
    <n v="1.3777777777777778"/>
    <n v="1.95"/>
    <n v="1.325"/>
  </r>
  <r>
    <n v="719"/>
    <x v="23"/>
    <s v="Central"/>
    <s v="Major Market"/>
    <s v="Green Tea"/>
    <s v="Tea"/>
    <s v="Colorado"/>
    <s v="Regular"/>
    <n v="60"/>
    <n v="90"/>
    <n v="60"/>
    <n v="150"/>
    <n v="81"/>
    <n v="551"/>
    <n v="104"/>
    <n v="26"/>
    <n v="98"/>
    <n v="197"/>
    <n v="1.3133333333333332"/>
    <n v="1.6333333333333333"/>
    <n v="1.35"/>
  </r>
  <r>
    <n v="970"/>
    <x v="23"/>
    <s v="Central"/>
    <s v="Major Market"/>
    <s v="Caffe Mocha"/>
    <s v="Espresso"/>
    <s v="Colorado"/>
    <s v="Regular"/>
    <n v="60"/>
    <n v="110"/>
    <n v="90"/>
    <n v="170"/>
    <n v="54"/>
    <n v="601"/>
    <n v="79"/>
    <n v="15"/>
    <n v="79"/>
    <n v="142"/>
    <n v="0.83529411764705885"/>
    <n v="0.87777777777777777"/>
    <n v="0.9"/>
  </r>
  <r>
    <n v="720"/>
    <x v="23"/>
    <s v="Central"/>
    <s v="Major Market"/>
    <s v="Decaf Espresso"/>
    <s v="Espresso"/>
    <s v="Colorado"/>
    <s v="Decaf"/>
    <n v="80"/>
    <n v="130"/>
    <n v="80"/>
    <n v="210"/>
    <n v="67"/>
    <n v="677"/>
    <n v="101"/>
    <n v="22"/>
    <n v="70"/>
    <n v="179"/>
    <n v="0.85238095238095235"/>
    <n v="0.875"/>
    <n v="0.83750000000000002"/>
  </r>
  <r>
    <n v="303"/>
    <x v="23"/>
    <s v="Central"/>
    <s v="Major Market"/>
    <s v="Amaretto"/>
    <s v="Coffee"/>
    <s v="Colorado"/>
    <s v="Regular"/>
    <n v="120"/>
    <n v="170"/>
    <n v="130"/>
    <n v="290"/>
    <n v="123"/>
    <n v="959"/>
    <n v="179"/>
    <n v="34"/>
    <n v="199"/>
    <n v="322"/>
    <n v="1.1103448275862069"/>
    <n v="1.5307692307692307"/>
    <n v="1.0249999999999999"/>
  </r>
  <r>
    <n v="970"/>
    <x v="23"/>
    <s v="Central"/>
    <s v="Major Market"/>
    <s v="Columbian"/>
    <s v="Coffee"/>
    <s v="Colorado"/>
    <s v="Regular"/>
    <n v="40"/>
    <n v="50"/>
    <n v="30"/>
    <n v="90"/>
    <n v="43"/>
    <n v="531"/>
    <n v="56"/>
    <n v="14"/>
    <n v="43"/>
    <n v="106"/>
    <n v="1.1777777777777778"/>
    <n v="1.4333333333333333"/>
    <n v="1.075"/>
  </r>
  <r>
    <n v="720"/>
    <x v="23"/>
    <s v="Central"/>
    <s v="Major Market"/>
    <s v="Decaf Irish Cream"/>
    <s v="Coffee"/>
    <s v="Colorado"/>
    <s v="Decaf"/>
    <n v="80"/>
    <n v="120"/>
    <n v="90"/>
    <n v="200"/>
    <n v="86"/>
    <n v="1003"/>
    <n v="124"/>
    <n v="24"/>
    <n v="131"/>
    <n v="224"/>
    <n v="1.1200000000000001"/>
    <n v="1.4555555555555555"/>
    <n v="1.075"/>
  </r>
  <r>
    <n v="618"/>
    <x v="23"/>
    <s v="Central"/>
    <s v="Major Market"/>
    <s v="Chamomile"/>
    <s v="Herbal Tea"/>
    <s v="Illinois"/>
    <s v="Decaf"/>
    <n v="110"/>
    <n v="170"/>
    <n v="130"/>
    <n v="280"/>
    <n v="123"/>
    <n v="959"/>
    <n v="179"/>
    <n v="34"/>
    <n v="197"/>
    <n v="322"/>
    <n v="1.1499999999999999"/>
    <n v="1.5153846153846153"/>
    <n v="1.1181818181818182"/>
  </r>
  <r>
    <n v="312"/>
    <x v="23"/>
    <s v="Central"/>
    <s v="Major Market"/>
    <s v="Lemon"/>
    <s v="Herbal Tea"/>
    <s v="Illinois"/>
    <s v="Decaf"/>
    <n v="40"/>
    <n v="50"/>
    <n v="30"/>
    <n v="90"/>
    <n v="43"/>
    <n v="531"/>
    <n v="56"/>
    <n v="14"/>
    <n v="43"/>
    <n v="106"/>
    <n v="1.1777777777777778"/>
    <n v="1.4333333333333333"/>
    <n v="1.075"/>
  </r>
  <r>
    <n v="312"/>
    <x v="23"/>
    <s v="Central"/>
    <s v="Major Market"/>
    <s v="Mint"/>
    <s v="Herbal Tea"/>
    <s v="Illinois"/>
    <s v="Decaf"/>
    <n v="80"/>
    <n v="110"/>
    <n v="80"/>
    <n v="190"/>
    <n v="86"/>
    <n v="1003"/>
    <n v="124"/>
    <n v="24"/>
    <n v="131"/>
    <n v="224"/>
    <n v="1.1789473684210525"/>
    <n v="1.6375"/>
    <n v="1.075"/>
  </r>
  <r>
    <n v="630"/>
    <x v="23"/>
    <s v="Central"/>
    <s v="Major Market"/>
    <s v="Darjeeling"/>
    <s v="Tea"/>
    <s v="Illinois"/>
    <s v="Regular"/>
    <n v="40"/>
    <n v="70"/>
    <n v="50"/>
    <n v="110"/>
    <n v="54"/>
    <n v="601"/>
    <n v="79"/>
    <n v="15"/>
    <n v="79"/>
    <n v="142"/>
    <n v="1.290909090909091"/>
    <n v="1.58"/>
    <n v="1.35"/>
  </r>
  <r>
    <n v="708"/>
    <x v="23"/>
    <s v="Central"/>
    <s v="Major Market"/>
    <s v="Earl Grey"/>
    <s v="Tea"/>
    <s v="Illinois"/>
    <s v="Regular"/>
    <n v="50"/>
    <n v="80"/>
    <n v="40"/>
    <n v="130"/>
    <n v="67"/>
    <n v="677"/>
    <n v="101"/>
    <n v="22"/>
    <n v="70"/>
    <n v="179"/>
    <n v="1.3769230769230769"/>
    <n v="1.75"/>
    <n v="1.34"/>
  </r>
  <r>
    <n v="708"/>
    <x v="23"/>
    <s v="Central"/>
    <s v="Major Market"/>
    <s v="Caffe Mocha"/>
    <s v="Espresso"/>
    <s v="Illinois"/>
    <s v="Regular"/>
    <n v="310"/>
    <n v="420"/>
    <n v="320"/>
    <n v="730"/>
    <n v="247"/>
    <n v="1744"/>
    <n v="329"/>
    <n v="81"/>
    <n v="321"/>
    <n v="614"/>
    <n v="0.84109589041095889"/>
    <n v="1.003125"/>
    <n v="0.79677419354838708"/>
  </r>
  <r>
    <n v="773"/>
    <x v="23"/>
    <s v="Central"/>
    <s v="Major Market"/>
    <s v="Decaf Espresso"/>
    <s v="Espresso"/>
    <s v="Illinois"/>
    <s v="Decaf"/>
    <n v="320"/>
    <n v="320"/>
    <n v="240"/>
    <n v="640"/>
    <n v="250"/>
    <n v="1820"/>
    <n v="251"/>
    <n v="70"/>
    <n v="233"/>
    <n v="534"/>
    <n v="0.83437499999999998"/>
    <n v="0.97083333333333333"/>
    <n v="0.78125"/>
  </r>
  <r>
    <n v="312"/>
    <x v="23"/>
    <s v="Central"/>
    <s v="Major Market"/>
    <s v="Columbian"/>
    <s v="Coffee"/>
    <s v="Illinois"/>
    <s v="Regular"/>
    <n v="220"/>
    <n v="300"/>
    <n v="190"/>
    <n v="520"/>
    <n v="224"/>
    <n v="1191"/>
    <n v="310"/>
    <n v="73"/>
    <n v="288"/>
    <n v="569"/>
    <n v="1.0942307692307693"/>
    <n v="1.5157894736842106"/>
    <n v="1.0181818181818181"/>
  </r>
  <r>
    <n v="312"/>
    <x v="23"/>
    <s v="Central"/>
    <s v="Major Market"/>
    <s v="Decaf Irish Cream"/>
    <s v="Coffee"/>
    <s v="Illinois"/>
    <s v="Decaf"/>
    <n v="120"/>
    <n v="180"/>
    <n v="130"/>
    <n v="300"/>
    <n v="127"/>
    <n v="830"/>
    <n v="185"/>
    <n v="40"/>
    <n v="181"/>
    <n v="332"/>
    <n v="1.1066666666666667"/>
    <n v="1.3923076923076922"/>
    <n v="1.0583333333333333"/>
  </r>
  <r>
    <n v="515"/>
    <x v="23"/>
    <s v="Central"/>
    <s v="Small Market"/>
    <s v="Chamomile"/>
    <s v="Herbal Tea"/>
    <s v="Iowa"/>
    <s v="Decaf"/>
    <n v="230"/>
    <n v="300"/>
    <n v="200"/>
    <n v="530"/>
    <n v="247"/>
    <n v="1744"/>
    <n v="329"/>
    <n v="81"/>
    <n v="321"/>
    <n v="614"/>
    <n v="1.1584905660377358"/>
    <n v="1.605"/>
    <n v="1.0739130434782609"/>
  </r>
  <r>
    <n v="515"/>
    <x v="23"/>
    <s v="Central"/>
    <s v="Small Market"/>
    <s v="Lemon"/>
    <s v="Herbal Tea"/>
    <s v="Iowa"/>
    <s v="Decaf"/>
    <n v="120"/>
    <n v="170"/>
    <n v="120"/>
    <n v="290"/>
    <n v="127"/>
    <n v="830"/>
    <n v="185"/>
    <n v="40"/>
    <n v="183"/>
    <n v="332"/>
    <n v="1.1448275862068966"/>
    <n v="1.5249999999999999"/>
    <n v="1.0583333333333333"/>
  </r>
  <r>
    <n v="641"/>
    <x v="23"/>
    <s v="Central"/>
    <s v="Small Market"/>
    <s v="Darjeeling"/>
    <s v="Tea"/>
    <s v="Iowa"/>
    <s v="Regular"/>
    <n v="210"/>
    <n v="200"/>
    <n v="120"/>
    <n v="410"/>
    <n v="250"/>
    <n v="1820"/>
    <n v="251"/>
    <n v="70"/>
    <n v="232"/>
    <n v="534"/>
    <n v="1.3024390243902439"/>
    <n v="1.9333333333333333"/>
    <n v="1.1904761904761905"/>
  </r>
  <r>
    <n v="563"/>
    <x v="23"/>
    <s v="Central"/>
    <s v="Small Market"/>
    <s v="Earl Grey"/>
    <s v="Tea"/>
    <s v="Iowa"/>
    <s v="Regular"/>
    <n v="240"/>
    <n v="300"/>
    <n v="170"/>
    <n v="540"/>
    <n v="294"/>
    <n v="1838"/>
    <n v="360"/>
    <n v="111"/>
    <n v="321"/>
    <n v="697"/>
    <n v="1.2907407407407407"/>
    <n v="1.888235294117647"/>
    <n v="1.2250000000000001"/>
  </r>
  <r>
    <n v="515"/>
    <x v="23"/>
    <s v="Central"/>
    <s v="Small Market"/>
    <s v="Caffe Mocha"/>
    <s v="Espresso"/>
    <s v="Iowa"/>
    <s v="Regular"/>
    <n v="20"/>
    <n v="50"/>
    <n v="40"/>
    <n v="70"/>
    <n v="23"/>
    <n v="807"/>
    <n v="35"/>
    <n v="6"/>
    <n v="25"/>
    <n v="62"/>
    <n v="0.88571428571428568"/>
    <n v="0.625"/>
    <n v="1.1499999999999999"/>
  </r>
  <r>
    <n v="563"/>
    <x v="23"/>
    <s v="Central"/>
    <s v="Small Market"/>
    <s v="Decaf Espresso"/>
    <s v="Espresso"/>
    <s v="Iowa"/>
    <s v="Decaf"/>
    <n v="0"/>
    <n v="50"/>
    <n v="40"/>
    <n v="50"/>
    <n v="0"/>
    <n v="344"/>
    <n v="43"/>
    <n v="0"/>
    <n v="47"/>
    <n v="46"/>
    <n v="0.92"/>
    <n v="1.175"/>
    <m/>
  </r>
  <r>
    <n v="563"/>
    <x v="23"/>
    <s v="Central"/>
    <s v="Small Market"/>
    <s v="Amaretto"/>
    <s v="Coffee"/>
    <s v="Iowa"/>
    <s v="Regular"/>
    <n v="10"/>
    <n v="30"/>
    <n v="20"/>
    <n v="40"/>
    <n v="16"/>
    <n v="851"/>
    <n v="25"/>
    <n v="4"/>
    <n v="15"/>
    <n v="44"/>
    <n v="1.1000000000000001"/>
    <n v="0.75"/>
    <n v="1.6"/>
  </r>
  <r>
    <n v="641"/>
    <x v="23"/>
    <s v="Central"/>
    <s v="Small Market"/>
    <s v="Columbian"/>
    <s v="Coffee"/>
    <s v="Iowa"/>
    <s v="Regular"/>
    <n v="30"/>
    <n v="30"/>
    <n v="10"/>
    <n v="60"/>
    <n v="31"/>
    <n v="1009"/>
    <n v="38"/>
    <n v="9"/>
    <n v="12"/>
    <n v="74"/>
    <n v="1.2333333333333334"/>
    <n v="1.2"/>
    <n v="1.0333333333333334"/>
  </r>
  <r>
    <n v="712"/>
    <x v="23"/>
    <s v="Central"/>
    <s v="Small Market"/>
    <s v="Decaf Irish Cream"/>
    <s v="Coffee"/>
    <s v="Iowa"/>
    <s v="Decaf"/>
    <n v="0"/>
    <n v="20"/>
    <n v="10"/>
    <n v="20"/>
    <n v="10"/>
    <n v="594"/>
    <n v="14"/>
    <n v="3"/>
    <n v="-1"/>
    <n v="26"/>
    <n v="1.3"/>
    <n v="-0.1"/>
    <m/>
  </r>
  <r>
    <n v="314"/>
    <x v="23"/>
    <s v="Central"/>
    <s v="Small Market"/>
    <s v="Chamomile"/>
    <s v="Herbal Tea"/>
    <s v="Missouri"/>
    <s v="Decaf"/>
    <n v="40"/>
    <n v="60"/>
    <n v="0"/>
    <n v="100"/>
    <n v="49"/>
    <n v="335"/>
    <n v="69"/>
    <n v="44"/>
    <n v="-7"/>
    <n v="126"/>
    <n v="1.26"/>
    <m/>
    <n v="1.2250000000000001"/>
  </r>
  <r>
    <n v="417"/>
    <x v="23"/>
    <s v="Central"/>
    <s v="Small Market"/>
    <s v="Lemon"/>
    <s v="Herbal Tea"/>
    <s v="Missouri"/>
    <s v="Decaf"/>
    <n v="80"/>
    <n v="60"/>
    <n v="20"/>
    <n v="140"/>
    <n v="92"/>
    <n v="1898"/>
    <n v="68"/>
    <n v="28"/>
    <n v="24"/>
    <n v="171"/>
    <n v="1.2214285714285715"/>
    <n v="1.2"/>
    <n v="1.1499999999999999"/>
  </r>
  <r>
    <n v="314"/>
    <x v="23"/>
    <s v="Central"/>
    <s v="Small Market"/>
    <s v="Darjeeling"/>
    <s v="Tea"/>
    <s v="Missouri"/>
    <s v="Regular"/>
    <n v="30"/>
    <n v="40"/>
    <n v="10"/>
    <n v="70"/>
    <n v="38"/>
    <n v="256"/>
    <n v="51"/>
    <n v="12"/>
    <n v="16"/>
    <n v="95"/>
    <n v="1.3571428571428572"/>
    <n v="1.6"/>
    <n v="1.2666666666666666"/>
  </r>
  <r>
    <n v="816"/>
    <x v="23"/>
    <s v="Central"/>
    <s v="Small Market"/>
    <s v="Earl Grey"/>
    <s v="Tea"/>
    <s v="Missouri"/>
    <s v="Regular"/>
    <n v="10"/>
    <n v="20"/>
    <n v="-10"/>
    <n v="30"/>
    <n v="20"/>
    <n v="218"/>
    <n v="25"/>
    <n v="7"/>
    <n v="-24"/>
    <n v="48"/>
    <n v="1.6"/>
    <n v="2.4"/>
    <n v="2"/>
  </r>
  <r>
    <n v="660"/>
    <x v="23"/>
    <s v="Central"/>
    <s v="Small Market"/>
    <s v="Green Tea"/>
    <s v="Tea"/>
    <s v="Missouri"/>
    <s v="Regular"/>
    <n v="30"/>
    <n v="40"/>
    <n v="0"/>
    <n v="70"/>
    <n v="39"/>
    <n v="250"/>
    <n v="49"/>
    <n v="14"/>
    <n v="3"/>
    <n v="94"/>
    <n v="1.3428571428571427"/>
    <m/>
    <n v="1.3"/>
  </r>
  <r>
    <n v="573"/>
    <x v="23"/>
    <s v="Central"/>
    <s v="Small Market"/>
    <s v="Caffe Mocha"/>
    <s v="Espresso"/>
    <s v="Missouri"/>
    <s v="Regular"/>
    <n v="60"/>
    <n v="90"/>
    <n v="70"/>
    <n v="150"/>
    <n v="50"/>
    <n v="898"/>
    <n v="73"/>
    <n v="14"/>
    <n v="71"/>
    <n v="131"/>
    <n v="0.87333333333333329"/>
    <n v="1.0142857142857142"/>
    <n v="0.83333333333333337"/>
  </r>
  <r>
    <n v="816"/>
    <x v="23"/>
    <s v="Central"/>
    <s v="Small Market"/>
    <s v="Decaf Espresso"/>
    <s v="Espresso"/>
    <s v="Missouri"/>
    <s v="Decaf"/>
    <n v="30"/>
    <n v="60"/>
    <n v="50"/>
    <n v="90"/>
    <n v="31"/>
    <n v="844"/>
    <n v="46"/>
    <n v="8"/>
    <n v="40"/>
    <n v="82"/>
    <n v="0.91111111111111109"/>
    <n v="0.8"/>
    <n v="1.0333333333333334"/>
  </r>
  <r>
    <n v="573"/>
    <x v="23"/>
    <s v="Central"/>
    <s v="Small Market"/>
    <s v="Columbian"/>
    <s v="Coffee"/>
    <s v="Missouri"/>
    <s v="Regular"/>
    <n v="60"/>
    <n v="90"/>
    <n v="40"/>
    <n v="150"/>
    <n v="68"/>
    <n v="619"/>
    <n v="85"/>
    <n v="25"/>
    <n v="39"/>
    <n v="163"/>
    <n v="1.0866666666666667"/>
    <n v="0.97499999999999998"/>
    <n v="1.1333333333333333"/>
  </r>
  <r>
    <n v="636"/>
    <x v="23"/>
    <s v="Central"/>
    <s v="Small Market"/>
    <s v="Decaf Irish Cream"/>
    <s v="Coffee"/>
    <s v="Missouri"/>
    <s v="Decaf"/>
    <n v="60"/>
    <n v="70"/>
    <n v="40"/>
    <n v="130"/>
    <n v="63"/>
    <n v="1075"/>
    <n v="76"/>
    <n v="19"/>
    <n v="53"/>
    <n v="148"/>
    <n v="1.1384615384615384"/>
    <n v="1.325"/>
    <n v="1.05"/>
  </r>
  <r>
    <n v="614"/>
    <x v="23"/>
    <s v="Central"/>
    <s v="Major Market"/>
    <s v="Chamomile"/>
    <s v="Herbal Tea"/>
    <s v="Ohio"/>
    <s v="Decaf"/>
    <n v="20"/>
    <n v="40"/>
    <n v="30"/>
    <n v="60"/>
    <n v="29"/>
    <n v="490"/>
    <n v="44"/>
    <n v="8"/>
    <n v="37"/>
    <n v="78"/>
    <n v="1.3"/>
    <n v="1.2333333333333334"/>
    <n v="1.45"/>
  </r>
  <r>
    <n v="440"/>
    <x v="23"/>
    <s v="Central"/>
    <s v="Major Market"/>
    <s v="Lemon"/>
    <s v="Herbal Tea"/>
    <s v="Ohio"/>
    <s v="Decaf"/>
    <n v="30"/>
    <n v="40"/>
    <n v="30"/>
    <n v="70"/>
    <n v="33"/>
    <n v="870"/>
    <n v="49"/>
    <n v="9"/>
    <n v="43"/>
    <n v="87"/>
    <n v="1.2428571428571429"/>
    <n v="1.4333333333333333"/>
    <n v="1.1000000000000001"/>
  </r>
  <r>
    <n v="513"/>
    <x v="23"/>
    <s v="Central"/>
    <s v="Major Market"/>
    <s v="Darjeeling"/>
    <s v="Tea"/>
    <s v="Ohio"/>
    <s v="Regular"/>
    <n v="70"/>
    <n v="110"/>
    <n v="70"/>
    <n v="180"/>
    <n v="88"/>
    <n v="817"/>
    <n v="133"/>
    <n v="29"/>
    <n v="107"/>
    <n v="236"/>
    <n v="1.3111111111111111"/>
    <n v="1.5285714285714285"/>
    <n v="1.2571428571428571"/>
  </r>
  <r>
    <n v="513"/>
    <x v="23"/>
    <s v="Central"/>
    <s v="Major Market"/>
    <s v="Earl Grey"/>
    <s v="Tea"/>
    <s v="Ohio"/>
    <s v="Regular"/>
    <n v="110"/>
    <n v="150"/>
    <n v="90"/>
    <n v="260"/>
    <n v="134"/>
    <n v="690"/>
    <n v="186"/>
    <n v="41"/>
    <n v="180"/>
    <n v="341"/>
    <n v="1.3115384615384615"/>
    <n v="2"/>
    <n v="1.2181818181818183"/>
  </r>
  <r>
    <n v="937"/>
    <x v="23"/>
    <s v="Central"/>
    <s v="Major Market"/>
    <s v="Caffe Mocha"/>
    <s v="Espresso"/>
    <s v="Ohio"/>
    <s v="Regular"/>
    <n v="190"/>
    <n v="200"/>
    <n v="140"/>
    <n v="390"/>
    <n v="153"/>
    <n v="1319"/>
    <n v="153"/>
    <n v="42"/>
    <n v="129"/>
    <n v="326"/>
    <n v="0.83589743589743593"/>
    <n v="0.92142857142857137"/>
    <n v="0.80526315789473679"/>
  </r>
  <r>
    <n v="419"/>
    <x v="23"/>
    <s v="Central"/>
    <s v="Major Market"/>
    <s v="Decaf Espresso"/>
    <s v="Espresso"/>
    <s v="Ohio"/>
    <s v="Decaf"/>
    <n v="50"/>
    <n v="80"/>
    <n v="40"/>
    <n v="130"/>
    <n v="46"/>
    <n v="422"/>
    <n v="57"/>
    <n v="17"/>
    <n v="9"/>
    <n v="110"/>
    <n v="0.84615384615384615"/>
    <n v="0.22500000000000001"/>
    <n v="0.92"/>
  </r>
  <r>
    <n v="234"/>
    <x v="23"/>
    <s v="Central"/>
    <s v="Major Market"/>
    <s v="Amaretto"/>
    <s v="Coffee"/>
    <s v="Ohio"/>
    <s v="Regular"/>
    <n v="50"/>
    <n v="70"/>
    <n v="40"/>
    <n v="120"/>
    <n v="54"/>
    <n v="424"/>
    <n v="73"/>
    <n v="17"/>
    <n v="43"/>
    <n v="135"/>
    <n v="1.125"/>
    <n v="1.075"/>
    <n v="1.08"/>
  </r>
  <r>
    <n v="330"/>
    <x v="23"/>
    <s v="Central"/>
    <s v="Major Market"/>
    <s v="Columbian"/>
    <s v="Coffee"/>
    <s v="Ohio"/>
    <s v="Regular"/>
    <n v="40"/>
    <n v="50"/>
    <n v="20"/>
    <n v="90"/>
    <n v="41"/>
    <n v="435"/>
    <n v="60"/>
    <n v="13"/>
    <n v="36"/>
    <n v="108"/>
    <n v="1.2"/>
    <n v="1.8"/>
    <n v="1.0249999999999999"/>
  </r>
  <r>
    <n v="513"/>
    <x v="23"/>
    <s v="Central"/>
    <s v="Major Market"/>
    <s v="Decaf Irish Cream"/>
    <s v="Coffee"/>
    <s v="Ohio"/>
    <s v="Decaf"/>
    <n v="40"/>
    <n v="70"/>
    <n v="10"/>
    <n v="110"/>
    <n v="47"/>
    <n v="521"/>
    <n v="65"/>
    <n v="42"/>
    <n v="-9"/>
    <n v="119"/>
    <n v="1.0818181818181818"/>
    <n v="-0.9"/>
    <n v="1.175"/>
  </r>
  <r>
    <n v="920"/>
    <x v="23"/>
    <s v="Central"/>
    <s v="Small Market"/>
    <s v="Chamomile"/>
    <s v="Herbal Tea"/>
    <s v="Wisconsin"/>
    <s v="Decaf"/>
    <n v="30"/>
    <n v="60"/>
    <n v="30"/>
    <n v="90"/>
    <n v="41"/>
    <n v="320"/>
    <n v="66"/>
    <n v="12"/>
    <n v="45"/>
    <n v="114"/>
    <n v="1.2666666666666666"/>
    <n v="1.5"/>
    <n v="1.3666666666666667"/>
  </r>
  <r>
    <n v="715"/>
    <x v="23"/>
    <s v="Central"/>
    <s v="Small Market"/>
    <s v="Lemon"/>
    <s v="Herbal Tea"/>
    <s v="Wisconsin"/>
    <s v="Decaf"/>
    <n v="30"/>
    <n v="40"/>
    <n v="30"/>
    <n v="70"/>
    <n v="34"/>
    <n v="863"/>
    <n v="51"/>
    <n v="9"/>
    <n v="45"/>
    <n v="91"/>
    <n v="1.3"/>
    <n v="1.5"/>
    <n v="1.1333333333333333"/>
  </r>
  <r>
    <n v="262"/>
    <x v="23"/>
    <s v="Central"/>
    <s v="Small Market"/>
    <s v="Darjeeling"/>
    <s v="Tea"/>
    <s v="Wisconsin"/>
    <s v="Regular"/>
    <n v="30"/>
    <n v="50"/>
    <n v="20"/>
    <n v="80"/>
    <n v="43"/>
    <n v="466"/>
    <n v="63"/>
    <n v="13"/>
    <n v="42"/>
    <n v="113"/>
    <n v="1.4125000000000001"/>
    <n v="2.1"/>
    <n v="1.4333333333333333"/>
  </r>
  <r>
    <n v="262"/>
    <x v="23"/>
    <s v="Central"/>
    <s v="Small Market"/>
    <s v="Earl Grey"/>
    <s v="Tea"/>
    <s v="Wisconsin"/>
    <s v="Regular"/>
    <n v="40"/>
    <n v="60"/>
    <n v="0"/>
    <n v="100"/>
    <n v="55"/>
    <n v="627"/>
    <n v="76"/>
    <n v="49"/>
    <n v="-4"/>
    <n v="140"/>
    <n v="1.4"/>
    <m/>
    <n v="1.375"/>
  </r>
  <r>
    <n v="262"/>
    <x v="23"/>
    <s v="Central"/>
    <s v="Small Market"/>
    <s v="Caffe Mocha"/>
    <s v="Espresso"/>
    <s v="Wisconsin"/>
    <s v="Regular"/>
    <n v="100"/>
    <n v="120"/>
    <n v="80"/>
    <n v="220"/>
    <n v="80"/>
    <n v="1079"/>
    <n v="96"/>
    <n v="24"/>
    <n v="74"/>
    <n v="188"/>
    <n v="0.8545454545454545"/>
    <n v="0.92500000000000004"/>
    <n v="0.8"/>
  </r>
  <r>
    <n v="608"/>
    <x v="23"/>
    <s v="Central"/>
    <s v="Small Market"/>
    <s v="Decaf Espresso"/>
    <s v="Espresso"/>
    <s v="Wisconsin"/>
    <s v="Decaf"/>
    <n v="30"/>
    <n v="40"/>
    <n v="30"/>
    <n v="70"/>
    <n v="24"/>
    <n v="567"/>
    <n v="32"/>
    <n v="7"/>
    <n v="19"/>
    <n v="60"/>
    <n v="0.8571428571428571"/>
    <n v="0.6333333333333333"/>
    <n v="0.8"/>
  </r>
  <r>
    <n v="920"/>
    <x v="23"/>
    <s v="Central"/>
    <s v="Small Market"/>
    <s v="Amaretto"/>
    <s v="Coffee"/>
    <s v="Wisconsin"/>
    <s v="Regular"/>
    <n v="60"/>
    <n v="80"/>
    <n v="30"/>
    <n v="140"/>
    <n v="65"/>
    <n v="403"/>
    <n v="80"/>
    <n v="24"/>
    <n v="33"/>
    <n v="155"/>
    <n v="1.1071428571428572"/>
    <n v="1.1000000000000001"/>
    <n v="1.0833333333333333"/>
  </r>
  <r>
    <n v="262"/>
    <x v="23"/>
    <s v="Central"/>
    <s v="Small Market"/>
    <s v="Columbian"/>
    <s v="Coffee"/>
    <s v="Wisconsin"/>
    <s v="Regular"/>
    <n v="100"/>
    <n v="140"/>
    <n v="30"/>
    <n v="240"/>
    <n v="105"/>
    <n v="716"/>
    <n v="145"/>
    <n v="95"/>
    <n v="30"/>
    <n v="266"/>
    <n v="1.1083333333333334"/>
    <n v="1"/>
    <n v="1.05"/>
  </r>
  <r>
    <n v="414"/>
    <x v="23"/>
    <s v="Central"/>
    <s v="Small Market"/>
    <s v="Decaf Irish Cream"/>
    <s v="Coffee"/>
    <s v="Wisconsin"/>
    <s v="Decaf"/>
    <n v="80"/>
    <n v="110"/>
    <n v="70"/>
    <n v="190"/>
    <n v="83"/>
    <n v="575"/>
    <n v="112"/>
    <n v="27"/>
    <n v="85"/>
    <n v="208"/>
    <n v="1.0947368421052632"/>
    <n v="1.2142857142857142"/>
    <n v="1.0375000000000001"/>
  </r>
  <r>
    <n v="860"/>
    <x v="23"/>
    <s v="East"/>
    <s v="Small Market"/>
    <s v="Lemon"/>
    <s v="Herbal Tea"/>
    <s v="Connecticut"/>
    <s v="Decaf"/>
    <n v="50"/>
    <n v="60"/>
    <n v="20"/>
    <n v="110"/>
    <n v="68"/>
    <n v="619"/>
    <n v="85"/>
    <n v="25"/>
    <n v="40"/>
    <n v="163"/>
    <n v="1.4818181818181819"/>
    <n v="2"/>
    <n v="1.36"/>
  </r>
  <r>
    <n v="203"/>
    <x v="23"/>
    <s v="East"/>
    <s v="Small Market"/>
    <s v="Mint"/>
    <s v="Herbal Tea"/>
    <s v="Connecticut"/>
    <s v="Decaf"/>
    <n v="40"/>
    <n v="60"/>
    <n v="40"/>
    <n v="100"/>
    <n v="63"/>
    <n v="1075"/>
    <n v="76"/>
    <n v="19"/>
    <n v="53"/>
    <n v="148"/>
    <n v="1.48"/>
    <n v="1.325"/>
    <n v="1.575"/>
  </r>
  <r>
    <n v="959"/>
    <x v="23"/>
    <s v="East"/>
    <s v="Small Market"/>
    <s v="Darjeeling"/>
    <s v="Tea"/>
    <s v="Connecticut"/>
    <s v="Regular"/>
    <n v="50"/>
    <n v="70"/>
    <n v="50"/>
    <n v="120"/>
    <n v="50"/>
    <n v="898"/>
    <n v="73"/>
    <n v="14"/>
    <n v="70"/>
    <n v="131"/>
    <n v="1.0916666666666666"/>
    <n v="1.4"/>
    <n v="1"/>
  </r>
  <r>
    <n v="959"/>
    <x v="23"/>
    <s v="East"/>
    <s v="Small Market"/>
    <s v="Green Tea"/>
    <s v="Tea"/>
    <s v="Connecticut"/>
    <s v="Regular"/>
    <n v="30"/>
    <n v="50"/>
    <n v="40"/>
    <n v="80"/>
    <n v="33"/>
    <n v="818"/>
    <n v="49"/>
    <n v="9"/>
    <n v="42"/>
    <n v="87"/>
    <n v="1.0874999999999999"/>
    <n v="1.05"/>
    <n v="1.1000000000000001"/>
  </r>
  <r>
    <n v="203"/>
    <x v="23"/>
    <s v="East"/>
    <s v="Small Market"/>
    <s v="Caffe Mocha"/>
    <s v="Espresso"/>
    <s v="Connecticut"/>
    <s v="Regular"/>
    <n v="50"/>
    <n v="70"/>
    <n v="10"/>
    <n v="120"/>
    <n v="55"/>
    <n v="627"/>
    <n v="76"/>
    <n v="49"/>
    <n v="-3"/>
    <n v="140"/>
    <n v="1.1666666666666667"/>
    <n v="-0.3"/>
    <n v="1.1000000000000001"/>
  </r>
  <r>
    <n v="203"/>
    <x v="23"/>
    <s v="East"/>
    <s v="Small Market"/>
    <s v="Decaf Espresso"/>
    <s v="Espresso"/>
    <s v="Connecticut"/>
    <s v="Decaf"/>
    <n v="40"/>
    <n v="70"/>
    <n v="40"/>
    <n v="110"/>
    <n v="49"/>
    <n v="392"/>
    <n v="65"/>
    <n v="16"/>
    <n v="31"/>
    <n v="121"/>
    <n v="1.1000000000000001"/>
    <n v="0.77500000000000002"/>
    <n v="1.2250000000000001"/>
  </r>
  <r>
    <n v="959"/>
    <x v="23"/>
    <s v="East"/>
    <s v="Small Market"/>
    <s v="Columbian"/>
    <s v="Coffee"/>
    <s v="Connecticut"/>
    <s v="Regular"/>
    <n v="100"/>
    <n v="160"/>
    <n v="110"/>
    <n v="260"/>
    <n v="115"/>
    <n v="1166"/>
    <n v="174"/>
    <n v="37"/>
    <n v="156"/>
    <n v="308"/>
    <n v="1.1846153846153846"/>
    <n v="1.4181818181818182"/>
    <n v="1.1499999999999999"/>
  </r>
  <r>
    <n v="904"/>
    <x v="23"/>
    <s v="East"/>
    <s v="Major Market"/>
    <s v="Chamomile"/>
    <s v="Herbal Tea"/>
    <s v="Florida"/>
    <s v="Decaf"/>
    <n v="10"/>
    <n v="30"/>
    <n v="20"/>
    <n v="40"/>
    <n v="24"/>
    <n v="567"/>
    <n v="32"/>
    <n v="7"/>
    <n v="18"/>
    <n v="60"/>
    <n v="1.5"/>
    <n v="0.9"/>
    <n v="2.4"/>
  </r>
  <r>
    <n v="305"/>
    <x v="23"/>
    <s v="East"/>
    <s v="Major Market"/>
    <s v="Lemon"/>
    <s v="Herbal Tea"/>
    <s v="Florida"/>
    <s v="Decaf"/>
    <n v="40"/>
    <n v="60"/>
    <n v="20"/>
    <n v="100"/>
    <n v="65"/>
    <n v="403"/>
    <n v="80"/>
    <n v="24"/>
    <n v="34"/>
    <n v="155"/>
    <n v="1.55"/>
    <n v="1.7"/>
    <n v="1.625"/>
  </r>
  <r>
    <n v="407"/>
    <x v="23"/>
    <s v="East"/>
    <s v="Major Market"/>
    <s v="Mint"/>
    <s v="Herbal Tea"/>
    <s v="Florida"/>
    <s v="Decaf"/>
    <n v="60"/>
    <n v="60"/>
    <n v="30"/>
    <n v="120"/>
    <n v="80"/>
    <n v="1079"/>
    <n v="96"/>
    <n v="24"/>
    <n v="74"/>
    <n v="188"/>
    <n v="1.5666666666666667"/>
    <n v="2.4666666666666668"/>
    <n v="1.3333333333333333"/>
  </r>
  <r>
    <n v="321"/>
    <x v="23"/>
    <s v="East"/>
    <s v="Major Market"/>
    <s v="Darjeeling"/>
    <s v="Tea"/>
    <s v="Florida"/>
    <s v="Regular"/>
    <n v="30"/>
    <n v="40"/>
    <n v="30"/>
    <n v="70"/>
    <n v="30"/>
    <n v="882"/>
    <n v="45"/>
    <n v="8"/>
    <n v="39"/>
    <n v="80"/>
    <n v="1.1428571428571428"/>
    <n v="1.3"/>
    <n v="1"/>
  </r>
  <r>
    <n v="321"/>
    <x v="23"/>
    <s v="East"/>
    <s v="Major Market"/>
    <s v="Green Tea"/>
    <s v="Tea"/>
    <s v="Florida"/>
    <s v="Regular"/>
    <n v="30"/>
    <n v="50"/>
    <n v="40"/>
    <n v="80"/>
    <n v="34"/>
    <n v="863"/>
    <n v="51"/>
    <n v="9"/>
    <n v="45"/>
    <n v="91"/>
    <n v="1.1375"/>
    <n v="1.125"/>
    <n v="1.1333333333333333"/>
  </r>
  <r>
    <n v="305"/>
    <x v="23"/>
    <s v="East"/>
    <s v="Major Market"/>
    <s v="Caffe Mocha"/>
    <s v="Espresso"/>
    <s v="Florida"/>
    <s v="Regular"/>
    <n v="100"/>
    <n v="140"/>
    <n v="30"/>
    <n v="240"/>
    <n v="105"/>
    <n v="716"/>
    <n v="145"/>
    <n v="95"/>
    <n v="31"/>
    <n v="266"/>
    <n v="1.1083333333333334"/>
    <n v="1.0333333333333334"/>
    <n v="1.05"/>
  </r>
  <r>
    <n v="386"/>
    <x v="23"/>
    <s v="East"/>
    <s v="Major Market"/>
    <s v="Decaf Espresso"/>
    <s v="Espresso"/>
    <s v="Florida"/>
    <s v="Decaf"/>
    <n v="80"/>
    <n v="110"/>
    <n v="70"/>
    <n v="190"/>
    <n v="83"/>
    <n v="575"/>
    <n v="112"/>
    <n v="27"/>
    <n v="86"/>
    <n v="208"/>
    <n v="1.0947368421052632"/>
    <n v="1.2285714285714286"/>
    <n v="1.0375000000000001"/>
  </r>
  <r>
    <n v="407"/>
    <x v="23"/>
    <s v="East"/>
    <s v="Major Market"/>
    <s v="Columbian"/>
    <s v="Coffee"/>
    <s v="Florida"/>
    <s v="Regular"/>
    <n v="70"/>
    <n v="120"/>
    <n v="80"/>
    <n v="190"/>
    <n v="88"/>
    <n v="817"/>
    <n v="133"/>
    <n v="29"/>
    <n v="108"/>
    <n v="236"/>
    <n v="1.2421052631578948"/>
    <n v="1.35"/>
    <n v="1.2571428571428571"/>
  </r>
  <r>
    <n v="727"/>
    <x v="23"/>
    <s v="East"/>
    <s v="Major Market"/>
    <s v="Decaf Irish Cream"/>
    <s v="Coffee"/>
    <s v="Florida"/>
    <s v="Decaf"/>
    <n v="120"/>
    <n v="160"/>
    <n v="110"/>
    <n v="280"/>
    <n v="134"/>
    <n v="690"/>
    <n v="186"/>
    <n v="41"/>
    <n v="181"/>
    <n v="341"/>
    <n v="1.2178571428571427"/>
    <n v="1.6454545454545455"/>
    <n v="1.1166666666666667"/>
  </r>
  <r>
    <n v="774"/>
    <x v="23"/>
    <s v="East"/>
    <s v="Major Market"/>
    <s v="Lemon"/>
    <s v="Herbal Tea"/>
    <s v="Massachusetts"/>
    <s v="Decaf"/>
    <n v="30"/>
    <n v="40"/>
    <n v="10"/>
    <n v="70"/>
    <n v="46"/>
    <n v="422"/>
    <n v="57"/>
    <n v="17"/>
    <n v="10"/>
    <n v="110"/>
    <n v="1.5714285714285714"/>
    <n v="1"/>
    <n v="1.5333333333333334"/>
  </r>
  <r>
    <n v="978"/>
    <x v="23"/>
    <s v="East"/>
    <s v="Major Market"/>
    <s v="Darjeeling"/>
    <s v="Tea"/>
    <s v="Massachusetts"/>
    <s v="Regular"/>
    <n v="30"/>
    <n v="50"/>
    <n v="40"/>
    <n v="80"/>
    <n v="33"/>
    <n v="870"/>
    <n v="49"/>
    <n v="9"/>
    <n v="43"/>
    <n v="87"/>
    <n v="1.0874999999999999"/>
    <n v="1.075"/>
    <n v="1.1000000000000001"/>
  </r>
  <r>
    <n v="774"/>
    <x v="23"/>
    <s v="East"/>
    <s v="Major Market"/>
    <s v="Green Tea"/>
    <s v="Tea"/>
    <s v="Massachusetts"/>
    <s v="Regular"/>
    <n v="30"/>
    <n v="40"/>
    <n v="30"/>
    <n v="70"/>
    <n v="29"/>
    <n v="490"/>
    <n v="44"/>
    <n v="8"/>
    <n v="37"/>
    <n v="78"/>
    <n v="1.1142857142857143"/>
    <n v="1.2333333333333334"/>
    <n v="0.96666666666666667"/>
  </r>
  <r>
    <n v="978"/>
    <x v="23"/>
    <s v="East"/>
    <s v="Major Market"/>
    <s v="Caffe Mocha"/>
    <s v="Espresso"/>
    <s v="Massachusetts"/>
    <s v="Regular"/>
    <n v="40"/>
    <n v="50"/>
    <n v="-10"/>
    <n v="90"/>
    <n v="47"/>
    <n v="571"/>
    <n v="52"/>
    <n v="42"/>
    <n v="-30"/>
    <n v="106"/>
    <n v="1.1777777777777778"/>
    <n v="3"/>
    <n v="1.175"/>
  </r>
  <r>
    <n v="857"/>
    <x v="23"/>
    <s v="East"/>
    <s v="Major Market"/>
    <s v="Regular Espresso"/>
    <s v="Espresso"/>
    <s v="Massachusetts"/>
    <s v="Regular"/>
    <n v="150"/>
    <n v="140"/>
    <n v="80"/>
    <n v="290"/>
    <n v="153"/>
    <n v="1319"/>
    <n v="153"/>
    <n v="42"/>
    <n v="129"/>
    <n v="326"/>
    <n v="1.1241379310344828"/>
    <n v="1.6125"/>
    <n v="1.02"/>
  </r>
  <r>
    <n v="351"/>
    <x v="23"/>
    <s v="East"/>
    <s v="Major Market"/>
    <s v="Columbian"/>
    <s v="Coffee"/>
    <s v="Massachusetts"/>
    <s v="Regular"/>
    <n v="60"/>
    <n v="390"/>
    <n v="360"/>
    <n v="450"/>
    <n v="67"/>
    <n v="-3534"/>
    <n v="443"/>
    <n v="22"/>
    <n v="579"/>
    <n v="543"/>
    <n v="1.2066666666666668"/>
    <n v="1.6083333333333334"/>
    <n v="1.1166666666666667"/>
  </r>
  <r>
    <n v="603"/>
    <x v="23"/>
    <s v="East"/>
    <s v="Small Market"/>
    <s v="Lemon"/>
    <s v="Herbal Tea"/>
    <s v="New Hampshire"/>
    <s v="Decaf"/>
    <n v="20"/>
    <n v="40"/>
    <n v="10"/>
    <n v="60"/>
    <n v="39"/>
    <n v="250"/>
    <n v="49"/>
    <n v="14"/>
    <n v="3"/>
    <n v="94"/>
    <n v="1.5666666666666667"/>
    <n v="0.3"/>
    <n v="1.95"/>
  </r>
  <r>
    <n v="603"/>
    <x v="23"/>
    <s v="East"/>
    <s v="Small Market"/>
    <s v="Darjeeling"/>
    <s v="Tea"/>
    <s v="New Hampshire"/>
    <s v="Regular"/>
    <n v="10"/>
    <n v="30"/>
    <n v="20"/>
    <n v="40"/>
    <n v="16"/>
    <n v="851"/>
    <n v="25"/>
    <n v="4"/>
    <n v="15"/>
    <n v="44"/>
    <n v="1.1000000000000001"/>
    <n v="0.75"/>
    <n v="1.6"/>
  </r>
  <r>
    <n v="603"/>
    <x v="23"/>
    <s v="East"/>
    <s v="Small Market"/>
    <s v="Green Tea"/>
    <s v="Tea"/>
    <s v="New Hampshire"/>
    <s v="Regular"/>
    <n v="0"/>
    <n v="40"/>
    <n v="30"/>
    <n v="40"/>
    <n v="0"/>
    <n v="344"/>
    <n v="43"/>
    <n v="0"/>
    <n v="47"/>
    <n v="46"/>
    <n v="1.1499999999999999"/>
    <n v="1.5666666666666667"/>
    <m/>
  </r>
  <r>
    <n v="603"/>
    <x v="23"/>
    <s v="East"/>
    <s v="Small Market"/>
    <s v="Caffe Mocha"/>
    <s v="Espresso"/>
    <s v="New Hampshire"/>
    <s v="Regular"/>
    <n v="40"/>
    <n v="70"/>
    <n v="10"/>
    <n v="110"/>
    <n v="49"/>
    <n v="335"/>
    <n v="69"/>
    <n v="44"/>
    <n v="-6"/>
    <n v="126"/>
    <n v="1.1454545454545455"/>
    <n v="-0.6"/>
    <n v="1.2250000000000001"/>
  </r>
  <r>
    <n v="603"/>
    <x v="23"/>
    <s v="East"/>
    <s v="Small Market"/>
    <s v="Regular Espresso"/>
    <s v="Espresso"/>
    <s v="New Hampshire"/>
    <s v="Regular"/>
    <n v="10"/>
    <n v="30"/>
    <n v="0"/>
    <n v="40"/>
    <n v="20"/>
    <n v="218"/>
    <n v="25"/>
    <n v="7"/>
    <n v="-24"/>
    <n v="48"/>
    <n v="1.2"/>
    <m/>
    <n v="2"/>
  </r>
  <r>
    <n v="603"/>
    <x v="23"/>
    <s v="East"/>
    <s v="Small Market"/>
    <s v="Amaretto"/>
    <s v="Coffee"/>
    <s v="New Hampshire"/>
    <s v="Regular"/>
    <n v="40"/>
    <n v="70"/>
    <n v="50"/>
    <n v="110"/>
    <n v="52"/>
    <n v="327"/>
    <n v="75"/>
    <n v="16"/>
    <n v="55"/>
    <n v="135"/>
    <n v="1.2272727272727273"/>
    <n v="1.1000000000000001"/>
    <n v="1.3"/>
  </r>
  <r>
    <n v="603"/>
    <x v="23"/>
    <s v="East"/>
    <s v="Small Market"/>
    <s v="Columbian"/>
    <s v="Coffee"/>
    <s v="New Hampshire"/>
    <s v="Regular"/>
    <n v="40"/>
    <n v="60"/>
    <n v="30"/>
    <n v="100"/>
    <n v="48"/>
    <n v="462"/>
    <n v="74"/>
    <n v="15"/>
    <n v="42"/>
    <n v="130"/>
    <n v="1.3"/>
    <n v="1.4"/>
    <n v="1.2"/>
  </r>
  <r>
    <n v="631"/>
    <x v="23"/>
    <s v="East"/>
    <s v="Major Market"/>
    <s v="Lemon"/>
    <s v="Herbal Tea"/>
    <s v="New York"/>
    <s v="Decaf"/>
    <n v="220"/>
    <n v="320"/>
    <n v="210"/>
    <n v="540"/>
    <n v="294"/>
    <n v="1727"/>
    <n v="453"/>
    <n v="111"/>
    <n v="459"/>
    <n v="796"/>
    <n v="1.4740740740740741"/>
    <n v="2.1857142857142855"/>
    <n v="1.3363636363636364"/>
  </r>
  <r>
    <n v="716"/>
    <x v="23"/>
    <s v="East"/>
    <s v="Major Market"/>
    <s v="Mint"/>
    <s v="Herbal Tea"/>
    <s v="New York"/>
    <s v="Decaf"/>
    <n v="180"/>
    <n v="-80"/>
    <n v="-150"/>
    <n v="100"/>
    <n v="241"/>
    <n v="5121"/>
    <n v="-93"/>
    <n v="74"/>
    <n v="-280"/>
    <n v="158"/>
    <n v="1.58"/>
    <n v="1.8666666666666667"/>
    <n v="1.3388888888888888"/>
  </r>
  <r>
    <n v="718"/>
    <x v="23"/>
    <s v="East"/>
    <s v="Major Market"/>
    <s v="Darjeeling"/>
    <s v="Tea"/>
    <s v="New York"/>
    <s v="Regular"/>
    <n v="90"/>
    <n v="120"/>
    <n v="90"/>
    <n v="210"/>
    <n v="86"/>
    <n v="1003"/>
    <n v="124"/>
    <n v="24"/>
    <n v="132"/>
    <n v="224"/>
    <n v="1.0666666666666667"/>
    <n v="1.4666666666666666"/>
    <n v="0.9555555555555556"/>
  </r>
  <r>
    <n v="518"/>
    <x v="23"/>
    <s v="East"/>
    <s v="Major Market"/>
    <s v="Earl Grey"/>
    <s v="Tea"/>
    <s v="New York"/>
    <s v="Regular"/>
    <n v="120"/>
    <n v="190"/>
    <n v="150"/>
    <n v="310"/>
    <n v="123"/>
    <n v="959"/>
    <n v="179"/>
    <n v="34"/>
    <n v="197"/>
    <n v="322"/>
    <n v="1.0387096774193549"/>
    <n v="1.3133333333333332"/>
    <n v="1.0249999999999999"/>
  </r>
  <r>
    <n v="585"/>
    <x v="23"/>
    <s v="East"/>
    <s v="Major Market"/>
    <s v="Green Tea"/>
    <s v="Tea"/>
    <s v="New York"/>
    <s v="Regular"/>
    <n v="50"/>
    <n v="80"/>
    <n v="60"/>
    <n v="130"/>
    <n v="54"/>
    <n v="601"/>
    <n v="79"/>
    <n v="15"/>
    <n v="77"/>
    <n v="142"/>
    <n v="1.0923076923076922"/>
    <n v="1.2833333333333334"/>
    <n v="1.08"/>
  </r>
  <r>
    <n v="845"/>
    <x v="23"/>
    <s v="East"/>
    <s v="Major Market"/>
    <s v="Caffe Mocha"/>
    <s v="Espresso"/>
    <s v="New York"/>
    <s v="Regular"/>
    <n v="130"/>
    <n v="-70"/>
    <n v="-210"/>
    <n v="60"/>
    <n v="135"/>
    <n v="3641"/>
    <n v="-69"/>
    <n v="122"/>
    <n v="-332"/>
    <n v="70"/>
    <n v="1.1666666666666667"/>
    <n v="1.5809523809523809"/>
    <n v="1.0384615384615385"/>
  </r>
  <r>
    <n v="518"/>
    <x v="23"/>
    <s v="East"/>
    <s v="Major Market"/>
    <s v="Regular Espresso"/>
    <s v="Espresso"/>
    <s v="New York"/>
    <s v="Regular"/>
    <n v="240"/>
    <n v="400"/>
    <n v="320"/>
    <n v="640"/>
    <n v="250"/>
    <n v="723"/>
    <n v="407"/>
    <n v="70"/>
    <n v="463"/>
    <n v="700"/>
    <n v="1.09375"/>
    <n v="1.4468749999999999"/>
    <n v="1.0416666666666667"/>
  </r>
  <r>
    <n v="315"/>
    <x v="23"/>
    <s v="East"/>
    <s v="Major Market"/>
    <s v="Columbian"/>
    <s v="Coffee"/>
    <s v="New York"/>
    <s v="Regular"/>
    <n v="250"/>
    <n v="370"/>
    <n v="250"/>
    <n v="620"/>
    <n v="279"/>
    <n v="2642"/>
    <n v="420"/>
    <n v="97"/>
    <n v="402"/>
    <n v="745"/>
    <n v="1.2016129032258065"/>
    <n v="1.6080000000000001"/>
    <n v="1.1160000000000001"/>
  </r>
  <r>
    <n v="985"/>
    <x v="23"/>
    <s v="South"/>
    <s v="Small Market"/>
    <s v="Chamomile"/>
    <s v="Herbal Tea"/>
    <s v="Louisiana"/>
    <s v="Decaf"/>
    <n v="80"/>
    <n v="110"/>
    <n v="70"/>
    <n v="190"/>
    <n v="94"/>
    <n v="540"/>
    <n v="120"/>
    <n v="31"/>
    <n v="114"/>
    <n v="228"/>
    <n v="1.2"/>
    <n v="1.6285714285714286"/>
    <n v="1.175"/>
  </r>
  <r>
    <n v="318"/>
    <x v="23"/>
    <s v="South"/>
    <s v="Small Market"/>
    <s v="Lemon"/>
    <s v="Herbal Tea"/>
    <s v="Louisiana"/>
    <s v="Decaf"/>
    <n v="60"/>
    <n v="80"/>
    <n v="30"/>
    <n v="140"/>
    <n v="68"/>
    <n v="619"/>
    <n v="85"/>
    <n v="25"/>
    <n v="39"/>
    <n v="163"/>
    <n v="1.1642857142857144"/>
    <n v="1.3"/>
    <n v="1.1333333333333333"/>
  </r>
  <r>
    <n v="985"/>
    <x v="23"/>
    <s v="South"/>
    <s v="Small Market"/>
    <s v="Columbian"/>
    <s v="Coffee"/>
    <s v="Louisiana"/>
    <s v="Regular"/>
    <n v="50"/>
    <n v="90"/>
    <n v="70"/>
    <n v="140"/>
    <n v="49"/>
    <n v="845"/>
    <n v="71"/>
    <n v="13"/>
    <n v="68"/>
    <n v="128"/>
    <n v="0.91428571428571426"/>
    <n v="0.97142857142857142"/>
    <n v="0.98"/>
  </r>
  <r>
    <n v="337"/>
    <x v="23"/>
    <s v="South"/>
    <s v="Small Market"/>
    <s v="Decaf Irish Cream"/>
    <s v="Coffee"/>
    <s v="Louisiana"/>
    <s v="Decaf"/>
    <n v="40"/>
    <n v="60"/>
    <n v="50"/>
    <n v="100"/>
    <n v="34"/>
    <n v="863"/>
    <n v="51"/>
    <n v="9"/>
    <n v="46"/>
    <n v="91"/>
    <n v="0.91"/>
    <n v="0.92"/>
    <n v="0.85"/>
  </r>
  <r>
    <n v="225"/>
    <x v="23"/>
    <s v="South"/>
    <s v="Small Market"/>
    <s v="Caffe Latte"/>
    <s v="Espresso"/>
    <s v="Louisiana"/>
    <s v="Regular"/>
    <n v="40"/>
    <n v="60"/>
    <n v="0"/>
    <n v="100"/>
    <n v="55"/>
    <n v="-1053"/>
    <n v="76"/>
    <n v="49"/>
    <n v="-4"/>
    <n v="140"/>
    <n v="1.4"/>
    <m/>
    <n v="1.375"/>
  </r>
  <r>
    <n v="225"/>
    <x v="23"/>
    <s v="South"/>
    <s v="Small Market"/>
    <s v="Caffe Mocha"/>
    <s v="Espresso"/>
    <s v="Louisiana"/>
    <s v="Regular"/>
    <n v="30"/>
    <n v="50"/>
    <n v="20"/>
    <n v="80"/>
    <n v="41"/>
    <n v="320"/>
    <n v="66"/>
    <n v="12"/>
    <n v="46"/>
    <n v="114"/>
    <n v="1.425"/>
    <n v="2.2999999999999998"/>
    <n v="1.3666666666666667"/>
  </r>
  <r>
    <n v="318"/>
    <x v="23"/>
    <s v="South"/>
    <s v="Small Market"/>
    <s v="Decaf Espresso"/>
    <s v="Espresso"/>
    <s v="Louisiana"/>
    <s v="Decaf"/>
    <n v="30"/>
    <n v="50"/>
    <n v="20"/>
    <n v="80"/>
    <n v="43"/>
    <n v="466"/>
    <n v="63"/>
    <n v="13"/>
    <n v="40"/>
    <n v="113"/>
    <n v="1.4125000000000001"/>
    <n v="2"/>
    <n v="1.4333333333333333"/>
  </r>
  <r>
    <n v="505"/>
    <x v="23"/>
    <s v="South"/>
    <s v="Small Market"/>
    <s v="Chamomile"/>
    <s v="Herbal Tea"/>
    <s v="New Mexico"/>
    <s v="Decaf"/>
    <n v="10"/>
    <n v="20"/>
    <n v="10"/>
    <n v="30"/>
    <n v="16"/>
    <n v="851"/>
    <n v="25"/>
    <n v="4"/>
    <n v="13"/>
    <n v="44"/>
    <n v="1.4666666666666666"/>
    <n v="1.3"/>
    <n v="1.6"/>
  </r>
  <r>
    <n v="505"/>
    <x v="23"/>
    <s v="South"/>
    <s v="Small Market"/>
    <s v="Lemon"/>
    <s v="Herbal Tea"/>
    <s v="New Mexico"/>
    <s v="Decaf"/>
    <n v="20"/>
    <n v="40"/>
    <n v="20"/>
    <n v="60"/>
    <n v="31"/>
    <n v="1009"/>
    <n v="38"/>
    <n v="9"/>
    <n v="10"/>
    <n v="74"/>
    <n v="1.2333333333333334"/>
    <n v="0.5"/>
    <n v="1.55"/>
  </r>
  <r>
    <n v="505"/>
    <x v="23"/>
    <s v="South"/>
    <s v="Small Market"/>
    <s v="Columbian"/>
    <s v="Coffee"/>
    <s v="New Mexico"/>
    <s v="Regular"/>
    <n v="50"/>
    <n v="90"/>
    <n v="50"/>
    <n v="140"/>
    <n v="48"/>
    <n v="462"/>
    <n v="74"/>
    <n v="15"/>
    <n v="40"/>
    <n v="130"/>
    <n v="0.9285714285714286"/>
    <n v="0.8"/>
    <n v="0.96"/>
  </r>
  <r>
    <n v="505"/>
    <x v="23"/>
    <s v="South"/>
    <s v="Small Market"/>
    <s v="Decaf Irish Cream"/>
    <s v="Coffee"/>
    <s v="New Mexico"/>
    <s v="Decaf"/>
    <n v="100"/>
    <n v="90"/>
    <n v="40"/>
    <n v="190"/>
    <n v="92"/>
    <n v="1898"/>
    <n v="68"/>
    <n v="28"/>
    <n v="24"/>
    <n v="171"/>
    <n v="0.9"/>
    <n v="0.6"/>
    <n v="0.92"/>
  </r>
  <r>
    <n v="505"/>
    <x v="23"/>
    <s v="South"/>
    <s v="Small Market"/>
    <s v="Caffe Latte"/>
    <s v="Espresso"/>
    <s v="New Mexico"/>
    <s v="Regular"/>
    <n v="10"/>
    <n v="20"/>
    <n v="-10"/>
    <n v="30"/>
    <n v="20"/>
    <n v="-598"/>
    <n v="25"/>
    <n v="7"/>
    <n v="-22"/>
    <n v="48"/>
    <n v="1.6"/>
    <n v="2.2000000000000002"/>
    <n v="2"/>
  </r>
  <r>
    <n v="505"/>
    <x v="23"/>
    <s v="South"/>
    <s v="Small Market"/>
    <s v="Caffe Mocha"/>
    <s v="Espresso"/>
    <s v="New Mexico"/>
    <s v="Regular"/>
    <n v="30"/>
    <n v="60"/>
    <n v="10"/>
    <n v="90"/>
    <n v="49"/>
    <n v="335"/>
    <n v="69"/>
    <n v="44"/>
    <n v="-7"/>
    <n v="126"/>
    <n v="1.4"/>
    <n v="-0.7"/>
    <n v="1.6333333333333333"/>
  </r>
  <r>
    <n v="505"/>
    <x v="23"/>
    <s v="South"/>
    <s v="Small Market"/>
    <s v="Decaf Espresso"/>
    <s v="Espresso"/>
    <s v="New Mexico"/>
    <s v="Decaf"/>
    <n v="30"/>
    <n v="30"/>
    <n v="0"/>
    <n v="60"/>
    <n v="38"/>
    <n v="256"/>
    <n v="51"/>
    <n v="12"/>
    <n v="18"/>
    <n v="95"/>
    <n v="1.5833333333333333"/>
    <m/>
    <n v="1.2666666666666666"/>
  </r>
  <r>
    <n v="405"/>
    <x v="23"/>
    <s v="South"/>
    <s v="Small Market"/>
    <s v="Chamomile"/>
    <s v="Herbal Tea"/>
    <s v="Oklahoma"/>
    <s v="Decaf"/>
    <n v="60"/>
    <n v="70"/>
    <n v="20"/>
    <n v="130"/>
    <n v="65"/>
    <n v="403"/>
    <n v="80"/>
    <n v="24"/>
    <n v="33"/>
    <n v="155"/>
    <n v="1.1923076923076923"/>
    <n v="1.65"/>
    <n v="1.0833333333333333"/>
  </r>
  <r>
    <n v="580"/>
    <x v="23"/>
    <s v="South"/>
    <s v="Small Market"/>
    <s v="Lemon"/>
    <s v="Herbal Tea"/>
    <s v="Oklahoma"/>
    <s v="Decaf"/>
    <n v="90"/>
    <n v="140"/>
    <n v="30"/>
    <n v="230"/>
    <n v="105"/>
    <n v="716"/>
    <n v="145"/>
    <n v="95"/>
    <n v="30"/>
    <n v="266"/>
    <n v="1.1565217391304348"/>
    <n v="1"/>
    <n v="1.1666666666666667"/>
  </r>
  <r>
    <n v="580"/>
    <x v="23"/>
    <s v="South"/>
    <s v="Small Market"/>
    <s v="Columbian"/>
    <s v="Coffee"/>
    <s v="Oklahoma"/>
    <s v="Regular"/>
    <n v="90"/>
    <n v="130"/>
    <n v="100"/>
    <n v="220"/>
    <n v="81"/>
    <n v="551"/>
    <n v="104"/>
    <n v="26"/>
    <n v="98"/>
    <n v="197"/>
    <n v="0.8954545454545455"/>
    <n v="0.98"/>
    <n v="0.9"/>
  </r>
  <r>
    <n v="918"/>
    <x v="23"/>
    <s v="South"/>
    <s v="Small Market"/>
    <s v="Decaf Irish Cream"/>
    <s v="Coffee"/>
    <s v="Oklahoma"/>
    <s v="Decaf"/>
    <n v="30"/>
    <n v="60"/>
    <n v="50"/>
    <n v="90"/>
    <n v="33"/>
    <n v="870"/>
    <n v="49"/>
    <n v="9"/>
    <n v="42"/>
    <n v="87"/>
    <n v="0.96666666666666667"/>
    <n v="0.84"/>
    <n v="1.1000000000000001"/>
  </r>
  <r>
    <n v="918"/>
    <x v="23"/>
    <s v="South"/>
    <s v="Small Market"/>
    <s v="Caffe Latte"/>
    <s v="Espresso"/>
    <s v="Oklahoma"/>
    <s v="Regular"/>
    <n v="100"/>
    <n v="140"/>
    <n v="90"/>
    <n v="240"/>
    <n v="134"/>
    <n v="-2248"/>
    <n v="186"/>
    <n v="41"/>
    <n v="180"/>
    <n v="341"/>
    <n v="1.4208333333333334"/>
    <n v="2"/>
    <n v="1.34"/>
  </r>
  <r>
    <n v="580"/>
    <x v="23"/>
    <s v="South"/>
    <s v="Small Market"/>
    <s v="Caffe Mocha"/>
    <s v="Espresso"/>
    <s v="Oklahoma"/>
    <s v="Regular"/>
    <n v="20"/>
    <n v="30"/>
    <n v="20"/>
    <n v="50"/>
    <n v="29"/>
    <n v="490"/>
    <n v="44"/>
    <n v="8"/>
    <n v="36"/>
    <n v="78"/>
    <n v="1.56"/>
    <n v="1.8"/>
    <n v="1.45"/>
  </r>
  <r>
    <n v="918"/>
    <x v="23"/>
    <s v="South"/>
    <s v="Small Market"/>
    <s v="Decaf Espresso"/>
    <s v="Espresso"/>
    <s v="Oklahoma"/>
    <s v="Decaf"/>
    <n v="60"/>
    <n v="110"/>
    <n v="60"/>
    <n v="170"/>
    <n v="88"/>
    <n v="817"/>
    <n v="133"/>
    <n v="29"/>
    <n v="107"/>
    <n v="236"/>
    <n v="1.388235294117647"/>
    <n v="1.7833333333333334"/>
    <n v="1.4666666666666666"/>
  </r>
  <r>
    <n v="325"/>
    <x v="23"/>
    <s v="South"/>
    <s v="Major Market"/>
    <s v="Chamomile"/>
    <s v="Herbal Tea"/>
    <s v="Texas"/>
    <s v="Decaf"/>
    <n v="50"/>
    <n v="60"/>
    <n v="30"/>
    <n v="110"/>
    <n v="54"/>
    <n v="424"/>
    <n v="73"/>
    <n v="17"/>
    <n v="42"/>
    <n v="135"/>
    <n v="1.2272727272727273"/>
    <n v="1.4"/>
    <n v="1.08"/>
  </r>
  <r>
    <n v="430"/>
    <x v="23"/>
    <s v="South"/>
    <s v="Major Market"/>
    <s v="Lemon"/>
    <s v="Herbal Tea"/>
    <s v="Texas"/>
    <s v="Decaf"/>
    <n v="30"/>
    <n v="60"/>
    <n v="30"/>
    <n v="90"/>
    <n v="41"/>
    <n v="435"/>
    <n v="60"/>
    <n v="13"/>
    <n v="36"/>
    <n v="108"/>
    <n v="1.2"/>
    <n v="1.2"/>
    <n v="1.3666666666666667"/>
  </r>
  <r>
    <n v="409"/>
    <x v="23"/>
    <s v="South"/>
    <s v="Major Market"/>
    <s v="Columbian"/>
    <s v="Coffee"/>
    <s v="Texas"/>
    <s v="Regular"/>
    <n v="280"/>
    <n v="340"/>
    <n v="240"/>
    <n v="620"/>
    <n v="241"/>
    <n v="1321"/>
    <n v="284"/>
    <n v="74"/>
    <n v="279"/>
    <n v="559"/>
    <n v="0.90161290322580645"/>
    <n v="1.1625000000000001"/>
    <n v="0.86071428571428577"/>
  </r>
  <r>
    <n v="956"/>
    <x v="23"/>
    <s v="South"/>
    <s v="Major Market"/>
    <s v="Decaf Irish Cream"/>
    <s v="Coffee"/>
    <s v="Texas"/>
    <s v="Decaf"/>
    <n v="50"/>
    <n v="60"/>
    <n v="40"/>
    <n v="110"/>
    <n v="43"/>
    <n v="531"/>
    <n v="56"/>
    <n v="14"/>
    <n v="45"/>
    <n v="106"/>
    <n v="0.96363636363636362"/>
    <n v="1.125"/>
    <n v="0.86"/>
  </r>
  <r>
    <n v="361"/>
    <x v="23"/>
    <s v="South"/>
    <s v="Major Market"/>
    <s v="Caffe Latte"/>
    <s v="Espresso"/>
    <s v="Texas"/>
    <s v="Regular"/>
    <n v="50"/>
    <n v="70"/>
    <n v="30"/>
    <n v="120"/>
    <n v="67"/>
    <n v="-1239"/>
    <n v="101"/>
    <n v="22"/>
    <n v="70"/>
    <n v="179"/>
    <n v="1.4916666666666667"/>
    <n v="2.3333333333333335"/>
    <n v="1.34"/>
  </r>
  <r>
    <n v="254"/>
    <x v="23"/>
    <s v="South"/>
    <s v="Major Market"/>
    <s v="Caffe Mocha"/>
    <s v="Espresso"/>
    <s v="Texas"/>
    <s v="Regular"/>
    <n v="90"/>
    <n v="140"/>
    <n v="110"/>
    <n v="230"/>
    <n v="123"/>
    <n v="959"/>
    <n v="179"/>
    <n v="34"/>
    <n v="197"/>
    <n v="322"/>
    <n v="1.4"/>
    <n v="1.790909090909091"/>
    <n v="1.3666666666666667"/>
  </r>
  <r>
    <n v="430"/>
    <x v="23"/>
    <s v="South"/>
    <s v="Major Market"/>
    <s v="Decaf Espresso"/>
    <s v="Espresso"/>
    <s v="Texas"/>
    <s v="Decaf"/>
    <n v="40"/>
    <n v="60"/>
    <n v="40"/>
    <n v="100"/>
    <n v="54"/>
    <n v="601"/>
    <n v="79"/>
    <n v="15"/>
    <n v="77"/>
    <n v="142"/>
    <n v="1.42"/>
    <n v="1.925"/>
    <n v="1.35"/>
  </r>
  <r>
    <n v="435"/>
    <x v="23"/>
    <s v="West"/>
    <s v="Small Market"/>
    <s v="Darjeeling"/>
    <s v="Tea"/>
    <s v="Utah"/>
    <s v="Regular"/>
    <n v="30"/>
    <n v="50"/>
    <n v="0"/>
    <n v="80"/>
    <n v="49"/>
    <n v="335"/>
    <n v="69"/>
    <n v="44"/>
    <n v="-6"/>
    <n v="126"/>
    <n v="1.575"/>
    <m/>
    <n v="1.6333333333333333"/>
  </r>
  <r>
    <n v="435"/>
    <x v="23"/>
    <s v="West"/>
    <s v="Small Market"/>
    <s v="Earl Grey"/>
    <s v="Tea"/>
    <s v="Utah"/>
    <s v="Regular"/>
    <n v="20"/>
    <n v="40"/>
    <n v="10"/>
    <n v="60"/>
    <n v="38"/>
    <n v="256"/>
    <n v="51"/>
    <n v="12"/>
    <n v="18"/>
    <n v="95"/>
    <n v="1.5833333333333333"/>
    <n v="1.8"/>
    <n v="1.9"/>
  </r>
  <r>
    <n v="435"/>
    <x v="23"/>
    <s v="West"/>
    <s v="Small Market"/>
    <s v="Green Tea"/>
    <s v="Tea"/>
    <s v="Utah"/>
    <s v="Regular"/>
    <n v="10"/>
    <n v="20"/>
    <n v="0"/>
    <n v="30"/>
    <n v="20"/>
    <n v="218"/>
    <n v="25"/>
    <n v="7"/>
    <n v="-22"/>
    <n v="48"/>
    <n v="1.6"/>
    <m/>
    <n v="2"/>
  </r>
  <r>
    <n v="435"/>
    <x v="23"/>
    <s v="West"/>
    <s v="Small Market"/>
    <s v="Chamomile"/>
    <s v="Herbal Tea"/>
    <s v="Utah"/>
    <s v="Decaf"/>
    <n v="40"/>
    <n v="70"/>
    <n v="40"/>
    <n v="110"/>
    <n v="52"/>
    <n v="327"/>
    <n v="75"/>
    <n v="16"/>
    <n v="53"/>
    <n v="135"/>
    <n v="1.2272727272727273"/>
    <n v="1.325"/>
    <n v="1.3"/>
  </r>
  <r>
    <n v="435"/>
    <x v="23"/>
    <s v="West"/>
    <s v="Small Market"/>
    <s v="Lemon"/>
    <s v="Herbal Tea"/>
    <s v="Utah"/>
    <s v="Decaf"/>
    <n v="40"/>
    <n v="70"/>
    <n v="40"/>
    <n v="110"/>
    <n v="48"/>
    <n v="462"/>
    <n v="74"/>
    <n v="15"/>
    <n v="42"/>
    <n v="130"/>
    <n v="1.1818181818181819"/>
    <n v="1.05"/>
    <n v="1.2"/>
  </r>
  <r>
    <n v="435"/>
    <x v="23"/>
    <s v="West"/>
    <s v="Small Market"/>
    <s v="Mint"/>
    <s v="Herbal Tea"/>
    <s v="Utah"/>
    <s v="Decaf"/>
    <n v="80"/>
    <n v="60"/>
    <n v="20"/>
    <n v="140"/>
    <n v="92"/>
    <n v="1898"/>
    <n v="68"/>
    <n v="28"/>
    <n v="25"/>
    <n v="171"/>
    <n v="1.2214285714285715"/>
    <n v="1.25"/>
    <n v="1.1499999999999999"/>
  </r>
  <r>
    <n v="435"/>
    <x v="23"/>
    <s v="West"/>
    <s v="Small Market"/>
    <s v="Caffe Latte"/>
    <s v="Espresso"/>
    <s v="Utah"/>
    <s v="Regular"/>
    <n v="30"/>
    <n v="40"/>
    <n v="30"/>
    <n v="70"/>
    <n v="31"/>
    <n v="844"/>
    <n v="46"/>
    <n v="8"/>
    <n v="39"/>
    <n v="82"/>
    <n v="1.1714285714285715"/>
    <n v="1.3"/>
    <n v="1.0333333333333334"/>
  </r>
  <r>
    <n v="435"/>
    <x v="23"/>
    <s v="West"/>
    <s v="Small Market"/>
    <s v="Caffe Mocha"/>
    <s v="Espresso"/>
    <s v="Utah"/>
    <s v="Regular"/>
    <n v="90"/>
    <n v="110"/>
    <n v="70"/>
    <n v="200"/>
    <n v="94"/>
    <n v="540"/>
    <n v="120"/>
    <n v="31"/>
    <n v="114"/>
    <n v="228"/>
    <n v="1.1399999999999999"/>
    <n v="1.6285714285714286"/>
    <n v="1.0444444444444445"/>
  </r>
  <r>
    <n v="435"/>
    <x v="23"/>
    <s v="West"/>
    <s v="Small Market"/>
    <s v="Decaf Espresso"/>
    <s v="Espresso"/>
    <s v="Utah"/>
    <s v="Decaf"/>
    <n v="40"/>
    <n v="70"/>
    <n v="50"/>
    <n v="110"/>
    <n v="50"/>
    <n v="898"/>
    <n v="73"/>
    <n v="14"/>
    <n v="70"/>
    <n v="131"/>
    <n v="1.1909090909090909"/>
    <n v="1.4"/>
    <n v="1.25"/>
  </r>
  <r>
    <n v="435"/>
    <x v="23"/>
    <s v="West"/>
    <s v="Small Market"/>
    <s v="Amaretto"/>
    <s v="Coffee"/>
    <s v="Utah"/>
    <s v="Regular"/>
    <n v="70"/>
    <n v="90"/>
    <n v="50"/>
    <n v="160"/>
    <n v="63"/>
    <n v="1075"/>
    <n v="76"/>
    <n v="19"/>
    <n v="53"/>
    <n v="148"/>
    <n v="0.92500000000000004"/>
    <n v="1.06"/>
    <n v="0.9"/>
  </r>
  <r>
    <n v="435"/>
    <x v="23"/>
    <s v="West"/>
    <s v="Small Market"/>
    <s v="Columbian"/>
    <s v="Coffee"/>
    <s v="Utah"/>
    <s v="Regular"/>
    <n v="50"/>
    <n v="80"/>
    <n v="50"/>
    <n v="130"/>
    <n v="49"/>
    <n v="392"/>
    <n v="65"/>
    <n v="16"/>
    <n v="31"/>
    <n v="121"/>
    <n v="0.93076923076923079"/>
    <n v="0.62"/>
    <n v="0.98"/>
  </r>
  <r>
    <n v="801"/>
    <x v="23"/>
    <s v="West"/>
    <s v="Small Market"/>
    <s v="Decaf Irish Cream"/>
    <s v="Coffee"/>
    <s v="Utah"/>
    <s v="Decaf"/>
    <n v="80"/>
    <n v="100"/>
    <n v="50"/>
    <n v="180"/>
    <n v="68"/>
    <n v="619"/>
    <n v="85"/>
    <n v="25"/>
    <n v="39"/>
    <n v="163"/>
    <n v="0.90555555555555556"/>
    <n v="0.78"/>
    <n v="0.85"/>
  </r>
  <r>
    <n v="323"/>
    <x v="23"/>
    <s v="West"/>
    <s v="Major Market"/>
    <s v="Darjeeling"/>
    <s v="Tea"/>
    <s v="California"/>
    <s v="Regular"/>
    <n v="90"/>
    <n v="130"/>
    <n v="110"/>
    <n v="220"/>
    <n v="123"/>
    <n v="959"/>
    <n v="179"/>
    <n v="34"/>
    <n v="199"/>
    <n v="322"/>
    <n v="1.4636363636363636"/>
    <n v="1.8090909090909091"/>
    <n v="1.3666666666666667"/>
  </r>
  <r>
    <n v="408"/>
    <x v="23"/>
    <s v="West"/>
    <s v="Major Market"/>
    <s v="Earl Grey"/>
    <s v="Tea"/>
    <s v="California"/>
    <s v="Regular"/>
    <n v="30"/>
    <n v="60"/>
    <n v="50"/>
    <n v="90"/>
    <n v="54"/>
    <n v="601"/>
    <n v="79"/>
    <n v="15"/>
    <n v="79"/>
    <n v="142"/>
    <n v="1.5777777777777777"/>
    <n v="1.58"/>
    <n v="1.8"/>
  </r>
  <r>
    <n v="510"/>
    <x v="23"/>
    <s v="West"/>
    <s v="Major Market"/>
    <s v="Green Tea"/>
    <s v="Tea"/>
    <s v="California"/>
    <s v="Regular"/>
    <n v="40"/>
    <n v="80"/>
    <n v="50"/>
    <n v="120"/>
    <n v="67"/>
    <n v="677"/>
    <n v="101"/>
    <n v="22"/>
    <n v="70"/>
    <n v="179"/>
    <n v="1.4916666666666667"/>
    <n v="1.4"/>
    <n v="1.675"/>
  </r>
  <r>
    <n v="916"/>
    <x v="23"/>
    <s v="West"/>
    <s v="Major Market"/>
    <s v="Chamomile"/>
    <s v="Herbal Tea"/>
    <s v="California"/>
    <s v="Decaf"/>
    <n v="80"/>
    <n v="110"/>
    <n v="80"/>
    <n v="190"/>
    <n v="86"/>
    <n v="1003"/>
    <n v="124"/>
    <n v="24"/>
    <n v="132"/>
    <n v="224"/>
    <n v="1.1789473684210525"/>
    <n v="1.65"/>
    <n v="1.075"/>
  </r>
  <r>
    <n v="661"/>
    <x v="23"/>
    <s v="West"/>
    <s v="Major Market"/>
    <s v="Lemon"/>
    <s v="Herbal Tea"/>
    <s v="California"/>
    <s v="Decaf"/>
    <n v="220"/>
    <n v="260"/>
    <n v="170"/>
    <n v="480"/>
    <n v="241"/>
    <n v="1321"/>
    <n v="284"/>
    <n v="74"/>
    <n v="279"/>
    <n v="559"/>
    <n v="1.1645833333333333"/>
    <n v="1.6411764705882352"/>
    <n v="1.0954545454545455"/>
  </r>
  <r>
    <n v="323"/>
    <x v="23"/>
    <s v="West"/>
    <s v="Major Market"/>
    <s v="Mint"/>
    <s v="Herbal Tea"/>
    <s v="California"/>
    <s v="Decaf"/>
    <n v="40"/>
    <n v="50"/>
    <n v="30"/>
    <n v="90"/>
    <n v="43"/>
    <n v="531"/>
    <n v="56"/>
    <n v="14"/>
    <n v="43"/>
    <n v="106"/>
    <n v="1.1777777777777778"/>
    <n v="1.4333333333333333"/>
    <n v="1.075"/>
  </r>
  <r>
    <n v="949"/>
    <x v="23"/>
    <s v="West"/>
    <s v="Major Market"/>
    <s v="Caffe Latte"/>
    <s v="Espresso"/>
    <s v="California"/>
    <s v="Regular"/>
    <n v="240"/>
    <n v="240"/>
    <n v="160"/>
    <n v="480"/>
    <n v="250"/>
    <n v="1820"/>
    <n v="251"/>
    <n v="70"/>
    <n v="233"/>
    <n v="534"/>
    <n v="1.1125"/>
    <n v="1.45625"/>
    <n v="1.0416666666666667"/>
  </r>
  <r>
    <n v="530"/>
    <x v="23"/>
    <s v="West"/>
    <s v="Major Market"/>
    <s v="Caffe Mocha"/>
    <s v="Espresso"/>
    <s v="California"/>
    <s v="Regular"/>
    <n v="130"/>
    <n v="180"/>
    <n v="40"/>
    <n v="310"/>
    <n v="135"/>
    <n v="940"/>
    <n v="187"/>
    <n v="122"/>
    <n v="46"/>
    <n v="343"/>
    <n v="1.1064516129032258"/>
    <n v="1.1499999999999999"/>
    <n v="1.0384615384615385"/>
  </r>
  <r>
    <n v="209"/>
    <x v="23"/>
    <s v="West"/>
    <s v="Major Market"/>
    <s v="Decaf Espresso"/>
    <s v="Espresso"/>
    <s v="California"/>
    <s v="Decaf"/>
    <n v="240"/>
    <n v="310"/>
    <n v="210"/>
    <n v="550"/>
    <n v="247"/>
    <n v="1744"/>
    <n v="329"/>
    <n v="81"/>
    <n v="321"/>
    <n v="614"/>
    <n v="1.1163636363636364"/>
    <n v="1.5285714285714285"/>
    <n v="1.0291666666666666"/>
  </r>
  <r>
    <n v="209"/>
    <x v="23"/>
    <s v="West"/>
    <s v="Major Market"/>
    <s v="Amaretto"/>
    <s v="Coffee"/>
    <s v="California"/>
    <s v="Regular"/>
    <n v="150"/>
    <n v="-30"/>
    <n v="-90"/>
    <n v="120"/>
    <n v="127"/>
    <n v="2947"/>
    <n v="-25"/>
    <n v="40"/>
    <n v="-131"/>
    <n v="109"/>
    <n v="0.90833333333333333"/>
    <n v="1.4555555555555555"/>
    <n v="0.84666666666666668"/>
  </r>
  <r>
    <n v="530"/>
    <x v="23"/>
    <s v="West"/>
    <s v="Major Market"/>
    <s v="Columbian"/>
    <s v="Coffee"/>
    <s v="California"/>
    <s v="Regular"/>
    <n v="330"/>
    <n v="500"/>
    <n v="350"/>
    <n v="830"/>
    <n v="279"/>
    <n v="2642"/>
    <n v="420"/>
    <n v="97"/>
    <n v="402"/>
    <n v="745"/>
    <n v="0.89759036144578308"/>
    <n v="1.1485714285714286"/>
    <n v="0.84545454545454546"/>
  </r>
  <r>
    <n v="951"/>
    <x v="23"/>
    <s v="West"/>
    <s v="Major Market"/>
    <s v="Decaf Irish Cream"/>
    <s v="Coffee"/>
    <s v="California"/>
    <s v="Decaf"/>
    <n v="260"/>
    <n v="-40"/>
    <n v="-150"/>
    <n v="220"/>
    <n v="224"/>
    <n v="4216"/>
    <n v="-32"/>
    <n v="73"/>
    <n v="-221"/>
    <n v="205"/>
    <n v="0.93181818181818177"/>
    <n v="1.4733333333333334"/>
    <n v="0.86153846153846159"/>
  </r>
  <r>
    <n v="775"/>
    <x v="23"/>
    <s v="West"/>
    <s v="Small Market"/>
    <s v="Darjeeling"/>
    <s v="Tea"/>
    <s v="Nevada"/>
    <s v="Regular"/>
    <n v="180"/>
    <n v="240"/>
    <n v="150"/>
    <n v="420"/>
    <n v="247"/>
    <n v="1744"/>
    <n v="329"/>
    <n v="81"/>
    <n v="319"/>
    <n v="614"/>
    <n v="1.4619047619047618"/>
    <n v="2.1266666666666665"/>
    <n v="1.3722222222222222"/>
  </r>
  <r>
    <n v="775"/>
    <x v="23"/>
    <s v="West"/>
    <s v="Small Market"/>
    <s v="Earl Grey"/>
    <s v="Tea"/>
    <s v="Nevada"/>
    <s v="Regular"/>
    <n v="180"/>
    <n v="180"/>
    <n v="100"/>
    <n v="360"/>
    <n v="250"/>
    <n v="1820"/>
    <n v="251"/>
    <n v="70"/>
    <n v="233"/>
    <n v="534"/>
    <n v="1.4833333333333334"/>
    <n v="2.33"/>
    <n v="1.3888888888888888"/>
  </r>
  <r>
    <n v="775"/>
    <x v="23"/>
    <s v="West"/>
    <s v="Small Market"/>
    <s v="Green Tea"/>
    <s v="Tea"/>
    <s v="Nevada"/>
    <s v="Regular"/>
    <n v="210"/>
    <n v="-210"/>
    <n v="-320"/>
    <n v="0"/>
    <n v="294"/>
    <n v="8252"/>
    <n v="-294"/>
    <n v="111"/>
    <n v="-605"/>
    <n v="33"/>
    <m/>
    <n v="1.890625"/>
    <n v="1.4"/>
  </r>
  <r>
    <n v="702"/>
    <x v="23"/>
    <s v="West"/>
    <s v="Small Market"/>
    <s v="Chamomile"/>
    <s v="Herbal Tea"/>
    <s v="Nevada"/>
    <s v="Decaf"/>
    <n v="120"/>
    <n v="170"/>
    <n v="30"/>
    <n v="290"/>
    <n v="135"/>
    <n v="940"/>
    <n v="187"/>
    <n v="122"/>
    <n v="47"/>
    <n v="343"/>
    <n v="1.1827586206896552"/>
    <n v="1.5666666666666667"/>
    <n v="1.125"/>
  </r>
  <r>
    <n v="702"/>
    <x v="23"/>
    <s v="West"/>
    <s v="Small Market"/>
    <s v="Lemon"/>
    <s v="Herbal Tea"/>
    <s v="Nevada"/>
    <s v="Decaf"/>
    <n v="210"/>
    <n v="280"/>
    <n v="170"/>
    <n v="490"/>
    <n v="224"/>
    <n v="1191"/>
    <n v="310"/>
    <n v="73"/>
    <n v="288"/>
    <n v="569"/>
    <n v="1.1612244897959183"/>
    <n v="1.6941176470588235"/>
    <n v="1.0666666666666667"/>
  </r>
  <r>
    <n v="775"/>
    <x v="23"/>
    <s v="West"/>
    <s v="Small Market"/>
    <s v="Mint"/>
    <s v="Herbal Tea"/>
    <s v="Nevada"/>
    <s v="Decaf"/>
    <n v="120"/>
    <n v="170"/>
    <n v="120"/>
    <n v="290"/>
    <n v="127"/>
    <n v="830"/>
    <n v="185"/>
    <n v="40"/>
    <n v="181"/>
    <n v="332"/>
    <n v="1.1448275862068966"/>
    <n v="1.5083333333333333"/>
    <n v="1.0583333333333333"/>
  </r>
  <r>
    <n v="775"/>
    <x v="23"/>
    <s v="West"/>
    <s v="Small Market"/>
    <s v="Caffe Latte"/>
    <s v="Espresso"/>
    <s v="Nevada"/>
    <s v="Regular"/>
    <n v="0"/>
    <n v="40"/>
    <n v="30"/>
    <n v="40"/>
    <n v="0"/>
    <n v="344"/>
    <n v="43"/>
    <n v="0"/>
    <n v="46"/>
    <n v="46"/>
    <n v="1.1499999999999999"/>
    <n v="1.5333333333333334"/>
    <m/>
  </r>
  <r>
    <n v="775"/>
    <x v="23"/>
    <s v="West"/>
    <s v="Small Market"/>
    <s v="Caffe Mocha"/>
    <s v="Espresso"/>
    <s v="Nevada"/>
    <s v="Regular"/>
    <n v="10"/>
    <n v="20"/>
    <n v="10"/>
    <n v="30"/>
    <n v="16"/>
    <n v="851"/>
    <n v="25"/>
    <n v="4"/>
    <n v="15"/>
    <n v="44"/>
    <n v="1.4666666666666666"/>
    <n v="1.5"/>
    <n v="1.6"/>
  </r>
  <r>
    <n v="775"/>
    <x v="23"/>
    <s v="West"/>
    <s v="Small Market"/>
    <s v="Decaf Espresso"/>
    <s v="Espresso"/>
    <s v="Nevada"/>
    <s v="Decaf"/>
    <n v="20"/>
    <n v="30"/>
    <n v="20"/>
    <n v="50"/>
    <n v="23"/>
    <n v="807"/>
    <n v="35"/>
    <n v="6"/>
    <n v="25"/>
    <n v="62"/>
    <n v="1.24"/>
    <n v="1.25"/>
    <n v="1.1499999999999999"/>
  </r>
  <r>
    <n v="702"/>
    <x v="23"/>
    <s v="West"/>
    <s v="Small Market"/>
    <s v="Columbian"/>
    <s v="Coffee"/>
    <s v="Nevada"/>
    <s v="Regular"/>
    <n v="40"/>
    <n v="60"/>
    <n v="20"/>
    <n v="100"/>
    <n v="39"/>
    <n v="250"/>
    <n v="49"/>
    <n v="14"/>
    <n v="1"/>
    <n v="94"/>
    <n v="0.94"/>
    <n v="0.05"/>
    <n v="0.97499999999999998"/>
  </r>
  <r>
    <n v="775"/>
    <x v="23"/>
    <s v="West"/>
    <s v="Small Market"/>
    <s v="Decaf Irish Cream"/>
    <s v="Coffee"/>
    <s v="Nevada"/>
    <s v="Decaf"/>
    <n v="30"/>
    <n v="50"/>
    <n v="30"/>
    <n v="80"/>
    <n v="31"/>
    <n v="1009"/>
    <n v="38"/>
    <n v="9"/>
    <n v="12"/>
    <n v="74"/>
    <n v="0.92500000000000004"/>
    <n v="0.4"/>
    <n v="1.0333333333333334"/>
  </r>
  <r>
    <n v="541"/>
    <x v="23"/>
    <s v="West"/>
    <s v="Small Market"/>
    <s v="Darjeeling"/>
    <s v="Tea"/>
    <s v="Oregon"/>
    <s v="Regular"/>
    <n v="20"/>
    <n v="30"/>
    <n v="30"/>
    <n v="50"/>
    <n v="29"/>
    <n v="490"/>
    <n v="44"/>
    <n v="8"/>
    <n v="37"/>
    <n v="78"/>
    <n v="1.56"/>
    <n v="1.2333333333333334"/>
    <n v="1.45"/>
  </r>
  <r>
    <n v="971"/>
    <x v="23"/>
    <s v="West"/>
    <s v="Small Market"/>
    <s v="Earl Grey"/>
    <s v="Tea"/>
    <s v="Oregon"/>
    <s v="Regular"/>
    <n v="60"/>
    <n v="100"/>
    <n v="60"/>
    <n v="160"/>
    <n v="88"/>
    <n v="817"/>
    <n v="133"/>
    <n v="29"/>
    <n v="108"/>
    <n v="236"/>
    <n v="1.4750000000000001"/>
    <n v="1.8"/>
    <n v="1.4666666666666666"/>
  </r>
  <r>
    <n v="503"/>
    <x v="23"/>
    <s v="West"/>
    <s v="Small Market"/>
    <s v="Green Tea"/>
    <s v="Tea"/>
    <s v="Oregon"/>
    <s v="Regular"/>
    <n v="90"/>
    <n v="140"/>
    <n v="100"/>
    <n v="230"/>
    <n v="134"/>
    <n v="690"/>
    <n v="186"/>
    <n v="41"/>
    <n v="180"/>
    <n v="341"/>
    <n v="1.482608695652174"/>
    <n v="1.8"/>
    <n v="1.4888888888888889"/>
  </r>
  <r>
    <n v="503"/>
    <x v="23"/>
    <s v="West"/>
    <s v="Small Market"/>
    <s v="Chamomile"/>
    <s v="Herbal Tea"/>
    <s v="Oregon"/>
    <s v="Decaf"/>
    <n v="20"/>
    <n v="30"/>
    <n v="20"/>
    <n v="50"/>
    <n v="24"/>
    <n v="829"/>
    <n v="36"/>
    <n v="6"/>
    <n v="28"/>
    <n v="64"/>
    <n v="1.28"/>
    <n v="1.4"/>
    <n v="1.2"/>
  </r>
  <r>
    <n v="503"/>
    <x v="23"/>
    <s v="West"/>
    <s v="Small Market"/>
    <s v="Lemon"/>
    <s v="Herbal Tea"/>
    <s v="Oregon"/>
    <s v="Decaf"/>
    <n v="70"/>
    <n v="100"/>
    <n v="70"/>
    <n v="170"/>
    <n v="81"/>
    <n v="551"/>
    <n v="104"/>
    <n v="26"/>
    <n v="98"/>
    <n v="197"/>
    <n v="1.1588235294117648"/>
    <n v="1.4"/>
    <n v="1.1571428571428573"/>
  </r>
  <r>
    <n v="971"/>
    <x v="23"/>
    <s v="West"/>
    <s v="Small Market"/>
    <s v="Caffe Latte"/>
    <s v="Espresso"/>
    <s v="Oregon"/>
    <s v="Regular"/>
    <n v="40"/>
    <n v="50"/>
    <n v="10"/>
    <n v="90"/>
    <n v="46"/>
    <n v="422"/>
    <n v="57"/>
    <n v="17"/>
    <n v="9"/>
    <n v="110"/>
    <n v="1.2222222222222223"/>
    <n v="0.9"/>
    <n v="1.1499999999999999"/>
  </r>
  <r>
    <n v="503"/>
    <x v="23"/>
    <s v="West"/>
    <s v="Small Market"/>
    <s v="Caffe Mocha"/>
    <s v="Espresso"/>
    <s v="Oregon"/>
    <s v="Regular"/>
    <n v="50"/>
    <n v="70"/>
    <n v="40"/>
    <n v="120"/>
    <n v="54"/>
    <n v="424"/>
    <n v="73"/>
    <n v="17"/>
    <n v="42"/>
    <n v="135"/>
    <n v="1.125"/>
    <n v="1.05"/>
    <n v="1.08"/>
  </r>
  <r>
    <n v="971"/>
    <x v="23"/>
    <s v="West"/>
    <s v="Small Market"/>
    <s v="Decaf Espresso"/>
    <s v="Espresso"/>
    <s v="Oregon"/>
    <s v="Decaf"/>
    <n v="150"/>
    <n v="140"/>
    <n v="80"/>
    <n v="290"/>
    <n v="153"/>
    <n v="1319"/>
    <n v="153"/>
    <n v="42"/>
    <n v="129"/>
    <n v="326"/>
    <n v="1.1241379310344828"/>
    <n v="1.6125"/>
    <n v="1.02"/>
  </r>
  <r>
    <n v="541"/>
    <x v="23"/>
    <s v="West"/>
    <s v="Small Market"/>
    <s v="Amaretto"/>
    <s v="Coffee"/>
    <s v="Oregon"/>
    <s v="Regular"/>
    <n v="50"/>
    <n v="80"/>
    <n v="20"/>
    <n v="130"/>
    <n v="47"/>
    <n v="521"/>
    <n v="65"/>
    <n v="42"/>
    <n v="-10"/>
    <n v="119"/>
    <n v="0.91538461538461535"/>
    <n v="-0.5"/>
    <n v="0.94"/>
  </r>
  <r>
    <n v="541"/>
    <x v="23"/>
    <s v="West"/>
    <s v="Small Market"/>
    <s v="Columbian"/>
    <s v="Coffee"/>
    <s v="Oregon"/>
    <s v="Regular"/>
    <n v="40"/>
    <n v="70"/>
    <n v="20"/>
    <n v="110"/>
    <n v="41"/>
    <n v="482"/>
    <n v="57"/>
    <n v="13"/>
    <n v="1"/>
    <n v="104"/>
    <n v="0.94545454545454544"/>
    <n v="0.05"/>
    <n v="1.0249999999999999"/>
  </r>
  <r>
    <n v="541"/>
    <x v="23"/>
    <s v="West"/>
    <s v="Small Market"/>
    <s v="Decaf Irish Cream"/>
    <s v="Coffee"/>
    <s v="Oregon"/>
    <s v="Decaf"/>
    <n v="40"/>
    <n v="80"/>
    <n v="50"/>
    <n v="120"/>
    <n v="41"/>
    <n v="435"/>
    <n v="60"/>
    <n v="13"/>
    <n v="37"/>
    <n v="108"/>
    <n v="0.9"/>
    <n v="0.74"/>
    <n v="1.0249999999999999"/>
  </r>
  <r>
    <n v="253"/>
    <x v="23"/>
    <s v="West"/>
    <s v="Small Market"/>
    <s v="Darjeeling"/>
    <s v="Tea"/>
    <s v="Washington"/>
    <s v="Regular"/>
    <n v="30"/>
    <n v="40"/>
    <n v="20"/>
    <n v="70"/>
    <n v="41"/>
    <n v="320"/>
    <n v="66"/>
    <n v="12"/>
    <n v="45"/>
    <n v="114"/>
    <n v="1.6285714285714286"/>
    <n v="2.25"/>
    <n v="1.3666666666666667"/>
  </r>
  <r>
    <n v="253"/>
    <x v="23"/>
    <s v="West"/>
    <s v="Small Market"/>
    <s v="Earl Grey"/>
    <s v="Tea"/>
    <s v="Washington"/>
    <s v="Regular"/>
    <n v="30"/>
    <n v="40"/>
    <n v="20"/>
    <n v="70"/>
    <n v="43"/>
    <n v="466"/>
    <n v="63"/>
    <n v="13"/>
    <n v="42"/>
    <n v="113"/>
    <n v="1.6142857142857143"/>
    <n v="2.1"/>
    <n v="1.4333333333333333"/>
  </r>
  <r>
    <n v="509"/>
    <x v="23"/>
    <s v="West"/>
    <s v="Small Market"/>
    <s v="Green Tea"/>
    <s v="Tea"/>
    <s v="Washington"/>
    <s v="Regular"/>
    <n v="40"/>
    <n v="50"/>
    <n v="-10"/>
    <n v="90"/>
    <n v="55"/>
    <n v="627"/>
    <n v="76"/>
    <n v="49"/>
    <n v="-4"/>
    <n v="140"/>
    <n v="1.5555555555555556"/>
    <n v="0.4"/>
    <n v="1.375"/>
  </r>
  <r>
    <n v="253"/>
    <x v="23"/>
    <s v="West"/>
    <s v="Small Market"/>
    <s v="Chamomile"/>
    <s v="Herbal Tea"/>
    <s v="Washington"/>
    <s v="Decaf"/>
    <n v="100"/>
    <n v="160"/>
    <n v="110"/>
    <n v="260"/>
    <n v="115"/>
    <n v="1166"/>
    <n v="174"/>
    <n v="37"/>
    <n v="156"/>
    <n v="308"/>
    <n v="1.1846153846153846"/>
    <n v="1.4181818181818182"/>
    <n v="1.1499999999999999"/>
  </r>
  <r>
    <n v="425"/>
    <x v="23"/>
    <s v="West"/>
    <s v="Small Market"/>
    <s v="Lemon"/>
    <s v="Herbal Tea"/>
    <s v="Washington"/>
    <s v="Decaf"/>
    <n v="40"/>
    <n v="70"/>
    <n v="50"/>
    <n v="110"/>
    <n v="49"/>
    <n v="845"/>
    <n v="71"/>
    <n v="13"/>
    <n v="68"/>
    <n v="128"/>
    <n v="1.1636363636363636"/>
    <n v="1.36"/>
    <n v="1.2250000000000001"/>
  </r>
  <r>
    <n v="206"/>
    <x v="23"/>
    <s v="West"/>
    <s v="Small Market"/>
    <s v="Caffe Latte"/>
    <s v="Espresso"/>
    <s v="Washington"/>
    <s v="Regular"/>
    <n v="20"/>
    <n v="30"/>
    <n v="20"/>
    <n v="50"/>
    <n v="24"/>
    <n v="567"/>
    <n v="32"/>
    <n v="7"/>
    <n v="19"/>
    <n v="60"/>
    <n v="1.2"/>
    <n v="0.95"/>
    <n v="1.2"/>
  </r>
  <r>
    <n v="509"/>
    <x v="23"/>
    <s v="West"/>
    <s v="Small Market"/>
    <s v="Caffe Mocha"/>
    <s v="Espresso"/>
    <s v="Washington"/>
    <s v="Regular"/>
    <n v="60"/>
    <n v="80"/>
    <n v="30"/>
    <n v="140"/>
    <n v="65"/>
    <n v="403"/>
    <n v="80"/>
    <n v="24"/>
    <n v="34"/>
    <n v="155"/>
    <n v="1.1071428571428572"/>
    <n v="1.1333333333333333"/>
    <n v="1.0833333333333333"/>
  </r>
  <r>
    <n v="360"/>
    <x v="23"/>
    <s v="West"/>
    <s v="Small Market"/>
    <s v="Decaf Espresso"/>
    <s v="Espresso"/>
    <s v="Washington"/>
    <s v="Decaf"/>
    <n v="70"/>
    <n v="100"/>
    <n v="60"/>
    <n v="170"/>
    <n v="80"/>
    <n v="1079"/>
    <n v="96"/>
    <n v="24"/>
    <n v="76"/>
    <n v="188"/>
    <n v="1.1058823529411765"/>
    <n v="1.2666666666666666"/>
    <n v="1.1428571428571428"/>
  </r>
  <r>
    <n v="360"/>
    <x v="23"/>
    <s v="West"/>
    <s v="Small Market"/>
    <s v="Columbian"/>
    <s v="Coffee"/>
    <s v="Washington"/>
    <s v="Regular"/>
    <n v="80"/>
    <n v="120"/>
    <n v="80"/>
    <n v="200"/>
    <n v="72"/>
    <n v="461"/>
    <n v="104"/>
    <n v="23"/>
    <n v="86"/>
    <n v="188"/>
    <n v="0.94"/>
    <n v="1.075"/>
    <n v="0.9"/>
  </r>
  <r>
    <n v="206"/>
    <x v="23"/>
    <s v="West"/>
    <s v="Small Market"/>
    <s v="Decaf Irish Cream"/>
    <s v="Coffee"/>
    <s v="Washington"/>
    <s v="Decaf"/>
    <n v="120"/>
    <n v="170"/>
    <n v="50"/>
    <n v="290"/>
    <n v="105"/>
    <n v="716"/>
    <n v="145"/>
    <n v="95"/>
    <n v="30"/>
    <n v="266"/>
    <n v="0.91724137931034477"/>
    <n v="0.6"/>
    <n v="0.8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9F950-B978-4E06-BFAC-D4C9A97B338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24">
    <pivotField showAll="0"/>
    <pivotField axis="axisRow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sd="0" x="2"/>
        <item sd="0" x="3"/>
        <item t="default"/>
      </items>
    </pivotField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77BB56-0925-4E3F-B022-A3CF1BA83C87}" autoFormatId="16" applyNumberFormats="0" applyBorderFormats="0" applyFontFormats="0" applyPatternFormats="0" applyAlignmentFormats="0" applyWidthHeightFormats="0">
  <queryTableRefresh nextId="22">
    <queryTableFields count="21">
      <queryTableField id="1" name="Area Code" tableColumnId="22"/>
      <queryTableField id="2" name="Date" tableColumnId="2"/>
      <queryTableField id="3" name="Region" tableColumnId="3"/>
      <queryTableField id="4" name="Market Size" tableColumnId="4"/>
      <queryTableField id="5" name="Product" tableColumnId="5"/>
      <queryTableField id="6" name="Product Type" tableColumnId="6"/>
      <queryTableField id="7" name="State" tableColumnId="7"/>
      <queryTableField id="8" name="Type" tableColumnId="8"/>
      <queryTableField id="9" name="Budget COGS" tableColumnId="9"/>
      <queryTableField id="10" name="Budget Margin" tableColumnId="10"/>
      <queryTableField id="11" name="Budget Profit" tableColumnId="11"/>
      <queryTableField id="12" name="Budget Sales" tableColumnId="12"/>
      <queryTableField id="13" name="Cogs" tableColumnId="13"/>
      <queryTableField id="14" name="Inventory" tableColumnId="14"/>
      <queryTableField id="15" name="Margin" tableColumnId="15"/>
      <queryTableField id="16" name="Marketing" tableColumnId="16"/>
      <queryTableField id="17" name="Profit" tableColumnId="17"/>
      <queryTableField id="18" name="Sales" tableColumnId="18"/>
      <queryTableField id="19" name="% Sales Achieved" tableColumnId="19"/>
      <queryTableField id="20" name="% Profit" tableColumnId="20"/>
      <queryTableField id="21" name="% COGS" tableColumnId="2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0C9A0E-3C75-4E88-B39A-7E0DC4EE0D65}" name="Table2" displayName="Table2" ref="A1:E31" totalsRowShown="0">
  <autoFilter ref="A1:E31" xr:uid="{BC0C9A0E-3C75-4E88-B39A-7E0DC4EE0D65}"/>
  <tableColumns count="5">
    <tableColumn id="1" xr3:uid="{6521DF2E-ABF3-4D58-9D2D-1D513C6DEB4D}" name="Date" dataDxfId="2"/>
    <tableColumn id="2" xr3:uid="{ADEE9E08-C5C5-46FE-854A-5A689AE9F356}" name="Sales"/>
    <tableColumn id="3" xr3:uid="{BB36910E-917D-4D9C-859D-DEB1326BFB6B}" name="Forecast(Sales)">
      <calculatedColumnFormula>_xlfn.FORECAST.ETS(A2,$B$2:$B$25,$A$2:$A$25,1,1)</calculatedColumnFormula>
    </tableColumn>
    <tableColumn id="4" xr3:uid="{272549E8-8B47-4490-8D45-017AE3046F21}" name="Lower Confidence Bound(Sales)" dataDxfId="1">
      <calculatedColumnFormula>C2-_xlfn.FORECAST.ETS.CONFINT(A2,$B$2:$B$25,$A$2:$A$25,0.95,1,1)</calculatedColumnFormula>
    </tableColumn>
    <tableColumn id="5" xr3:uid="{DF01DAFE-20D2-4F88-A76D-940BADEF5B68}" name="Upper Confidence Bound(Sales)" dataDxfId="0">
      <calculatedColumnFormula>C2+_xlfn.FORECAST.ETS.CONFINT(A2,$B$2:$B$25,$A$2:$A$25,0.95,1,1)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573545-45ED-4284-B5F9-6CBF50A81B8C}" name="Coffee_Store_Data" displayName="Coffee_Store_Data" ref="A1:U4249" tableType="queryTable" totalsRowShown="0">
  <autoFilter ref="A1:U4249" xr:uid="{2A573545-45ED-4284-B5F9-6CBF50A81B8C}"/>
  <tableColumns count="21">
    <tableColumn id="22" xr3:uid="{CFE285F1-2593-443B-A12C-9C5B4A243BF5}" uniqueName="22" name="Area Code" queryTableFieldId="1"/>
    <tableColumn id="2" xr3:uid="{0F63114F-37B7-4C74-B456-BDB678789F95}" uniqueName="2" name="Date" queryTableFieldId="2" dataDxfId="9"/>
    <tableColumn id="3" xr3:uid="{7930A3DD-37A7-448B-A96B-045506237734}" uniqueName="3" name="Region" queryTableFieldId="3" dataDxfId="8"/>
    <tableColumn id="4" xr3:uid="{887FB51A-1D1C-4C90-8302-72FBB186D9B3}" uniqueName="4" name="Market Size" queryTableFieldId="4" dataDxfId="7"/>
    <tableColumn id="5" xr3:uid="{7D54DA59-2B88-43CE-AFFA-B1B2BDAA934E}" uniqueName="5" name="Product" queryTableFieldId="5" dataDxfId="6"/>
    <tableColumn id="6" xr3:uid="{EEB7B064-6C46-45FB-81E1-E32AE109E2F4}" uniqueName="6" name="Product Type" queryTableFieldId="6" dataDxfId="5"/>
    <tableColumn id="7" xr3:uid="{CBD4CDE5-2963-493A-A599-7F40BAB67316}" uniqueName="7" name="State" queryTableFieldId="7" dataDxfId="4"/>
    <tableColumn id="8" xr3:uid="{286B9478-2450-4494-BA79-ABFB4C97EA7A}" uniqueName="8" name="Type" queryTableFieldId="8" dataDxfId="3"/>
    <tableColumn id="9" xr3:uid="{230BA9F2-1741-438C-8159-2A3897C9ED33}" uniqueName="9" name="Budget COGS" queryTableFieldId="9"/>
    <tableColumn id="10" xr3:uid="{EFD0985D-E9CD-41AF-929A-2F74360DC7C0}" uniqueName="10" name="Budget Margin" queryTableFieldId="10"/>
    <tableColumn id="11" xr3:uid="{FAF4A5B2-7DE4-4F8F-918F-876A8B0539FC}" uniqueName="11" name="Budget Profit" queryTableFieldId="11"/>
    <tableColumn id="12" xr3:uid="{49095552-D5BA-4CBD-97A5-53E223C6CE2A}" uniqueName="12" name="Budget Sales" queryTableFieldId="12"/>
    <tableColumn id="13" xr3:uid="{49A89720-3CC4-449D-9651-1034D47458F8}" uniqueName="13" name="Cogs" queryTableFieldId="13"/>
    <tableColumn id="14" xr3:uid="{1FFF72EA-9AC1-407A-8726-E84084E46426}" uniqueName="14" name="Inventory" queryTableFieldId="14"/>
    <tableColumn id="15" xr3:uid="{BAFF4C7F-D5B7-471C-A4AD-4316275F3194}" uniqueName="15" name="Margin" queryTableFieldId="15"/>
    <tableColumn id="16" xr3:uid="{E3D64976-013D-4DD2-A4E5-85898FA38C5C}" uniqueName="16" name="Marketing" queryTableFieldId="16"/>
    <tableColumn id="17" xr3:uid="{6230A36E-967D-4C60-841F-26CBDD96812E}" uniqueName="17" name="Profit" queryTableFieldId="17"/>
    <tableColumn id="18" xr3:uid="{43051A2D-BE17-4F2A-BCE4-F856248FF9EA}" uniqueName="18" name="Sales" queryTableFieldId="18"/>
    <tableColumn id="19" xr3:uid="{81481C59-233F-44FF-8713-01645655F2D1}" uniqueName="19" name="% Sales Achieved" queryTableFieldId="19"/>
    <tableColumn id="20" xr3:uid="{06F35465-E3D0-44D6-80F0-A9E40E43A072}" uniqueName="20" name="% Profit" queryTableFieldId="20"/>
    <tableColumn id="21" xr3:uid="{EE1A1D58-E7C0-4C7F-9F31-1EA844AB3DBE}" uniqueName="21" name="% COGS" queryTableField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9F897-D0EF-4680-AE45-08A4B5CD9B55}">
  <dimension ref="A1:L27"/>
  <sheetViews>
    <sheetView showGridLines="0" workbookViewId="0">
      <selection activeCell="E17" sqref="E17"/>
    </sheetView>
  </sheetViews>
  <sheetFormatPr defaultRowHeight="14.5" x14ac:dyDescent="0.35"/>
  <cols>
    <col min="1" max="1" width="12.81640625" customWidth="1"/>
    <col min="3" max="3" width="15.81640625" customWidth="1"/>
    <col min="4" max="4" width="19" customWidth="1"/>
    <col min="5" max="5" width="16.36328125" customWidth="1"/>
    <col min="8" max="8" width="10.90625" customWidth="1"/>
    <col min="10" max="10" width="10.36328125" bestFit="1" customWidth="1"/>
    <col min="11" max="11" width="15.1796875" bestFit="1" customWidth="1"/>
    <col min="12" max="12" width="11.36328125" bestFit="1" customWidth="1"/>
  </cols>
  <sheetData>
    <row r="1" spans="1:12" ht="18" customHeight="1" x14ac:dyDescent="0.45">
      <c r="G1" s="6" t="s">
        <v>3</v>
      </c>
      <c r="H1" s="6" t="s">
        <v>14</v>
      </c>
      <c r="J1" s="13" t="s">
        <v>15</v>
      </c>
      <c r="K1" s="13" t="s">
        <v>10</v>
      </c>
      <c r="L1" s="13" t="s">
        <v>9</v>
      </c>
    </row>
    <row r="2" spans="1:12" ht="18.5" x14ac:dyDescent="0.35">
      <c r="A2" s="9" t="s">
        <v>11</v>
      </c>
      <c r="B2" s="10">
        <v>0.25</v>
      </c>
      <c r="C2" s="6" t="s">
        <v>0</v>
      </c>
      <c r="D2" s="6" t="s">
        <v>1</v>
      </c>
      <c r="E2" s="6" t="s">
        <v>13</v>
      </c>
      <c r="G2" s="11"/>
      <c r="H2" s="4">
        <f>D10</f>
        <v>19250</v>
      </c>
      <c r="J2" s="4"/>
      <c r="K2" s="14">
        <f>D11</f>
        <v>0.27500000000000002</v>
      </c>
      <c r="L2" s="4">
        <f>D10</f>
        <v>19250</v>
      </c>
    </row>
    <row r="3" spans="1:12" x14ac:dyDescent="0.35">
      <c r="A3" s="9" t="s">
        <v>8</v>
      </c>
      <c r="B3" s="10">
        <v>0.3</v>
      </c>
      <c r="C3" s="2" t="s">
        <v>2</v>
      </c>
      <c r="D3" s="2">
        <v>350</v>
      </c>
      <c r="E3" s="11">
        <v>15</v>
      </c>
      <c r="G3" s="11">
        <v>100</v>
      </c>
      <c r="H3" s="12">
        <f t="dataTable" ref="H3:H27" dt2D="0" dtr="0" r1="D4"/>
        <v>875</v>
      </c>
      <c r="J3" s="4">
        <v>50</v>
      </c>
      <c r="K3" s="5">
        <f t="dataTable" ref="K3:L27" dt2D="0" dtr="0" r1="D3" ca="1"/>
        <v>0</v>
      </c>
      <c r="L3" s="4">
        <v>-17500</v>
      </c>
    </row>
    <row r="4" spans="1:12" x14ac:dyDescent="0.35">
      <c r="A4" s="9" t="s">
        <v>12</v>
      </c>
      <c r="B4" s="9">
        <v>25000</v>
      </c>
      <c r="C4" s="2" t="s">
        <v>3</v>
      </c>
      <c r="D4" s="2">
        <v>200</v>
      </c>
      <c r="G4" s="11">
        <f t="shared" ref="G4:G27" si="0">G3+$E$3</f>
        <v>115</v>
      </c>
      <c r="H4" s="12">
        <v>3631.25</v>
      </c>
      <c r="J4" s="4">
        <f t="shared" ref="J4:J27" si="1">J3+$E$3</f>
        <v>65</v>
      </c>
      <c r="K4" s="5">
        <v>0</v>
      </c>
      <c r="L4" s="4">
        <v>-15250</v>
      </c>
    </row>
    <row r="5" spans="1:12" x14ac:dyDescent="0.35">
      <c r="C5" s="3" t="s">
        <v>4</v>
      </c>
      <c r="D5" s="3">
        <f>D3*D4</f>
        <v>70000</v>
      </c>
      <c r="G5" s="11">
        <f t="shared" si="0"/>
        <v>130</v>
      </c>
      <c r="H5" s="12">
        <v>6387.5</v>
      </c>
      <c r="J5" s="4">
        <f t="shared" si="1"/>
        <v>80</v>
      </c>
      <c r="K5" s="5">
        <v>0</v>
      </c>
      <c r="L5" s="4">
        <v>-13000</v>
      </c>
    </row>
    <row r="6" spans="1:12" x14ac:dyDescent="0.35">
      <c r="A6" s="1"/>
      <c r="B6" s="1"/>
      <c r="C6" s="2" t="s">
        <v>5</v>
      </c>
      <c r="D6" s="2">
        <f>B4</f>
        <v>25000</v>
      </c>
      <c r="G6" s="11">
        <f t="shared" si="0"/>
        <v>145</v>
      </c>
      <c r="H6" s="12">
        <v>9143.75</v>
      </c>
      <c r="J6" s="4">
        <f t="shared" si="1"/>
        <v>95</v>
      </c>
      <c r="K6" s="5">
        <v>0</v>
      </c>
      <c r="L6" s="4">
        <v>-10750</v>
      </c>
    </row>
    <row r="7" spans="1:12" x14ac:dyDescent="0.35">
      <c r="A7" s="1"/>
      <c r="B7" s="1"/>
      <c r="C7" s="2" t="s">
        <v>6</v>
      </c>
      <c r="D7" s="2">
        <f>B2*D5</f>
        <v>17500</v>
      </c>
      <c r="G7" s="11">
        <f t="shared" si="0"/>
        <v>160</v>
      </c>
      <c r="H7" s="12">
        <v>11900</v>
      </c>
      <c r="J7" s="4">
        <f t="shared" si="1"/>
        <v>110</v>
      </c>
      <c r="K7" s="5">
        <v>0</v>
      </c>
      <c r="L7" s="4">
        <v>-8500</v>
      </c>
    </row>
    <row r="8" spans="1:12" x14ac:dyDescent="0.35">
      <c r="A8" s="1"/>
      <c r="B8" s="1"/>
      <c r="C8" s="2" t="s">
        <v>7</v>
      </c>
      <c r="D8" s="2">
        <f>D5-SUM(D6:D7)</f>
        <v>27500</v>
      </c>
      <c r="G8" s="11">
        <f t="shared" si="0"/>
        <v>175</v>
      </c>
      <c r="H8" s="12">
        <v>14656.25</v>
      </c>
      <c r="J8" s="4">
        <f t="shared" si="1"/>
        <v>125</v>
      </c>
      <c r="K8" s="5">
        <v>0</v>
      </c>
      <c r="L8" s="4">
        <v>-6250</v>
      </c>
    </row>
    <row r="9" spans="1:12" x14ac:dyDescent="0.35">
      <c r="A9" s="1"/>
      <c r="B9" s="1"/>
      <c r="C9" s="2" t="s">
        <v>8</v>
      </c>
      <c r="D9" s="2">
        <f>IF(D8&gt;0,D8*$B$3,0)</f>
        <v>8250</v>
      </c>
      <c r="G9" s="11">
        <f t="shared" si="0"/>
        <v>190</v>
      </c>
      <c r="H9" s="12">
        <v>17412.5</v>
      </c>
      <c r="J9" s="4">
        <f t="shared" si="1"/>
        <v>140</v>
      </c>
      <c r="K9" s="5">
        <v>0</v>
      </c>
      <c r="L9" s="4">
        <v>-4000</v>
      </c>
    </row>
    <row r="10" spans="1:12" x14ac:dyDescent="0.35">
      <c r="A10" s="1"/>
      <c r="B10" s="1"/>
      <c r="C10" s="2" t="s">
        <v>9</v>
      </c>
      <c r="D10" s="2">
        <f>D8-D9</f>
        <v>19250</v>
      </c>
      <c r="G10" s="11">
        <f t="shared" si="0"/>
        <v>205</v>
      </c>
      <c r="H10" s="12">
        <v>20168.75</v>
      </c>
      <c r="J10" s="4">
        <f t="shared" si="1"/>
        <v>155</v>
      </c>
      <c r="K10" s="5">
        <v>0</v>
      </c>
      <c r="L10" s="4">
        <v>-1750</v>
      </c>
    </row>
    <row r="11" spans="1:12" x14ac:dyDescent="0.35">
      <c r="A11" s="1"/>
      <c r="B11" s="1"/>
      <c r="C11" s="7" t="s">
        <v>10</v>
      </c>
      <c r="D11" s="8">
        <f>IF(D10&gt;0,D10/D5,0)</f>
        <v>0.27500000000000002</v>
      </c>
      <c r="G11" s="11">
        <f t="shared" si="0"/>
        <v>220</v>
      </c>
      <c r="H11" s="12">
        <v>22925</v>
      </c>
      <c r="J11" s="4">
        <f t="shared" si="1"/>
        <v>170</v>
      </c>
      <c r="K11" s="5">
        <v>1.0294117647058823E-2</v>
      </c>
      <c r="L11" s="4">
        <v>350</v>
      </c>
    </row>
    <row r="12" spans="1:12" x14ac:dyDescent="0.35">
      <c r="G12" s="11">
        <f t="shared" si="0"/>
        <v>235</v>
      </c>
      <c r="H12" s="12">
        <v>25681.25</v>
      </c>
      <c r="J12" s="4">
        <f t="shared" si="1"/>
        <v>185</v>
      </c>
      <c r="K12" s="5">
        <v>5.202702702702703E-2</v>
      </c>
      <c r="L12" s="4">
        <v>1925</v>
      </c>
    </row>
    <row r="13" spans="1:12" x14ac:dyDescent="0.35">
      <c r="G13" s="11">
        <f t="shared" si="0"/>
        <v>250</v>
      </c>
      <c r="H13" s="12">
        <v>28437.5</v>
      </c>
      <c r="J13" s="4">
        <f t="shared" si="1"/>
        <v>200</v>
      </c>
      <c r="K13" s="5">
        <v>8.7499999999999994E-2</v>
      </c>
      <c r="L13" s="4">
        <v>3500</v>
      </c>
    </row>
    <row r="14" spans="1:12" x14ac:dyDescent="0.35">
      <c r="G14" s="11">
        <f t="shared" si="0"/>
        <v>265</v>
      </c>
      <c r="H14" s="12">
        <v>31193.75</v>
      </c>
      <c r="J14" s="4">
        <f t="shared" si="1"/>
        <v>215</v>
      </c>
      <c r="K14" s="5">
        <v>0.11802325581395348</v>
      </c>
      <c r="L14" s="4">
        <v>5075</v>
      </c>
    </row>
    <row r="15" spans="1:12" x14ac:dyDescent="0.35">
      <c r="G15" s="11">
        <f t="shared" si="0"/>
        <v>280</v>
      </c>
      <c r="H15" s="12">
        <v>33950</v>
      </c>
      <c r="J15" s="4">
        <f t="shared" si="1"/>
        <v>230</v>
      </c>
      <c r="K15" s="5">
        <v>0.14456521739130435</v>
      </c>
      <c r="L15" s="4">
        <v>6650</v>
      </c>
    </row>
    <row r="16" spans="1:12" x14ac:dyDescent="0.35">
      <c r="G16" s="11">
        <f t="shared" si="0"/>
        <v>295</v>
      </c>
      <c r="H16" s="12">
        <v>36706.25</v>
      </c>
      <c r="J16" s="4">
        <f t="shared" si="1"/>
        <v>245</v>
      </c>
      <c r="K16" s="5">
        <v>0.16785714285714284</v>
      </c>
      <c r="L16" s="4">
        <v>8225</v>
      </c>
    </row>
    <row r="17" spans="7:12" x14ac:dyDescent="0.35">
      <c r="G17" s="11">
        <f t="shared" si="0"/>
        <v>310</v>
      </c>
      <c r="H17" s="12">
        <v>39462.5</v>
      </c>
      <c r="J17" s="4">
        <f t="shared" si="1"/>
        <v>260</v>
      </c>
      <c r="K17" s="5">
        <v>0.18846153846153846</v>
      </c>
      <c r="L17" s="4">
        <v>9800</v>
      </c>
    </row>
    <row r="18" spans="7:12" x14ac:dyDescent="0.35">
      <c r="G18" s="11">
        <f t="shared" si="0"/>
        <v>325</v>
      </c>
      <c r="H18" s="12">
        <v>42218.75</v>
      </c>
      <c r="J18" s="4">
        <f t="shared" si="1"/>
        <v>275</v>
      </c>
      <c r="K18" s="5">
        <v>0.20681818181818182</v>
      </c>
      <c r="L18" s="4">
        <v>11375</v>
      </c>
    </row>
    <row r="19" spans="7:12" x14ac:dyDescent="0.35">
      <c r="G19" s="11">
        <f t="shared" si="0"/>
        <v>340</v>
      </c>
      <c r="H19" s="12">
        <v>44975</v>
      </c>
      <c r="J19" s="4">
        <f t="shared" si="1"/>
        <v>290</v>
      </c>
      <c r="K19" s="5">
        <v>0.22327586206896552</v>
      </c>
      <c r="L19" s="4">
        <v>12950</v>
      </c>
    </row>
    <row r="20" spans="7:12" x14ac:dyDescent="0.35">
      <c r="G20" s="11">
        <f t="shared" si="0"/>
        <v>355</v>
      </c>
      <c r="H20" s="12">
        <v>47731.25</v>
      </c>
      <c r="J20" s="4">
        <f t="shared" si="1"/>
        <v>305</v>
      </c>
      <c r="K20" s="5">
        <v>0.23811475409836066</v>
      </c>
      <c r="L20" s="4">
        <v>14525</v>
      </c>
    </row>
    <row r="21" spans="7:12" x14ac:dyDescent="0.35">
      <c r="G21" s="11">
        <f t="shared" si="0"/>
        <v>370</v>
      </c>
      <c r="H21" s="12">
        <v>50487.5</v>
      </c>
      <c r="J21" s="4">
        <f t="shared" si="1"/>
        <v>320</v>
      </c>
      <c r="K21" s="5">
        <v>0.25156250000000002</v>
      </c>
      <c r="L21" s="4">
        <v>16100</v>
      </c>
    </row>
    <row r="22" spans="7:12" x14ac:dyDescent="0.35">
      <c r="G22" s="11">
        <f t="shared" si="0"/>
        <v>385</v>
      </c>
      <c r="H22" s="12">
        <v>53243.75</v>
      </c>
      <c r="J22" s="4">
        <f t="shared" si="1"/>
        <v>335</v>
      </c>
      <c r="K22" s="5">
        <v>0.26380597014925372</v>
      </c>
      <c r="L22" s="4">
        <v>17675</v>
      </c>
    </row>
    <row r="23" spans="7:12" x14ac:dyDescent="0.35">
      <c r="G23" s="11">
        <f t="shared" si="0"/>
        <v>400</v>
      </c>
      <c r="H23" s="12">
        <v>56000</v>
      </c>
      <c r="J23" s="4">
        <f t="shared" si="1"/>
        <v>350</v>
      </c>
      <c r="K23" s="5">
        <v>0.27500000000000002</v>
      </c>
      <c r="L23" s="4">
        <v>19250</v>
      </c>
    </row>
    <row r="24" spans="7:12" x14ac:dyDescent="0.35">
      <c r="G24" s="11">
        <f t="shared" si="0"/>
        <v>415</v>
      </c>
      <c r="H24" s="12">
        <v>58756.25</v>
      </c>
      <c r="J24" s="4">
        <f t="shared" si="1"/>
        <v>365</v>
      </c>
      <c r="K24" s="5">
        <v>0.28527397260273973</v>
      </c>
      <c r="L24" s="4">
        <v>20825</v>
      </c>
    </row>
    <row r="25" spans="7:12" x14ac:dyDescent="0.35">
      <c r="G25" s="11">
        <f t="shared" si="0"/>
        <v>430</v>
      </c>
      <c r="H25" s="12">
        <v>61512.5</v>
      </c>
      <c r="J25" s="4">
        <f t="shared" si="1"/>
        <v>380</v>
      </c>
      <c r="K25" s="5">
        <v>0.29473684210526313</v>
      </c>
      <c r="L25" s="4">
        <v>22400</v>
      </c>
    </row>
    <row r="26" spans="7:12" x14ac:dyDescent="0.35">
      <c r="G26" s="11">
        <f t="shared" si="0"/>
        <v>445</v>
      </c>
      <c r="H26" s="12">
        <v>64268.75</v>
      </c>
      <c r="J26" s="4">
        <f t="shared" si="1"/>
        <v>395</v>
      </c>
      <c r="K26" s="5">
        <v>0.30348101265822786</v>
      </c>
      <c r="L26" s="4">
        <v>23975</v>
      </c>
    </row>
    <row r="27" spans="7:12" x14ac:dyDescent="0.35">
      <c r="G27" s="11">
        <f t="shared" si="0"/>
        <v>460</v>
      </c>
      <c r="H27" s="12">
        <v>67025</v>
      </c>
      <c r="J27" s="4">
        <f t="shared" si="1"/>
        <v>410</v>
      </c>
      <c r="K27" s="5">
        <v>0.31158536585365854</v>
      </c>
      <c r="L27" s="4">
        <v>25550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0CC7-DCD4-4FE4-AE57-2587A8E2DE8A}">
  <dimension ref="A3:B28"/>
  <sheetViews>
    <sheetView topLeftCell="A11" workbookViewId="0">
      <selection activeCell="D24" sqref="D24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17" t="s">
        <v>82</v>
      </c>
      <c r="B3" t="s">
        <v>84</v>
      </c>
    </row>
    <row r="4" spans="1:2" x14ac:dyDescent="0.35">
      <c r="A4" s="18">
        <v>40179</v>
      </c>
      <c r="B4" s="15">
        <v>31555</v>
      </c>
    </row>
    <row r="5" spans="1:2" x14ac:dyDescent="0.35">
      <c r="A5" s="18">
        <v>40210</v>
      </c>
      <c r="B5" s="15">
        <v>32092</v>
      </c>
    </row>
    <row r="6" spans="1:2" x14ac:dyDescent="0.35">
      <c r="A6" s="18">
        <v>40238</v>
      </c>
      <c r="B6" s="15">
        <v>32245</v>
      </c>
    </row>
    <row r="7" spans="1:2" x14ac:dyDescent="0.35">
      <c r="A7" s="18">
        <v>40269</v>
      </c>
      <c r="B7" s="15">
        <v>32943</v>
      </c>
    </row>
    <row r="8" spans="1:2" x14ac:dyDescent="0.35">
      <c r="A8" s="18">
        <v>40299</v>
      </c>
      <c r="B8" s="15">
        <v>33692</v>
      </c>
    </row>
    <row r="9" spans="1:2" x14ac:dyDescent="0.35">
      <c r="A9" s="18">
        <v>40330</v>
      </c>
      <c r="B9" s="15">
        <v>35125</v>
      </c>
    </row>
    <row r="10" spans="1:2" x14ac:dyDescent="0.35">
      <c r="A10" s="18">
        <v>40360</v>
      </c>
      <c r="B10" s="15">
        <v>36161</v>
      </c>
    </row>
    <row r="11" spans="1:2" x14ac:dyDescent="0.35">
      <c r="A11" s="18">
        <v>40391</v>
      </c>
      <c r="B11" s="15">
        <v>36029</v>
      </c>
    </row>
    <row r="12" spans="1:2" x14ac:dyDescent="0.35">
      <c r="A12" s="18">
        <v>40422</v>
      </c>
      <c r="B12" s="15">
        <v>33092</v>
      </c>
    </row>
    <row r="13" spans="1:2" x14ac:dyDescent="0.35">
      <c r="A13" s="18">
        <v>40452</v>
      </c>
      <c r="B13" s="15">
        <v>32849</v>
      </c>
    </row>
    <row r="14" spans="1:2" x14ac:dyDescent="0.35">
      <c r="A14" s="18">
        <v>40483</v>
      </c>
      <c r="B14" s="15">
        <v>32003</v>
      </c>
    </row>
    <row r="15" spans="1:2" x14ac:dyDescent="0.35">
      <c r="A15" s="18">
        <v>40513</v>
      </c>
      <c r="B15" s="15">
        <v>33373</v>
      </c>
    </row>
    <row r="16" spans="1:2" x14ac:dyDescent="0.35">
      <c r="A16" s="18">
        <v>40544</v>
      </c>
      <c r="B16" s="15">
        <v>35316</v>
      </c>
    </row>
    <row r="17" spans="1:2" x14ac:dyDescent="0.35">
      <c r="A17" s="18">
        <v>40575</v>
      </c>
      <c r="B17" s="15">
        <v>34192</v>
      </c>
    </row>
    <row r="18" spans="1:2" x14ac:dyDescent="0.35">
      <c r="A18" s="18">
        <v>40603</v>
      </c>
      <c r="B18" s="15">
        <v>34355</v>
      </c>
    </row>
    <row r="19" spans="1:2" x14ac:dyDescent="0.35">
      <c r="A19" s="18">
        <v>40634</v>
      </c>
      <c r="B19" s="15">
        <v>35112</v>
      </c>
    </row>
    <row r="20" spans="1:2" x14ac:dyDescent="0.35">
      <c r="A20" s="18">
        <v>40664</v>
      </c>
      <c r="B20" s="15">
        <v>33394</v>
      </c>
    </row>
    <row r="21" spans="1:2" x14ac:dyDescent="0.35">
      <c r="A21" s="18">
        <v>40695</v>
      </c>
      <c r="B21" s="15">
        <v>34807</v>
      </c>
    </row>
    <row r="22" spans="1:2" x14ac:dyDescent="0.35">
      <c r="A22" s="18">
        <v>40725</v>
      </c>
      <c r="B22" s="15">
        <v>35830</v>
      </c>
    </row>
    <row r="23" spans="1:2" x14ac:dyDescent="0.35">
      <c r="A23" s="18">
        <v>40756</v>
      </c>
      <c r="B23" s="15">
        <v>35707</v>
      </c>
    </row>
    <row r="24" spans="1:2" x14ac:dyDescent="0.35">
      <c r="A24" s="18">
        <v>40787</v>
      </c>
      <c r="B24" s="15">
        <v>35269</v>
      </c>
    </row>
    <row r="25" spans="1:2" x14ac:dyDescent="0.35">
      <c r="A25" s="18">
        <v>40817</v>
      </c>
      <c r="B25" s="15">
        <v>34987</v>
      </c>
    </row>
    <row r="26" spans="1:2" x14ac:dyDescent="0.35">
      <c r="A26" s="18">
        <v>40848</v>
      </c>
      <c r="B26" s="15">
        <v>34103</v>
      </c>
    </row>
    <row r="27" spans="1:2" x14ac:dyDescent="0.35">
      <c r="A27" s="18">
        <v>40878</v>
      </c>
      <c r="B27" s="15">
        <v>35580</v>
      </c>
    </row>
    <row r="28" spans="1:2" x14ac:dyDescent="0.35">
      <c r="A28" s="18" t="s">
        <v>83</v>
      </c>
      <c r="B28" s="15">
        <v>819811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2389-E691-4C3D-A106-02F698E017FF}">
  <dimension ref="A1:E31"/>
  <sheetViews>
    <sheetView showGridLines="0" tabSelected="1" workbookViewId="0">
      <selection activeCell="E12" sqref="E12"/>
    </sheetView>
  </sheetViews>
  <sheetFormatPr defaultRowHeight="14.5" x14ac:dyDescent="0.35"/>
  <cols>
    <col min="1" max="1" width="10.08984375" bestFit="1" customWidth="1"/>
    <col min="2" max="2" width="8.81640625" bestFit="1" customWidth="1"/>
    <col min="3" max="3" width="15.36328125" customWidth="1"/>
    <col min="4" max="4" width="29.08984375" customWidth="1"/>
    <col min="5" max="5" width="29.1796875" customWidth="1"/>
  </cols>
  <sheetData>
    <row r="1" spans="1:5" x14ac:dyDescent="0.35">
      <c r="A1" t="s">
        <v>17</v>
      </c>
      <c r="B1" t="s">
        <v>33</v>
      </c>
      <c r="C1" t="s">
        <v>85</v>
      </c>
      <c r="D1" t="s">
        <v>86</v>
      </c>
      <c r="E1" t="s">
        <v>87</v>
      </c>
    </row>
    <row r="2" spans="1:5" x14ac:dyDescent="0.35">
      <c r="A2" s="16">
        <v>40179</v>
      </c>
      <c r="B2">
        <v>31555</v>
      </c>
    </row>
    <row r="3" spans="1:5" x14ac:dyDescent="0.35">
      <c r="A3" s="16">
        <v>40210</v>
      </c>
      <c r="B3">
        <v>32092</v>
      </c>
    </row>
    <row r="4" spans="1:5" x14ac:dyDescent="0.35">
      <c r="A4" s="16">
        <v>40238</v>
      </c>
      <c r="B4">
        <v>32245</v>
      </c>
    </row>
    <row r="5" spans="1:5" x14ac:dyDescent="0.35">
      <c r="A5" s="16">
        <v>40269</v>
      </c>
      <c r="B5">
        <v>32943</v>
      </c>
    </row>
    <row r="6" spans="1:5" x14ac:dyDescent="0.35">
      <c r="A6" s="16">
        <v>40299</v>
      </c>
      <c r="B6">
        <v>33692</v>
      </c>
    </row>
    <row r="7" spans="1:5" x14ac:dyDescent="0.35">
      <c r="A7" s="16">
        <v>40330</v>
      </c>
      <c r="B7">
        <v>35125</v>
      </c>
    </row>
    <row r="8" spans="1:5" x14ac:dyDescent="0.35">
      <c r="A8" s="16">
        <v>40360</v>
      </c>
      <c r="B8">
        <v>36161</v>
      </c>
    </row>
    <row r="9" spans="1:5" x14ac:dyDescent="0.35">
      <c r="A9" s="16">
        <v>40391</v>
      </c>
      <c r="B9">
        <v>36029</v>
      </c>
    </row>
    <row r="10" spans="1:5" x14ac:dyDescent="0.35">
      <c r="A10" s="16">
        <v>40422</v>
      </c>
      <c r="B10">
        <v>33092</v>
      </c>
    </row>
    <row r="11" spans="1:5" x14ac:dyDescent="0.35">
      <c r="A11" s="16">
        <v>40452</v>
      </c>
      <c r="B11">
        <v>32849</v>
      </c>
    </row>
    <row r="12" spans="1:5" x14ac:dyDescent="0.35">
      <c r="A12" s="16">
        <v>40483</v>
      </c>
      <c r="B12">
        <v>32003</v>
      </c>
    </row>
    <row r="13" spans="1:5" x14ac:dyDescent="0.35">
      <c r="A13" s="16">
        <v>40513</v>
      </c>
      <c r="B13">
        <v>33373</v>
      </c>
    </row>
    <row r="14" spans="1:5" x14ac:dyDescent="0.35">
      <c r="A14" s="16">
        <v>40544</v>
      </c>
      <c r="B14">
        <v>35316</v>
      </c>
    </row>
    <row r="15" spans="1:5" x14ac:dyDescent="0.35">
      <c r="A15" s="16">
        <v>40575</v>
      </c>
      <c r="B15">
        <v>34192</v>
      </c>
    </row>
    <row r="16" spans="1:5" x14ac:dyDescent="0.35">
      <c r="A16" s="16">
        <v>40603</v>
      </c>
      <c r="B16">
        <v>34355</v>
      </c>
    </row>
    <row r="17" spans="1:5" x14ac:dyDescent="0.35">
      <c r="A17" s="16">
        <v>40634</v>
      </c>
      <c r="B17">
        <v>35112</v>
      </c>
    </row>
    <row r="18" spans="1:5" x14ac:dyDescent="0.35">
      <c r="A18" s="16">
        <v>40664</v>
      </c>
      <c r="B18">
        <v>33394</v>
      </c>
    </row>
    <row r="19" spans="1:5" x14ac:dyDescent="0.35">
      <c r="A19" s="16">
        <v>40695</v>
      </c>
      <c r="B19">
        <v>34807</v>
      </c>
    </row>
    <row r="20" spans="1:5" x14ac:dyDescent="0.35">
      <c r="A20" s="16">
        <v>40725</v>
      </c>
      <c r="B20">
        <v>35830</v>
      </c>
    </row>
    <row r="21" spans="1:5" x14ac:dyDescent="0.35">
      <c r="A21" s="16">
        <v>40756</v>
      </c>
      <c r="B21">
        <v>35707</v>
      </c>
    </row>
    <row r="22" spans="1:5" x14ac:dyDescent="0.35">
      <c r="A22" s="16">
        <v>40787</v>
      </c>
      <c r="B22">
        <v>35269</v>
      </c>
    </row>
    <row r="23" spans="1:5" x14ac:dyDescent="0.35">
      <c r="A23" s="16">
        <v>40817</v>
      </c>
      <c r="B23">
        <v>34987</v>
      </c>
    </row>
    <row r="24" spans="1:5" x14ac:dyDescent="0.35">
      <c r="A24" s="16">
        <v>40848</v>
      </c>
      <c r="B24">
        <v>34103</v>
      </c>
    </row>
    <row r="25" spans="1:5" x14ac:dyDescent="0.35">
      <c r="A25" s="16">
        <v>40878</v>
      </c>
      <c r="B25">
        <v>35580</v>
      </c>
      <c r="C25">
        <v>35580</v>
      </c>
      <c r="D25" s="19">
        <v>35580</v>
      </c>
      <c r="E25" s="19">
        <v>35580</v>
      </c>
    </row>
    <row r="26" spans="1:5" x14ac:dyDescent="0.35">
      <c r="A26" s="16">
        <v>40909</v>
      </c>
      <c r="C26">
        <f>_xlfn.FORECAST.ETS(A26,$B$2:$B$25,$A$2:$A$25,1,1)</f>
        <v>35567.283958351654</v>
      </c>
      <c r="D26" s="19">
        <f>C26-_xlfn.FORECAST.ETS.CONFINT(A26,$B$2:$B$25,$A$2:$A$25,0.95,1,1)</f>
        <v>33366.133295290951</v>
      </c>
      <c r="E26" s="19">
        <f>C26+_xlfn.FORECAST.ETS.CONFINT(A26,$B$2:$B$25,$A$2:$A$25,0.95,1,1)</f>
        <v>37768.434621412358</v>
      </c>
    </row>
    <row r="27" spans="1:5" x14ac:dyDescent="0.35">
      <c r="A27" s="16">
        <v>40940</v>
      </c>
      <c r="C27">
        <f>_xlfn.FORECAST.ETS(A27,$B$2:$B$25,$A$2:$A$25,1,1)</f>
        <v>35680.635361977256</v>
      </c>
      <c r="D27" s="19">
        <f>C27-_xlfn.FORECAST.ETS.CONFINT(A27,$B$2:$B$25,$A$2:$A$25,0.95,1,1)</f>
        <v>32717.817068898774</v>
      </c>
      <c r="E27" s="19">
        <f>C27+_xlfn.FORECAST.ETS.CONFINT(A27,$B$2:$B$25,$A$2:$A$25,0.95,1,1)</f>
        <v>38643.453655055739</v>
      </c>
    </row>
    <row r="28" spans="1:5" x14ac:dyDescent="0.35">
      <c r="A28" s="16">
        <v>40969</v>
      </c>
      <c r="C28">
        <f>_xlfn.FORECAST.ETS(A28,$B$2:$B$25,$A$2:$A$25,1,1)</f>
        <v>35793.986765602858</v>
      </c>
      <c r="D28" s="19">
        <f>C28-_xlfn.FORECAST.ETS.CONFINT(A28,$B$2:$B$25,$A$2:$A$25,0.95,1,1)</f>
        <v>32227.439992471205</v>
      </c>
      <c r="E28" s="19">
        <f>C28+_xlfn.FORECAST.ETS.CONFINT(A28,$B$2:$B$25,$A$2:$A$25,0.95,1,1)</f>
        <v>39360.533538734511</v>
      </c>
    </row>
    <row r="29" spans="1:5" x14ac:dyDescent="0.35">
      <c r="A29" s="16">
        <v>41000</v>
      </c>
      <c r="C29">
        <f>_xlfn.FORECAST.ETS(A29,$B$2:$B$25,$A$2:$A$25,1,1)</f>
        <v>35907.33816922846</v>
      </c>
      <c r="D29" s="19">
        <f>C29-_xlfn.FORECAST.ETS.CONFINT(A29,$B$2:$B$25,$A$2:$A$25,0.95,1,1)</f>
        <v>31824.328877905817</v>
      </c>
      <c r="E29" s="19">
        <f>C29+_xlfn.FORECAST.ETS.CONFINT(A29,$B$2:$B$25,$A$2:$A$25,0.95,1,1)</f>
        <v>39990.3474605511</v>
      </c>
    </row>
    <row r="30" spans="1:5" x14ac:dyDescent="0.35">
      <c r="A30" s="16">
        <v>41030</v>
      </c>
      <c r="C30">
        <f>_xlfn.FORECAST.ETS(A30,$B$2:$B$25,$A$2:$A$25,1,1)</f>
        <v>36020.689572854069</v>
      </c>
      <c r="D30" s="19">
        <f>C30-_xlfn.FORECAST.ETS.CONFINT(A30,$B$2:$B$25,$A$2:$A$25,0.95,1,1)</f>
        <v>31478.616379674262</v>
      </c>
      <c r="E30" s="19">
        <f>C30+_xlfn.FORECAST.ETS.CONFINT(A30,$B$2:$B$25,$A$2:$A$25,0.95,1,1)</f>
        <v>40562.762766033877</v>
      </c>
    </row>
    <row r="31" spans="1:5" x14ac:dyDescent="0.35">
      <c r="A31" s="16">
        <v>41061</v>
      </c>
      <c r="C31">
        <f>_xlfn.FORECAST.ETS(A31,$B$2:$B$25,$A$2:$A$25,1,1)</f>
        <v>36134.040976479671</v>
      </c>
      <c r="D31" s="19">
        <f>C31-_xlfn.FORECAST.ETS.CONFINT(A31,$B$2:$B$25,$A$2:$A$25,0.95,1,1)</f>
        <v>31174.33759496671</v>
      </c>
      <c r="E31" s="19">
        <f>C31+_xlfn.FORECAST.ETS.CONFINT(A31,$B$2:$B$25,$A$2:$A$25,0.95,1,1)</f>
        <v>41093.744357992633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B408-E93E-4809-8A2C-C36DA7719024}">
  <dimension ref="A2:C38"/>
  <sheetViews>
    <sheetView showGridLines="0" workbookViewId="0">
      <selection activeCell="H19" sqref="H19"/>
    </sheetView>
  </sheetViews>
  <sheetFormatPr defaultRowHeight="14.5" x14ac:dyDescent="0.35"/>
  <cols>
    <col min="1" max="1" width="16.453125" customWidth="1"/>
    <col min="2" max="2" width="12" customWidth="1"/>
    <col min="3" max="3" width="11.81640625" bestFit="1" customWidth="1"/>
  </cols>
  <sheetData>
    <row r="2" spans="1:3" ht="18.5" x14ac:dyDescent="0.45">
      <c r="A2" s="25" t="s">
        <v>17</v>
      </c>
      <c r="B2" s="25" t="s">
        <v>33</v>
      </c>
      <c r="C2" s="25" t="s">
        <v>88</v>
      </c>
    </row>
    <row r="3" spans="1:3" x14ac:dyDescent="0.35">
      <c r="A3" s="23">
        <v>40179</v>
      </c>
      <c r="B3" s="24">
        <v>31555</v>
      </c>
      <c r="C3" s="26"/>
    </row>
    <row r="4" spans="1:3" x14ac:dyDescent="0.35">
      <c r="A4" s="20">
        <v>40210</v>
      </c>
      <c r="B4" s="21">
        <v>32092</v>
      </c>
      <c r="C4" s="26"/>
    </row>
    <row r="5" spans="1:3" x14ac:dyDescent="0.35">
      <c r="A5" s="20">
        <v>40238</v>
      </c>
      <c r="B5" s="21">
        <v>32245</v>
      </c>
      <c r="C5" s="26"/>
    </row>
    <row r="6" spans="1:3" x14ac:dyDescent="0.35">
      <c r="A6" s="20">
        <v>40269</v>
      </c>
      <c r="B6" s="21">
        <v>32943</v>
      </c>
      <c r="C6" s="26"/>
    </row>
    <row r="7" spans="1:3" x14ac:dyDescent="0.35">
      <c r="A7" s="20">
        <v>40299</v>
      </c>
      <c r="B7" s="21">
        <v>33692</v>
      </c>
      <c r="C7" s="26"/>
    </row>
    <row r="8" spans="1:3" x14ac:dyDescent="0.35">
      <c r="A8" s="20">
        <v>40330</v>
      </c>
      <c r="B8" s="21">
        <v>35125</v>
      </c>
      <c r="C8" s="26"/>
    </row>
    <row r="9" spans="1:3" x14ac:dyDescent="0.35">
      <c r="A9" s="20">
        <v>40360</v>
      </c>
      <c r="B9" s="21">
        <v>36161</v>
      </c>
      <c r="C9" s="26"/>
    </row>
    <row r="10" spans="1:3" x14ac:dyDescent="0.35">
      <c r="A10" s="20">
        <v>40391</v>
      </c>
      <c r="B10" s="21">
        <v>36029</v>
      </c>
      <c r="C10" s="26"/>
    </row>
    <row r="11" spans="1:3" x14ac:dyDescent="0.35">
      <c r="A11" s="20">
        <v>40422</v>
      </c>
      <c r="B11" s="21">
        <v>33092</v>
      </c>
      <c r="C11" s="26"/>
    </row>
    <row r="12" spans="1:3" x14ac:dyDescent="0.35">
      <c r="A12" s="20">
        <v>40452</v>
      </c>
      <c r="B12" s="21">
        <v>32849</v>
      </c>
      <c r="C12" s="26"/>
    </row>
    <row r="13" spans="1:3" x14ac:dyDescent="0.35">
      <c r="A13" s="20">
        <v>40483</v>
      </c>
      <c r="B13" s="21">
        <v>32003</v>
      </c>
      <c r="C13" s="26"/>
    </row>
    <row r="14" spans="1:3" x14ac:dyDescent="0.35">
      <c r="A14" s="20">
        <v>40513</v>
      </c>
      <c r="B14" s="21">
        <v>33373</v>
      </c>
      <c r="C14" s="26"/>
    </row>
    <row r="15" spans="1:3" x14ac:dyDescent="0.35">
      <c r="A15" s="20">
        <v>40544</v>
      </c>
      <c r="B15" s="21">
        <v>35316</v>
      </c>
      <c r="C15" s="26"/>
    </row>
    <row r="16" spans="1:3" x14ac:dyDescent="0.35">
      <c r="A16" s="20">
        <v>40575</v>
      </c>
      <c r="B16" s="21">
        <v>34192</v>
      </c>
      <c r="C16" s="26"/>
    </row>
    <row r="17" spans="1:3" x14ac:dyDescent="0.35">
      <c r="A17" s="20">
        <v>40603</v>
      </c>
      <c r="B17" s="21">
        <v>34355</v>
      </c>
      <c r="C17" s="26"/>
    </row>
    <row r="18" spans="1:3" x14ac:dyDescent="0.35">
      <c r="A18" s="20">
        <v>40634</v>
      </c>
      <c r="B18" s="21">
        <v>35112</v>
      </c>
      <c r="C18" s="26"/>
    </row>
    <row r="19" spans="1:3" x14ac:dyDescent="0.35">
      <c r="A19" s="20">
        <v>40664</v>
      </c>
      <c r="B19" s="21">
        <v>33394</v>
      </c>
      <c r="C19" s="26"/>
    </row>
    <row r="20" spans="1:3" x14ac:dyDescent="0.35">
      <c r="A20" s="20">
        <v>40695</v>
      </c>
      <c r="B20" s="21">
        <v>34807</v>
      </c>
      <c r="C20" s="26"/>
    </row>
    <row r="21" spans="1:3" x14ac:dyDescent="0.35">
      <c r="A21" s="20">
        <v>40725</v>
      </c>
      <c r="B21" s="21">
        <v>35830</v>
      </c>
      <c r="C21" s="26"/>
    </row>
    <row r="22" spans="1:3" x14ac:dyDescent="0.35">
      <c r="A22" s="20">
        <v>40756</v>
      </c>
      <c r="B22" s="21">
        <v>35707</v>
      </c>
      <c r="C22" s="26"/>
    </row>
    <row r="23" spans="1:3" x14ac:dyDescent="0.35">
      <c r="A23" s="20">
        <v>40787</v>
      </c>
      <c r="B23" s="21">
        <v>35269</v>
      </c>
      <c r="C23" s="26"/>
    </row>
    <row r="24" spans="1:3" x14ac:dyDescent="0.35">
      <c r="A24" s="20">
        <v>40817</v>
      </c>
      <c r="B24" s="21">
        <v>34987</v>
      </c>
      <c r="C24" s="26"/>
    </row>
    <row r="25" spans="1:3" x14ac:dyDescent="0.35">
      <c r="A25" s="20">
        <v>40848</v>
      </c>
      <c r="B25" s="21">
        <v>34103</v>
      </c>
      <c r="C25" s="26"/>
    </row>
    <row r="26" spans="1:3" x14ac:dyDescent="0.35">
      <c r="A26" s="20">
        <v>40878</v>
      </c>
      <c r="B26" s="21">
        <v>35580</v>
      </c>
      <c r="C26" s="26"/>
    </row>
    <row r="27" spans="1:3" x14ac:dyDescent="0.35">
      <c r="A27" s="20">
        <v>40909</v>
      </c>
      <c r="B27" s="22">
        <f>FORECAST(A27,B3:B26,A3:A26)</f>
        <v>35558.530849119474</v>
      </c>
      <c r="C27" s="27">
        <f>TREND(B3:B26,A3:A26,A27:A32)</f>
        <v>35558.530849119474</v>
      </c>
    </row>
    <row r="28" spans="1:3" x14ac:dyDescent="0.35">
      <c r="A28" s="20">
        <v>40940</v>
      </c>
      <c r="B28" s="22">
        <f t="shared" ref="B28:B38" si="0">FORECAST(A28,B4:B27,A4:A27)</f>
        <v>35547.851869743448</v>
      </c>
      <c r="C28" s="27">
        <f t="shared" ref="C28:C38" si="1">TREND(B4:B27,A4:A27,A28:A33)</f>
        <v>35547.851869743434</v>
      </c>
    </row>
    <row r="29" spans="1:3" x14ac:dyDescent="0.35">
      <c r="A29" s="20">
        <v>40969</v>
      </c>
      <c r="B29" s="22">
        <f t="shared" si="0"/>
        <v>35536.48384461712</v>
      </c>
      <c r="C29" s="27">
        <f t="shared" si="1"/>
        <v>35536.483844617105</v>
      </c>
    </row>
    <row r="30" spans="1:3" x14ac:dyDescent="0.35">
      <c r="A30" s="20">
        <v>41000</v>
      </c>
      <c r="B30" s="22">
        <f t="shared" si="0"/>
        <v>35506.345197197654</v>
      </c>
      <c r="C30" s="27">
        <f t="shared" si="1"/>
        <v>35506.345197197654</v>
      </c>
    </row>
    <row r="31" spans="1:3" x14ac:dyDescent="0.35">
      <c r="A31" s="20">
        <v>41030</v>
      </c>
      <c r="B31" s="22">
        <f t="shared" si="0"/>
        <v>35498.55778632484</v>
      </c>
      <c r="C31" s="27">
        <f t="shared" si="1"/>
        <v>35498.55778632484</v>
      </c>
    </row>
    <row r="32" spans="1:3" x14ac:dyDescent="0.35">
      <c r="A32" s="20">
        <v>41061</v>
      </c>
      <c r="B32" s="22">
        <f t="shared" si="0"/>
        <v>35534.430844286042</v>
      </c>
      <c r="C32" s="27">
        <f t="shared" si="1"/>
        <v>35534.430844286042</v>
      </c>
    </row>
    <row r="33" spans="1:3" x14ac:dyDescent="0.35">
      <c r="A33" s="20">
        <v>41091</v>
      </c>
      <c r="B33" s="22">
        <f t="shared" si="0"/>
        <v>35689.421059776723</v>
      </c>
      <c r="C33" s="27">
        <f t="shared" si="1"/>
        <v>35689.421059776723</v>
      </c>
    </row>
    <row r="34" spans="1:3" x14ac:dyDescent="0.35">
      <c r="A34" s="20">
        <v>41122</v>
      </c>
      <c r="B34" s="22">
        <f t="shared" si="0"/>
        <v>35966.731042720057</v>
      </c>
      <c r="C34" s="27">
        <f t="shared" si="1"/>
        <v>35966.731042720057</v>
      </c>
    </row>
    <row r="35" spans="1:3" x14ac:dyDescent="0.35">
      <c r="A35" s="20">
        <v>41153</v>
      </c>
      <c r="B35" s="22">
        <f t="shared" si="0"/>
        <v>36283.014930152392</v>
      </c>
      <c r="C35" s="27">
        <f t="shared" si="1"/>
        <v>36283.014930152363</v>
      </c>
    </row>
    <row r="36" spans="1:3" x14ac:dyDescent="0.35">
      <c r="A36" s="20">
        <v>41183</v>
      </c>
      <c r="B36" s="22">
        <f t="shared" si="0"/>
        <v>36371.077889238019</v>
      </c>
      <c r="C36" s="27">
        <f t="shared" si="1"/>
        <v>36371.077889238019</v>
      </c>
    </row>
    <row r="37" spans="1:3" x14ac:dyDescent="0.35">
      <c r="A37" s="20">
        <v>41214</v>
      </c>
      <c r="B37" s="22">
        <f t="shared" si="0"/>
        <v>36420.399251497729</v>
      </c>
      <c r="C37" s="27">
        <f t="shared" si="1"/>
        <v>36420.399251497729</v>
      </c>
    </row>
    <row r="38" spans="1:3" x14ac:dyDescent="0.35">
      <c r="A38" s="20">
        <v>41244</v>
      </c>
      <c r="B38" s="22">
        <f t="shared" si="0"/>
        <v>36356.450787067006</v>
      </c>
      <c r="C38" s="27">
        <f t="shared" si="1"/>
        <v>36356.450787067006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70B14-1827-4E9F-8813-DB032EF13B33}">
  <dimension ref="A1:U4249"/>
  <sheetViews>
    <sheetView topLeftCell="A2" workbookViewId="0">
      <selection activeCell="D16" sqref="A2:U4249"/>
    </sheetView>
  </sheetViews>
  <sheetFormatPr defaultRowHeight="14.5" x14ac:dyDescent="0.35"/>
  <cols>
    <col min="1" max="1" width="11.7265625" bestFit="1" customWidth="1"/>
    <col min="2" max="2" width="10.08984375" bestFit="1" customWidth="1"/>
    <col min="4" max="4" width="12.90625" bestFit="1" customWidth="1"/>
    <col min="5" max="5" width="15.6328125" bestFit="1" customWidth="1"/>
    <col min="6" max="7" width="14.1796875" bestFit="1" customWidth="1"/>
    <col min="8" max="8" width="7.08984375" bestFit="1" customWidth="1"/>
    <col min="9" max="9" width="14.08984375" bestFit="1" customWidth="1"/>
    <col min="10" max="10" width="15.453125" bestFit="1" customWidth="1"/>
    <col min="11" max="11" width="14.1796875" bestFit="1" customWidth="1"/>
    <col min="12" max="12" width="13.6328125" bestFit="1" customWidth="1"/>
    <col min="13" max="13" width="7" bestFit="1" customWidth="1"/>
    <col min="14" max="14" width="11.1796875" bestFit="1" customWidth="1"/>
    <col min="15" max="15" width="9" bestFit="1" customWidth="1"/>
    <col min="16" max="16" width="11.7265625" bestFit="1" customWidth="1"/>
    <col min="17" max="17" width="7.81640625" bestFit="1" customWidth="1"/>
    <col min="18" max="18" width="7.26953125" bestFit="1" customWidth="1"/>
    <col min="19" max="19" width="17.26953125" bestFit="1" customWidth="1"/>
    <col min="20" max="20" width="12.453125" bestFit="1" customWidth="1"/>
    <col min="21" max="21" width="11.81640625" bestFit="1" customWidth="1"/>
  </cols>
  <sheetData>
    <row r="1" spans="1:21" x14ac:dyDescent="0.35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30</v>
      </c>
      <c r="P1" s="15" t="s">
        <v>31</v>
      </c>
      <c r="Q1" s="15" t="s">
        <v>32</v>
      </c>
      <c r="R1" s="15" t="s">
        <v>33</v>
      </c>
      <c r="S1" s="15" t="s">
        <v>34</v>
      </c>
      <c r="T1" s="15" t="s">
        <v>35</v>
      </c>
      <c r="U1" s="15" t="s">
        <v>36</v>
      </c>
    </row>
    <row r="2" spans="1:21" x14ac:dyDescent="0.35">
      <c r="A2" s="15">
        <v>719</v>
      </c>
      <c r="B2" s="16">
        <v>40179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5">
        <v>90</v>
      </c>
      <c r="J2" s="15">
        <v>130</v>
      </c>
      <c r="K2" s="15">
        <v>100</v>
      </c>
      <c r="L2" s="15">
        <v>220</v>
      </c>
      <c r="M2" s="15">
        <v>89</v>
      </c>
      <c r="N2" s="15">
        <v>777</v>
      </c>
      <c r="O2" s="15">
        <v>130</v>
      </c>
      <c r="P2" s="15">
        <v>24</v>
      </c>
      <c r="Q2" s="15">
        <v>94</v>
      </c>
      <c r="R2" s="15">
        <v>219</v>
      </c>
      <c r="S2" s="15">
        <v>0.99545454545454548</v>
      </c>
      <c r="T2" s="15">
        <v>0.94</v>
      </c>
      <c r="U2" s="15">
        <v>0.98888888888888893</v>
      </c>
    </row>
    <row r="3" spans="1:21" x14ac:dyDescent="0.35">
      <c r="A3" s="15">
        <v>970</v>
      </c>
      <c r="B3" s="16">
        <v>40179</v>
      </c>
      <c r="C3" s="15" t="s">
        <v>37</v>
      </c>
      <c r="D3" s="15" t="s">
        <v>38</v>
      </c>
      <c r="E3" s="15" t="s">
        <v>43</v>
      </c>
      <c r="F3" s="15" t="s">
        <v>40</v>
      </c>
      <c r="G3" s="15" t="s">
        <v>41</v>
      </c>
      <c r="H3" s="15" t="s">
        <v>42</v>
      </c>
      <c r="I3" s="15">
        <v>80</v>
      </c>
      <c r="J3" s="15">
        <v>110</v>
      </c>
      <c r="K3" s="15">
        <v>80</v>
      </c>
      <c r="L3" s="15">
        <v>190</v>
      </c>
      <c r="M3" s="15">
        <v>83</v>
      </c>
      <c r="N3" s="15">
        <v>623</v>
      </c>
      <c r="O3" s="15">
        <v>107</v>
      </c>
      <c r="P3" s="15">
        <v>27</v>
      </c>
      <c r="Q3" s="15">
        <v>68</v>
      </c>
      <c r="R3" s="15">
        <v>190</v>
      </c>
      <c r="S3" s="15">
        <v>1</v>
      </c>
      <c r="T3" s="15">
        <v>0.85</v>
      </c>
      <c r="U3" s="15">
        <v>1.0375000000000001</v>
      </c>
    </row>
    <row r="4" spans="1:21" x14ac:dyDescent="0.35">
      <c r="A4" s="15">
        <v>970</v>
      </c>
      <c r="B4" s="16">
        <v>40179</v>
      </c>
      <c r="C4" s="15" t="s">
        <v>37</v>
      </c>
      <c r="D4" s="15" t="s">
        <v>38</v>
      </c>
      <c r="E4" s="15" t="s">
        <v>44</v>
      </c>
      <c r="F4" s="15" t="s">
        <v>40</v>
      </c>
      <c r="G4" s="15" t="s">
        <v>41</v>
      </c>
      <c r="H4" s="15" t="s">
        <v>45</v>
      </c>
      <c r="I4" s="15">
        <v>100</v>
      </c>
      <c r="J4" s="15">
        <v>140</v>
      </c>
      <c r="K4" s="15">
        <v>110</v>
      </c>
      <c r="L4" s="15">
        <v>240</v>
      </c>
      <c r="M4" s="15">
        <v>95</v>
      </c>
      <c r="N4" s="15">
        <v>821</v>
      </c>
      <c r="O4" s="15">
        <v>139</v>
      </c>
      <c r="P4" s="15">
        <v>26</v>
      </c>
      <c r="Q4" s="15">
        <v>101</v>
      </c>
      <c r="R4" s="15">
        <v>234</v>
      </c>
      <c r="S4" s="15">
        <v>0.97499999999999998</v>
      </c>
      <c r="T4" s="15">
        <v>0.91818181818181821</v>
      </c>
      <c r="U4" s="15">
        <v>0.95</v>
      </c>
    </row>
    <row r="5" spans="1:21" x14ac:dyDescent="0.35">
      <c r="A5" s="15">
        <v>303</v>
      </c>
      <c r="B5" s="16">
        <v>40179</v>
      </c>
      <c r="C5" s="15" t="s">
        <v>37</v>
      </c>
      <c r="D5" s="15" t="s">
        <v>38</v>
      </c>
      <c r="E5" s="15" t="s">
        <v>46</v>
      </c>
      <c r="F5" s="15" t="s">
        <v>47</v>
      </c>
      <c r="G5" s="15" t="s">
        <v>41</v>
      </c>
      <c r="H5" s="15" t="s">
        <v>42</v>
      </c>
      <c r="I5" s="15">
        <v>30</v>
      </c>
      <c r="J5" s="15">
        <v>50</v>
      </c>
      <c r="K5" s="15">
        <v>30</v>
      </c>
      <c r="L5" s="15">
        <v>80</v>
      </c>
      <c r="M5" s="15">
        <v>44</v>
      </c>
      <c r="N5" s="15">
        <v>623</v>
      </c>
      <c r="O5" s="15">
        <v>56</v>
      </c>
      <c r="P5" s="15">
        <v>14</v>
      </c>
      <c r="Q5" s="15">
        <v>30</v>
      </c>
      <c r="R5" s="15">
        <v>100</v>
      </c>
      <c r="S5" s="15">
        <v>1.25</v>
      </c>
      <c r="T5" s="15">
        <v>1</v>
      </c>
      <c r="U5" s="15">
        <v>1.4666666666666666</v>
      </c>
    </row>
    <row r="6" spans="1:21" x14ac:dyDescent="0.35">
      <c r="A6" s="15">
        <v>303</v>
      </c>
      <c r="B6" s="16">
        <v>40179</v>
      </c>
      <c r="C6" s="15" t="s">
        <v>37</v>
      </c>
      <c r="D6" s="15" t="s">
        <v>38</v>
      </c>
      <c r="E6" s="15" t="s">
        <v>48</v>
      </c>
      <c r="F6" s="15" t="s">
        <v>49</v>
      </c>
      <c r="G6" s="15" t="s">
        <v>41</v>
      </c>
      <c r="H6" s="15" t="s">
        <v>42</v>
      </c>
      <c r="I6" s="15">
        <v>60</v>
      </c>
      <c r="J6" s="15">
        <v>90</v>
      </c>
      <c r="K6" s="15">
        <v>70</v>
      </c>
      <c r="L6" s="15">
        <v>150</v>
      </c>
      <c r="M6" s="15">
        <v>54</v>
      </c>
      <c r="N6" s="15">
        <v>456</v>
      </c>
      <c r="O6" s="15">
        <v>80</v>
      </c>
      <c r="P6" s="15">
        <v>15</v>
      </c>
      <c r="Q6" s="15">
        <v>54</v>
      </c>
      <c r="R6" s="15">
        <v>134</v>
      </c>
      <c r="S6" s="15">
        <v>0.89333333333333331</v>
      </c>
      <c r="T6" s="15">
        <v>0.77142857142857146</v>
      </c>
      <c r="U6" s="15">
        <v>0.9</v>
      </c>
    </row>
    <row r="7" spans="1:21" x14ac:dyDescent="0.35">
      <c r="A7" s="15">
        <v>720</v>
      </c>
      <c r="B7" s="16">
        <v>40179</v>
      </c>
      <c r="C7" s="15" t="s">
        <v>37</v>
      </c>
      <c r="D7" s="15" t="s">
        <v>38</v>
      </c>
      <c r="E7" s="15" t="s">
        <v>50</v>
      </c>
      <c r="F7" s="15" t="s">
        <v>49</v>
      </c>
      <c r="G7" s="15" t="s">
        <v>41</v>
      </c>
      <c r="H7" s="15" t="s">
        <v>45</v>
      </c>
      <c r="I7" s="15">
        <v>80</v>
      </c>
      <c r="J7" s="15">
        <v>130</v>
      </c>
      <c r="K7" s="15">
        <v>80</v>
      </c>
      <c r="L7" s="15">
        <v>210</v>
      </c>
      <c r="M7" s="15">
        <v>72</v>
      </c>
      <c r="N7" s="15">
        <v>558</v>
      </c>
      <c r="O7" s="15">
        <v>108</v>
      </c>
      <c r="P7" s="15">
        <v>23</v>
      </c>
      <c r="Q7" s="15">
        <v>53</v>
      </c>
      <c r="R7" s="15">
        <v>180</v>
      </c>
      <c r="S7" s="15">
        <v>0.8571428571428571</v>
      </c>
      <c r="T7" s="15">
        <v>0.66249999999999998</v>
      </c>
      <c r="U7" s="15">
        <v>0.9</v>
      </c>
    </row>
    <row r="8" spans="1:21" x14ac:dyDescent="0.35">
      <c r="A8" s="15">
        <v>970</v>
      </c>
      <c r="B8" s="16">
        <v>40179</v>
      </c>
      <c r="C8" s="15" t="s">
        <v>37</v>
      </c>
      <c r="D8" s="15" t="s">
        <v>38</v>
      </c>
      <c r="E8" s="15" t="s">
        <v>51</v>
      </c>
      <c r="F8" s="15" t="s">
        <v>52</v>
      </c>
      <c r="G8" s="15" t="s">
        <v>41</v>
      </c>
      <c r="H8" s="15" t="s">
        <v>45</v>
      </c>
      <c r="I8" s="15">
        <v>140</v>
      </c>
      <c r="J8" s="15">
        <v>160</v>
      </c>
      <c r="K8" s="15">
        <v>110</v>
      </c>
      <c r="L8" s="15">
        <v>300</v>
      </c>
      <c r="M8" s="15">
        <v>170</v>
      </c>
      <c r="N8" s="15">
        <v>1091</v>
      </c>
      <c r="O8" s="15">
        <v>171</v>
      </c>
      <c r="P8" s="15">
        <v>47</v>
      </c>
      <c r="Q8" s="15">
        <v>99</v>
      </c>
      <c r="R8" s="15">
        <v>341</v>
      </c>
      <c r="S8" s="15">
        <v>1.1366666666666667</v>
      </c>
      <c r="T8" s="15">
        <v>0.9</v>
      </c>
      <c r="U8" s="15">
        <v>1.2142857142857142</v>
      </c>
    </row>
    <row r="9" spans="1:21" x14ac:dyDescent="0.35">
      <c r="A9" s="15">
        <v>719</v>
      </c>
      <c r="B9" s="16">
        <v>40179</v>
      </c>
      <c r="C9" s="15" t="s">
        <v>37</v>
      </c>
      <c r="D9" s="15" t="s">
        <v>38</v>
      </c>
      <c r="E9" s="15" t="s">
        <v>53</v>
      </c>
      <c r="F9" s="15" t="s">
        <v>52</v>
      </c>
      <c r="G9" s="15" t="s">
        <v>41</v>
      </c>
      <c r="H9" s="15" t="s">
        <v>45</v>
      </c>
      <c r="I9" s="15">
        <v>50</v>
      </c>
      <c r="J9" s="15">
        <v>80</v>
      </c>
      <c r="K9" s="15">
        <v>20</v>
      </c>
      <c r="L9" s="15">
        <v>130</v>
      </c>
      <c r="M9" s="15">
        <v>63</v>
      </c>
      <c r="N9" s="15">
        <v>435</v>
      </c>
      <c r="O9" s="15">
        <v>87</v>
      </c>
      <c r="P9" s="15">
        <v>57</v>
      </c>
      <c r="Q9" s="15">
        <v>0</v>
      </c>
      <c r="R9" s="15">
        <v>150</v>
      </c>
      <c r="S9" s="15">
        <v>1.1538461538461537</v>
      </c>
      <c r="T9" s="15">
        <v>0</v>
      </c>
      <c r="U9" s="15">
        <v>1.26</v>
      </c>
    </row>
    <row r="10" spans="1:21" x14ac:dyDescent="0.35">
      <c r="A10">
        <v>970</v>
      </c>
      <c r="B10" s="16">
        <v>40179</v>
      </c>
      <c r="C10" s="15" t="s">
        <v>37</v>
      </c>
      <c r="D10" s="15" t="s">
        <v>38</v>
      </c>
      <c r="E10" s="15" t="s">
        <v>54</v>
      </c>
      <c r="F10" s="15" t="s">
        <v>52</v>
      </c>
      <c r="G10" s="15" t="s">
        <v>41</v>
      </c>
      <c r="H10" s="15" t="s">
        <v>45</v>
      </c>
      <c r="I10">
        <v>50</v>
      </c>
      <c r="J10">
        <v>70</v>
      </c>
      <c r="K10">
        <v>40</v>
      </c>
      <c r="L10">
        <v>120</v>
      </c>
      <c r="M10">
        <v>60</v>
      </c>
      <c r="N10">
        <v>336</v>
      </c>
      <c r="O10">
        <v>80</v>
      </c>
      <c r="P10">
        <v>19</v>
      </c>
      <c r="Q10">
        <v>33</v>
      </c>
      <c r="R10">
        <v>140</v>
      </c>
      <c r="S10">
        <v>1.1666666666666667</v>
      </c>
      <c r="T10">
        <v>0.82499999999999996</v>
      </c>
      <c r="U10">
        <v>1.2</v>
      </c>
    </row>
    <row r="11" spans="1:21" x14ac:dyDescent="0.35">
      <c r="A11">
        <v>719</v>
      </c>
      <c r="B11" s="16">
        <v>40179</v>
      </c>
      <c r="C11" s="15" t="s">
        <v>37</v>
      </c>
      <c r="D11" s="15" t="s">
        <v>38</v>
      </c>
      <c r="E11" s="15" t="s">
        <v>55</v>
      </c>
      <c r="F11" s="15" t="s">
        <v>47</v>
      </c>
      <c r="G11" s="15" t="s">
        <v>41</v>
      </c>
      <c r="H11" s="15" t="s">
        <v>42</v>
      </c>
      <c r="I11">
        <v>40</v>
      </c>
      <c r="J11">
        <v>70</v>
      </c>
      <c r="K11">
        <v>20</v>
      </c>
      <c r="L11">
        <v>110</v>
      </c>
      <c r="M11">
        <v>58</v>
      </c>
      <c r="N11">
        <v>338</v>
      </c>
      <c r="O11">
        <v>72</v>
      </c>
      <c r="P11">
        <v>22</v>
      </c>
      <c r="Q11">
        <v>17</v>
      </c>
      <c r="R11">
        <v>130</v>
      </c>
      <c r="S11">
        <v>1.1818181818181819</v>
      </c>
      <c r="T11">
        <v>0.85</v>
      </c>
      <c r="U11">
        <v>1.45</v>
      </c>
    </row>
    <row r="12" spans="1:21" x14ac:dyDescent="0.35">
      <c r="A12">
        <v>303</v>
      </c>
      <c r="B12" s="16">
        <v>40179</v>
      </c>
      <c r="C12" s="15" t="s">
        <v>37</v>
      </c>
      <c r="D12" s="15" t="s">
        <v>38</v>
      </c>
      <c r="E12" s="15" t="s">
        <v>56</v>
      </c>
      <c r="F12" s="15" t="s">
        <v>47</v>
      </c>
      <c r="G12" s="15" t="s">
        <v>41</v>
      </c>
      <c r="H12" s="15" t="s">
        <v>42</v>
      </c>
      <c r="I12">
        <v>50</v>
      </c>
      <c r="J12">
        <v>70</v>
      </c>
      <c r="K12">
        <v>40</v>
      </c>
      <c r="L12">
        <v>120</v>
      </c>
      <c r="M12">
        <v>64</v>
      </c>
      <c r="N12">
        <v>965</v>
      </c>
      <c r="O12">
        <v>76</v>
      </c>
      <c r="P12">
        <v>19</v>
      </c>
      <c r="Q12">
        <v>36</v>
      </c>
      <c r="R12">
        <v>140</v>
      </c>
      <c r="S12">
        <v>1.1666666666666667</v>
      </c>
      <c r="T12">
        <v>0.9</v>
      </c>
      <c r="U12">
        <v>1.28</v>
      </c>
    </row>
    <row r="13" spans="1:21" x14ac:dyDescent="0.35">
      <c r="A13">
        <v>217</v>
      </c>
      <c r="B13" s="16">
        <v>40179</v>
      </c>
      <c r="C13" s="15" t="s">
        <v>37</v>
      </c>
      <c r="D13" s="15" t="s">
        <v>38</v>
      </c>
      <c r="E13" s="15" t="s">
        <v>43</v>
      </c>
      <c r="F13" s="15" t="s">
        <v>40</v>
      </c>
      <c r="G13" s="15" t="s">
        <v>57</v>
      </c>
      <c r="H13" s="15" t="s">
        <v>42</v>
      </c>
      <c r="I13">
        <v>150</v>
      </c>
      <c r="J13">
        <v>210</v>
      </c>
      <c r="K13">
        <v>130</v>
      </c>
      <c r="L13">
        <v>360</v>
      </c>
      <c r="M13">
        <v>144</v>
      </c>
      <c r="N13">
        <v>862</v>
      </c>
      <c r="O13">
        <v>201</v>
      </c>
      <c r="P13">
        <v>47</v>
      </c>
      <c r="Q13">
        <v>111</v>
      </c>
      <c r="R13">
        <v>345</v>
      </c>
      <c r="S13">
        <v>0.95833333333333337</v>
      </c>
      <c r="T13">
        <v>0.85384615384615381</v>
      </c>
      <c r="U13">
        <v>0.96</v>
      </c>
    </row>
    <row r="14" spans="1:21" x14ac:dyDescent="0.35">
      <c r="A14">
        <v>309</v>
      </c>
      <c r="B14" s="16">
        <v>40179</v>
      </c>
      <c r="C14" s="15" t="s">
        <v>37</v>
      </c>
      <c r="D14" s="15" t="s">
        <v>38</v>
      </c>
      <c r="E14" s="15" t="s">
        <v>44</v>
      </c>
      <c r="F14" s="15" t="s">
        <v>40</v>
      </c>
      <c r="G14" s="15" t="s">
        <v>57</v>
      </c>
      <c r="H14" s="15" t="s">
        <v>45</v>
      </c>
      <c r="I14">
        <v>100</v>
      </c>
      <c r="J14">
        <v>140</v>
      </c>
      <c r="K14">
        <v>100</v>
      </c>
      <c r="L14">
        <v>240</v>
      </c>
      <c r="M14">
        <v>95</v>
      </c>
      <c r="N14">
        <v>608</v>
      </c>
      <c r="O14">
        <v>139</v>
      </c>
      <c r="P14">
        <v>30</v>
      </c>
      <c r="Q14">
        <v>87</v>
      </c>
      <c r="R14">
        <v>234</v>
      </c>
      <c r="S14">
        <v>0.97499999999999998</v>
      </c>
      <c r="T14">
        <v>0.87</v>
      </c>
      <c r="U14">
        <v>0.95</v>
      </c>
    </row>
    <row r="15" spans="1:21" x14ac:dyDescent="0.35">
      <c r="A15">
        <v>309</v>
      </c>
      <c r="B15" s="16">
        <v>40179</v>
      </c>
      <c r="C15" s="15" t="s">
        <v>37</v>
      </c>
      <c r="D15" s="15" t="s">
        <v>38</v>
      </c>
      <c r="E15" s="15" t="s">
        <v>48</v>
      </c>
      <c r="F15" s="15" t="s">
        <v>49</v>
      </c>
      <c r="G15" s="15" t="s">
        <v>57</v>
      </c>
      <c r="H15" s="15" t="s">
        <v>42</v>
      </c>
      <c r="I15">
        <v>270</v>
      </c>
      <c r="J15">
        <v>370</v>
      </c>
      <c r="K15">
        <v>260</v>
      </c>
      <c r="L15">
        <v>640</v>
      </c>
      <c r="M15">
        <v>234</v>
      </c>
      <c r="N15">
        <v>1310</v>
      </c>
      <c r="O15">
        <v>312</v>
      </c>
      <c r="P15">
        <v>77</v>
      </c>
      <c r="Q15">
        <v>203</v>
      </c>
      <c r="R15">
        <v>546</v>
      </c>
      <c r="S15">
        <v>0.85312500000000002</v>
      </c>
      <c r="T15">
        <v>0.78076923076923077</v>
      </c>
      <c r="U15">
        <v>0.8666666666666667</v>
      </c>
    </row>
    <row r="16" spans="1:21" x14ac:dyDescent="0.35">
      <c r="A16">
        <v>630</v>
      </c>
      <c r="B16" s="16">
        <v>40179</v>
      </c>
      <c r="C16" s="15" t="s">
        <v>37</v>
      </c>
      <c r="D16" s="15" t="s">
        <v>38</v>
      </c>
      <c r="E16" s="15" t="s">
        <v>50</v>
      </c>
      <c r="F16" s="15" t="s">
        <v>49</v>
      </c>
      <c r="G16" s="15" t="s">
        <v>57</v>
      </c>
      <c r="H16" s="15" t="s">
        <v>45</v>
      </c>
      <c r="I16">
        <v>260</v>
      </c>
      <c r="J16">
        <v>270</v>
      </c>
      <c r="K16">
        <v>180</v>
      </c>
      <c r="L16">
        <v>530</v>
      </c>
      <c r="M16">
        <v>228</v>
      </c>
      <c r="N16">
        <v>1459</v>
      </c>
      <c r="O16">
        <v>228</v>
      </c>
      <c r="P16">
        <v>63</v>
      </c>
      <c r="Q16">
        <v>140</v>
      </c>
      <c r="R16">
        <v>456</v>
      </c>
      <c r="S16">
        <v>0.86037735849056607</v>
      </c>
      <c r="T16">
        <v>0.77777777777777779</v>
      </c>
      <c r="U16">
        <v>0.87692307692307692</v>
      </c>
    </row>
    <row r="17" spans="1:21" x14ac:dyDescent="0.35">
      <c r="A17">
        <v>312</v>
      </c>
      <c r="B17" s="16">
        <v>40179</v>
      </c>
      <c r="C17" s="15" t="s">
        <v>37</v>
      </c>
      <c r="D17" s="15" t="s">
        <v>38</v>
      </c>
      <c r="E17" s="15" t="s">
        <v>51</v>
      </c>
      <c r="F17" s="15" t="s">
        <v>52</v>
      </c>
      <c r="G17" s="15" t="s">
        <v>57</v>
      </c>
      <c r="H17" s="15" t="s">
        <v>45</v>
      </c>
      <c r="I17">
        <v>70</v>
      </c>
      <c r="J17">
        <v>120</v>
      </c>
      <c r="K17">
        <v>100</v>
      </c>
      <c r="L17">
        <v>190</v>
      </c>
      <c r="M17">
        <v>89</v>
      </c>
      <c r="N17">
        <v>777</v>
      </c>
      <c r="O17">
        <v>130</v>
      </c>
      <c r="P17">
        <v>24</v>
      </c>
      <c r="Q17">
        <v>95</v>
      </c>
      <c r="R17">
        <v>219</v>
      </c>
      <c r="S17">
        <v>1.1526315789473685</v>
      </c>
      <c r="T17">
        <v>0.95</v>
      </c>
      <c r="U17">
        <v>1.2714285714285714</v>
      </c>
    </row>
    <row r="18" spans="1:21" x14ac:dyDescent="0.35">
      <c r="A18">
        <v>630</v>
      </c>
      <c r="B18" s="16">
        <v>40179</v>
      </c>
      <c r="C18" s="15" t="s">
        <v>37</v>
      </c>
      <c r="D18" s="15" t="s">
        <v>38</v>
      </c>
      <c r="E18" s="15" t="s">
        <v>53</v>
      </c>
      <c r="F18" s="15" t="s">
        <v>52</v>
      </c>
      <c r="G18" s="15" t="s">
        <v>57</v>
      </c>
      <c r="H18" s="15" t="s">
        <v>45</v>
      </c>
      <c r="I18">
        <v>70</v>
      </c>
      <c r="J18">
        <v>90</v>
      </c>
      <c r="K18">
        <v>60</v>
      </c>
      <c r="L18">
        <v>160</v>
      </c>
      <c r="M18">
        <v>83</v>
      </c>
      <c r="N18">
        <v>623</v>
      </c>
      <c r="O18">
        <v>107</v>
      </c>
      <c r="P18">
        <v>27</v>
      </c>
      <c r="Q18">
        <v>68</v>
      </c>
      <c r="R18">
        <v>190</v>
      </c>
      <c r="S18">
        <v>1.1875</v>
      </c>
      <c r="T18">
        <v>1.1333333333333333</v>
      </c>
      <c r="U18">
        <v>1.1857142857142857</v>
      </c>
    </row>
    <row r="19" spans="1:21" x14ac:dyDescent="0.35">
      <c r="A19">
        <v>773</v>
      </c>
      <c r="B19" s="16">
        <v>40179</v>
      </c>
      <c r="C19" s="15" t="s">
        <v>37</v>
      </c>
      <c r="D19" s="15" t="s">
        <v>38</v>
      </c>
      <c r="E19" s="15" t="s">
        <v>54</v>
      </c>
      <c r="F19" s="15" t="s">
        <v>52</v>
      </c>
      <c r="G19" s="15" t="s">
        <v>57</v>
      </c>
      <c r="H19" s="15" t="s">
        <v>45</v>
      </c>
      <c r="I19">
        <v>80</v>
      </c>
      <c r="J19">
        <v>120</v>
      </c>
      <c r="K19">
        <v>100</v>
      </c>
      <c r="L19">
        <v>200</v>
      </c>
      <c r="M19">
        <v>95</v>
      </c>
      <c r="N19">
        <v>821</v>
      </c>
      <c r="O19">
        <v>139</v>
      </c>
      <c r="P19">
        <v>26</v>
      </c>
      <c r="Q19">
        <v>101</v>
      </c>
      <c r="R19">
        <v>234</v>
      </c>
      <c r="S19">
        <v>1.17</v>
      </c>
      <c r="T19">
        <v>1.01</v>
      </c>
      <c r="U19">
        <v>1.1875</v>
      </c>
    </row>
    <row r="20" spans="1:21" x14ac:dyDescent="0.35">
      <c r="A20">
        <v>217</v>
      </c>
      <c r="B20" s="16">
        <v>40179</v>
      </c>
      <c r="C20" s="15" t="s">
        <v>37</v>
      </c>
      <c r="D20" s="15" t="s">
        <v>38</v>
      </c>
      <c r="E20" s="15" t="s">
        <v>55</v>
      </c>
      <c r="F20" s="15" t="s">
        <v>47</v>
      </c>
      <c r="G20" s="15" t="s">
        <v>57</v>
      </c>
      <c r="H20" s="15" t="s">
        <v>42</v>
      </c>
      <c r="I20">
        <v>40</v>
      </c>
      <c r="J20">
        <v>70</v>
      </c>
      <c r="K20">
        <v>50</v>
      </c>
      <c r="L20">
        <v>110</v>
      </c>
      <c r="M20">
        <v>54</v>
      </c>
      <c r="N20">
        <v>456</v>
      </c>
      <c r="O20">
        <v>80</v>
      </c>
      <c r="P20">
        <v>15</v>
      </c>
      <c r="Q20">
        <v>53</v>
      </c>
      <c r="R20">
        <v>134</v>
      </c>
      <c r="S20">
        <v>1.2181818181818183</v>
      </c>
      <c r="T20">
        <v>1.06</v>
      </c>
      <c r="U20">
        <v>1.35</v>
      </c>
    </row>
    <row r="21" spans="1:21" x14ac:dyDescent="0.35">
      <c r="A21">
        <v>708</v>
      </c>
      <c r="B21" s="16">
        <v>40179</v>
      </c>
      <c r="C21" s="15" t="s">
        <v>37</v>
      </c>
      <c r="D21" s="15" t="s">
        <v>38</v>
      </c>
      <c r="E21" s="15" t="s">
        <v>56</v>
      </c>
      <c r="F21" s="15" t="s">
        <v>47</v>
      </c>
      <c r="G21" s="15" t="s">
        <v>57</v>
      </c>
      <c r="H21" s="15" t="s">
        <v>42</v>
      </c>
      <c r="I21">
        <v>60</v>
      </c>
      <c r="J21">
        <v>90</v>
      </c>
      <c r="K21">
        <v>40</v>
      </c>
      <c r="L21">
        <v>150</v>
      </c>
      <c r="M21">
        <v>72</v>
      </c>
      <c r="N21">
        <v>558</v>
      </c>
      <c r="O21">
        <v>108</v>
      </c>
      <c r="P21">
        <v>23</v>
      </c>
      <c r="Q21">
        <v>54</v>
      </c>
      <c r="R21">
        <v>180</v>
      </c>
      <c r="S21">
        <v>1.2</v>
      </c>
      <c r="T21">
        <v>1.35</v>
      </c>
      <c r="U21">
        <v>1.2</v>
      </c>
    </row>
    <row r="22" spans="1:21" x14ac:dyDescent="0.35">
      <c r="A22">
        <v>319</v>
      </c>
      <c r="B22" s="16">
        <v>40179</v>
      </c>
      <c r="C22" s="15" t="s">
        <v>37</v>
      </c>
      <c r="D22" s="15" t="s">
        <v>58</v>
      </c>
      <c r="E22" s="15" t="s">
        <v>39</v>
      </c>
      <c r="F22" s="15" t="s">
        <v>40</v>
      </c>
      <c r="G22" s="15" t="s">
        <v>59</v>
      </c>
      <c r="H22" s="15" t="s">
        <v>42</v>
      </c>
      <c r="I22">
        <v>10</v>
      </c>
      <c r="J22">
        <v>30</v>
      </c>
      <c r="K22">
        <v>20</v>
      </c>
      <c r="L22">
        <v>40</v>
      </c>
      <c r="M22">
        <v>18</v>
      </c>
      <c r="N22">
        <v>821</v>
      </c>
      <c r="O22">
        <v>27</v>
      </c>
      <c r="P22">
        <v>5</v>
      </c>
      <c r="Q22">
        <v>11</v>
      </c>
      <c r="R22">
        <v>45</v>
      </c>
      <c r="S22">
        <v>1.125</v>
      </c>
      <c r="T22">
        <v>0.55000000000000004</v>
      </c>
      <c r="U22">
        <v>1.8</v>
      </c>
    </row>
    <row r="23" spans="1:21" x14ac:dyDescent="0.35">
      <c r="A23">
        <v>641</v>
      </c>
      <c r="B23" s="16">
        <v>40179</v>
      </c>
      <c r="C23" s="15" t="s">
        <v>37</v>
      </c>
      <c r="D23" s="15" t="s">
        <v>58</v>
      </c>
      <c r="E23" s="15" t="s">
        <v>43</v>
      </c>
      <c r="F23" s="15" t="s">
        <v>40</v>
      </c>
      <c r="G23" s="15" t="s">
        <v>59</v>
      </c>
      <c r="H23" s="15" t="s">
        <v>42</v>
      </c>
      <c r="I23">
        <v>20</v>
      </c>
      <c r="J23">
        <v>40</v>
      </c>
      <c r="K23">
        <v>20</v>
      </c>
      <c r="L23">
        <v>60</v>
      </c>
      <c r="M23">
        <v>28</v>
      </c>
      <c r="N23">
        <v>965</v>
      </c>
      <c r="O23">
        <v>34</v>
      </c>
      <c r="P23">
        <v>8</v>
      </c>
      <c r="Q23">
        <v>5</v>
      </c>
      <c r="R23">
        <v>62</v>
      </c>
      <c r="S23">
        <v>1.0333333333333334</v>
      </c>
      <c r="T23">
        <v>0.25</v>
      </c>
      <c r="U23">
        <v>1.4</v>
      </c>
    </row>
    <row r="24" spans="1:21" x14ac:dyDescent="0.35">
      <c r="A24">
        <v>712</v>
      </c>
      <c r="B24" s="16">
        <v>40179</v>
      </c>
      <c r="C24" s="15" t="s">
        <v>37</v>
      </c>
      <c r="D24" s="15" t="s">
        <v>58</v>
      </c>
      <c r="E24" s="15" t="s">
        <v>44</v>
      </c>
      <c r="F24" s="15" t="s">
        <v>40</v>
      </c>
      <c r="G24" s="15" t="s">
        <v>59</v>
      </c>
      <c r="H24" s="15" t="s">
        <v>45</v>
      </c>
      <c r="I24">
        <v>20</v>
      </c>
      <c r="J24">
        <v>30</v>
      </c>
      <c r="K24">
        <v>20</v>
      </c>
      <c r="L24">
        <v>50</v>
      </c>
      <c r="M24">
        <v>23</v>
      </c>
      <c r="N24">
        <v>623</v>
      </c>
      <c r="O24">
        <v>31</v>
      </c>
      <c r="P24">
        <v>7</v>
      </c>
      <c r="Q24">
        <v>12</v>
      </c>
      <c r="R24">
        <v>54</v>
      </c>
      <c r="S24">
        <v>1.08</v>
      </c>
      <c r="T24">
        <v>0.6</v>
      </c>
      <c r="U24">
        <v>1.1499999999999999</v>
      </c>
    </row>
    <row r="25" spans="1:21" x14ac:dyDescent="0.35">
      <c r="A25">
        <v>563</v>
      </c>
      <c r="B25" s="16">
        <v>40179</v>
      </c>
      <c r="C25" s="15" t="s">
        <v>37</v>
      </c>
      <c r="D25" s="15" t="s">
        <v>58</v>
      </c>
      <c r="E25" s="15" t="s">
        <v>48</v>
      </c>
      <c r="F25" s="15" t="s">
        <v>49</v>
      </c>
      <c r="G25" s="15" t="s">
        <v>59</v>
      </c>
      <c r="H25" s="15" t="s">
        <v>42</v>
      </c>
      <c r="I25">
        <v>10</v>
      </c>
      <c r="J25">
        <v>40</v>
      </c>
      <c r="K25">
        <v>30</v>
      </c>
      <c r="L25">
        <v>50</v>
      </c>
      <c r="M25">
        <v>17</v>
      </c>
      <c r="N25">
        <v>777</v>
      </c>
      <c r="O25">
        <v>26</v>
      </c>
      <c r="P25">
        <v>4</v>
      </c>
      <c r="Q25">
        <v>11</v>
      </c>
      <c r="R25">
        <v>43</v>
      </c>
      <c r="S25">
        <v>0.86</v>
      </c>
      <c r="T25">
        <v>0.36666666666666664</v>
      </c>
      <c r="U25">
        <v>1.7</v>
      </c>
    </row>
    <row r="26" spans="1:21" x14ac:dyDescent="0.35">
      <c r="A26">
        <v>563</v>
      </c>
      <c r="B26" s="16">
        <v>40179</v>
      </c>
      <c r="C26" s="15" t="s">
        <v>37</v>
      </c>
      <c r="D26" s="15" t="s">
        <v>58</v>
      </c>
      <c r="E26" s="15" t="s">
        <v>50</v>
      </c>
      <c r="F26" s="15" t="s">
        <v>49</v>
      </c>
      <c r="G26" s="15" t="s">
        <v>59</v>
      </c>
      <c r="H26" s="15" t="s">
        <v>45</v>
      </c>
      <c r="I26">
        <v>10</v>
      </c>
      <c r="J26">
        <v>40</v>
      </c>
      <c r="K26">
        <v>30</v>
      </c>
      <c r="L26">
        <v>50</v>
      </c>
      <c r="M26">
        <v>17</v>
      </c>
      <c r="N26">
        <v>777</v>
      </c>
      <c r="O26">
        <v>26</v>
      </c>
      <c r="P26">
        <v>4</v>
      </c>
      <c r="Q26">
        <v>10</v>
      </c>
      <c r="R26">
        <v>43</v>
      </c>
      <c r="S26">
        <v>0.86</v>
      </c>
      <c r="T26">
        <v>0.33333333333333331</v>
      </c>
      <c r="U26">
        <v>1.7</v>
      </c>
    </row>
    <row r="27" spans="1:21" x14ac:dyDescent="0.35">
      <c r="A27">
        <v>641</v>
      </c>
      <c r="B27" s="16">
        <v>40179</v>
      </c>
      <c r="C27" s="15" t="s">
        <v>37</v>
      </c>
      <c r="D27" s="15" t="s">
        <v>58</v>
      </c>
      <c r="E27" s="15" t="s">
        <v>51</v>
      </c>
      <c r="F27" s="15" t="s">
        <v>52</v>
      </c>
      <c r="G27" s="15" t="s">
        <v>59</v>
      </c>
      <c r="H27" s="15" t="s">
        <v>45</v>
      </c>
      <c r="I27">
        <v>200</v>
      </c>
      <c r="J27">
        <v>280</v>
      </c>
      <c r="K27">
        <v>200</v>
      </c>
      <c r="L27">
        <v>480</v>
      </c>
      <c r="M27">
        <v>234</v>
      </c>
      <c r="N27">
        <v>1310</v>
      </c>
      <c r="O27">
        <v>312</v>
      </c>
      <c r="P27">
        <v>77</v>
      </c>
      <c r="Q27">
        <v>202</v>
      </c>
      <c r="R27">
        <v>546</v>
      </c>
      <c r="S27">
        <v>1.1375</v>
      </c>
      <c r="T27">
        <v>1.01</v>
      </c>
      <c r="U27">
        <v>1.17</v>
      </c>
    </row>
    <row r="28" spans="1:21" x14ac:dyDescent="0.35">
      <c r="A28">
        <v>563</v>
      </c>
      <c r="B28" s="16">
        <v>40179</v>
      </c>
      <c r="C28" s="15" t="s">
        <v>37</v>
      </c>
      <c r="D28" s="15" t="s">
        <v>58</v>
      </c>
      <c r="E28" s="15" t="s">
        <v>53</v>
      </c>
      <c r="F28" s="15" t="s">
        <v>52</v>
      </c>
      <c r="G28" s="15" t="s">
        <v>59</v>
      </c>
      <c r="H28" s="15" t="s">
        <v>45</v>
      </c>
      <c r="I28">
        <v>80</v>
      </c>
      <c r="J28">
        <v>120</v>
      </c>
      <c r="K28">
        <v>90</v>
      </c>
      <c r="L28">
        <v>200</v>
      </c>
      <c r="M28">
        <v>95</v>
      </c>
      <c r="N28">
        <v>608</v>
      </c>
      <c r="O28">
        <v>139</v>
      </c>
      <c r="P28">
        <v>30</v>
      </c>
      <c r="Q28">
        <v>86</v>
      </c>
      <c r="R28">
        <v>234</v>
      </c>
      <c r="S28">
        <v>1.17</v>
      </c>
      <c r="T28">
        <v>0.9555555555555556</v>
      </c>
      <c r="U28">
        <v>1.1875</v>
      </c>
    </row>
    <row r="29" spans="1:21" x14ac:dyDescent="0.35">
      <c r="A29">
        <v>712</v>
      </c>
      <c r="B29" s="16">
        <v>40179</v>
      </c>
      <c r="C29" s="15" t="s">
        <v>37</v>
      </c>
      <c r="D29" s="15" t="s">
        <v>58</v>
      </c>
      <c r="E29" s="15" t="s">
        <v>55</v>
      </c>
      <c r="F29" s="15" t="s">
        <v>47</v>
      </c>
      <c r="G29" s="15" t="s">
        <v>59</v>
      </c>
      <c r="H29" s="15" t="s">
        <v>42</v>
      </c>
      <c r="I29">
        <v>190</v>
      </c>
      <c r="J29">
        <v>210</v>
      </c>
      <c r="K29">
        <v>140</v>
      </c>
      <c r="L29">
        <v>400</v>
      </c>
      <c r="M29">
        <v>228</v>
      </c>
      <c r="N29">
        <v>1459</v>
      </c>
      <c r="O29">
        <v>228</v>
      </c>
      <c r="P29">
        <v>63</v>
      </c>
      <c r="Q29">
        <v>141</v>
      </c>
      <c r="R29">
        <v>456</v>
      </c>
      <c r="S29">
        <v>1.1399999999999999</v>
      </c>
      <c r="T29">
        <v>1.0071428571428571</v>
      </c>
      <c r="U29">
        <v>1.2</v>
      </c>
    </row>
    <row r="30" spans="1:21" x14ac:dyDescent="0.35">
      <c r="A30">
        <v>319</v>
      </c>
      <c r="B30" s="16">
        <v>40179</v>
      </c>
      <c r="C30" s="15" t="s">
        <v>37</v>
      </c>
      <c r="D30" s="15" t="s">
        <v>58</v>
      </c>
      <c r="E30" s="15" t="s">
        <v>56</v>
      </c>
      <c r="F30" s="15" t="s">
        <v>47</v>
      </c>
      <c r="G30" s="15" t="s">
        <v>59</v>
      </c>
      <c r="H30" s="15" t="s">
        <v>42</v>
      </c>
      <c r="I30">
        <v>210</v>
      </c>
      <c r="J30">
        <v>270</v>
      </c>
      <c r="K30">
        <v>160</v>
      </c>
      <c r="L30">
        <v>480</v>
      </c>
      <c r="M30">
        <v>245</v>
      </c>
      <c r="N30">
        <v>1419</v>
      </c>
      <c r="O30">
        <v>301</v>
      </c>
      <c r="P30">
        <v>93</v>
      </c>
      <c r="Q30">
        <v>175</v>
      </c>
      <c r="R30">
        <v>546</v>
      </c>
      <c r="S30">
        <v>1.1375</v>
      </c>
      <c r="T30">
        <v>1.09375</v>
      </c>
      <c r="U30">
        <v>1.1666666666666667</v>
      </c>
    </row>
    <row r="31" spans="1:21" x14ac:dyDescent="0.35">
      <c r="A31">
        <v>636</v>
      </c>
      <c r="B31" s="16">
        <v>40179</v>
      </c>
      <c r="C31" s="15" t="s">
        <v>37</v>
      </c>
      <c r="D31" s="15" t="s">
        <v>58</v>
      </c>
      <c r="E31" s="15" t="s">
        <v>43</v>
      </c>
      <c r="F31" s="15" t="s">
        <v>40</v>
      </c>
      <c r="G31" s="15" t="s">
        <v>60</v>
      </c>
      <c r="H31" s="15" t="s">
        <v>42</v>
      </c>
      <c r="I31">
        <v>90</v>
      </c>
      <c r="J31">
        <v>100</v>
      </c>
      <c r="K31">
        <v>40</v>
      </c>
      <c r="L31">
        <v>190</v>
      </c>
      <c r="M31">
        <v>85</v>
      </c>
      <c r="N31">
        <v>494</v>
      </c>
      <c r="O31">
        <v>105</v>
      </c>
      <c r="P31">
        <v>32</v>
      </c>
      <c r="Q31">
        <v>39</v>
      </c>
      <c r="R31">
        <v>190</v>
      </c>
      <c r="S31">
        <v>1</v>
      </c>
      <c r="T31">
        <v>0.97499999999999998</v>
      </c>
      <c r="U31">
        <v>0.94444444444444442</v>
      </c>
    </row>
    <row r="32" spans="1:21" x14ac:dyDescent="0.35">
      <c r="A32">
        <v>573</v>
      </c>
      <c r="B32" s="16">
        <v>40179</v>
      </c>
      <c r="C32" s="15" t="s">
        <v>37</v>
      </c>
      <c r="D32" s="15" t="s">
        <v>58</v>
      </c>
      <c r="E32" s="15" t="s">
        <v>44</v>
      </c>
      <c r="F32" s="15" t="s">
        <v>40</v>
      </c>
      <c r="G32" s="15" t="s">
        <v>60</v>
      </c>
      <c r="H32" s="15" t="s">
        <v>45</v>
      </c>
      <c r="I32">
        <v>80</v>
      </c>
      <c r="J32">
        <v>90</v>
      </c>
      <c r="K32">
        <v>50</v>
      </c>
      <c r="L32">
        <v>170</v>
      </c>
      <c r="M32">
        <v>78</v>
      </c>
      <c r="N32">
        <v>965</v>
      </c>
      <c r="O32">
        <v>92</v>
      </c>
      <c r="P32">
        <v>24</v>
      </c>
      <c r="Q32">
        <v>47</v>
      </c>
      <c r="R32">
        <v>170</v>
      </c>
      <c r="S32">
        <v>1</v>
      </c>
      <c r="T32">
        <v>0.94</v>
      </c>
      <c r="U32">
        <v>0.97499999999999998</v>
      </c>
    </row>
    <row r="33" spans="1:21" x14ac:dyDescent="0.35">
      <c r="A33">
        <v>417</v>
      </c>
      <c r="B33" s="16">
        <v>40179</v>
      </c>
      <c r="C33" s="15" t="s">
        <v>37</v>
      </c>
      <c r="D33" s="15" t="s">
        <v>58</v>
      </c>
      <c r="E33" s="15" t="s">
        <v>46</v>
      </c>
      <c r="F33" s="15" t="s">
        <v>47</v>
      </c>
      <c r="G33" s="15" t="s">
        <v>60</v>
      </c>
      <c r="H33" s="15" t="s">
        <v>42</v>
      </c>
      <c r="I33">
        <v>20</v>
      </c>
      <c r="J33">
        <v>40</v>
      </c>
      <c r="K33">
        <v>0</v>
      </c>
      <c r="L33">
        <v>60</v>
      </c>
      <c r="M33">
        <v>34</v>
      </c>
      <c r="N33">
        <v>197</v>
      </c>
      <c r="O33">
        <v>42</v>
      </c>
      <c r="P33">
        <v>12</v>
      </c>
      <c r="Q33">
        <v>-4</v>
      </c>
      <c r="R33">
        <v>76</v>
      </c>
      <c r="S33">
        <v>1.2666666666666666</v>
      </c>
      <c r="U33">
        <v>1.7</v>
      </c>
    </row>
    <row r="34" spans="1:21" x14ac:dyDescent="0.35">
      <c r="A34">
        <v>573</v>
      </c>
      <c r="B34" s="16">
        <v>40179</v>
      </c>
      <c r="C34" s="15" t="s">
        <v>37</v>
      </c>
      <c r="D34" s="15" t="s">
        <v>58</v>
      </c>
      <c r="E34" s="15" t="s">
        <v>48</v>
      </c>
      <c r="F34" s="15" t="s">
        <v>49</v>
      </c>
      <c r="G34" s="15" t="s">
        <v>60</v>
      </c>
      <c r="H34" s="15" t="s">
        <v>42</v>
      </c>
      <c r="I34">
        <v>50</v>
      </c>
      <c r="J34">
        <v>90</v>
      </c>
      <c r="K34">
        <v>70</v>
      </c>
      <c r="L34">
        <v>140</v>
      </c>
      <c r="M34">
        <v>50</v>
      </c>
      <c r="N34">
        <v>821</v>
      </c>
      <c r="O34">
        <v>73</v>
      </c>
      <c r="P34">
        <v>14</v>
      </c>
      <c r="Q34">
        <v>48</v>
      </c>
      <c r="R34">
        <v>123</v>
      </c>
      <c r="S34">
        <v>0.87857142857142856</v>
      </c>
      <c r="T34">
        <v>0.68571428571428572</v>
      </c>
      <c r="U34">
        <v>1</v>
      </c>
    </row>
    <row r="35" spans="1:21" x14ac:dyDescent="0.35">
      <c r="A35">
        <v>660</v>
      </c>
      <c r="B35" s="16">
        <v>40179</v>
      </c>
      <c r="C35" s="15" t="s">
        <v>37</v>
      </c>
      <c r="D35" s="15" t="s">
        <v>58</v>
      </c>
      <c r="E35" s="15" t="s">
        <v>50</v>
      </c>
      <c r="F35" s="15" t="s">
        <v>49</v>
      </c>
      <c r="G35" s="15" t="s">
        <v>60</v>
      </c>
      <c r="H35" s="15" t="s">
        <v>45</v>
      </c>
      <c r="I35">
        <v>50</v>
      </c>
      <c r="J35">
        <v>80</v>
      </c>
      <c r="K35">
        <v>60</v>
      </c>
      <c r="L35">
        <v>130</v>
      </c>
      <c r="M35">
        <v>46</v>
      </c>
      <c r="N35">
        <v>777</v>
      </c>
      <c r="O35">
        <v>68</v>
      </c>
      <c r="P35">
        <v>12</v>
      </c>
      <c r="Q35">
        <v>45</v>
      </c>
      <c r="R35">
        <v>114</v>
      </c>
      <c r="S35">
        <v>0.87692307692307692</v>
      </c>
      <c r="T35">
        <v>0.75</v>
      </c>
      <c r="U35">
        <v>0.92</v>
      </c>
    </row>
    <row r="36" spans="1:21" x14ac:dyDescent="0.35">
      <c r="A36">
        <v>573</v>
      </c>
      <c r="B36" s="16">
        <v>40179</v>
      </c>
      <c r="C36" s="15" t="s">
        <v>37</v>
      </c>
      <c r="D36" s="15" t="s">
        <v>58</v>
      </c>
      <c r="E36" s="15" t="s">
        <v>51</v>
      </c>
      <c r="F36" s="15" t="s">
        <v>52</v>
      </c>
      <c r="G36" s="15" t="s">
        <v>60</v>
      </c>
      <c r="H36" s="15" t="s">
        <v>45</v>
      </c>
      <c r="I36">
        <v>30</v>
      </c>
      <c r="J36">
        <v>40</v>
      </c>
      <c r="K36">
        <v>0</v>
      </c>
      <c r="L36">
        <v>70</v>
      </c>
      <c r="M36">
        <v>37</v>
      </c>
      <c r="N36">
        <v>261</v>
      </c>
      <c r="O36">
        <v>53</v>
      </c>
      <c r="P36">
        <v>34</v>
      </c>
      <c r="Q36">
        <v>-11</v>
      </c>
      <c r="R36">
        <v>90</v>
      </c>
      <c r="S36">
        <v>1.2857142857142858</v>
      </c>
      <c r="U36">
        <v>1.2333333333333334</v>
      </c>
    </row>
    <row r="37" spans="1:21" x14ac:dyDescent="0.35">
      <c r="A37">
        <v>314</v>
      </c>
      <c r="B37" s="16">
        <v>40179</v>
      </c>
      <c r="C37" s="15" t="s">
        <v>37</v>
      </c>
      <c r="D37" s="15" t="s">
        <v>58</v>
      </c>
      <c r="E37" s="15" t="s">
        <v>53</v>
      </c>
      <c r="F37" s="15" t="s">
        <v>52</v>
      </c>
      <c r="G37" s="15" t="s">
        <v>60</v>
      </c>
      <c r="H37" s="15" t="s">
        <v>45</v>
      </c>
      <c r="I37">
        <v>70</v>
      </c>
      <c r="J37">
        <v>10</v>
      </c>
      <c r="K37">
        <v>-20</v>
      </c>
      <c r="L37">
        <v>80</v>
      </c>
      <c r="M37">
        <v>88</v>
      </c>
      <c r="N37">
        <v>525</v>
      </c>
      <c r="O37">
        <v>11</v>
      </c>
      <c r="P37">
        <v>27</v>
      </c>
      <c r="Q37">
        <v>-39</v>
      </c>
      <c r="R37">
        <v>99</v>
      </c>
      <c r="S37">
        <v>1.2375</v>
      </c>
      <c r="T37">
        <v>1.95</v>
      </c>
      <c r="U37">
        <v>1.2571428571428571</v>
      </c>
    </row>
    <row r="38" spans="1:21" x14ac:dyDescent="0.35">
      <c r="A38">
        <v>314</v>
      </c>
      <c r="B38" s="16">
        <v>40179</v>
      </c>
      <c r="C38" s="15" t="s">
        <v>37</v>
      </c>
      <c r="D38" s="15" t="s">
        <v>58</v>
      </c>
      <c r="E38" s="15" t="s">
        <v>55</v>
      </c>
      <c r="F38" s="15" t="s">
        <v>47</v>
      </c>
      <c r="G38" s="15" t="s">
        <v>60</v>
      </c>
      <c r="H38" s="15" t="s">
        <v>42</v>
      </c>
      <c r="I38">
        <v>30</v>
      </c>
      <c r="J38">
        <v>40</v>
      </c>
      <c r="K38">
        <v>10</v>
      </c>
      <c r="L38">
        <v>70</v>
      </c>
      <c r="M38">
        <v>35</v>
      </c>
      <c r="N38">
        <v>196</v>
      </c>
      <c r="O38">
        <v>47</v>
      </c>
      <c r="P38">
        <v>11</v>
      </c>
      <c r="Q38">
        <v>9</v>
      </c>
      <c r="R38">
        <v>82</v>
      </c>
      <c r="S38">
        <v>1.1714285714285715</v>
      </c>
      <c r="T38">
        <v>0.9</v>
      </c>
      <c r="U38">
        <v>1.1666666666666667</v>
      </c>
    </row>
    <row r="39" spans="1:21" x14ac:dyDescent="0.35">
      <c r="A39">
        <v>573</v>
      </c>
      <c r="B39" s="16">
        <v>40179</v>
      </c>
      <c r="C39" s="15" t="s">
        <v>37</v>
      </c>
      <c r="D39" s="15" t="s">
        <v>58</v>
      </c>
      <c r="E39" s="15" t="s">
        <v>56</v>
      </c>
      <c r="F39" s="15" t="s">
        <v>47</v>
      </c>
      <c r="G39" s="15" t="s">
        <v>60</v>
      </c>
      <c r="H39" s="15" t="s">
        <v>42</v>
      </c>
      <c r="I39">
        <v>20</v>
      </c>
      <c r="J39">
        <v>30</v>
      </c>
      <c r="K39">
        <v>-10</v>
      </c>
      <c r="L39">
        <v>50</v>
      </c>
      <c r="M39">
        <v>29</v>
      </c>
      <c r="N39">
        <v>169</v>
      </c>
      <c r="O39">
        <v>36</v>
      </c>
      <c r="P39">
        <v>11</v>
      </c>
      <c r="Q39">
        <v>-9</v>
      </c>
      <c r="R39">
        <v>65</v>
      </c>
      <c r="S39">
        <v>1.3</v>
      </c>
      <c r="T39">
        <v>0.9</v>
      </c>
      <c r="U39">
        <v>1.45</v>
      </c>
    </row>
    <row r="40" spans="1:21" x14ac:dyDescent="0.35">
      <c r="A40">
        <v>740</v>
      </c>
      <c r="B40" s="16">
        <v>40179</v>
      </c>
      <c r="C40" s="15" t="s">
        <v>37</v>
      </c>
      <c r="D40" s="15" t="s">
        <v>38</v>
      </c>
      <c r="E40" s="15" t="s">
        <v>39</v>
      </c>
      <c r="F40" s="15" t="s">
        <v>40</v>
      </c>
      <c r="G40" s="15" t="s">
        <v>61</v>
      </c>
      <c r="H40" s="15" t="s">
        <v>42</v>
      </c>
      <c r="I40">
        <v>60</v>
      </c>
      <c r="J40">
        <v>80</v>
      </c>
      <c r="K40">
        <v>50</v>
      </c>
      <c r="L40">
        <v>140</v>
      </c>
      <c r="M40">
        <v>60</v>
      </c>
      <c r="N40">
        <v>336</v>
      </c>
      <c r="O40">
        <v>80</v>
      </c>
      <c r="P40">
        <v>19</v>
      </c>
      <c r="Q40">
        <v>34</v>
      </c>
      <c r="R40">
        <v>140</v>
      </c>
      <c r="S40">
        <v>1</v>
      </c>
      <c r="T40">
        <v>0.68</v>
      </c>
      <c r="U40">
        <v>1</v>
      </c>
    </row>
    <row r="41" spans="1:21" x14ac:dyDescent="0.35">
      <c r="A41">
        <v>614</v>
      </c>
      <c r="B41" s="16">
        <v>40179</v>
      </c>
      <c r="C41" s="15" t="s">
        <v>37</v>
      </c>
      <c r="D41" s="15" t="s">
        <v>38</v>
      </c>
      <c r="E41" s="15" t="s">
        <v>43</v>
      </c>
      <c r="F41" s="15" t="s">
        <v>40</v>
      </c>
      <c r="G41" s="15" t="s">
        <v>61</v>
      </c>
      <c r="H41" s="15" t="s">
        <v>42</v>
      </c>
      <c r="I41">
        <v>60</v>
      </c>
      <c r="J41">
        <v>80</v>
      </c>
      <c r="K41">
        <v>50</v>
      </c>
      <c r="L41">
        <v>140</v>
      </c>
      <c r="M41">
        <v>57</v>
      </c>
      <c r="N41">
        <v>364</v>
      </c>
      <c r="O41">
        <v>83</v>
      </c>
      <c r="P41">
        <v>18</v>
      </c>
      <c r="Q41">
        <v>42</v>
      </c>
      <c r="R41">
        <v>140</v>
      </c>
      <c r="S41">
        <v>1</v>
      </c>
      <c r="T41">
        <v>0.84</v>
      </c>
      <c r="U41">
        <v>0.95</v>
      </c>
    </row>
    <row r="42" spans="1:21" x14ac:dyDescent="0.35">
      <c r="A42">
        <v>614</v>
      </c>
      <c r="B42" s="16">
        <v>40179</v>
      </c>
      <c r="C42" s="15" t="s">
        <v>37</v>
      </c>
      <c r="D42" s="15" t="s">
        <v>38</v>
      </c>
      <c r="E42" s="15" t="s">
        <v>44</v>
      </c>
      <c r="F42" s="15" t="s">
        <v>40</v>
      </c>
      <c r="G42" s="15" t="s">
        <v>61</v>
      </c>
      <c r="H42" s="15" t="s">
        <v>45</v>
      </c>
      <c r="I42">
        <v>60</v>
      </c>
      <c r="J42">
        <v>90</v>
      </c>
      <c r="K42">
        <v>20</v>
      </c>
      <c r="L42">
        <v>150</v>
      </c>
      <c r="M42">
        <v>63</v>
      </c>
      <c r="N42">
        <v>435</v>
      </c>
      <c r="O42">
        <v>87</v>
      </c>
      <c r="P42">
        <v>57</v>
      </c>
      <c r="Q42">
        <v>0</v>
      </c>
      <c r="R42">
        <v>150</v>
      </c>
      <c r="S42">
        <v>1</v>
      </c>
      <c r="T42">
        <v>0</v>
      </c>
      <c r="U42">
        <v>1.05</v>
      </c>
    </row>
    <row r="43" spans="1:21" x14ac:dyDescent="0.35">
      <c r="A43">
        <v>216</v>
      </c>
      <c r="B43" s="16">
        <v>40179</v>
      </c>
      <c r="C43" s="15" t="s">
        <v>37</v>
      </c>
      <c r="D43" s="15" t="s">
        <v>38</v>
      </c>
      <c r="E43" s="15" t="s">
        <v>56</v>
      </c>
      <c r="F43" s="15" t="s">
        <v>47</v>
      </c>
      <c r="G43" s="15" t="s">
        <v>61</v>
      </c>
      <c r="H43" s="15" t="s">
        <v>42</v>
      </c>
      <c r="I43">
        <v>70</v>
      </c>
      <c r="J43">
        <v>100</v>
      </c>
      <c r="K43">
        <v>60</v>
      </c>
      <c r="L43">
        <v>170</v>
      </c>
      <c r="M43">
        <v>84</v>
      </c>
      <c r="N43">
        <v>500</v>
      </c>
      <c r="O43">
        <v>116</v>
      </c>
      <c r="P43">
        <v>26</v>
      </c>
      <c r="Q43">
        <v>67</v>
      </c>
      <c r="R43">
        <v>200</v>
      </c>
      <c r="S43">
        <v>1.1764705882352942</v>
      </c>
      <c r="T43">
        <v>1.1166666666666667</v>
      </c>
      <c r="U43">
        <v>1.2</v>
      </c>
    </row>
    <row r="44" spans="1:21" x14ac:dyDescent="0.35">
      <c r="A44">
        <v>614</v>
      </c>
      <c r="B44" s="16">
        <v>40179</v>
      </c>
      <c r="C44" s="15" t="s">
        <v>37</v>
      </c>
      <c r="D44" s="15" t="s">
        <v>38</v>
      </c>
      <c r="E44" s="15" t="s">
        <v>50</v>
      </c>
      <c r="F44" s="15" t="s">
        <v>49</v>
      </c>
      <c r="G44" s="15" t="s">
        <v>61</v>
      </c>
      <c r="H44" s="15" t="s">
        <v>45</v>
      </c>
      <c r="I44">
        <v>60</v>
      </c>
      <c r="J44">
        <v>90</v>
      </c>
      <c r="K44">
        <v>40</v>
      </c>
      <c r="L44">
        <v>150</v>
      </c>
      <c r="M44">
        <v>58</v>
      </c>
      <c r="N44">
        <v>338</v>
      </c>
      <c r="O44">
        <v>72</v>
      </c>
      <c r="P44">
        <v>22</v>
      </c>
      <c r="Q44">
        <v>16</v>
      </c>
      <c r="R44">
        <v>130</v>
      </c>
      <c r="S44">
        <v>0.8666666666666667</v>
      </c>
      <c r="T44">
        <v>0.4</v>
      </c>
      <c r="U44">
        <v>0.96666666666666667</v>
      </c>
    </row>
    <row r="45" spans="1:21" x14ac:dyDescent="0.35">
      <c r="A45">
        <v>614</v>
      </c>
      <c r="B45" s="16">
        <v>40179</v>
      </c>
      <c r="C45" s="15" t="s">
        <v>37</v>
      </c>
      <c r="D45" s="15" t="s">
        <v>38</v>
      </c>
      <c r="E45" s="15" t="s">
        <v>48</v>
      </c>
      <c r="F45" s="15" t="s">
        <v>49</v>
      </c>
      <c r="G45" s="15" t="s">
        <v>61</v>
      </c>
      <c r="H45" s="15" t="s">
        <v>42</v>
      </c>
      <c r="I45">
        <v>190</v>
      </c>
      <c r="J45">
        <v>210</v>
      </c>
      <c r="K45">
        <v>140</v>
      </c>
      <c r="L45">
        <v>400</v>
      </c>
      <c r="M45">
        <v>170</v>
      </c>
      <c r="N45">
        <v>1091</v>
      </c>
      <c r="O45">
        <v>171</v>
      </c>
      <c r="P45">
        <v>47</v>
      </c>
      <c r="Q45">
        <v>99</v>
      </c>
      <c r="R45">
        <v>341</v>
      </c>
      <c r="S45">
        <v>0.85250000000000004</v>
      </c>
      <c r="T45">
        <v>0.70714285714285718</v>
      </c>
      <c r="U45">
        <v>0.89473684210526316</v>
      </c>
    </row>
    <row r="46" spans="1:21" x14ac:dyDescent="0.35">
      <c r="A46">
        <v>937</v>
      </c>
      <c r="B46" s="16">
        <v>40179</v>
      </c>
      <c r="C46" s="15" t="s">
        <v>37</v>
      </c>
      <c r="D46" s="15" t="s">
        <v>38</v>
      </c>
      <c r="E46" s="15" t="s">
        <v>51</v>
      </c>
      <c r="F46" s="15" t="s">
        <v>52</v>
      </c>
      <c r="G46" s="15" t="s">
        <v>61</v>
      </c>
      <c r="H46" s="15" t="s">
        <v>45</v>
      </c>
      <c r="I46">
        <v>20</v>
      </c>
      <c r="J46">
        <v>50</v>
      </c>
      <c r="K46">
        <v>50</v>
      </c>
      <c r="L46">
        <v>70</v>
      </c>
      <c r="M46">
        <v>32</v>
      </c>
      <c r="N46">
        <v>456</v>
      </c>
      <c r="O46">
        <v>48</v>
      </c>
      <c r="P46">
        <v>8</v>
      </c>
      <c r="Q46">
        <v>29</v>
      </c>
      <c r="R46">
        <v>80</v>
      </c>
      <c r="S46">
        <v>1.1428571428571428</v>
      </c>
      <c r="T46">
        <v>0.57999999999999996</v>
      </c>
      <c r="U46">
        <v>1.6</v>
      </c>
    </row>
    <row r="47" spans="1:21" x14ac:dyDescent="0.35">
      <c r="A47">
        <v>740</v>
      </c>
      <c r="B47" s="16">
        <v>40179</v>
      </c>
      <c r="C47" s="15" t="s">
        <v>37</v>
      </c>
      <c r="D47" s="15" t="s">
        <v>38</v>
      </c>
      <c r="E47" s="15" t="s">
        <v>53</v>
      </c>
      <c r="F47" s="15" t="s">
        <v>52</v>
      </c>
      <c r="G47" s="15" t="s">
        <v>61</v>
      </c>
      <c r="H47" s="15" t="s">
        <v>45</v>
      </c>
      <c r="I47">
        <v>20</v>
      </c>
      <c r="J47">
        <v>50</v>
      </c>
      <c r="K47">
        <v>50</v>
      </c>
      <c r="L47">
        <v>70</v>
      </c>
      <c r="M47">
        <v>32</v>
      </c>
      <c r="N47">
        <v>821</v>
      </c>
      <c r="O47">
        <v>48</v>
      </c>
      <c r="P47">
        <v>8</v>
      </c>
      <c r="Q47">
        <v>29</v>
      </c>
      <c r="R47">
        <v>80</v>
      </c>
      <c r="S47">
        <v>1.1428571428571428</v>
      </c>
      <c r="T47">
        <v>0.57999999999999996</v>
      </c>
      <c r="U47">
        <v>1.6</v>
      </c>
    </row>
    <row r="48" spans="1:21" x14ac:dyDescent="0.35">
      <c r="A48">
        <v>567</v>
      </c>
      <c r="B48" s="16">
        <v>40179</v>
      </c>
      <c r="C48" s="15" t="s">
        <v>37</v>
      </c>
      <c r="D48" s="15" t="s">
        <v>38</v>
      </c>
      <c r="E48" s="15" t="s">
        <v>55</v>
      </c>
      <c r="F48" s="15" t="s">
        <v>47</v>
      </c>
      <c r="G48" s="15" t="s">
        <v>61</v>
      </c>
      <c r="H48" s="15" t="s">
        <v>42</v>
      </c>
      <c r="I48">
        <v>70</v>
      </c>
      <c r="J48">
        <v>110</v>
      </c>
      <c r="K48">
        <v>60</v>
      </c>
      <c r="L48">
        <v>180</v>
      </c>
      <c r="M48">
        <v>84</v>
      </c>
      <c r="N48">
        <v>651</v>
      </c>
      <c r="O48">
        <v>126</v>
      </c>
      <c r="P48">
        <v>27</v>
      </c>
      <c r="Q48">
        <v>68</v>
      </c>
      <c r="R48">
        <v>210</v>
      </c>
      <c r="S48">
        <v>1.1666666666666667</v>
      </c>
      <c r="T48">
        <v>1.1333333333333333</v>
      </c>
      <c r="U48">
        <v>1.2</v>
      </c>
    </row>
    <row r="49" spans="1:21" x14ac:dyDescent="0.35">
      <c r="A49">
        <v>262</v>
      </c>
      <c r="B49" s="16">
        <v>40179</v>
      </c>
      <c r="C49" s="15" t="s">
        <v>37</v>
      </c>
      <c r="D49" s="15" t="s">
        <v>58</v>
      </c>
      <c r="E49" s="15" t="s">
        <v>39</v>
      </c>
      <c r="F49" s="15" t="s">
        <v>40</v>
      </c>
      <c r="G49" s="15" t="s">
        <v>62</v>
      </c>
      <c r="H49" s="15" t="s">
        <v>42</v>
      </c>
      <c r="I49">
        <v>50</v>
      </c>
      <c r="J49">
        <v>70</v>
      </c>
      <c r="K49">
        <v>30</v>
      </c>
      <c r="L49">
        <v>120</v>
      </c>
      <c r="M49">
        <v>54</v>
      </c>
      <c r="N49">
        <v>312</v>
      </c>
      <c r="O49">
        <v>66</v>
      </c>
      <c r="P49">
        <v>20</v>
      </c>
      <c r="Q49">
        <v>13</v>
      </c>
      <c r="R49">
        <v>120</v>
      </c>
      <c r="S49">
        <v>1</v>
      </c>
      <c r="T49">
        <v>0.43333333333333335</v>
      </c>
      <c r="U49">
        <v>1.08</v>
      </c>
    </row>
    <row r="50" spans="1:21" x14ac:dyDescent="0.35">
      <c r="A50">
        <v>262</v>
      </c>
      <c r="B50" s="16">
        <v>40179</v>
      </c>
      <c r="C50" s="15" t="s">
        <v>37</v>
      </c>
      <c r="D50" s="15" t="s">
        <v>58</v>
      </c>
      <c r="E50" s="15" t="s">
        <v>43</v>
      </c>
      <c r="F50" s="15" t="s">
        <v>40</v>
      </c>
      <c r="G50" s="15" t="s">
        <v>62</v>
      </c>
      <c r="H50" s="15" t="s">
        <v>42</v>
      </c>
      <c r="I50">
        <v>80</v>
      </c>
      <c r="J50">
        <v>110</v>
      </c>
      <c r="K50">
        <v>20</v>
      </c>
      <c r="L50">
        <v>190</v>
      </c>
      <c r="M50">
        <v>79</v>
      </c>
      <c r="N50">
        <v>551</v>
      </c>
      <c r="O50">
        <v>111</v>
      </c>
      <c r="P50">
        <v>72</v>
      </c>
      <c r="Q50">
        <v>9</v>
      </c>
      <c r="R50">
        <v>190</v>
      </c>
      <c r="S50">
        <v>1</v>
      </c>
      <c r="T50">
        <v>0.45</v>
      </c>
      <c r="U50">
        <v>0.98750000000000004</v>
      </c>
    </row>
    <row r="51" spans="1:21" x14ac:dyDescent="0.35">
      <c r="A51">
        <v>414</v>
      </c>
      <c r="B51" s="16">
        <v>40179</v>
      </c>
      <c r="C51" s="15" t="s">
        <v>37</v>
      </c>
      <c r="D51" s="15" t="s">
        <v>58</v>
      </c>
      <c r="E51" s="15" t="s">
        <v>44</v>
      </c>
      <c r="F51" s="15" t="s">
        <v>40</v>
      </c>
      <c r="G51" s="15" t="s">
        <v>62</v>
      </c>
      <c r="H51" s="15" t="s">
        <v>45</v>
      </c>
      <c r="I51">
        <v>80</v>
      </c>
      <c r="J51">
        <v>100</v>
      </c>
      <c r="K51">
        <v>60</v>
      </c>
      <c r="L51">
        <v>180</v>
      </c>
      <c r="M51">
        <v>77</v>
      </c>
      <c r="N51">
        <v>432</v>
      </c>
      <c r="O51">
        <v>103</v>
      </c>
      <c r="P51">
        <v>25</v>
      </c>
      <c r="Q51">
        <v>51</v>
      </c>
      <c r="R51">
        <v>180</v>
      </c>
      <c r="S51">
        <v>1</v>
      </c>
      <c r="T51">
        <v>0.85</v>
      </c>
      <c r="U51">
        <v>0.96250000000000002</v>
      </c>
    </row>
    <row r="52" spans="1:21" x14ac:dyDescent="0.35">
      <c r="A52">
        <v>262</v>
      </c>
      <c r="B52" s="16">
        <v>40179</v>
      </c>
      <c r="C52" s="15" t="s">
        <v>37</v>
      </c>
      <c r="D52" s="15" t="s">
        <v>58</v>
      </c>
      <c r="E52" s="15" t="s">
        <v>56</v>
      </c>
      <c r="F52" s="15" t="s">
        <v>47</v>
      </c>
      <c r="G52" s="15" t="s">
        <v>62</v>
      </c>
      <c r="H52" s="15" t="s">
        <v>42</v>
      </c>
      <c r="I52">
        <v>60</v>
      </c>
      <c r="J52">
        <v>90</v>
      </c>
      <c r="K52">
        <v>10</v>
      </c>
      <c r="L52">
        <v>150</v>
      </c>
      <c r="M52">
        <v>75</v>
      </c>
      <c r="N52">
        <v>522</v>
      </c>
      <c r="O52">
        <v>105</v>
      </c>
      <c r="P52">
        <v>68</v>
      </c>
      <c r="Q52">
        <v>7</v>
      </c>
      <c r="R52">
        <v>180</v>
      </c>
      <c r="S52">
        <v>1.2</v>
      </c>
      <c r="T52">
        <v>0.7</v>
      </c>
      <c r="U52">
        <v>1.25</v>
      </c>
    </row>
    <row r="53" spans="1:21" x14ac:dyDescent="0.35">
      <c r="A53">
        <v>262</v>
      </c>
      <c r="B53" s="16">
        <v>40179</v>
      </c>
      <c r="C53" s="15" t="s">
        <v>37</v>
      </c>
      <c r="D53" s="15" t="s">
        <v>58</v>
      </c>
      <c r="E53" s="15" t="s">
        <v>50</v>
      </c>
      <c r="F53" s="15" t="s">
        <v>49</v>
      </c>
      <c r="G53" s="15" t="s">
        <v>62</v>
      </c>
      <c r="H53" s="15" t="s">
        <v>45</v>
      </c>
      <c r="I53">
        <v>50</v>
      </c>
      <c r="J53">
        <v>70</v>
      </c>
      <c r="K53">
        <v>50</v>
      </c>
      <c r="L53">
        <v>120</v>
      </c>
      <c r="M53">
        <v>48</v>
      </c>
      <c r="N53">
        <v>623</v>
      </c>
      <c r="O53">
        <v>62</v>
      </c>
      <c r="P53">
        <v>15</v>
      </c>
      <c r="Q53">
        <v>34</v>
      </c>
      <c r="R53">
        <v>110</v>
      </c>
      <c r="S53">
        <v>0.91666666666666663</v>
      </c>
      <c r="T53">
        <v>0.68</v>
      </c>
      <c r="U53">
        <v>0.96</v>
      </c>
    </row>
    <row r="54" spans="1:21" x14ac:dyDescent="0.35">
      <c r="A54">
        <v>414</v>
      </c>
      <c r="B54" s="16">
        <v>40179</v>
      </c>
      <c r="C54" s="15" t="s">
        <v>37</v>
      </c>
      <c r="D54" s="15" t="s">
        <v>58</v>
      </c>
      <c r="E54" s="15" t="s">
        <v>48</v>
      </c>
      <c r="F54" s="15" t="s">
        <v>49</v>
      </c>
      <c r="G54" s="15" t="s">
        <v>62</v>
      </c>
      <c r="H54" s="15" t="s">
        <v>42</v>
      </c>
      <c r="I54">
        <v>80</v>
      </c>
      <c r="J54">
        <v>90</v>
      </c>
      <c r="K54">
        <v>50</v>
      </c>
      <c r="L54">
        <v>170</v>
      </c>
      <c r="M54">
        <v>69</v>
      </c>
      <c r="N54">
        <v>965</v>
      </c>
      <c r="O54">
        <v>81</v>
      </c>
      <c r="P54">
        <v>21</v>
      </c>
      <c r="Q54">
        <v>38</v>
      </c>
      <c r="R54">
        <v>150</v>
      </c>
      <c r="S54">
        <v>0.88235294117647056</v>
      </c>
      <c r="T54">
        <v>0.76</v>
      </c>
      <c r="U54">
        <v>0.86250000000000004</v>
      </c>
    </row>
    <row r="55" spans="1:21" x14ac:dyDescent="0.35">
      <c r="A55">
        <v>715</v>
      </c>
      <c r="B55" s="16">
        <v>40179</v>
      </c>
      <c r="C55" s="15" t="s">
        <v>37</v>
      </c>
      <c r="D55" s="15" t="s">
        <v>58</v>
      </c>
      <c r="E55" s="15" t="s">
        <v>51</v>
      </c>
      <c r="F55" s="15" t="s">
        <v>52</v>
      </c>
      <c r="G55" s="15" t="s">
        <v>62</v>
      </c>
      <c r="H55" s="15" t="s">
        <v>45</v>
      </c>
      <c r="I55">
        <v>50</v>
      </c>
      <c r="J55">
        <v>100</v>
      </c>
      <c r="K55">
        <v>80</v>
      </c>
      <c r="L55">
        <v>150</v>
      </c>
      <c r="M55">
        <v>67</v>
      </c>
      <c r="N55">
        <v>400</v>
      </c>
      <c r="O55">
        <v>113</v>
      </c>
      <c r="P55">
        <v>20</v>
      </c>
      <c r="Q55">
        <v>70</v>
      </c>
      <c r="R55">
        <v>180</v>
      </c>
      <c r="S55">
        <v>1.2</v>
      </c>
      <c r="T55">
        <v>0.875</v>
      </c>
      <c r="U55">
        <v>1.34</v>
      </c>
    </row>
    <row r="56" spans="1:21" x14ac:dyDescent="0.35">
      <c r="A56">
        <v>715</v>
      </c>
      <c r="B56" s="16">
        <v>40179</v>
      </c>
      <c r="C56" s="15" t="s">
        <v>37</v>
      </c>
      <c r="D56" s="15" t="s">
        <v>58</v>
      </c>
      <c r="E56" s="15" t="s">
        <v>53</v>
      </c>
      <c r="F56" s="15" t="s">
        <v>52</v>
      </c>
      <c r="G56" s="15" t="s">
        <v>62</v>
      </c>
      <c r="H56" s="15" t="s">
        <v>45</v>
      </c>
      <c r="I56">
        <v>20</v>
      </c>
      <c r="J56">
        <v>50</v>
      </c>
      <c r="K56">
        <v>50</v>
      </c>
      <c r="L56">
        <v>70</v>
      </c>
      <c r="M56">
        <v>33</v>
      </c>
      <c r="N56">
        <v>777</v>
      </c>
      <c r="O56">
        <v>48</v>
      </c>
      <c r="P56">
        <v>9</v>
      </c>
      <c r="Q56">
        <v>28</v>
      </c>
      <c r="R56">
        <v>81</v>
      </c>
      <c r="S56">
        <v>1.1571428571428573</v>
      </c>
      <c r="T56">
        <v>0.56000000000000005</v>
      </c>
      <c r="U56">
        <v>1.65</v>
      </c>
    </row>
    <row r="57" spans="1:21" x14ac:dyDescent="0.35">
      <c r="A57">
        <v>608</v>
      </c>
      <c r="B57" s="16">
        <v>40179</v>
      </c>
      <c r="C57" s="15" t="s">
        <v>37</v>
      </c>
      <c r="D57" s="15" t="s">
        <v>58</v>
      </c>
      <c r="E57" s="15" t="s">
        <v>55</v>
      </c>
      <c r="F57" s="15" t="s">
        <v>47</v>
      </c>
      <c r="G57" s="15" t="s">
        <v>62</v>
      </c>
      <c r="H57" s="15" t="s">
        <v>42</v>
      </c>
      <c r="I57">
        <v>50</v>
      </c>
      <c r="J57">
        <v>80</v>
      </c>
      <c r="K57">
        <v>50</v>
      </c>
      <c r="L57">
        <v>130</v>
      </c>
      <c r="M57">
        <v>61</v>
      </c>
      <c r="N57">
        <v>390</v>
      </c>
      <c r="O57">
        <v>89</v>
      </c>
      <c r="P57">
        <v>19</v>
      </c>
      <c r="Q57">
        <v>47</v>
      </c>
      <c r="R57">
        <v>150</v>
      </c>
      <c r="S57">
        <v>1.1538461538461537</v>
      </c>
      <c r="T57">
        <v>0.94</v>
      </c>
      <c r="U57">
        <v>1.22</v>
      </c>
    </row>
    <row r="58" spans="1:21" x14ac:dyDescent="0.35">
      <c r="A58">
        <v>475</v>
      </c>
      <c r="B58" s="16">
        <v>40179</v>
      </c>
      <c r="C58" s="15" t="s">
        <v>63</v>
      </c>
      <c r="D58" s="15" t="s">
        <v>58</v>
      </c>
      <c r="E58" s="15" t="s">
        <v>55</v>
      </c>
      <c r="F58" s="15" t="s">
        <v>47</v>
      </c>
      <c r="G58" s="15" t="s">
        <v>64</v>
      </c>
      <c r="H58" s="15" t="s">
        <v>42</v>
      </c>
      <c r="I58">
        <v>50</v>
      </c>
      <c r="J58">
        <v>80</v>
      </c>
      <c r="K58">
        <v>60</v>
      </c>
      <c r="L58">
        <v>130</v>
      </c>
      <c r="M58">
        <v>50</v>
      </c>
      <c r="N58">
        <v>821</v>
      </c>
      <c r="O58">
        <v>73</v>
      </c>
      <c r="P58">
        <v>14</v>
      </c>
      <c r="Q58">
        <v>47</v>
      </c>
      <c r="R58">
        <v>123</v>
      </c>
      <c r="S58">
        <v>0.94615384615384612</v>
      </c>
      <c r="T58">
        <v>0.78333333333333333</v>
      </c>
      <c r="U58">
        <v>1</v>
      </c>
    </row>
    <row r="59" spans="1:21" x14ac:dyDescent="0.35">
      <c r="A59">
        <v>475</v>
      </c>
      <c r="B59" s="16">
        <v>40179</v>
      </c>
      <c r="C59" s="15" t="s">
        <v>63</v>
      </c>
      <c r="D59" s="15" t="s">
        <v>58</v>
      </c>
      <c r="E59" s="15" t="s">
        <v>46</v>
      </c>
      <c r="F59" s="15" t="s">
        <v>47</v>
      </c>
      <c r="G59" s="15" t="s">
        <v>64</v>
      </c>
      <c r="H59" s="15" t="s">
        <v>42</v>
      </c>
      <c r="I59">
        <v>40</v>
      </c>
      <c r="J59">
        <v>60</v>
      </c>
      <c r="K59">
        <v>40</v>
      </c>
      <c r="L59">
        <v>100</v>
      </c>
      <c r="M59">
        <v>38</v>
      </c>
      <c r="N59">
        <v>777</v>
      </c>
      <c r="O59">
        <v>56</v>
      </c>
      <c r="P59">
        <v>10</v>
      </c>
      <c r="Q59">
        <v>35</v>
      </c>
      <c r="R59">
        <v>94</v>
      </c>
      <c r="S59">
        <v>0.94</v>
      </c>
      <c r="T59">
        <v>0.875</v>
      </c>
      <c r="U59">
        <v>0.95</v>
      </c>
    </row>
    <row r="60" spans="1:21" x14ac:dyDescent="0.35">
      <c r="A60">
        <v>475</v>
      </c>
      <c r="B60" s="16">
        <v>40179</v>
      </c>
      <c r="C60" s="15" t="s">
        <v>63</v>
      </c>
      <c r="D60" s="15" t="s">
        <v>58</v>
      </c>
      <c r="E60" s="15" t="s">
        <v>50</v>
      </c>
      <c r="F60" s="15" t="s">
        <v>49</v>
      </c>
      <c r="G60" s="15" t="s">
        <v>64</v>
      </c>
      <c r="H60" s="15" t="s">
        <v>45</v>
      </c>
      <c r="I60">
        <v>50</v>
      </c>
      <c r="J60">
        <v>70</v>
      </c>
      <c r="K60">
        <v>40</v>
      </c>
      <c r="L60">
        <v>120</v>
      </c>
      <c r="M60">
        <v>55</v>
      </c>
      <c r="N60">
        <v>312</v>
      </c>
      <c r="O60">
        <v>75</v>
      </c>
      <c r="P60">
        <v>18</v>
      </c>
      <c r="Q60">
        <v>30</v>
      </c>
      <c r="R60">
        <v>130</v>
      </c>
      <c r="S60">
        <v>1.0833333333333333</v>
      </c>
      <c r="T60">
        <v>0.75</v>
      </c>
      <c r="U60">
        <v>1.1000000000000001</v>
      </c>
    </row>
    <row r="61" spans="1:21" x14ac:dyDescent="0.35">
      <c r="A61">
        <v>860</v>
      </c>
      <c r="B61" s="16">
        <v>40179</v>
      </c>
      <c r="C61" s="15" t="s">
        <v>63</v>
      </c>
      <c r="D61" s="15" t="s">
        <v>58</v>
      </c>
      <c r="E61" s="15" t="s">
        <v>48</v>
      </c>
      <c r="F61" s="15" t="s">
        <v>49</v>
      </c>
      <c r="G61" s="15" t="s">
        <v>64</v>
      </c>
      <c r="H61" s="15" t="s">
        <v>42</v>
      </c>
      <c r="I61">
        <v>70</v>
      </c>
      <c r="J61">
        <v>100</v>
      </c>
      <c r="K61">
        <v>20</v>
      </c>
      <c r="L61">
        <v>170</v>
      </c>
      <c r="M61">
        <v>75</v>
      </c>
      <c r="N61">
        <v>522</v>
      </c>
      <c r="O61">
        <v>105</v>
      </c>
      <c r="P61">
        <v>68</v>
      </c>
      <c r="Q61">
        <v>7</v>
      </c>
      <c r="R61">
        <v>180</v>
      </c>
      <c r="S61">
        <v>1.0588235294117647</v>
      </c>
      <c r="T61">
        <v>0.35</v>
      </c>
      <c r="U61">
        <v>1.0714285714285714</v>
      </c>
    </row>
    <row r="62" spans="1:21" x14ac:dyDescent="0.35">
      <c r="A62">
        <v>475</v>
      </c>
      <c r="B62" s="16">
        <v>40179</v>
      </c>
      <c r="C62" s="15" t="s">
        <v>63</v>
      </c>
      <c r="D62" s="15" t="s">
        <v>58</v>
      </c>
      <c r="E62" s="15" t="s">
        <v>43</v>
      </c>
      <c r="F62" s="15" t="s">
        <v>40</v>
      </c>
      <c r="G62" s="15" t="s">
        <v>64</v>
      </c>
      <c r="H62" s="15" t="s">
        <v>42</v>
      </c>
      <c r="I62">
        <v>110</v>
      </c>
      <c r="J62">
        <v>180</v>
      </c>
      <c r="K62">
        <v>130</v>
      </c>
      <c r="L62">
        <v>290</v>
      </c>
      <c r="M62">
        <v>124</v>
      </c>
      <c r="N62">
        <v>961</v>
      </c>
      <c r="O62">
        <v>186</v>
      </c>
      <c r="P62">
        <v>40</v>
      </c>
      <c r="Q62">
        <v>115</v>
      </c>
      <c r="R62">
        <v>310</v>
      </c>
      <c r="S62">
        <v>1.0689655172413792</v>
      </c>
      <c r="T62">
        <v>0.88461538461538458</v>
      </c>
      <c r="U62">
        <v>1.1272727272727272</v>
      </c>
    </row>
    <row r="63" spans="1:21" x14ac:dyDescent="0.35">
      <c r="A63">
        <v>860</v>
      </c>
      <c r="B63" s="16">
        <v>40179</v>
      </c>
      <c r="C63" s="15" t="s">
        <v>63</v>
      </c>
      <c r="D63" s="15" t="s">
        <v>58</v>
      </c>
      <c r="E63" s="15" t="s">
        <v>53</v>
      </c>
      <c r="F63" s="15" t="s">
        <v>52</v>
      </c>
      <c r="G63" s="15" t="s">
        <v>64</v>
      </c>
      <c r="H63" s="15" t="s">
        <v>45</v>
      </c>
      <c r="I63">
        <v>60</v>
      </c>
      <c r="J63">
        <v>80</v>
      </c>
      <c r="K63">
        <v>40</v>
      </c>
      <c r="L63">
        <v>140</v>
      </c>
      <c r="M63">
        <v>85</v>
      </c>
      <c r="N63">
        <v>494</v>
      </c>
      <c r="O63">
        <v>105</v>
      </c>
      <c r="P63">
        <v>32</v>
      </c>
      <c r="Q63">
        <v>40</v>
      </c>
      <c r="R63">
        <v>190</v>
      </c>
      <c r="S63">
        <v>1.3571428571428572</v>
      </c>
      <c r="T63">
        <v>1</v>
      </c>
      <c r="U63">
        <v>1.4166666666666667</v>
      </c>
    </row>
    <row r="64" spans="1:21" x14ac:dyDescent="0.35">
      <c r="A64">
        <v>475</v>
      </c>
      <c r="B64" s="16">
        <v>40179</v>
      </c>
      <c r="C64" s="15" t="s">
        <v>63</v>
      </c>
      <c r="D64" s="15" t="s">
        <v>58</v>
      </c>
      <c r="E64" s="15" t="s">
        <v>54</v>
      </c>
      <c r="F64" s="15" t="s">
        <v>52</v>
      </c>
      <c r="G64" s="15" t="s">
        <v>64</v>
      </c>
      <c r="H64" s="15" t="s">
        <v>45</v>
      </c>
      <c r="I64">
        <v>50</v>
      </c>
      <c r="J64">
        <v>80</v>
      </c>
      <c r="K64">
        <v>50</v>
      </c>
      <c r="L64">
        <v>130</v>
      </c>
      <c r="M64">
        <v>78</v>
      </c>
      <c r="N64">
        <v>965</v>
      </c>
      <c r="O64">
        <v>92</v>
      </c>
      <c r="P64">
        <v>24</v>
      </c>
      <c r="Q64">
        <v>47</v>
      </c>
      <c r="R64">
        <v>170</v>
      </c>
      <c r="S64">
        <v>1.3076923076923077</v>
      </c>
      <c r="T64">
        <v>0.94</v>
      </c>
      <c r="U64">
        <v>1.56</v>
      </c>
    </row>
    <row r="65" spans="1:21" x14ac:dyDescent="0.35">
      <c r="A65">
        <v>954</v>
      </c>
      <c r="B65" s="16">
        <v>40179</v>
      </c>
      <c r="C65" s="15" t="s">
        <v>63</v>
      </c>
      <c r="D65" s="15" t="s">
        <v>38</v>
      </c>
      <c r="E65" s="15" t="s">
        <v>55</v>
      </c>
      <c r="F65" s="15" t="s">
        <v>47</v>
      </c>
      <c r="G65" s="15" t="s">
        <v>65</v>
      </c>
      <c r="H65" s="15" t="s">
        <v>42</v>
      </c>
      <c r="I65">
        <v>30</v>
      </c>
      <c r="J65">
        <v>50</v>
      </c>
      <c r="K65">
        <v>40</v>
      </c>
      <c r="L65">
        <v>80</v>
      </c>
      <c r="M65">
        <v>32</v>
      </c>
      <c r="N65">
        <v>821</v>
      </c>
      <c r="O65">
        <v>48</v>
      </c>
      <c r="P65">
        <v>8</v>
      </c>
      <c r="Q65">
        <v>28</v>
      </c>
      <c r="R65">
        <v>80</v>
      </c>
      <c r="S65">
        <v>1</v>
      </c>
      <c r="T65">
        <v>0.7</v>
      </c>
      <c r="U65">
        <v>1.0666666666666667</v>
      </c>
    </row>
    <row r="66" spans="1:21" x14ac:dyDescent="0.35">
      <c r="A66">
        <v>754</v>
      </c>
      <c r="B66" s="16">
        <v>40179</v>
      </c>
      <c r="C66" s="15" t="s">
        <v>63</v>
      </c>
      <c r="D66" s="15" t="s">
        <v>38</v>
      </c>
      <c r="E66" s="15" t="s">
        <v>46</v>
      </c>
      <c r="F66" s="15" t="s">
        <v>47</v>
      </c>
      <c r="G66" s="15" t="s">
        <v>65</v>
      </c>
      <c r="H66" s="15" t="s">
        <v>42</v>
      </c>
      <c r="I66">
        <v>30</v>
      </c>
      <c r="J66">
        <v>50</v>
      </c>
      <c r="K66">
        <v>40</v>
      </c>
      <c r="L66">
        <v>80</v>
      </c>
      <c r="M66">
        <v>33</v>
      </c>
      <c r="N66">
        <v>777</v>
      </c>
      <c r="O66">
        <v>48</v>
      </c>
      <c r="P66">
        <v>9</v>
      </c>
      <c r="Q66">
        <v>28</v>
      </c>
      <c r="R66">
        <v>81</v>
      </c>
      <c r="S66">
        <v>1.0125</v>
      </c>
      <c r="T66">
        <v>0.7</v>
      </c>
      <c r="U66">
        <v>1.1000000000000001</v>
      </c>
    </row>
    <row r="67" spans="1:21" x14ac:dyDescent="0.35">
      <c r="A67">
        <v>754</v>
      </c>
      <c r="B67" s="16">
        <v>40179</v>
      </c>
      <c r="C67" s="15" t="s">
        <v>63</v>
      </c>
      <c r="D67" s="15" t="s">
        <v>38</v>
      </c>
      <c r="E67" s="15" t="s">
        <v>50</v>
      </c>
      <c r="F67" s="15" t="s">
        <v>49</v>
      </c>
      <c r="G67" s="15" t="s">
        <v>65</v>
      </c>
      <c r="H67" s="15" t="s">
        <v>45</v>
      </c>
      <c r="I67">
        <v>70</v>
      </c>
      <c r="J67">
        <v>100</v>
      </c>
      <c r="K67">
        <v>60</v>
      </c>
      <c r="L67">
        <v>170</v>
      </c>
      <c r="M67">
        <v>77</v>
      </c>
      <c r="N67">
        <v>432</v>
      </c>
      <c r="O67">
        <v>103</v>
      </c>
      <c r="P67">
        <v>25</v>
      </c>
      <c r="Q67">
        <v>50</v>
      </c>
      <c r="R67">
        <v>180</v>
      </c>
      <c r="S67">
        <v>1.0588235294117647</v>
      </c>
      <c r="T67">
        <v>0.83333333333333337</v>
      </c>
      <c r="U67">
        <v>1.1000000000000001</v>
      </c>
    </row>
    <row r="68" spans="1:21" x14ac:dyDescent="0.35">
      <c r="A68">
        <v>239</v>
      </c>
      <c r="B68" s="16">
        <v>40179</v>
      </c>
      <c r="C68" s="15" t="s">
        <v>63</v>
      </c>
      <c r="D68" s="15" t="s">
        <v>38</v>
      </c>
      <c r="E68" s="15" t="s">
        <v>48</v>
      </c>
      <c r="F68" s="15" t="s">
        <v>49</v>
      </c>
      <c r="G68" s="15" t="s">
        <v>65</v>
      </c>
      <c r="H68" s="15" t="s">
        <v>42</v>
      </c>
      <c r="I68">
        <v>70</v>
      </c>
      <c r="J68">
        <v>110</v>
      </c>
      <c r="K68">
        <v>30</v>
      </c>
      <c r="L68">
        <v>180</v>
      </c>
      <c r="M68">
        <v>79</v>
      </c>
      <c r="N68">
        <v>551</v>
      </c>
      <c r="O68">
        <v>111</v>
      </c>
      <c r="P68">
        <v>72</v>
      </c>
      <c r="Q68">
        <v>9</v>
      </c>
      <c r="R68">
        <v>190</v>
      </c>
      <c r="S68">
        <v>1.0555555555555556</v>
      </c>
      <c r="T68">
        <v>0.3</v>
      </c>
      <c r="U68">
        <v>1.1285714285714286</v>
      </c>
    </row>
    <row r="69" spans="1:21" x14ac:dyDescent="0.35">
      <c r="A69">
        <v>754</v>
      </c>
      <c r="B69" s="16">
        <v>40179</v>
      </c>
      <c r="C69" s="15" t="s">
        <v>63</v>
      </c>
      <c r="D69" s="15" t="s">
        <v>38</v>
      </c>
      <c r="E69" s="15" t="s">
        <v>44</v>
      </c>
      <c r="F69" s="15" t="s">
        <v>40</v>
      </c>
      <c r="G69" s="15" t="s">
        <v>65</v>
      </c>
      <c r="H69" s="15" t="s">
        <v>45</v>
      </c>
      <c r="I69">
        <v>80</v>
      </c>
      <c r="J69">
        <v>110</v>
      </c>
      <c r="K69">
        <v>70</v>
      </c>
      <c r="L69">
        <v>190</v>
      </c>
      <c r="M69">
        <v>84</v>
      </c>
      <c r="N69">
        <v>500</v>
      </c>
      <c r="O69">
        <v>116</v>
      </c>
      <c r="P69">
        <v>26</v>
      </c>
      <c r="Q69">
        <v>67</v>
      </c>
      <c r="R69">
        <v>200</v>
      </c>
      <c r="S69">
        <v>1.0526315789473684</v>
      </c>
      <c r="T69">
        <v>0.95714285714285718</v>
      </c>
      <c r="U69">
        <v>1.05</v>
      </c>
    </row>
    <row r="70" spans="1:21" x14ac:dyDescent="0.35">
      <c r="A70">
        <v>954</v>
      </c>
      <c r="B70" s="16">
        <v>40179</v>
      </c>
      <c r="C70" s="15" t="s">
        <v>63</v>
      </c>
      <c r="D70" s="15" t="s">
        <v>38</v>
      </c>
      <c r="E70" s="15" t="s">
        <v>43</v>
      </c>
      <c r="F70" s="15" t="s">
        <v>40</v>
      </c>
      <c r="G70" s="15" t="s">
        <v>65</v>
      </c>
      <c r="H70" s="15" t="s">
        <v>42</v>
      </c>
      <c r="I70">
        <v>80</v>
      </c>
      <c r="J70">
        <v>110</v>
      </c>
      <c r="K70">
        <v>70</v>
      </c>
      <c r="L70">
        <v>190</v>
      </c>
      <c r="M70">
        <v>84</v>
      </c>
      <c r="N70">
        <v>651</v>
      </c>
      <c r="O70">
        <v>126</v>
      </c>
      <c r="P70">
        <v>27</v>
      </c>
      <c r="Q70">
        <v>68</v>
      </c>
      <c r="R70">
        <v>210</v>
      </c>
      <c r="S70">
        <v>1.1052631578947369</v>
      </c>
      <c r="T70">
        <v>0.97142857142857142</v>
      </c>
      <c r="U70">
        <v>1.05</v>
      </c>
    </row>
    <row r="71" spans="1:21" x14ac:dyDescent="0.35">
      <c r="A71">
        <v>863</v>
      </c>
      <c r="B71" s="16">
        <v>40179</v>
      </c>
      <c r="C71" s="15" t="s">
        <v>63</v>
      </c>
      <c r="D71" s="15" t="s">
        <v>38</v>
      </c>
      <c r="E71" s="15" t="s">
        <v>51</v>
      </c>
      <c r="F71" s="15" t="s">
        <v>52</v>
      </c>
      <c r="G71" s="15" t="s">
        <v>65</v>
      </c>
      <c r="H71" s="15" t="s">
        <v>45</v>
      </c>
      <c r="I71">
        <v>30</v>
      </c>
      <c r="J71">
        <v>50</v>
      </c>
      <c r="K71">
        <v>30</v>
      </c>
      <c r="L71">
        <v>80</v>
      </c>
      <c r="M71">
        <v>48</v>
      </c>
      <c r="N71">
        <v>623</v>
      </c>
      <c r="O71">
        <v>62</v>
      </c>
      <c r="P71">
        <v>15</v>
      </c>
      <c r="Q71">
        <v>34</v>
      </c>
      <c r="R71">
        <v>110</v>
      </c>
      <c r="S71">
        <v>1.375</v>
      </c>
      <c r="T71">
        <v>1.1333333333333333</v>
      </c>
      <c r="U71">
        <v>1.6</v>
      </c>
    </row>
    <row r="72" spans="1:21" x14ac:dyDescent="0.35">
      <c r="A72">
        <v>239</v>
      </c>
      <c r="B72" s="16">
        <v>40179</v>
      </c>
      <c r="C72" s="15" t="s">
        <v>63</v>
      </c>
      <c r="D72" s="15" t="s">
        <v>38</v>
      </c>
      <c r="E72" s="15" t="s">
        <v>53</v>
      </c>
      <c r="F72" s="15" t="s">
        <v>52</v>
      </c>
      <c r="G72" s="15" t="s">
        <v>65</v>
      </c>
      <c r="H72" s="15" t="s">
        <v>45</v>
      </c>
      <c r="I72">
        <v>40</v>
      </c>
      <c r="J72">
        <v>50</v>
      </c>
      <c r="K72">
        <v>20</v>
      </c>
      <c r="L72">
        <v>90</v>
      </c>
      <c r="M72">
        <v>54</v>
      </c>
      <c r="N72">
        <v>312</v>
      </c>
      <c r="O72">
        <v>66</v>
      </c>
      <c r="P72">
        <v>20</v>
      </c>
      <c r="Q72">
        <v>13</v>
      </c>
      <c r="R72">
        <v>120</v>
      </c>
      <c r="S72">
        <v>1.3333333333333333</v>
      </c>
      <c r="T72">
        <v>0.65</v>
      </c>
      <c r="U72">
        <v>1.35</v>
      </c>
    </row>
    <row r="73" spans="1:21" x14ac:dyDescent="0.35">
      <c r="A73">
        <v>772</v>
      </c>
      <c r="B73" s="16">
        <v>40179</v>
      </c>
      <c r="C73" s="15" t="s">
        <v>63</v>
      </c>
      <c r="D73" s="15" t="s">
        <v>38</v>
      </c>
      <c r="E73" s="15" t="s">
        <v>54</v>
      </c>
      <c r="F73" s="15" t="s">
        <v>52</v>
      </c>
      <c r="G73" s="15" t="s">
        <v>65</v>
      </c>
      <c r="H73" s="15" t="s">
        <v>45</v>
      </c>
      <c r="I73">
        <v>50</v>
      </c>
      <c r="J73">
        <v>60</v>
      </c>
      <c r="K73">
        <v>40</v>
      </c>
      <c r="L73">
        <v>110</v>
      </c>
      <c r="M73">
        <v>69</v>
      </c>
      <c r="N73">
        <v>965</v>
      </c>
      <c r="O73">
        <v>81</v>
      </c>
      <c r="P73">
        <v>21</v>
      </c>
      <c r="Q73">
        <v>39</v>
      </c>
      <c r="R73">
        <v>150</v>
      </c>
      <c r="S73">
        <v>1.3636363636363635</v>
      </c>
      <c r="T73">
        <v>0.97499999999999998</v>
      </c>
      <c r="U73">
        <v>1.38</v>
      </c>
    </row>
    <row r="74" spans="1:21" x14ac:dyDescent="0.35">
      <c r="A74">
        <v>508</v>
      </c>
      <c r="B74" s="16">
        <v>40179</v>
      </c>
      <c r="C74" s="15" t="s">
        <v>63</v>
      </c>
      <c r="D74" s="15" t="s">
        <v>38</v>
      </c>
      <c r="E74" s="15" t="s">
        <v>55</v>
      </c>
      <c r="F74" s="15" t="s">
        <v>47</v>
      </c>
      <c r="G74" s="15" t="s">
        <v>66</v>
      </c>
      <c r="H74" s="15" t="s">
        <v>42</v>
      </c>
      <c r="I74">
        <v>30</v>
      </c>
      <c r="J74">
        <v>50</v>
      </c>
      <c r="K74">
        <v>40</v>
      </c>
      <c r="L74">
        <v>80</v>
      </c>
      <c r="M74">
        <v>32</v>
      </c>
      <c r="N74">
        <v>821</v>
      </c>
      <c r="O74">
        <v>48</v>
      </c>
      <c r="P74">
        <v>8</v>
      </c>
      <c r="Q74">
        <v>29</v>
      </c>
      <c r="R74">
        <v>80</v>
      </c>
      <c r="S74">
        <v>1</v>
      </c>
      <c r="T74">
        <v>0.72499999999999998</v>
      </c>
      <c r="U74">
        <v>1.0666666666666667</v>
      </c>
    </row>
    <row r="75" spans="1:21" x14ac:dyDescent="0.35">
      <c r="A75">
        <v>781</v>
      </c>
      <c r="B75" s="16">
        <v>40179</v>
      </c>
      <c r="C75" s="15" t="s">
        <v>63</v>
      </c>
      <c r="D75" s="15" t="s">
        <v>38</v>
      </c>
      <c r="E75" s="15" t="s">
        <v>46</v>
      </c>
      <c r="F75" s="15" t="s">
        <v>47</v>
      </c>
      <c r="G75" s="15" t="s">
        <v>66</v>
      </c>
      <c r="H75" s="15" t="s">
        <v>42</v>
      </c>
      <c r="I75">
        <v>30</v>
      </c>
      <c r="J75">
        <v>50</v>
      </c>
      <c r="K75">
        <v>40</v>
      </c>
      <c r="L75">
        <v>80</v>
      </c>
      <c r="M75">
        <v>32</v>
      </c>
      <c r="N75">
        <v>456</v>
      </c>
      <c r="O75">
        <v>48</v>
      </c>
      <c r="P75">
        <v>8</v>
      </c>
      <c r="Q75">
        <v>29</v>
      </c>
      <c r="R75">
        <v>80</v>
      </c>
      <c r="S75">
        <v>1</v>
      </c>
      <c r="T75">
        <v>0.72499999999999998</v>
      </c>
      <c r="U75">
        <v>1.0666666666666667</v>
      </c>
    </row>
    <row r="76" spans="1:21" x14ac:dyDescent="0.35">
      <c r="A76">
        <v>978</v>
      </c>
      <c r="B76" s="16">
        <v>40179</v>
      </c>
      <c r="C76" s="15" t="s">
        <v>63</v>
      </c>
      <c r="D76" s="15" t="s">
        <v>38</v>
      </c>
      <c r="E76" s="15" t="s">
        <v>67</v>
      </c>
      <c r="F76" s="15" t="s">
        <v>49</v>
      </c>
      <c r="G76" s="15" t="s">
        <v>66</v>
      </c>
      <c r="H76" s="15" t="s">
        <v>42</v>
      </c>
      <c r="I76">
        <v>160</v>
      </c>
      <c r="J76">
        <v>170</v>
      </c>
      <c r="K76">
        <v>110</v>
      </c>
      <c r="L76">
        <v>330</v>
      </c>
      <c r="M76">
        <v>170</v>
      </c>
      <c r="N76">
        <v>1091</v>
      </c>
      <c r="O76">
        <v>171</v>
      </c>
      <c r="P76">
        <v>47</v>
      </c>
      <c r="Q76">
        <v>100</v>
      </c>
      <c r="R76">
        <v>341</v>
      </c>
      <c r="S76">
        <v>1.0333333333333334</v>
      </c>
      <c r="T76">
        <v>0.90909090909090906</v>
      </c>
      <c r="U76">
        <v>1.0625</v>
      </c>
    </row>
    <row r="77" spans="1:21" x14ac:dyDescent="0.35">
      <c r="A77">
        <v>781</v>
      </c>
      <c r="B77" s="16">
        <v>40179</v>
      </c>
      <c r="C77" s="15" t="s">
        <v>63</v>
      </c>
      <c r="D77" s="15" t="s">
        <v>38</v>
      </c>
      <c r="E77" s="15" t="s">
        <v>48</v>
      </c>
      <c r="F77" s="15" t="s">
        <v>49</v>
      </c>
      <c r="G77" s="15" t="s">
        <v>66</v>
      </c>
      <c r="H77" s="15" t="s">
        <v>42</v>
      </c>
      <c r="I77">
        <v>60</v>
      </c>
      <c r="J77">
        <v>60</v>
      </c>
      <c r="K77">
        <v>-10</v>
      </c>
      <c r="L77">
        <v>120</v>
      </c>
      <c r="M77">
        <v>63</v>
      </c>
      <c r="N77">
        <v>435</v>
      </c>
      <c r="O77">
        <v>63</v>
      </c>
      <c r="P77">
        <v>57</v>
      </c>
      <c r="Q77">
        <v>-23</v>
      </c>
      <c r="R77">
        <v>126</v>
      </c>
      <c r="S77">
        <v>1.05</v>
      </c>
      <c r="T77">
        <v>2.2999999999999998</v>
      </c>
      <c r="U77">
        <v>1.05</v>
      </c>
    </row>
    <row r="78" spans="1:21" x14ac:dyDescent="0.35">
      <c r="A78">
        <v>413</v>
      </c>
      <c r="B78" s="16">
        <v>40179</v>
      </c>
      <c r="C78" s="15" t="s">
        <v>63</v>
      </c>
      <c r="D78" s="15" t="s">
        <v>38</v>
      </c>
      <c r="E78" s="15" t="s">
        <v>43</v>
      </c>
      <c r="F78" s="15" t="s">
        <v>40</v>
      </c>
      <c r="G78" s="15" t="s">
        <v>66</v>
      </c>
      <c r="H78" s="15" t="s">
        <v>42</v>
      </c>
      <c r="I78">
        <v>60</v>
      </c>
      <c r="J78">
        <v>400</v>
      </c>
      <c r="K78">
        <v>360</v>
      </c>
      <c r="L78">
        <v>460</v>
      </c>
      <c r="M78">
        <v>72</v>
      </c>
      <c r="N78">
        <v>558</v>
      </c>
      <c r="O78">
        <v>422</v>
      </c>
      <c r="P78">
        <v>23</v>
      </c>
      <c r="Q78">
        <v>367</v>
      </c>
      <c r="R78">
        <v>494</v>
      </c>
      <c r="S78">
        <v>1.0739130434782609</v>
      </c>
      <c r="T78">
        <v>1.0194444444444444</v>
      </c>
      <c r="U78">
        <v>1.2</v>
      </c>
    </row>
    <row r="79" spans="1:21" x14ac:dyDescent="0.35">
      <c r="A79">
        <v>339</v>
      </c>
      <c r="B79" s="16">
        <v>40179</v>
      </c>
      <c r="C79" s="15" t="s">
        <v>63</v>
      </c>
      <c r="D79" s="15" t="s">
        <v>38</v>
      </c>
      <c r="E79" s="15" t="s">
        <v>53</v>
      </c>
      <c r="F79" s="15" t="s">
        <v>52</v>
      </c>
      <c r="G79" s="15" t="s">
        <v>66</v>
      </c>
      <c r="H79" s="15" t="s">
        <v>45</v>
      </c>
      <c r="I79">
        <v>40</v>
      </c>
      <c r="J79">
        <v>60</v>
      </c>
      <c r="K79">
        <v>30</v>
      </c>
      <c r="L79">
        <v>100</v>
      </c>
      <c r="M79">
        <v>58</v>
      </c>
      <c r="N79">
        <v>338</v>
      </c>
      <c r="O79">
        <v>72</v>
      </c>
      <c r="P79">
        <v>22</v>
      </c>
      <c r="Q79">
        <v>17</v>
      </c>
      <c r="R79">
        <v>130</v>
      </c>
      <c r="S79">
        <v>1.3</v>
      </c>
      <c r="T79">
        <v>0.56666666666666665</v>
      </c>
      <c r="U79">
        <v>1.45</v>
      </c>
    </row>
    <row r="80" spans="1:21" x14ac:dyDescent="0.35">
      <c r="A80">
        <v>603</v>
      </c>
      <c r="B80" s="16">
        <v>40179</v>
      </c>
      <c r="C80" s="15" t="s">
        <v>63</v>
      </c>
      <c r="D80" s="15" t="s">
        <v>58</v>
      </c>
      <c r="E80" s="15" t="s">
        <v>55</v>
      </c>
      <c r="F80" s="15" t="s">
        <v>47</v>
      </c>
      <c r="G80" s="15" t="s">
        <v>68</v>
      </c>
      <c r="H80" s="15" t="s">
        <v>42</v>
      </c>
      <c r="I80">
        <v>10</v>
      </c>
      <c r="J80">
        <v>30</v>
      </c>
      <c r="K80">
        <v>20</v>
      </c>
      <c r="L80">
        <v>40</v>
      </c>
      <c r="M80">
        <v>18</v>
      </c>
      <c r="N80">
        <v>821</v>
      </c>
      <c r="O80">
        <v>27</v>
      </c>
      <c r="P80">
        <v>5</v>
      </c>
      <c r="Q80">
        <v>10</v>
      </c>
      <c r="R80">
        <v>45</v>
      </c>
      <c r="S80">
        <v>1.125</v>
      </c>
      <c r="T80">
        <v>0.5</v>
      </c>
      <c r="U80">
        <v>1.8</v>
      </c>
    </row>
    <row r="81" spans="1:21" x14ac:dyDescent="0.35">
      <c r="A81">
        <v>603</v>
      </c>
      <c r="B81" s="16">
        <v>40179</v>
      </c>
      <c r="C81" s="15" t="s">
        <v>63</v>
      </c>
      <c r="D81" s="15" t="s">
        <v>58</v>
      </c>
      <c r="E81" s="15" t="s">
        <v>46</v>
      </c>
      <c r="F81" s="15" t="s">
        <v>47</v>
      </c>
      <c r="G81" s="15" t="s">
        <v>68</v>
      </c>
      <c r="H81" s="15" t="s">
        <v>42</v>
      </c>
      <c r="I81">
        <v>10</v>
      </c>
      <c r="J81">
        <v>30</v>
      </c>
      <c r="K81">
        <v>20</v>
      </c>
      <c r="L81">
        <v>40</v>
      </c>
      <c r="M81">
        <v>17</v>
      </c>
      <c r="N81">
        <v>777</v>
      </c>
      <c r="O81">
        <v>26</v>
      </c>
      <c r="P81">
        <v>4</v>
      </c>
      <c r="Q81">
        <v>11</v>
      </c>
      <c r="R81">
        <v>43</v>
      </c>
      <c r="S81">
        <v>1.075</v>
      </c>
      <c r="T81">
        <v>0.55000000000000004</v>
      </c>
      <c r="U81">
        <v>1.7</v>
      </c>
    </row>
    <row r="82" spans="1:21" x14ac:dyDescent="0.35">
      <c r="A82">
        <v>603</v>
      </c>
      <c r="B82" s="16">
        <v>40179</v>
      </c>
      <c r="C82" s="15" t="s">
        <v>63</v>
      </c>
      <c r="D82" s="15" t="s">
        <v>58</v>
      </c>
      <c r="E82" s="15" t="s">
        <v>67</v>
      </c>
      <c r="F82" s="15" t="s">
        <v>49</v>
      </c>
      <c r="G82" s="15" t="s">
        <v>68</v>
      </c>
      <c r="H82" s="15" t="s">
        <v>42</v>
      </c>
      <c r="I82">
        <v>20</v>
      </c>
      <c r="J82">
        <v>40</v>
      </c>
      <c r="K82">
        <v>0</v>
      </c>
      <c r="L82">
        <v>60</v>
      </c>
      <c r="M82">
        <v>29</v>
      </c>
      <c r="N82">
        <v>169</v>
      </c>
      <c r="O82">
        <v>36</v>
      </c>
      <c r="P82">
        <v>11</v>
      </c>
      <c r="Q82">
        <v>-8</v>
      </c>
      <c r="R82">
        <v>65</v>
      </c>
      <c r="S82">
        <v>1.0833333333333333</v>
      </c>
      <c r="U82">
        <v>1.45</v>
      </c>
    </row>
    <row r="83" spans="1:21" x14ac:dyDescent="0.35">
      <c r="A83">
        <v>603</v>
      </c>
      <c r="B83" s="16">
        <v>40179</v>
      </c>
      <c r="C83" s="15" t="s">
        <v>63</v>
      </c>
      <c r="D83" s="15" t="s">
        <v>58</v>
      </c>
      <c r="E83" s="15" t="s">
        <v>48</v>
      </c>
      <c r="F83" s="15" t="s">
        <v>49</v>
      </c>
      <c r="G83" s="15" t="s">
        <v>68</v>
      </c>
      <c r="H83" s="15" t="s">
        <v>42</v>
      </c>
      <c r="I83">
        <v>30</v>
      </c>
      <c r="J83">
        <v>50</v>
      </c>
      <c r="K83">
        <v>0</v>
      </c>
      <c r="L83">
        <v>80</v>
      </c>
      <c r="M83">
        <v>37</v>
      </c>
      <c r="N83">
        <v>261</v>
      </c>
      <c r="O83">
        <v>53</v>
      </c>
      <c r="P83">
        <v>34</v>
      </c>
      <c r="Q83">
        <v>-10</v>
      </c>
      <c r="R83">
        <v>90</v>
      </c>
      <c r="S83">
        <v>1.125</v>
      </c>
      <c r="U83">
        <v>1.2333333333333334</v>
      </c>
    </row>
    <row r="84" spans="1:21" x14ac:dyDescent="0.35">
      <c r="A84">
        <v>603</v>
      </c>
      <c r="B84" s="16">
        <v>40179</v>
      </c>
      <c r="C84" s="15" t="s">
        <v>63</v>
      </c>
      <c r="D84" s="15" t="s">
        <v>58</v>
      </c>
      <c r="E84" s="15" t="s">
        <v>39</v>
      </c>
      <c r="F84" s="15" t="s">
        <v>40</v>
      </c>
      <c r="G84" s="15" t="s">
        <v>68</v>
      </c>
      <c r="H84" s="15" t="s">
        <v>42</v>
      </c>
      <c r="I84">
        <v>30</v>
      </c>
      <c r="J84">
        <v>50</v>
      </c>
      <c r="K84">
        <v>30</v>
      </c>
      <c r="L84">
        <v>80</v>
      </c>
      <c r="M84">
        <v>38</v>
      </c>
      <c r="N84">
        <v>241</v>
      </c>
      <c r="O84">
        <v>55</v>
      </c>
      <c r="P84">
        <v>12</v>
      </c>
      <c r="Q84">
        <v>20</v>
      </c>
      <c r="R84">
        <v>93</v>
      </c>
      <c r="S84">
        <v>1.1625000000000001</v>
      </c>
      <c r="T84">
        <v>0.66666666666666663</v>
      </c>
      <c r="U84">
        <v>1.2666666666666666</v>
      </c>
    </row>
    <row r="85" spans="1:21" x14ac:dyDescent="0.35">
      <c r="A85">
        <v>603</v>
      </c>
      <c r="B85" s="16">
        <v>40179</v>
      </c>
      <c r="C85" s="15" t="s">
        <v>63</v>
      </c>
      <c r="D85" s="15" t="s">
        <v>58</v>
      </c>
      <c r="E85" s="15" t="s">
        <v>43</v>
      </c>
      <c r="F85" s="15" t="s">
        <v>40</v>
      </c>
      <c r="G85" s="15" t="s">
        <v>68</v>
      </c>
      <c r="H85" s="15" t="s">
        <v>42</v>
      </c>
      <c r="I85">
        <v>40</v>
      </c>
      <c r="J85">
        <v>70</v>
      </c>
      <c r="K85">
        <v>40</v>
      </c>
      <c r="L85">
        <v>110</v>
      </c>
      <c r="M85">
        <v>48</v>
      </c>
      <c r="N85">
        <v>372</v>
      </c>
      <c r="O85">
        <v>72</v>
      </c>
      <c r="P85">
        <v>15</v>
      </c>
      <c r="Q85">
        <v>25</v>
      </c>
      <c r="R85">
        <v>120</v>
      </c>
      <c r="S85">
        <v>1.0909090909090908</v>
      </c>
      <c r="T85">
        <v>0.625</v>
      </c>
      <c r="U85">
        <v>1.2</v>
      </c>
    </row>
    <row r="86" spans="1:21" x14ac:dyDescent="0.35">
      <c r="A86">
        <v>603</v>
      </c>
      <c r="B86" s="16">
        <v>40179</v>
      </c>
      <c r="C86" s="15" t="s">
        <v>63</v>
      </c>
      <c r="D86" s="15" t="s">
        <v>58</v>
      </c>
      <c r="E86" s="15" t="s">
        <v>53</v>
      </c>
      <c r="F86" s="15" t="s">
        <v>52</v>
      </c>
      <c r="G86" s="15" t="s">
        <v>68</v>
      </c>
      <c r="H86" s="15" t="s">
        <v>45</v>
      </c>
      <c r="I86">
        <v>20</v>
      </c>
      <c r="J86">
        <v>30</v>
      </c>
      <c r="K86">
        <v>0</v>
      </c>
      <c r="L86">
        <v>50</v>
      </c>
      <c r="M86">
        <v>34</v>
      </c>
      <c r="N86">
        <v>197</v>
      </c>
      <c r="O86">
        <v>42</v>
      </c>
      <c r="P86">
        <v>12</v>
      </c>
      <c r="Q86">
        <v>-4</v>
      </c>
      <c r="R86">
        <v>76</v>
      </c>
      <c r="S86">
        <v>1.52</v>
      </c>
      <c r="U86">
        <v>1.7</v>
      </c>
    </row>
    <row r="87" spans="1:21" x14ac:dyDescent="0.35">
      <c r="A87">
        <v>347</v>
      </c>
      <c r="B87" s="16">
        <v>40179</v>
      </c>
      <c r="C87" s="15" t="s">
        <v>63</v>
      </c>
      <c r="D87" s="15" t="s">
        <v>38</v>
      </c>
      <c r="E87" s="15" t="s">
        <v>55</v>
      </c>
      <c r="F87" s="15" t="s">
        <v>47</v>
      </c>
      <c r="G87" s="15" t="s">
        <v>69</v>
      </c>
      <c r="H87" s="15" t="s">
        <v>42</v>
      </c>
      <c r="I87">
        <v>100</v>
      </c>
      <c r="J87">
        <v>150</v>
      </c>
      <c r="K87">
        <v>120</v>
      </c>
      <c r="L87">
        <v>250</v>
      </c>
      <c r="M87">
        <v>95</v>
      </c>
      <c r="N87">
        <v>821</v>
      </c>
      <c r="O87">
        <v>139</v>
      </c>
      <c r="P87">
        <v>26</v>
      </c>
      <c r="Q87">
        <v>101</v>
      </c>
      <c r="R87">
        <v>234</v>
      </c>
      <c r="S87">
        <v>0.93600000000000005</v>
      </c>
      <c r="T87">
        <v>0.84166666666666667</v>
      </c>
      <c r="U87">
        <v>0.95</v>
      </c>
    </row>
    <row r="88" spans="1:21" x14ac:dyDescent="0.35">
      <c r="A88">
        <v>646</v>
      </c>
      <c r="B88" s="16">
        <v>40179</v>
      </c>
      <c r="C88" s="15" t="s">
        <v>63</v>
      </c>
      <c r="D88" s="15" t="s">
        <v>38</v>
      </c>
      <c r="E88" s="15" t="s">
        <v>56</v>
      </c>
      <c r="F88" s="15" t="s">
        <v>47</v>
      </c>
      <c r="G88" s="15" t="s">
        <v>69</v>
      </c>
      <c r="H88" s="15" t="s">
        <v>42</v>
      </c>
      <c r="I88">
        <v>90</v>
      </c>
      <c r="J88">
        <v>140</v>
      </c>
      <c r="K88">
        <v>110</v>
      </c>
      <c r="L88">
        <v>230</v>
      </c>
      <c r="M88">
        <v>89</v>
      </c>
      <c r="N88">
        <v>777</v>
      </c>
      <c r="O88">
        <v>130</v>
      </c>
      <c r="P88">
        <v>24</v>
      </c>
      <c r="Q88">
        <v>94</v>
      </c>
      <c r="R88">
        <v>219</v>
      </c>
      <c r="S88">
        <v>0.95217391304347831</v>
      </c>
      <c r="T88">
        <v>0.8545454545454545</v>
      </c>
      <c r="U88">
        <v>0.98888888888888893</v>
      </c>
    </row>
    <row r="89" spans="1:21" x14ac:dyDescent="0.35">
      <c r="A89">
        <v>347</v>
      </c>
      <c r="B89" s="16">
        <v>40179</v>
      </c>
      <c r="C89" s="15" t="s">
        <v>63</v>
      </c>
      <c r="D89" s="15" t="s">
        <v>38</v>
      </c>
      <c r="E89" s="15" t="s">
        <v>46</v>
      </c>
      <c r="F89" s="15" t="s">
        <v>47</v>
      </c>
      <c r="G89" s="15" t="s">
        <v>69</v>
      </c>
      <c r="H89" s="15" t="s">
        <v>42</v>
      </c>
      <c r="I89">
        <v>50</v>
      </c>
      <c r="J89">
        <v>90</v>
      </c>
      <c r="K89">
        <v>70</v>
      </c>
      <c r="L89">
        <v>140</v>
      </c>
      <c r="M89">
        <v>54</v>
      </c>
      <c r="N89">
        <v>456</v>
      </c>
      <c r="O89">
        <v>80</v>
      </c>
      <c r="P89">
        <v>15</v>
      </c>
      <c r="Q89">
        <v>54</v>
      </c>
      <c r="R89">
        <v>134</v>
      </c>
      <c r="S89">
        <v>0.95714285714285718</v>
      </c>
      <c r="T89">
        <v>0.77142857142857146</v>
      </c>
      <c r="U89">
        <v>1.08</v>
      </c>
    </row>
    <row r="90" spans="1:21" x14ac:dyDescent="0.35">
      <c r="A90">
        <v>631</v>
      </c>
      <c r="B90" s="16">
        <v>40179</v>
      </c>
      <c r="C90" s="15" t="s">
        <v>63</v>
      </c>
      <c r="D90" s="15" t="s">
        <v>38</v>
      </c>
      <c r="E90" s="15" t="s">
        <v>67</v>
      </c>
      <c r="F90" s="15" t="s">
        <v>49</v>
      </c>
      <c r="G90" s="15" t="s">
        <v>69</v>
      </c>
      <c r="H90" s="15" t="s">
        <v>42</v>
      </c>
      <c r="I90">
        <v>210</v>
      </c>
      <c r="J90">
        <v>270</v>
      </c>
      <c r="K90">
        <v>200</v>
      </c>
      <c r="L90">
        <v>480</v>
      </c>
      <c r="M90">
        <v>228</v>
      </c>
      <c r="N90">
        <v>1459</v>
      </c>
      <c r="O90">
        <v>262</v>
      </c>
      <c r="P90">
        <v>63</v>
      </c>
      <c r="Q90">
        <v>175</v>
      </c>
      <c r="R90">
        <v>490</v>
      </c>
      <c r="S90">
        <v>1.0208333333333333</v>
      </c>
      <c r="T90">
        <v>0.875</v>
      </c>
      <c r="U90">
        <v>1.0857142857142856</v>
      </c>
    </row>
    <row r="91" spans="1:21" x14ac:dyDescent="0.35">
      <c r="A91">
        <v>315</v>
      </c>
      <c r="B91" s="16">
        <v>40179</v>
      </c>
      <c r="C91" s="15" t="s">
        <v>63</v>
      </c>
      <c r="D91" s="15" t="s">
        <v>38</v>
      </c>
      <c r="E91" s="15" t="s">
        <v>48</v>
      </c>
      <c r="F91" s="15" t="s">
        <v>49</v>
      </c>
      <c r="G91" s="15" t="s">
        <v>69</v>
      </c>
      <c r="H91" s="15" t="s">
        <v>42</v>
      </c>
      <c r="I91">
        <v>100</v>
      </c>
      <c r="J91">
        <v>-50</v>
      </c>
      <c r="K91">
        <v>-170</v>
      </c>
      <c r="L91">
        <v>50</v>
      </c>
      <c r="M91">
        <v>105</v>
      </c>
      <c r="N91">
        <v>725</v>
      </c>
      <c r="O91">
        <v>-44</v>
      </c>
      <c r="P91">
        <v>95</v>
      </c>
      <c r="Q91">
        <v>-172</v>
      </c>
      <c r="R91">
        <v>61</v>
      </c>
      <c r="S91">
        <v>1.22</v>
      </c>
      <c r="T91">
        <v>1.0117647058823529</v>
      </c>
      <c r="U91">
        <v>1.05</v>
      </c>
    </row>
    <row r="92" spans="1:21" x14ac:dyDescent="0.35">
      <c r="A92">
        <v>716</v>
      </c>
      <c r="B92" s="16">
        <v>40179</v>
      </c>
      <c r="C92" s="15" t="s">
        <v>63</v>
      </c>
      <c r="D92" s="15" t="s">
        <v>38</v>
      </c>
      <c r="E92" s="15" t="s">
        <v>43</v>
      </c>
      <c r="F92" s="15" t="s">
        <v>40</v>
      </c>
      <c r="G92" s="15" t="s">
        <v>69</v>
      </c>
      <c r="H92" s="15" t="s">
        <v>42</v>
      </c>
      <c r="I92">
        <v>260</v>
      </c>
      <c r="J92">
        <v>380</v>
      </c>
      <c r="K92">
        <v>260</v>
      </c>
      <c r="L92">
        <v>640</v>
      </c>
      <c r="M92">
        <v>271</v>
      </c>
      <c r="N92">
        <v>2101</v>
      </c>
      <c r="O92">
        <v>407</v>
      </c>
      <c r="P92">
        <v>94</v>
      </c>
      <c r="Q92">
        <v>262</v>
      </c>
      <c r="R92">
        <v>678</v>
      </c>
      <c r="S92">
        <v>1.059375</v>
      </c>
      <c r="T92">
        <v>1.0076923076923077</v>
      </c>
      <c r="U92">
        <v>1.0423076923076924</v>
      </c>
    </row>
    <row r="93" spans="1:21" x14ac:dyDescent="0.35">
      <c r="A93">
        <v>607</v>
      </c>
      <c r="B93" s="16">
        <v>40179</v>
      </c>
      <c r="C93" s="15" t="s">
        <v>63</v>
      </c>
      <c r="D93" s="15" t="s">
        <v>38</v>
      </c>
      <c r="E93" s="15" t="s">
        <v>53</v>
      </c>
      <c r="F93" s="15" t="s">
        <v>52</v>
      </c>
      <c r="G93" s="15" t="s">
        <v>69</v>
      </c>
      <c r="H93" s="15" t="s">
        <v>45</v>
      </c>
      <c r="I93">
        <v>180</v>
      </c>
      <c r="J93">
        <v>190</v>
      </c>
      <c r="K93">
        <v>100</v>
      </c>
      <c r="L93">
        <v>370</v>
      </c>
      <c r="M93">
        <v>245</v>
      </c>
      <c r="N93">
        <v>1419</v>
      </c>
      <c r="O93">
        <v>238</v>
      </c>
      <c r="P93">
        <v>93</v>
      </c>
      <c r="Q93">
        <v>111</v>
      </c>
      <c r="R93">
        <v>483</v>
      </c>
      <c r="S93">
        <v>1.3054054054054054</v>
      </c>
      <c r="T93">
        <v>1.1100000000000001</v>
      </c>
      <c r="U93">
        <v>1.3611111111111112</v>
      </c>
    </row>
    <row r="94" spans="1:21" x14ac:dyDescent="0.35">
      <c r="A94">
        <v>845</v>
      </c>
      <c r="B94" s="16">
        <v>40179</v>
      </c>
      <c r="C94" s="15" t="s">
        <v>63</v>
      </c>
      <c r="D94" s="15" t="s">
        <v>38</v>
      </c>
      <c r="E94" s="15" t="s">
        <v>54</v>
      </c>
      <c r="F94" s="15" t="s">
        <v>52</v>
      </c>
      <c r="G94" s="15" t="s">
        <v>69</v>
      </c>
      <c r="H94" s="15" t="s">
        <v>45</v>
      </c>
      <c r="I94">
        <v>150</v>
      </c>
      <c r="J94">
        <v>-10</v>
      </c>
      <c r="K94">
        <v>-70</v>
      </c>
      <c r="L94">
        <v>140</v>
      </c>
      <c r="M94">
        <v>207</v>
      </c>
      <c r="N94">
        <v>965</v>
      </c>
      <c r="O94">
        <v>-27</v>
      </c>
      <c r="P94">
        <v>64</v>
      </c>
      <c r="Q94">
        <v>-113</v>
      </c>
      <c r="R94">
        <v>180</v>
      </c>
      <c r="S94">
        <v>1.2857142857142858</v>
      </c>
      <c r="T94">
        <v>1.6142857142857143</v>
      </c>
      <c r="U94">
        <v>1.38</v>
      </c>
    </row>
    <row r="95" spans="1:21" x14ac:dyDescent="0.35">
      <c r="A95">
        <v>337</v>
      </c>
      <c r="B95" s="16">
        <v>40179</v>
      </c>
      <c r="C95" s="15" t="s">
        <v>70</v>
      </c>
      <c r="D95" s="15" t="s">
        <v>58</v>
      </c>
      <c r="E95" s="15" t="s">
        <v>48</v>
      </c>
      <c r="F95" s="15" t="s">
        <v>49</v>
      </c>
      <c r="G95" s="15" t="s">
        <v>71</v>
      </c>
      <c r="H95" s="15" t="s">
        <v>42</v>
      </c>
      <c r="I95">
        <v>50</v>
      </c>
      <c r="J95">
        <v>100</v>
      </c>
      <c r="K95">
        <v>80</v>
      </c>
      <c r="L95">
        <v>150</v>
      </c>
      <c r="M95">
        <v>67</v>
      </c>
      <c r="N95">
        <v>400</v>
      </c>
      <c r="O95">
        <v>113</v>
      </c>
      <c r="P95">
        <v>20</v>
      </c>
      <c r="Q95">
        <v>70</v>
      </c>
      <c r="R95">
        <v>180</v>
      </c>
      <c r="S95">
        <v>1.2</v>
      </c>
      <c r="T95">
        <v>0.875</v>
      </c>
      <c r="U95">
        <v>1.34</v>
      </c>
    </row>
    <row r="96" spans="1:21" x14ac:dyDescent="0.35">
      <c r="A96">
        <v>337</v>
      </c>
      <c r="B96" s="16">
        <v>40179</v>
      </c>
      <c r="C96" s="15" t="s">
        <v>70</v>
      </c>
      <c r="D96" s="15" t="s">
        <v>58</v>
      </c>
      <c r="E96" s="15" t="s">
        <v>50</v>
      </c>
      <c r="F96" s="15" t="s">
        <v>49</v>
      </c>
      <c r="G96" s="15" t="s">
        <v>71</v>
      </c>
      <c r="H96" s="15" t="s">
        <v>45</v>
      </c>
      <c r="I96">
        <v>50</v>
      </c>
      <c r="J96">
        <v>70</v>
      </c>
      <c r="K96">
        <v>50</v>
      </c>
      <c r="L96">
        <v>120</v>
      </c>
      <c r="M96">
        <v>61</v>
      </c>
      <c r="N96">
        <v>390</v>
      </c>
      <c r="O96">
        <v>89</v>
      </c>
      <c r="P96">
        <v>19</v>
      </c>
      <c r="Q96">
        <v>48</v>
      </c>
      <c r="R96">
        <v>150</v>
      </c>
      <c r="S96">
        <v>1.25</v>
      </c>
      <c r="T96">
        <v>0.96</v>
      </c>
      <c r="U96">
        <v>1.22</v>
      </c>
    </row>
    <row r="97" spans="1:21" x14ac:dyDescent="0.35">
      <c r="A97">
        <v>337</v>
      </c>
      <c r="B97" s="16">
        <v>40179</v>
      </c>
      <c r="C97" s="15" t="s">
        <v>70</v>
      </c>
      <c r="D97" s="15" t="s">
        <v>58</v>
      </c>
      <c r="E97" s="15" t="s">
        <v>51</v>
      </c>
      <c r="F97" s="15" t="s">
        <v>52</v>
      </c>
      <c r="G97" s="15" t="s">
        <v>71</v>
      </c>
      <c r="H97" s="15" t="s">
        <v>45</v>
      </c>
      <c r="I97">
        <v>40</v>
      </c>
      <c r="J97">
        <v>60</v>
      </c>
      <c r="K97">
        <v>40</v>
      </c>
      <c r="L97">
        <v>100</v>
      </c>
      <c r="M97">
        <v>49</v>
      </c>
      <c r="N97">
        <v>623</v>
      </c>
      <c r="O97">
        <v>63</v>
      </c>
      <c r="P97">
        <v>16</v>
      </c>
      <c r="Q97">
        <v>35</v>
      </c>
      <c r="R97">
        <v>112</v>
      </c>
      <c r="S97">
        <v>1.1200000000000001</v>
      </c>
      <c r="T97">
        <v>0.875</v>
      </c>
      <c r="U97">
        <v>1.2250000000000001</v>
      </c>
    </row>
    <row r="98" spans="1:21" x14ac:dyDescent="0.35">
      <c r="A98">
        <v>504</v>
      </c>
      <c r="B98" s="16">
        <v>40179</v>
      </c>
      <c r="C98" s="15" t="s">
        <v>70</v>
      </c>
      <c r="D98" s="15" t="s">
        <v>58</v>
      </c>
      <c r="E98" s="15" t="s">
        <v>53</v>
      </c>
      <c r="F98" s="15" t="s">
        <v>52</v>
      </c>
      <c r="G98" s="15" t="s">
        <v>71</v>
      </c>
      <c r="H98" s="15" t="s">
        <v>45</v>
      </c>
      <c r="I98">
        <v>80</v>
      </c>
      <c r="J98">
        <v>100</v>
      </c>
      <c r="K98">
        <v>40</v>
      </c>
      <c r="L98">
        <v>180</v>
      </c>
      <c r="M98">
        <v>85</v>
      </c>
      <c r="N98">
        <v>494</v>
      </c>
      <c r="O98">
        <v>105</v>
      </c>
      <c r="P98">
        <v>32</v>
      </c>
      <c r="Q98">
        <v>40</v>
      </c>
      <c r="R98">
        <v>190</v>
      </c>
      <c r="S98">
        <v>1.0555555555555556</v>
      </c>
      <c r="T98">
        <v>1</v>
      </c>
      <c r="U98">
        <v>1.0625</v>
      </c>
    </row>
    <row r="99" spans="1:21" x14ac:dyDescent="0.35">
      <c r="A99">
        <v>504</v>
      </c>
      <c r="B99" s="16">
        <v>40179</v>
      </c>
      <c r="C99" s="15" t="s">
        <v>70</v>
      </c>
      <c r="D99" s="15" t="s">
        <v>58</v>
      </c>
      <c r="E99" s="15" t="s">
        <v>72</v>
      </c>
      <c r="F99" s="15" t="s">
        <v>49</v>
      </c>
      <c r="G99" s="15" t="s">
        <v>71</v>
      </c>
      <c r="H99" s="15" t="s">
        <v>42</v>
      </c>
      <c r="I99">
        <v>60</v>
      </c>
      <c r="J99">
        <v>90</v>
      </c>
      <c r="K99">
        <v>10</v>
      </c>
      <c r="L99">
        <v>150</v>
      </c>
      <c r="M99">
        <v>75</v>
      </c>
      <c r="N99">
        <v>522</v>
      </c>
      <c r="O99">
        <v>105</v>
      </c>
      <c r="P99">
        <v>68</v>
      </c>
      <c r="Q99">
        <v>8</v>
      </c>
      <c r="R99">
        <v>180</v>
      </c>
      <c r="S99">
        <v>1.2</v>
      </c>
      <c r="T99">
        <v>0.8</v>
      </c>
      <c r="U99">
        <v>1.25</v>
      </c>
    </row>
    <row r="100" spans="1:21" x14ac:dyDescent="0.35">
      <c r="A100">
        <v>225</v>
      </c>
      <c r="B100" s="16">
        <v>40179</v>
      </c>
      <c r="C100" s="15" t="s">
        <v>70</v>
      </c>
      <c r="D100" s="15" t="s">
        <v>58</v>
      </c>
      <c r="E100" s="15" t="s">
        <v>43</v>
      </c>
      <c r="F100" s="15" t="s">
        <v>40</v>
      </c>
      <c r="G100" s="15" t="s">
        <v>71</v>
      </c>
      <c r="H100" s="15" t="s">
        <v>42</v>
      </c>
      <c r="I100">
        <v>40</v>
      </c>
      <c r="J100">
        <v>60</v>
      </c>
      <c r="K100">
        <v>50</v>
      </c>
      <c r="L100">
        <v>100</v>
      </c>
      <c r="M100">
        <v>34</v>
      </c>
      <c r="N100">
        <v>777</v>
      </c>
      <c r="O100">
        <v>51</v>
      </c>
      <c r="P100">
        <v>9</v>
      </c>
      <c r="Q100">
        <v>30</v>
      </c>
      <c r="R100">
        <v>85</v>
      </c>
      <c r="S100">
        <v>0.85</v>
      </c>
      <c r="T100">
        <v>0.6</v>
      </c>
      <c r="U100">
        <v>0.85</v>
      </c>
    </row>
    <row r="101" spans="1:21" x14ac:dyDescent="0.35">
      <c r="A101">
        <v>985</v>
      </c>
      <c r="B101" s="16">
        <v>40179</v>
      </c>
      <c r="C101" s="15" t="s">
        <v>70</v>
      </c>
      <c r="D101" s="15" t="s">
        <v>58</v>
      </c>
      <c r="E101" s="15" t="s">
        <v>44</v>
      </c>
      <c r="F101" s="15" t="s">
        <v>40</v>
      </c>
      <c r="G101" s="15" t="s">
        <v>71</v>
      </c>
      <c r="H101" s="15" t="s">
        <v>45</v>
      </c>
      <c r="I101">
        <v>40</v>
      </c>
      <c r="J101">
        <v>60</v>
      </c>
      <c r="K101">
        <v>50</v>
      </c>
      <c r="L101">
        <v>100</v>
      </c>
      <c r="M101">
        <v>33</v>
      </c>
      <c r="N101">
        <v>777</v>
      </c>
      <c r="O101">
        <v>48</v>
      </c>
      <c r="P101">
        <v>9</v>
      </c>
      <c r="Q101">
        <v>28</v>
      </c>
      <c r="R101">
        <v>81</v>
      </c>
      <c r="S101">
        <v>0.81</v>
      </c>
      <c r="T101">
        <v>0.56000000000000005</v>
      </c>
      <c r="U101">
        <v>0.82499999999999996</v>
      </c>
    </row>
    <row r="102" spans="1:21" x14ac:dyDescent="0.35">
      <c r="A102">
        <v>505</v>
      </c>
      <c r="B102" s="16">
        <v>40179</v>
      </c>
      <c r="C102" s="15" t="s">
        <v>70</v>
      </c>
      <c r="D102" s="15" t="s">
        <v>58</v>
      </c>
      <c r="E102" s="15" t="s">
        <v>48</v>
      </c>
      <c r="F102" s="15" t="s">
        <v>49</v>
      </c>
      <c r="G102" s="15" t="s">
        <v>73</v>
      </c>
      <c r="H102" s="15" t="s">
        <v>42</v>
      </c>
      <c r="I102">
        <v>30</v>
      </c>
      <c r="J102">
        <v>40</v>
      </c>
      <c r="K102">
        <v>-10</v>
      </c>
      <c r="L102">
        <v>70</v>
      </c>
      <c r="M102">
        <v>37</v>
      </c>
      <c r="N102">
        <v>261</v>
      </c>
      <c r="O102">
        <v>53</v>
      </c>
      <c r="P102">
        <v>34</v>
      </c>
      <c r="Q102">
        <v>-10</v>
      </c>
      <c r="R102">
        <v>90</v>
      </c>
      <c r="S102">
        <v>1.2857142857142858</v>
      </c>
      <c r="T102">
        <v>1</v>
      </c>
      <c r="U102">
        <v>1.2333333333333334</v>
      </c>
    </row>
    <row r="103" spans="1:21" x14ac:dyDescent="0.35">
      <c r="A103">
        <v>505</v>
      </c>
      <c r="B103" s="16">
        <v>40179</v>
      </c>
      <c r="C103" s="15" t="s">
        <v>70</v>
      </c>
      <c r="D103" s="15" t="s">
        <v>58</v>
      </c>
      <c r="E103" s="15" t="s">
        <v>50</v>
      </c>
      <c r="F103" s="15" t="s">
        <v>49</v>
      </c>
      <c r="G103" s="15" t="s">
        <v>73</v>
      </c>
      <c r="H103" s="15" t="s">
        <v>45</v>
      </c>
      <c r="I103">
        <v>30</v>
      </c>
      <c r="J103">
        <v>40</v>
      </c>
      <c r="K103">
        <v>10</v>
      </c>
      <c r="L103">
        <v>70</v>
      </c>
      <c r="M103">
        <v>35</v>
      </c>
      <c r="N103">
        <v>196</v>
      </c>
      <c r="O103">
        <v>47</v>
      </c>
      <c r="P103">
        <v>11</v>
      </c>
      <c r="Q103">
        <v>9</v>
      </c>
      <c r="R103">
        <v>82</v>
      </c>
      <c r="S103">
        <v>1.1714285714285715</v>
      </c>
      <c r="T103">
        <v>0.9</v>
      </c>
      <c r="U103">
        <v>1.1666666666666667</v>
      </c>
    </row>
    <row r="104" spans="1:21" x14ac:dyDescent="0.35">
      <c r="A104">
        <v>505</v>
      </c>
      <c r="B104" s="16">
        <v>40179</v>
      </c>
      <c r="C104" s="15" t="s">
        <v>70</v>
      </c>
      <c r="D104" s="15" t="s">
        <v>58</v>
      </c>
      <c r="E104" s="15" t="s">
        <v>51</v>
      </c>
      <c r="F104" s="15" t="s">
        <v>52</v>
      </c>
      <c r="G104" s="15" t="s">
        <v>73</v>
      </c>
      <c r="H104" s="15" t="s">
        <v>45</v>
      </c>
      <c r="I104">
        <v>10</v>
      </c>
      <c r="J104">
        <v>30</v>
      </c>
      <c r="K104">
        <v>20</v>
      </c>
      <c r="L104">
        <v>40</v>
      </c>
      <c r="M104">
        <v>18</v>
      </c>
      <c r="N104">
        <v>821</v>
      </c>
      <c r="O104">
        <v>27</v>
      </c>
      <c r="P104">
        <v>5</v>
      </c>
      <c r="Q104">
        <v>11</v>
      </c>
      <c r="R104">
        <v>45</v>
      </c>
      <c r="S104">
        <v>1.125</v>
      </c>
      <c r="T104">
        <v>0.55000000000000004</v>
      </c>
      <c r="U104">
        <v>1.8</v>
      </c>
    </row>
    <row r="105" spans="1:21" x14ac:dyDescent="0.35">
      <c r="A105">
        <v>505</v>
      </c>
      <c r="B105" s="16">
        <v>40179</v>
      </c>
      <c r="C105" s="15" t="s">
        <v>70</v>
      </c>
      <c r="D105" s="15" t="s">
        <v>58</v>
      </c>
      <c r="E105" s="15" t="s">
        <v>53</v>
      </c>
      <c r="F105" s="15" t="s">
        <v>52</v>
      </c>
      <c r="G105" s="15" t="s">
        <v>73</v>
      </c>
      <c r="H105" s="15" t="s">
        <v>45</v>
      </c>
      <c r="I105">
        <v>20</v>
      </c>
      <c r="J105">
        <v>40</v>
      </c>
      <c r="K105">
        <v>20</v>
      </c>
      <c r="L105">
        <v>60</v>
      </c>
      <c r="M105">
        <v>28</v>
      </c>
      <c r="N105">
        <v>965</v>
      </c>
      <c r="O105">
        <v>34</v>
      </c>
      <c r="P105">
        <v>8</v>
      </c>
      <c r="Q105">
        <v>4</v>
      </c>
      <c r="R105">
        <v>62</v>
      </c>
      <c r="S105">
        <v>1.0333333333333334</v>
      </c>
      <c r="T105">
        <v>0.2</v>
      </c>
      <c r="U105">
        <v>1.4</v>
      </c>
    </row>
    <row r="106" spans="1:21" x14ac:dyDescent="0.35">
      <c r="A106">
        <v>505</v>
      </c>
      <c r="B106" s="16">
        <v>40179</v>
      </c>
      <c r="C106" s="15" t="s">
        <v>70</v>
      </c>
      <c r="D106" s="15" t="s">
        <v>58</v>
      </c>
      <c r="E106" s="15" t="s">
        <v>72</v>
      </c>
      <c r="F106" s="15" t="s">
        <v>49</v>
      </c>
      <c r="G106" s="15" t="s">
        <v>73</v>
      </c>
      <c r="H106" s="15" t="s">
        <v>42</v>
      </c>
      <c r="I106">
        <v>20</v>
      </c>
      <c r="J106">
        <v>30</v>
      </c>
      <c r="K106">
        <v>0</v>
      </c>
      <c r="L106">
        <v>50</v>
      </c>
      <c r="M106">
        <v>29</v>
      </c>
      <c r="N106">
        <v>169</v>
      </c>
      <c r="O106">
        <v>36</v>
      </c>
      <c r="P106">
        <v>11</v>
      </c>
      <c r="Q106">
        <v>-8</v>
      </c>
      <c r="R106">
        <v>65</v>
      </c>
      <c r="S106">
        <v>1.3</v>
      </c>
      <c r="U106">
        <v>1.45</v>
      </c>
    </row>
    <row r="107" spans="1:21" x14ac:dyDescent="0.35">
      <c r="A107">
        <v>505</v>
      </c>
      <c r="B107" s="16">
        <v>40179</v>
      </c>
      <c r="C107" s="15" t="s">
        <v>70</v>
      </c>
      <c r="D107" s="15" t="s">
        <v>58</v>
      </c>
      <c r="E107" s="15" t="s">
        <v>43</v>
      </c>
      <c r="F107" s="15" t="s">
        <v>40</v>
      </c>
      <c r="G107" s="15" t="s">
        <v>73</v>
      </c>
      <c r="H107" s="15" t="s">
        <v>42</v>
      </c>
      <c r="I107">
        <v>60</v>
      </c>
      <c r="J107">
        <v>90</v>
      </c>
      <c r="K107">
        <v>50</v>
      </c>
      <c r="L107">
        <v>150</v>
      </c>
      <c r="M107">
        <v>48</v>
      </c>
      <c r="N107">
        <v>372</v>
      </c>
      <c r="O107">
        <v>72</v>
      </c>
      <c r="P107">
        <v>15</v>
      </c>
      <c r="Q107">
        <v>26</v>
      </c>
      <c r="R107">
        <v>120</v>
      </c>
      <c r="S107">
        <v>0.8</v>
      </c>
      <c r="T107">
        <v>0.52</v>
      </c>
      <c r="U107">
        <v>0.8</v>
      </c>
    </row>
    <row r="108" spans="1:21" x14ac:dyDescent="0.35">
      <c r="A108">
        <v>505</v>
      </c>
      <c r="B108" s="16">
        <v>40179</v>
      </c>
      <c r="C108" s="15" t="s">
        <v>70</v>
      </c>
      <c r="D108" s="15" t="s">
        <v>58</v>
      </c>
      <c r="E108" s="15" t="s">
        <v>44</v>
      </c>
      <c r="F108" s="15" t="s">
        <v>40</v>
      </c>
      <c r="G108" s="15" t="s">
        <v>73</v>
      </c>
      <c r="H108" s="15" t="s">
        <v>45</v>
      </c>
      <c r="I108">
        <v>110</v>
      </c>
      <c r="J108">
        <v>10</v>
      </c>
      <c r="K108">
        <v>-30</v>
      </c>
      <c r="L108">
        <v>120</v>
      </c>
      <c r="M108">
        <v>88</v>
      </c>
      <c r="N108">
        <v>525</v>
      </c>
      <c r="O108">
        <v>11</v>
      </c>
      <c r="P108">
        <v>27</v>
      </c>
      <c r="Q108">
        <v>-39</v>
      </c>
      <c r="R108">
        <v>99</v>
      </c>
      <c r="S108">
        <v>0.82499999999999996</v>
      </c>
      <c r="T108">
        <v>1.3</v>
      </c>
      <c r="U108">
        <v>0.8</v>
      </c>
    </row>
    <row r="109" spans="1:21" x14ac:dyDescent="0.35">
      <c r="A109">
        <v>405</v>
      </c>
      <c r="B109" s="16">
        <v>40179</v>
      </c>
      <c r="C109" s="15" t="s">
        <v>70</v>
      </c>
      <c r="D109" s="15" t="s">
        <v>58</v>
      </c>
      <c r="E109" s="15" t="s">
        <v>48</v>
      </c>
      <c r="F109" s="15" t="s">
        <v>49</v>
      </c>
      <c r="G109" s="15" t="s">
        <v>74</v>
      </c>
      <c r="H109" s="15" t="s">
        <v>42</v>
      </c>
      <c r="I109">
        <v>20</v>
      </c>
      <c r="J109">
        <v>40</v>
      </c>
      <c r="K109">
        <v>40</v>
      </c>
      <c r="L109">
        <v>60</v>
      </c>
      <c r="M109">
        <v>32</v>
      </c>
      <c r="N109">
        <v>456</v>
      </c>
      <c r="O109">
        <v>48</v>
      </c>
      <c r="P109">
        <v>8</v>
      </c>
      <c r="Q109">
        <v>28</v>
      </c>
      <c r="R109">
        <v>80</v>
      </c>
      <c r="S109">
        <v>1.3333333333333333</v>
      </c>
      <c r="T109">
        <v>0.7</v>
      </c>
      <c r="U109">
        <v>1.6</v>
      </c>
    </row>
    <row r="110" spans="1:21" x14ac:dyDescent="0.35">
      <c r="A110">
        <v>405</v>
      </c>
      <c r="B110" s="16">
        <v>40179</v>
      </c>
      <c r="C110" s="15" t="s">
        <v>70</v>
      </c>
      <c r="D110" s="15" t="s">
        <v>58</v>
      </c>
      <c r="E110" s="15" t="s">
        <v>50</v>
      </c>
      <c r="F110" s="15" t="s">
        <v>49</v>
      </c>
      <c r="G110" s="15" t="s">
        <v>74</v>
      </c>
      <c r="H110" s="15" t="s">
        <v>45</v>
      </c>
      <c r="I110">
        <v>70</v>
      </c>
      <c r="J110">
        <v>110</v>
      </c>
      <c r="K110">
        <v>70</v>
      </c>
      <c r="L110">
        <v>180</v>
      </c>
      <c r="M110">
        <v>84</v>
      </c>
      <c r="N110">
        <v>651</v>
      </c>
      <c r="O110">
        <v>126</v>
      </c>
      <c r="P110">
        <v>27</v>
      </c>
      <c r="Q110">
        <v>67</v>
      </c>
      <c r="R110">
        <v>210</v>
      </c>
      <c r="S110">
        <v>1.1666666666666667</v>
      </c>
      <c r="T110">
        <v>0.95714285714285718</v>
      </c>
      <c r="U110">
        <v>1.2</v>
      </c>
    </row>
    <row r="111" spans="1:21" x14ac:dyDescent="0.35">
      <c r="A111">
        <v>918</v>
      </c>
      <c r="B111" s="16">
        <v>40179</v>
      </c>
      <c r="C111" s="15" t="s">
        <v>70</v>
      </c>
      <c r="D111" s="15" t="s">
        <v>58</v>
      </c>
      <c r="E111" s="15" t="s">
        <v>51</v>
      </c>
      <c r="F111" s="15" t="s">
        <v>52</v>
      </c>
      <c r="G111" s="15" t="s">
        <v>74</v>
      </c>
      <c r="H111" s="15" t="s">
        <v>45</v>
      </c>
      <c r="I111">
        <v>50</v>
      </c>
      <c r="J111">
        <v>60</v>
      </c>
      <c r="K111">
        <v>20</v>
      </c>
      <c r="L111">
        <v>110</v>
      </c>
      <c r="M111">
        <v>54</v>
      </c>
      <c r="N111">
        <v>312</v>
      </c>
      <c r="O111">
        <v>66</v>
      </c>
      <c r="P111">
        <v>20</v>
      </c>
      <c r="Q111">
        <v>13</v>
      </c>
      <c r="R111">
        <v>120</v>
      </c>
      <c r="S111">
        <v>1.0909090909090908</v>
      </c>
      <c r="T111">
        <v>0.65</v>
      </c>
      <c r="U111">
        <v>1.08</v>
      </c>
    </row>
    <row r="112" spans="1:21" x14ac:dyDescent="0.35">
      <c r="A112">
        <v>580</v>
      </c>
      <c r="B112" s="16">
        <v>40179</v>
      </c>
      <c r="C112" s="15" t="s">
        <v>70</v>
      </c>
      <c r="D112" s="15" t="s">
        <v>58</v>
      </c>
      <c r="E112" s="15" t="s">
        <v>53</v>
      </c>
      <c r="F112" s="15" t="s">
        <v>52</v>
      </c>
      <c r="G112" s="15" t="s">
        <v>74</v>
      </c>
      <c r="H112" s="15" t="s">
        <v>45</v>
      </c>
      <c r="I112">
        <v>70</v>
      </c>
      <c r="J112">
        <v>110</v>
      </c>
      <c r="K112">
        <v>30</v>
      </c>
      <c r="L112">
        <v>180</v>
      </c>
      <c r="M112">
        <v>79</v>
      </c>
      <c r="N112">
        <v>551</v>
      </c>
      <c r="O112">
        <v>111</v>
      </c>
      <c r="P112">
        <v>72</v>
      </c>
      <c r="Q112">
        <v>10</v>
      </c>
      <c r="R112">
        <v>190</v>
      </c>
      <c r="S112">
        <v>1.0555555555555556</v>
      </c>
      <c r="T112">
        <v>0.33333333333333331</v>
      </c>
      <c r="U112">
        <v>1.1285714285714286</v>
      </c>
    </row>
    <row r="113" spans="1:21" x14ac:dyDescent="0.35">
      <c r="A113">
        <v>405</v>
      </c>
      <c r="B113" s="16">
        <v>40179</v>
      </c>
      <c r="C113" s="15" t="s">
        <v>70</v>
      </c>
      <c r="D113" s="15" t="s">
        <v>58</v>
      </c>
      <c r="E113" s="15" t="s">
        <v>72</v>
      </c>
      <c r="F113" s="15" t="s">
        <v>49</v>
      </c>
      <c r="G113" s="15" t="s">
        <v>74</v>
      </c>
      <c r="H113" s="15" t="s">
        <v>42</v>
      </c>
      <c r="I113">
        <v>70</v>
      </c>
      <c r="J113">
        <v>100</v>
      </c>
      <c r="K113">
        <v>70</v>
      </c>
      <c r="L113">
        <v>170</v>
      </c>
      <c r="M113">
        <v>84</v>
      </c>
      <c r="N113">
        <v>500</v>
      </c>
      <c r="O113">
        <v>116</v>
      </c>
      <c r="P113">
        <v>26</v>
      </c>
      <c r="Q113">
        <v>66</v>
      </c>
      <c r="R113">
        <v>200</v>
      </c>
      <c r="S113">
        <v>1.1764705882352942</v>
      </c>
      <c r="T113">
        <v>0.94285714285714284</v>
      </c>
      <c r="U113">
        <v>1.2</v>
      </c>
    </row>
    <row r="114" spans="1:21" x14ac:dyDescent="0.35">
      <c r="A114">
        <v>580</v>
      </c>
      <c r="B114" s="16">
        <v>40179</v>
      </c>
      <c r="C114" s="15" t="s">
        <v>70</v>
      </c>
      <c r="D114" s="15" t="s">
        <v>58</v>
      </c>
      <c r="E114" s="15" t="s">
        <v>43</v>
      </c>
      <c r="F114" s="15" t="s">
        <v>40</v>
      </c>
      <c r="G114" s="15" t="s">
        <v>74</v>
      </c>
      <c r="H114" s="15" t="s">
        <v>42</v>
      </c>
      <c r="I114">
        <v>50</v>
      </c>
      <c r="J114">
        <v>70</v>
      </c>
      <c r="K114">
        <v>50</v>
      </c>
      <c r="L114">
        <v>120</v>
      </c>
      <c r="M114">
        <v>44</v>
      </c>
      <c r="N114">
        <v>623</v>
      </c>
      <c r="O114">
        <v>56</v>
      </c>
      <c r="P114">
        <v>14</v>
      </c>
      <c r="Q114">
        <v>29</v>
      </c>
      <c r="R114">
        <v>100</v>
      </c>
      <c r="S114">
        <v>0.83333333333333337</v>
      </c>
      <c r="T114">
        <v>0.57999999999999996</v>
      </c>
      <c r="U114">
        <v>0.88</v>
      </c>
    </row>
    <row r="115" spans="1:21" x14ac:dyDescent="0.35">
      <c r="A115">
        <v>580</v>
      </c>
      <c r="B115" s="16">
        <v>40179</v>
      </c>
      <c r="C115" s="15" t="s">
        <v>70</v>
      </c>
      <c r="D115" s="15" t="s">
        <v>58</v>
      </c>
      <c r="E115" s="15" t="s">
        <v>44</v>
      </c>
      <c r="F115" s="15" t="s">
        <v>40</v>
      </c>
      <c r="G115" s="15" t="s">
        <v>74</v>
      </c>
      <c r="H115" s="15" t="s">
        <v>45</v>
      </c>
      <c r="I115">
        <v>40</v>
      </c>
      <c r="J115">
        <v>60</v>
      </c>
      <c r="K115">
        <v>50</v>
      </c>
      <c r="L115">
        <v>100</v>
      </c>
      <c r="M115">
        <v>32</v>
      </c>
      <c r="N115">
        <v>821</v>
      </c>
      <c r="O115">
        <v>48</v>
      </c>
      <c r="P115">
        <v>8</v>
      </c>
      <c r="Q115">
        <v>28</v>
      </c>
      <c r="R115">
        <v>80</v>
      </c>
      <c r="S115">
        <v>0.8</v>
      </c>
      <c r="T115">
        <v>0.56000000000000005</v>
      </c>
      <c r="U115">
        <v>0.8</v>
      </c>
    </row>
    <row r="116" spans="1:21" x14ac:dyDescent="0.35">
      <c r="A116">
        <v>325</v>
      </c>
      <c r="B116" s="16">
        <v>40179</v>
      </c>
      <c r="C116" s="15" t="s">
        <v>70</v>
      </c>
      <c r="D116" s="15" t="s">
        <v>38</v>
      </c>
      <c r="E116" s="15" t="s">
        <v>48</v>
      </c>
      <c r="F116" s="15" t="s">
        <v>49</v>
      </c>
      <c r="G116" s="15" t="s">
        <v>75</v>
      </c>
      <c r="H116" s="15" t="s">
        <v>42</v>
      </c>
      <c r="I116">
        <v>70</v>
      </c>
      <c r="J116">
        <v>110</v>
      </c>
      <c r="K116">
        <v>90</v>
      </c>
      <c r="L116">
        <v>180</v>
      </c>
      <c r="M116">
        <v>89</v>
      </c>
      <c r="N116">
        <v>777</v>
      </c>
      <c r="O116">
        <v>130</v>
      </c>
      <c r="P116">
        <v>24</v>
      </c>
      <c r="Q116">
        <v>95</v>
      </c>
      <c r="R116">
        <v>219</v>
      </c>
      <c r="S116">
        <v>1.2166666666666666</v>
      </c>
      <c r="T116">
        <v>1.0555555555555556</v>
      </c>
      <c r="U116">
        <v>1.2714285714285714</v>
      </c>
    </row>
    <row r="117" spans="1:21" x14ac:dyDescent="0.35">
      <c r="A117">
        <v>956</v>
      </c>
      <c r="B117" s="16">
        <v>40179</v>
      </c>
      <c r="C117" s="15" t="s">
        <v>70</v>
      </c>
      <c r="D117" s="15" t="s">
        <v>38</v>
      </c>
      <c r="E117" s="15" t="s">
        <v>50</v>
      </c>
      <c r="F117" s="15" t="s">
        <v>49</v>
      </c>
      <c r="G117" s="15" t="s">
        <v>75</v>
      </c>
      <c r="H117" s="15" t="s">
        <v>45</v>
      </c>
      <c r="I117">
        <v>40</v>
      </c>
      <c r="J117">
        <v>70</v>
      </c>
      <c r="K117">
        <v>60</v>
      </c>
      <c r="L117">
        <v>110</v>
      </c>
      <c r="M117">
        <v>54</v>
      </c>
      <c r="N117">
        <v>456</v>
      </c>
      <c r="O117">
        <v>80</v>
      </c>
      <c r="P117">
        <v>15</v>
      </c>
      <c r="Q117">
        <v>54</v>
      </c>
      <c r="R117">
        <v>134</v>
      </c>
      <c r="S117">
        <v>1.2181818181818183</v>
      </c>
      <c r="T117">
        <v>0.9</v>
      </c>
      <c r="U117">
        <v>1.35</v>
      </c>
    </row>
    <row r="118" spans="1:21" x14ac:dyDescent="0.35">
      <c r="A118">
        <v>281</v>
      </c>
      <c r="B118" s="16">
        <v>40179</v>
      </c>
      <c r="C118" s="15" t="s">
        <v>70</v>
      </c>
      <c r="D118" s="15" t="s">
        <v>38</v>
      </c>
      <c r="E118" s="15" t="s">
        <v>51</v>
      </c>
      <c r="F118" s="15" t="s">
        <v>52</v>
      </c>
      <c r="G118" s="15" t="s">
        <v>75</v>
      </c>
      <c r="H118" s="15" t="s">
        <v>45</v>
      </c>
      <c r="I118">
        <v>50</v>
      </c>
      <c r="J118">
        <v>80</v>
      </c>
      <c r="K118">
        <v>50</v>
      </c>
      <c r="L118">
        <v>130</v>
      </c>
      <c r="M118">
        <v>60</v>
      </c>
      <c r="N118">
        <v>336</v>
      </c>
      <c r="O118">
        <v>80</v>
      </c>
      <c r="P118">
        <v>19</v>
      </c>
      <c r="Q118">
        <v>33</v>
      </c>
      <c r="R118">
        <v>140</v>
      </c>
      <c r="S118">
        <v>1.0769230769230769</v>
      </c>
      <c r="T118">
        <v>0.66</v>
      </c>
      <c r="U118">
        <v>1.2</v>
      </c>
    </row>
    <row r="119" spans="1:21" x14ac:dyDescent="0.35">
      <c r="A119">
        <v>254</v>
      </c>
      <c r="B119" s="16">
        <v>40179</v>
      </c>
      <c r="C119" s="15" t="s">
        <v>70</v>
      </c>
      <c r="D119" s="15" t="s">
        <v>38</v>
      </c>
      <c r="E119" s="15" t="s">
        <v>53</v>
      </c>
      <c r="F119" s="15" t="s">
        <v>52</v>
      </c>
      <c r="G119" s="15" t="s">
        <v>75</v>
      </c>
      <c r="H119" s="15" t="s">
        <v>45</v>
      </c>
      <c r="I119">
        <v>50</v>
      </c>
      <c r="J119">
        <v>80</v>
      </c>
      <c r="K119">
        <v>50</v>
      </c>
      <c r="L119">
        <v>130</v>
      </c>
      <c r="M119">
        <v>57</v>
      </c>
      <c r="N119">
        <v>364</v>
      </c>
      <c r="O119">
        <v>83</v>
      </c>
      <c r="P119">
        <v>18</v>
      </c>
      <c r="Q119">
        <v>42</v>
      </c>
      <c r="R119">
        <v>140</v>
      </c>
      <c r="S119">
        <v>1.0769230769230769</v>
      </c>
      <c r="T119">
        <v>0.84</v>
      </c>
      <c r="U119">
        <v>1.1399999999999999</v>
      </c>
    </row>
    <row r="120" spans="1:21" x14ac:dyDescent="0.35">
      <c r="A120">
        <v>830</v>
      </c>
      <c r="B120" s="16">
        <v>40179</v>
      </c>
      <c r="C120" s="15" t="s">
        <v>70</v>
      </c>
      <c r="D120" s="15" t="s">
        <v>38</v>
      </c>
      <c r="E120" s="15" t="s">
        <v>72</v>
      </c>
      <c r="F120" s="15" t="s">
        <v>49</v>
      </c>
      <c r="G120" s="15" t="s">
        <v>75</v>
      </c>
      <c r="H120" s="15" t="s">
        <v>42</v>
      </c>
      <c r="I120">
        <v>60</v>
      </c>
      <c r="J120">
        <v>90</v>
      </c>
      <c r="K120">
        <v>50</v>
      </c>
      <c r="L120">
        <v>150</v>
      </c>
      <c r="M120">
        <v>72</v>
      </c>
      <c r="N120">
        <v>558</v>
      </c>
      <c r="O120">
        <v>108</v>
      </c>
      <c r="P120">
        <v>23</v>
      </c>
      <c r="Q120">
        <v>53</v>
      </c>
      <c r="R120">
        <v>180</v>
      </c>
      <c r="S120">
        <v>1.2</v>
      </c>
      <c r="T120">
        <v>1.06</v>
      </c>
      <c r="U120">
        <v>1.2</v>
      </c>
    </row>
    <row r="121" spans="1:21" x14ac:dyDescent="0.35">
      <c r="A121">
        <v>409</v>
      </c>
      <c r="B121" s="16">
        <v>40179</v>
      </c>
      <c r="C121" s="15" t="s">
        <v>70</v>
      </c>
      <c r="D121" s="15" t="s">
        <v>38</v>
      </c>
      <c r="E121" s="15" t="s">
        <v>43</v>
      </c>
      <c r="F121" s="15" t="s">
        <v>40</v>
      </c>
      <c r="G121" s="15" t="s">
        <v>75</v>
      </c>
      <c r="H121" s="15" t="s">
        <v>42</v>
      </c>
      <c r="I121">
        <v>260</v>
      </c>
      <c r="J121">
        <v>300</v>
      </c>
      <c r="K121">
        <v>220</v>
      </c>
      <c r="L121">
        <v>560</v>
      </c>
      <c r="M121">
        <v>207</v>
      </c>
      <c r="N121">
        <v>965</v>
      </c>
      <c r="O121">
        <v>245</v>
      </c>
      <c r="P121">
        <v>64</v>
      </c>
      <c r="Q121">
        <v>159</v>
      </c>
      <c r="R121">
        <v>452</v>
      </c>
      <c r="S121">
        <v>0.80714285714285716</v>
      </c>
      <c r="T121">
        <v>0.72272727272727277</v>
      </c>
      <c r="U121">
        <v>0.7961538461538461</v>
      </c>
    </row>
    <row r="122" spans="1:21" x14ac:dyDescent="0.35">
      <c r="A122">
        <v>325</v>
      </c>
      <c r="B122" s="16">
        <v>40179</v>
      </c>
      <c r="C122" s="15" t="s">
        <v>70</v>
      </c>
      <c r="D122" s="15" t="s">
        <v>38</v>
      </c>
      <c r="E122" s="15" t="s">
        <v>44</v>
      </c>
      <c r="F122" s="15" t="s">
        <v>40</v>
      </c>
      <c r="G122" s="15" t="s">
        <v>75</v>
      </c>
      <c r="H122" s="15" t="s">
        <v>45</v>
      </c>
      <c r="I122">
        <v>100</v>
      </c>
      <c r="J122">
        <v>130</v>
      </c>
      <c r="K122">
        <v>100</v>
      </c>
      <c r="L122">
        <v>230</v>
      </c>
      <c r="M122">
        <v>83</v>
      </c>
      <c r="N122">
        <v>623</v>
      </c>
      <c r="O122">
        <v>107</v>
      </c>
      <c r="P122">
        <v>27</v>
      </c>
      <c r="Q122">
        <v>68</v>
      </c>
      <c r="R122">
        <v>190</v>
      </c>
      <c r="S122">
        <v>0.82608695652173914</v>
      </c>
      <c r="T122">
        <v>0.68</v>
      </c>
      <c r="U122">
        <v>0.83</v>
      </c>
    </row>
    <row r="123" spans="1:21" x14ac:dyDescent="0.35">
      <c r="A123">
        <v>435</v>
      </c>
      <c r="B123" s="16">
        <v>40179</v>
      </c>
      <c r="C123" s="15" t="s">
        <v>76</v>
      </c>
      <c r="D123" s="15" t="s">
        <v>58</v>
      </c>
      <c r="E123" s="15" t="s">
        <v>72</v>
      </c>
      <c r="F123" s="15" t="s">
        <v>49</v>
      </c>
      <c r="G123" s="15" t="s">
        <v>77</v>
      </c>
      <c r="H123" s="15" t="s">
        <v>42</v>
      </c>
      <c r="I123">
        <v>40</v>
      </c>
      <c r="J123">
        <v>60</v>
      </c>
      <c r="K123">
        <v>40</v>
      </c>
      <c r="L123">
        <v>100</v>
      </c>
      <c r="M123">
        <v>46</v>
      </c>
      <c r="N123">
        <v>777</v>
      </c>
      <c r="O123">
        <v>68</v>
      </c>
      <c r="P123">
        <v>12</v>
      </c>
      <c r="Q123">
        <v>44</v>
      </c>
      <c r="R123">
        <v>114</v>
      </c>
      <c r="S123">
        <v>1.1399999999999999</v>
      </c>
      <c r="T123">
        <v>1.1000000000000001</v>
      </c>
      <c r="U123">
        <v>1.1499999999999999</v>
      </c>
    </row>
    <row r="124" spans="1:21" x14ac:dyDescent="0.35">
      <c r="A124">
        <v>435</v>
      </c>
      <c r="B124" s="16">
        <v>40179</v>
      </c>
      <c r="C124" s="15" t="s">
        <v>76</v>
      </c>
      <c r="D124" s="15" t="s">
        <v>58</v>
      </c>
      <c r="E124" s="15" t="s">
        <v>48</v>
      </c>
      <c r="F124" s="15" t="s">
        <v>49</v>
      </c>
      <c r="G124" s="15" t="s">
        <v>77</v>
      </c>
      <c r="H124" s="15" t="s">
        <v>42</v>
      </c>
      <c r="I124">
        <v>40</v>
      </c>
      <c r="J124">
        <v>60</v>
      </c>
      <c r="K124">
        <v>40</v>
      </c>
      <c r="L124">
        <v>100</v>
      </c>
      <c r="M124">
        <v>49</v>
      </c>
      <c r="N124">
        <v>623</v>
      </c>
      <c r="O124">
        <v>63</v>
      </c>
      <c r="P124">
        <v>16</v>
      </c>
      <c r="Q124">
        <v>34</v>
      </c>
      <c r="R124">
        <v>112</v>
      </c>
      <c r="S124">
        <v>1.1200000000000001</v>
      </c>
      <c r="T124">
        <v>0.85</v>
      </c>
      <c r="U124">
        <v>1.2250000000000001</v>
      </c>
    </row>
    <row r="125" spans="1:21" x14ac:dyDescent="0.35">
      <c r="A125">
        <v>435</v>
      </c>
      <c r="B125" s="16">
        <v>40179</v>
      </c>
      <c r="C125" s="15" t="s">
        <v>76</v>
      </c>
      <c r="D125" s="15" t="s">
        <v>58</v>
      </c>
      <c r="E125" s="15" t="s">
        <v>50</v>
      </c>
      <c r="F125" s="15" t="s">
        <v>49</v>
      </c>
      <c r="G125" s="15" t="s">
        <v>77</v>
      </c>
      <c r="H125" s="15" t="s">
        <v>45</v>
      </c>
      <c r="I125">
        <v>40</v>
      </c>
      <c r="J125">
        <v>70</v>
      </c>
      <c r="K125">
        <v>50</v>
      </c>
      <c r="L125">
        <v>110</v>
      </c>
      <c r="M125">
        <v>50</v>
      </c>
      <c r="N125">
        <v>821</v>
      </c>
      <c r="O125">
        <v>73</v>
      </c>
      <c r="P125">
        <v>14</v>
      </c>
      <c r="Q125">
        <v>47</v>
      </c>
      <c r="R125">
        <v>123</v>
      </c>
      <c r="S125">
        <v>1.1181818181818182</v>
      </c>
      <c r="T125">
        <v>0.94</v>
      </c>
      <c r="U125">
        <v>1.25</v>
      </c>
    </row>
    <row r="126" spans="1:21" x14ac:dyDescent="0.35">
      <c r="A126">
        <v>801</v>
      </c>
      <c r="B126" s="16">
        <v>40179</v>
      </c>
      <c r="C126" s="15" t="s">
        <v>76</v>
      </c>
      <c r="D126" s="15" t="s">
        <v>58</v>
      </c>
      <c r="E126" s="15" t="s">
        <v>51</v>
      </c>
      <c r="F126" s="15" t="s">
        <v>52</v>
      </c>
      <c r="G126" s="15" t="s">
        <v>77</v>
      </c>
      <c r="H126" s="15" t="s">
        <v>45</v>
      </c>
      <c r="I126">
        <v>30</v>
      </c>
      <c r="J126">
        <v>50</v>
      </c>
      <c r="K126">
        <v>30</v>
      </c>
      <c r="L126">
        <v>80</v>
      </c>
      <c r="M126">
        <v>38</v>
      </c>
      <c r="N126">
        <v>241</v>
      </c>
      <c r="O126">
        <v>55</v>
      </c>
      <c r="P126">
        <v>12</v>
      </c>
      <c r="Q126">
        <v>21</v>
      </c>
      <c r="R126">
        <v>93</v>
      </c>
      <c r="S126">
        <v>1.1625000000000001</v>
      </c>
      <c r="T126">
        <v>0.7</v>
      </c>
      <c r="U126">
        <v>1.2666666666666666</v>
      </c>
    </row>
    <row r="127" spans="1:21" x14ac:dyDescent="0.35">
      <c r="A127">
        <v>435</v>
      </c>
      <c r="B127" s="16">
        <v>40179</v>
      </c>
      <c r="C127" s="15" t="s">
        <v>76</v>
      </c>
      <c r="D127" s="15" t="s">
        <v>58</v>
      </c>
      <c r="E127" s="15" t="s">
        <v>53</v>
      </c>
      <c r="F127" s="15" t="s">
        <v>52</v>
      </c>
      <c r="G127" s="15" t="s">
        <v>77</v>
      </c>
      <c r="H127" s="15" t="s">
        <v>45</v>
      </c>
      <c r="I127">
        <v>40</v>
      </c>
      <c r="J127">
        <v>60</v>
      </c>
      <c r="K127">
        <v>30</v>
      </c>
      <c r="L127">
        <v>100</v>
      </c>
      <c r="M127">
        <v>48</v>
      </c>
      <c r="N127">
        <v>372</v>
      </c>
      <c r="O127">
        <v>72</v>
      </c>
      <c r="P127">
        <v>15</v>
      </c>
      <c r="Q127">
        <v>25</v>
      </c>
      <c r="R127">
        <v>120</v>
      </c>
      <c r="S127">
        <v>1.2</v>
      </c>
      <c r="T127">
        <v>0.83333333333333337</v>
      </c>
      <c r="U127">
        <v>1.2</v>
      </c>
    </row>
    <row r="128" spans="1:21" x14ac:dyDescent="0.35">
      <c r="A128">
        <v>435</v>
      </c>
      <c r="B128" s="16">
        <v>40179</v>
      </c>
      <c r="C128" s="15" t="s">
        <v>76</v>
      </c>
      <c r="D128" s="15" t="s">
        <v>58</v>
      </c>
      <c r="E128" s="15" t="s">
        <v>54</v>
      </c>
      <c r="F128" s="15" t="s">
        <v>52</v>
      </c>
      <c r="G128" s="15" t="s">
        <v>77</v>
      </c>
      <c r="H128" s="15" t="s">
        <v>45</v>
      </c>
      <c r="I128">
        <v>70</v>
      </c>
      <c r="J128">
        <v>10</v>
      </c>
      <c r="K128">
        <v>-30</v>
      </c>
      <c r="L128">
        <v>80</v>
      </c>
      <c r="M128">
        <v>88</v>
      </c>
      <c r="N128">
        <v>525</v>
      </c>
      <c r="O128">
        <v>11</v>
      </c>
      <c r="P128">
        <v>27</v>
      </c>
      <c r="Q128">
        <v>-40</v>
      </c>
      <c r="R128">
        <v>99</v>
      </c>
      <c r="S128">
        <v>1.2375</v>
      </c>
      <c r="T128">
        <v>1.3333333333333333</v>
      </c>
      <c r="U128">
        <v>1.2571428571428571</v>
      </c>
    </row>
    <row r="129" spans="1:21" x14ac:dyDescent="0.35">
      <c r="A129">
        <v>435</v>
      </c>
      <c r="B129" s="16">
        <v>40179</v>
      </c>
      <c r="C129" s="15" t="s">
        <v>76</v>
      </c>
      <c r="D129" s="15" t="s">
        <v>58</v>
      </c>
      <c r="E129" s="15" t="s">
        <v>55</v>
      </c>
      <c r="F129" s="15" t="s">
        <v>47</v>
      </c>
      <c r="G129" s="15" t="s">
        <v>77</v>
      </c>
      <c r="H129" s="15" t="s">
        <v>42</v>
      </c>
      <c r="I129">
        <v>20</v>
      </c>
      <c r="J129">
        <v>40</v>
      </c>
      <c r="K129">
        <v>0</v>
      </c>
      <c r="L129">
        <v>60</v>
      </c>
      <c r="M129">
        <v>37</v>
      </c>
      <c r="N129">
        <v>261</v>
      </c>
      <c r="O129">
        <v>53</v>
      </c>
      <c r="P129">
        <v>34</v>
      </c>
      <c r="Q129">
        <v>-10</v>
      </c>
      <c r="R129">
        <v>90</v>
      </c>
      <c r="S129">
        <v>1.5</v>
      </c>
      <c r="U129">
        <v>1.85</v>
      </c>
    </row>
    <row r="130" spans="1:21" x14ac:dyDescent="0.35">
      <c r="A130">
        <v>435</v>
      </c>
      <c r="B130" s="16">
        <v>40179</v>
      </c>
      <c r="C130" s="15" t="s">
        <v>76</v>
      </c>
      <c r="D130" s="15" t="s">
        <v>58</v>
      </c>
      <c r="E130" s="15" t="s">
        <v>56</v>
      </c>
      <c r="F130" s="15" t="s">
        <v>47</v>
      </c>
      <c r="G130" s="15" t="s">
        <v>77</v>
      </c>
      <c r="H130" s="15" t="s">
        <v>42</v>
      </c>
      <c r="I130">
        <v>20</v>
      </c>
      <c r="J130">
        <v>30</v>
      </c>
      <c r="K130">
        <v>10</v>
      </c>
      <c r="L130">
        <v>50</v>
      </c>
      <c r="M130">
        <v>35</v>
      </c>
      <c r="N130">
        <v>196</v>
      </c>
      <c r="O130">
        <v>47</v>
      </c>
      <c r="P130">
        <v>11</v>
      </c>
      <c r="Q130">
        <v>9</v>
      </c>
      <c r="R130">
        <v>82</v>
      </c>
      <c r="S130">
        <v>1.64</v>
      </c>
      <c r="T130">
        <v>0.9</v>
      </c>
      <c r="U130">
        <v>1.75</v>
      </c>
    </row>
    <row r="131" spans="1:21" x14ac:dyDescent="0.35">
      <c r="A131">
        <v>435</v>
      </c>
      <c r="B131" s="16">
        <v>40179</v>
      </c>
      <c r="C131" s="15" t="s">
        <v>76</v>
      </c>
      <c r="D131" s="15" t="s">
        <v>58</v>
      </c>
      <c r="E131" s="15" t="s">
        <v>46</v>
      </c>
      <c r="F131" s="15" t="s">
        <v>47</v>
      </c>
      <c r="G131" s="15" t="s">
        <v>77</v>
      </c>
      <c r="H131" s="15" t="s">
        <v>42</v>
      </c>
      <c r="I131">
        <v>10</v>
      </c>
      <c r="J131">
        <v>30</v>
      </c>
      <c r="K131">
        <v>10</v>
      </c>
      <c r="L131">
        <v>40</v>
      </c>
      <c r="M131">
        <v>29</v>
      </c>
      <c r="N131">
        <v>169</v>
      </c>
      <c r="O131">
        <v>36</v>
      </c>
      <c r="P131">
        <v>11</v>
      </c>
      <c r="Q131">
        <v>-9</v>
      </c>
      <c r="R131">
        <v>65</v>
      </c>
      <c r="S131">
        <v>1.625</v>
      </c>
      <c r="T131">
        <v>-0.9</v>
      </c>
      <c r="U131">
        <v>2.9</v>
      </c>
    </row>
    <row r="132" spans="1:21" x14ac:dyDescent="0.35">
      <c r="A132">
        <v>801</v>
      </c>
      <c r="B132" s="16">
        <v>40179</v>
      </c>
      <c r="C132" s="15" t="s">
        <v>76</v>
      </c>
      <c r="D132" s="15" t="s">
        <v>58</v>
      </c>
      <c r="E132" s="15" t="s">
        <v>39</v>
      </c>
      <c r="F132" s="15" t="s">
        <v>40</v>
      </c>
      <c r="G132" s="15" t="s">
        <v>77</v>
      </c>
      <c r="H132" s="15" t="s">
        <v>42</v>
      </c>
      <c r="I132">
        <v>90</v>
      </c>
      <c r="J132">
        <v>120</v>
      </c>
      <c r="K132">
        <v>80</v>
      </c>
      <c r="L132">
        <v>210</v>
      </c>
      <c r="M132">
        <v>78</v>
      </c>
      <c r="N132">
        <v>965</v>
      </c>
      <c r="O132">
        <v>92</v>
      </c>
      <c r="P132">
        <v>24</v>
      </c>
      <c r="Q132">
        <v>47</v>
      </c>
      <c r="R132">
        <v>170</v>
      </c>
      <c r="S132">
        <v>0.80952380952380953</v>
      </c>
      <c r="T132">
        <v>0.58750000000000002</v>
      </c>
      <c r="U132">
        <v>0.8666666666666667</v>
      </c>
    </row>
    <row r="133" spans="1:21" x14ac:dyDescent="0.35">
      <c r="A133">
        <v>435</v>
      </c>
      <c r="B133" s="16">
        <v>40179</v>
      </c>
      <c r="C133" s="15" t="s">
        <v>76</v>
      </c>
      <c r="D133" s="15" t="s">
        <v>58</v>
      </c>
      <c r="E133" s="15" t="s">
        <v>43</v>
      </c>
      <c r="F133" s="15" t="s">
        <v>40</v>
      </c>
      <c r="G133" s="15" t="s">
        <v>77</v>
      </c>
      <c r="H133" s="15" t="s">
        <v>42</v>
      </c>
      <c r="I133">
        <v>60</v>
      </c>
      <c r="J133">
        <v>100</v>
      </c>
      <c r="K133">
        <v>70</v>
      </c>
      <c r="L133">
        <v>160</v>
      </c>
      <c r="M133">
        <v>55</v>
      </c>
      <c r="N133">
        <v>312</v>
      </c>
      <c r="O133">
        <v>75</v>
      </c>
      <c r="P133">
        <v>18</v>
      </c>
      <c r="Q133">
        <v>30</v>
      </c>
      <c r="R133">
        <v>130</v>
      </c>
      <c r="S133">
        <v>0.8125</v>
      </c>
      <c r="T133">
        <v>0.42857142857142855</v>
      </c>
      <c r="U133">
        <v>0.91666666666666663</v>
      </c>
    </row>
    <row r="134" spans="1:21" x14ac:dyDescent="0.35">
      <c r="A134">
        <v>801</v>
      </c>
      <c r="B134" s="16">
        <v>40179</v>
      </c>
      <c r="C134" s="15" t="s">
        <v>76</v>
      </c>
      <c r="D134" s="15" t="s">
        <v>58</v>
      </c>
      <c r="E134" s="15" t="s">
        <v>44</v>
      </c>
      <c r="F134" s="15" t="s">
        <v>40</v>
      </c>
      <c r="G134" s="15" t="s">
        <v>77</v>
      </c>
      <c r="H134" s="15" t="s">
        <v>45</v>
      </c>
      <c r="I134">
        <v>100</v>
      </c>
      <c r="J134">
        <v>130</v>
      </c>
      <c r="K134">
        <v>70</v>
      </c>
      <c r="L134">
        <v>230</v>
      </c>
      <c r="M134">
        <v>85</v>
      </c>
      <c r="N134">
        <v>494</v>
      </c>
      <c r="O134">
        <v>105</v>
      </c>
      <c r="P134">
        <v>32</v>
      </c>
      <c r="Q134">
        <v>39</v>
      </c>
      <c r="R134">
        <v>190</v>
      </c>
      <c r="S134">
        <v>0.82608695652173914</v>
      </c>
      <c r="T134">
        <v>0.55714285714285716</v>
      </c>
      <c r="U134">
        <v>0.85</v>
      </c>
    </row>
    <row r="135" spans="1:21" x14ac:dyDescent="0.35">
      <c r="A135">
        <v>661</v>
      </c>
      <c r="B135" s="16">
        <v>40179</v>
      </c>
      <c r="C135" s="15" t="s">
        <v>76</v>
      </c>
      <c r="D135" s="15" t="s">
        <v>38</v>
      </c>
      <c r="E135" s="15" t="s">
        <v>72</v>
      </c>
      <c r="F135" s="15" t="s">
        <v>49</v>
      </c>
      <c r="G135" s="15" t="s">
        <v>78</v>
      </c>
      <c r="H135" s="15" t="s">
        <v>42</v>
      </c>
      <c r="I135">
        <v>210</v>
      </c>
      <c r="J135">
        <v>220</v>
      </c>
      <c r="K135">
        <v>150</v>
      </c>
      <c r="L135">
        <v>430</v>
      </c>
      <c r="M135">
        <v>228</v>
      </c>
      <c r="N135">
        <v>1459</v>
      </c>
      <c r="O135">
        <v>228</v>
      </c>
      <c r="P135">
        <v>63</v>
      </c>
      <c r="Q135">
        <v>140</v>
      </c>
      <c r="R135">
        <v>456</v>
      </c>
      <c r="S135">
        <v>1.0604651162790697</v>
      </c>
      <c r="T135">
        <v>0.93333333333333335</v>
      </c>
      <c r="U135">
        <v>1.0857142857142856</v>
      </c>
    </row>
    <row r="136" spans="1:21" x14ac:dyDescent="0.35">
      <c r="A136">
        <v>818</v>
      </c>
      <c r="B136" s="16">
        <v>40179</v>
      </c>
      <c r="C136" s="15" t="s">
        <v>76</v>
      </c>
      <c r="D136" s="15" t="s">
        <v>38</v>
      </c>
      <c r="E136" s="15" t="s">
        <v>48</v>
      </c>
      <c r="F136" s="15" t="s">
        <v>49</v>
      </c>
      <c r="G136" s="15" t="s">
        <v>78</v>
      </c>
      <c r="H136" s="15" t="s">
        <v>42</v>
      </c>
      <c r="I136">
        <v>100</v>
      </c>
      <c r="J136">
        <v>140</v>
      </c>
      <c r="K136">
        <v>20</v>
      </c>
      <c r="L136">
        <v>240</v>
      </c>
      <c r="M136">
        <v>105</v>
      </c>
      <c r="N136">
        <v>725</v>
      </c>
      <c r="O136">
        <v>145</v>
      </c>
      <c r="P136">
        <v>95</v>
      </c>
      <c r="Q136">
        <v>17</v>
      </c>
      <c r="R136">
        <v>250</v>
      </c>
      <c r="S136">
        <v>1.0416666666666667</v>
      </c>
      <c r="T136">
        <v>0.85</v>
      </c>
      <c r="U136">
        <v>1.05</v>
      </c>
    </row>
    <row r="137" spans="1:21" x14ac:dyDescent="0.35">
      <c r="A137">
        <v>213</v>
      </c>
      <c r="B137" s="16">
        <v>40179</v>
      </c>
      <c r="C137" s="15" t="s">
        <v>76</v>
      </c>
      <c r="D137" s="15" t="s">
        <v>38</v>
      </c>
      <c r="E137" s="15" t="s">
        <v>50</v>
      </c>
      <c r="F137" s="15" t="s">
        <v>49</v>
      </c>
      <c r="G137" s="15" t="s">
        <v>78</v>
      </c>
      <c r="H137" s="15" t="s">
        <v>45</v>
      </c>
      <c r="I137">
        <v>220</v>
      </c>
      <c r="J137">
        <v>300</v>
      </c>
      <c r="K137">
        <v>200</v>
      </c>
      <c r="L137">
        <v>520</v>
      </c>
      <c r="M137">
        <v>234</v>
      </c>
      <c r="N137">
        <v>1310</v>
      </c>
      <c r="O137">
        <v>312</v>
      </c>
      <c r="P137">
        <v>77</v>
      </c>
      <c r="Q137">
        <v>203</v>
      </c>
      <c r="R137">
        <v>546</v>
      </c>
      <c r="S137">
        <v>1.05</v>
      </c>
      <c r="T137">
        <v>1.0149999999999999</v>
      </c>
      <c r="U137">
        <v>1.0636363636363637</v>
      </c>
    </row>
    <row r="138" spans="1:21" x14ac:dyDescent="0.35">
      <c r="A138">
        <v>510</v>
      </c>
      <c r="B138" s="16">
        <v>40179</v>
      </c>
      <c r="C138" s="15" t="s">
        <v>76</v>
      </c>
      <c r="D138" s="15" t="s">
        <v>38</v>
      </c>
      <c r="E138" s="15" t="s">
        <v>51</v>
      </c>
      <c r="F138" s="15" t="s">
        <v>52</v>
      </c>
      <c r="G138" s="15" t="s">
        <v>78</v>
      </c>
      <c r="H138" s="15" t="s">
        <v>45</v>
      </c>
      <c r="I138">
        <v>80</v>
      </c>
      <c r="J138">
        <v>120</v>
      </c>
      <c r="K138">
        <v>100</v>
      </c>
      <c r="L138">
        <v>200</v>
      </c>
      <c r="M138">
        <v>95</v>
      </c>
      <c r="N138">
        <v>821</v>
      </c>
      <c r="O138">
        <v>139</v>
      </c>
      <c r="P138">
        <v>26</v>
      </c>
      <c r="Q138">
        <v>102</v>
      </c>
      <c r="R138">
        <v>234</v>
      </c>
      <c r="S138">
        <v>1.17</v>
      </c>
      <c r="T138">
        <v>1.02</v>
      </c>
      <c r="U138">
        <v>1.1875</v>
      </c>
    </row>
    <row r="139" spans="1:21" x14ac:dyDescent="0.35">
      <c r="A139">
        <v>310</v>
      </c>
      <c r="B139" s="16">
        <v>40179</v>
      </c>
      <c r="C139" s="15" t="s">
        <v>76</v>
      </c>
      <c r="D139" s="15" t="s">
        <v>38</v>
      </c>
      <c r="E139" s="15" t="s">
        <v>53</v>
      </c>
      <c r="F139" s="15" t="s">
        <v>52</v>
      </c>
      <c r="G139" s="15" t="s">
        <v>78</v>
      </c>
      <c r="H139" s="15" t="s">
        <v>45</v>
      </c>
      <c r="I139">
        <v>170</v>
      </c>
      <c r="J139">
        <v>220</v>
      </c>
      <c r="K139">
        <v>160</v>
      </c>
      <c r="L139">
        <v>390</v>
      </c>
      <c r="M139">
        <v>207</v>
      </c>
      <c r="N139">
        <v>965</v>
      </c>
      <c r="O139">
        <v>245</v>
      </c>
      <c r="P139">
        <v>64</v>
      </c>
      <c r="Q139">
        <v>160</v>
      </c>
      <c r="R139">
        <v>452</v>
      </c>
      <c r="S139">
        <v>1.1589743589743591</v>
      </c>
      <c r="T139">
        <v>1</v>
      </c>
      <c r="U139">
        <v>1.2176470588235293</v>
      </c>
    </row>
    <row r="140" spans="1:21" x14ac:dyDescent="0.35">
      <c r="A140">
        <v>707</v>
      </c>
      <c r="B140" s="16">
        <v>40179</v>
      </c>
      <c r="C140" s="15" t="s">
        <v>76</v>
      </c>
      <c r="D140" s="15" t="s">
        <v>38</v>
      </c>
      <c r="E140" s="15" t="s">
        <v>54</v>
      </c>
      <c r="F140" s="15" t="s">
        <v>52</v>
      </c>
      <c r="G140" s="15" t="s">
        <v>78</v>
      </c>
      <c r="H140" s="15" t="s">
        <v>45</v>
      </c>
      <c r="I140">
        <v>70</v>
      </c>
      <c r="J140">
        <v>90</v>
      </c>
      <c r="K140">
        <v>60</v>
      </c>
      <c r="L140">
        <v>160</v>
      </c>
      <c r="M140">
        <v>83</v>
      </c>
      <c r="N140">
        <v>623</v>
      </c>
      <c r="O140">
        <v>107</v>
      </c>
      <c r="P140">
        <v>27</v>
      </c>
      <c r="Q140">
        <v>67</v>
      </c>
      <c r="R140">
        <v>190</v>
      </c>
      <c r="S140">
        <v>1.1875</v>
      </c>
      <c r="T140">
        <v>1.1166666666666667</v>
      </c>
      <c r="U140">
        <v>1.1857142857142857</v>
      </c>
    </row>
    <row r="141" spans="1:21" x14ac:dyDescent="0.35">
      <c r="A141">
        <v>619</v>
      </c>
      <c r="B141" s="16">
        <v>40179</v>
      </c>
      <c r="C141" s="15" t="s">
        <v>76</v>
      </c>
      <c r="D141" s="15" t="s">
        <v>38</v>
      </c>
      <c r="E141" s="15" t="s">
        <v>55</v>
      </c>
      <c r="F141" s="15" t="s">
        <v>47</v>
      </c>
      <c r="G141" s="15" t="s">
        <v>78</v>
      </c>
      <c r="H141" s="15" t="s">
        <v>42</v>
      </c>
      <c r="I141">
        <v>50</v>
      </c>
      <c r="J141">
        <v>90</v>
      </c>
      <c r="K141">
        <v>80</v>
      </c>
      <c r="L141">
        <v>140</v>
      </c>
      <c r="M141">
        <v>89</v>
      </c>
      <c r="N141">
        <v>777</v>
      </c>
      <c r="O141">
        <v>130</v>
      </c>
      <c r="P141">
        <v>24</v>
      </c>
      <c r="Q141">
        <v>94</v>
      </c>
      <c r="R141">
        <v>219</v>
      </c>
      <c r="S141">
        <v>1.5642857142857143</v>
      </c>
      <c r="T141">
        <v>1.175</v>
      </c>
      <c r="U141">
        <v>1.78</v>
      </c>
    </row>
    <row r="142" spans="1:21" x14ac:dyDescent="0.35">
      <c r="A142">
        <v>650</v>
      </c>
      <c r="B142" s="16">
        <v>40179</v>
      </c>
      <c r="C142" s="15" t="s">
        <v>76</v>
      </c>
      <c r="D142" s="15" t="s">
        <v>38</v>
      </c>
      <c r="E142" s="15" t="s">
        <v>56</v>
      </c>
      <c r="F142" s="15" t="s">
        <v>47</v>
      </c>
      <c r="G142" s="15" t="s">
        <v>78</v>
      </c>
      <c r="H142" s="15" t="s">
        <v>42</v>
      </c>
      <c r="I142">
        <v>30</v>
      </c>
      <c r="J142">
        <v>60</v>
      </c>
      <c r="K142">
        <v>60</v>
      </c>
      <c r="L142">
        <v>90</v>
      </c>
      <c r="M142">
        <v>54</v>
      </c>
      <c r="N142">
        <v>456</v>
      </c>
      <c r="O142">
        <v>80</v>
      </c>
      <c r="P142">
        <v>15</v>
      </c>
      <c r="Q142">
        <v>54</v>
      </c>
      <c r="R142">
        <v>134</v>
      </c>
      <c r="S142">
        <v>1.4888888888888889</v>
      </c>
      <c r="T142">
        <v>0.9</v>
      </c>
      <c r="U142">
        <v>1.8</v>
      </c>
    </row>
    <row r="143" spans="1:21" x14ac:dyDescent="0.35">
      <c r="A143">
        <v>760</v>
      </c>
      <c r="B143" s="16">
        <v>40179</v>
      </c>
      <c r="C143" s="15" t="s">
        <v>76</v>
      </c>
      <c r="D143" s="15" t="s">
        <v>38</v>
      </c>
      <c r="E143" s="15" t="s">
        <v>46</v>
      </c>
      <c r="F143" s="15" t="s">
        <v>47</v>
      </c>
      <c r="G143" s="15" t="s">
        <v>78</v>
      </c>
      <c r="H143" s="15" t="s">
        <v>42</v>
      </c>
      <c r="I143">
        <v>40</v>
      </c>
      <c r="J143">
        <v>80</v>
      </c>
      <c r="K143">
        <v>50</v>
      </c>
      <c r="L143">
        <v>120</v>
      </c>
      <c r="M143">
        <v>72</v>
      </c>
      <c r="N143">
        <v>558</v>
      </c>
      <c r="O143">
        <v>108</v>
      </c>
      <c r="P143">
        <v>23</v>
      </c>
      <c r="Q143">
        <v>54</v>
      </c>
      <c r="R143">
        <v>180</v>
      </c>
      <c r="S143">
        <v>1.5</v>
      </c>
      <c r="T143">
        <v>1.08</v>
      </c>
      <c r="U143">
        <v>1.8</v>
      </c>
    </row>
    <row r="144" spans="1:21" x14ac:dyDescent="0.35">
      <c r="A144">
        <v>916</v>
      </c>
      <c r="B144" s="16">
        <v>40179</v>
      </c>
      <c r="C144" s="15" t="s">
        <v>76</v>
      </c>
      <c r="D144" s="15" t="s">
        <v>38</v>
      </c>
      <c r="E144" s="15" t="s">
        <v>39</v>
      </c>
      <c r="F144" s="15" t="s">
        <v>40</v>
      </c>
      <c r="G144" s="15" t="s">
        <v>78</v>
      </c>
      <c r="H144" s="15" t="s">
        <v>42</v>
      </c>
      <c r="I144">
        <v>110</v>
      </c>
      <c r="J144">
        <v>70</v>
      </c>
      <c r="K144">
        <v>30</v>
      </c>
      <c r="L144">
        <v>180</v>
      </c>
      <c r="M144">
        <v>95</v>
      </c>
      <c r="N144">
        <v>608</v>
      </c>
      <c r="O144">
        <v>50</v>
      </c>
      <c r="P144">
        <v>30</v>
      </c>
      <c r="Q144">
        <v>-2</v>
      </c>
      <c r="R144">
        <v>145</v>
      </c>
      <c r="S144">
        <v>0.80555555555555558</v>
      </c>
      <c r="T144">
        <v>-6.6666666666666666E-2</v>
      </c>
      <c r="U144">
        <v>0.86363636363636365</v>
      </c>
    </row>
    <row r="145" spans="1:21" x14ac:dyDescent="0.35">
      <c r="A145">
        <v>559</v>
      </c>
      <c r="B145" s="16">
        <v>40179</v>
      </c>
      <c r="C145" s="15" t="s">
        <v>76</v>
      </c>
      <c r="D145" s="15" t="s">
        <v>38</v>
      </c>
      <c r="E145" s="15" t="s">
        <v>43</v>
      </c>
      <c r="F145" s="15" t="s">
        <v>40</v>
      </c>
      <c r="G145" s="15" t="s">
        <v>78</v>
      </c>
      <c r="H145" s="15" t="s">
        <v>42</v>
      </c>
      <c r="I145">
        <v>340</v>
      </c>
      <c r="J145">
        <v>500</v>
      </c>
      <c r="K145">
        <v>370</v>
      </c>
      <c r="L145">
        <v>840</v>
      </c>
      <c r="M145">
        <v>271</v>
      </c>
      <c r="N145">
        <v>2101</v>
      </c>
      <c r="O145">
        <v>407</v>
      </c>
      <c r="P145">
        <v>94</v>
      </c>
      <c r="Q145">
        <v>262</v>
      </c>
      <c r="R145">
        <v>678</v>
      </c>
      <c r="S145">
        <v>0.80714285714285716</v>
      </c>
      <c r="T145">
        <v>0.70810810810810809</v>
      </c>
      <c r="U145">
        <v>0.79705882352941182</v>
      </c>
    </row>
    <row r="146" spans="1:21" x14ac:dyDescent="0.35">
      <c r="A146">
        <v>650</v>
      </c>
      <c r="B146" s="16">
        <v>40179</v>
      </c>
      <c r="C146" s="15" t="s">
        <v>76</v>
      </c>
      <c r="D146" s="15" t="s">
        <v>38</v>
      </c>
      <c r="E146" s="15" t="s">
        <v>44</v>
      </c>
      <c r="F146" s="15" t="s">
        <v>40</v>
      </c>
      <c r="G146" s="15" t="s">
        <v>78</v>
      </c>
      <c r="H146" s="15" t="s">
        <v>45</v>
      </c>
      <c r="I146">
        <v>180</v>
      </c>
      <c r="J146">
        <v>-40</v>
      </c>
      <c r="K146">
        <v>-120</v>
      </c>
      <c r="L146">
        <v>140</v>
      </c>
      <c r="M146">
        <v>144</v>
      </c>
      <c r="N146">
        <v>862</v>
      </c>
      <c r="O146">
        <v>-26</v>
      </c>
      <c r="P146">
        <v>47</v>
      </c>
      <c r="Q146">
        <v>-117</v>
      </c>
      <c r="R146">
        <v>118</v>
      </c>
      <c r="S146">
        <v>0.84285714285714286</v>
      </c>
      <c r="T146">
        <v>0.97499999999999998</v>
      </c>
      <c r="U146">
        <v>0.8</v>
      </c>
    </row>
    <row r="147" spans="1:21" x14ac:dyDescent="0.35">
      <c r="A147">
        <v>775</v>
      </c>
      <c r="B147" s="16">
        <v>40179</v>
      </c>
      <c r="C147" s="15" t="s">
        <v>76</v>
      </c>
      <c r="D147" s="15" t="s">
        <v>58</v>
      </c>
      <c r="E147" s="15" t="s">
        <v>72</v>
      </c>
      <c r="F147" s="15" t="s">
        <v>49</v>
      </c>
      <c r="G147" s="15" t="s">
        <v>79</v>
      </c>
      <c r="H147" s="15" t="s">
        <v>42</v>
      </c>
      <c r="I147">
        <v>10</v>
      </c>
      <c r="J147">
        <v>30</v>
      </c>
      <c r="K147">
        <v>20</v>
      </c>
      <c r="L147">
        <v>40</v>
      </c>
      <c r="M147">
        <v>17</v>
      </c>
      <c r="N147">
        <v>777</v>
      </c>
      <c r="O147">
        <v>26</v>
      </c>
      <c r="P147">
        <v>4</v>
      </c>
      <c r="Q147">
        <v>11</v>
      </c>
      <c r="R147">
        <v>43</v>
      </c>
      <c r="S147">
        <v>1.075</v>
      </c>
      <c r="T147">
        <v>0.55000000000000004</v>
      </c>
      <c r="U147">
        <v>1.7</v>
      </c>
    </row>
    <row r="148" spans="1:21" x14ac:dyDescent="0.35">
      <c r="A148">
        <v>702</v>
      </c>
      <c r="B148" s="16">
        <v>40179</v>
      </c>
      <c r="C148" s="15" t="s">
        <v>76</v>
      </c>
      <c r="D148" s="15" t="s">
        <v>58</v>
      </c>
      <c r="E148" s="15" t="s">
        <v>48</v>
      </c>
      <c r="F148" s="15" t="s">
        <v>49</v>
      </c>
      <c r="G148" s="15" t="s">
        <v>79</v>
      </c>
      <c r="H148" s="15" t="s">
        <v>42</v>
      </c>
      <c r="I148">
        <v>10</v>
      </c>
      <c r="J148">
        <v>30</v>
      </c>
      <c r="K148">
        <v>20</v>
      </c>
      <c r="L148">
        <v>40</v>
      </c>
      <c r="M148">
        <v>18</v>
      </c>
      <c r="N148">
        <v>821</v>
      </c>
      <c r="O148">
        <v>27</v>
      </c>
      <c r="P148">
        <v>5</v>
      </c>
      <c r="Q148">
        <v>10</v>
      </c>
      <c r="R148">
        <v>45</v>
      </c>
      <c r="S148">
        <v>1.125</v>
      </c>
      <c r="T148">
        <v>0.5</v>
      </c>
      <c r="U148">
        <v>1.8</v>
      </c>
    </row>
    <row r="149" spans="1:21" x14ac:dyDescent="0.35">
      <c r="A149">
        <v>775</v>
      </c>
      <c r="B149" s="16">
        <v>40179</v>
      </c>
      <c r="C149" s="15" t="s">
        <v>76</v>
      </c>
      <c r="D149" s="15" t="s">
        <v>58</v>
      </c>
      <c r="E149" s="15" t="s">
        <v>50</v>
      </c>
      <c r="F149" s="15" t="s">
        <v>49</v>
      </c>
      <c r="G149" s="15" t="s">
        <v>79</v>
      </c>
      <c r="H149" s="15" t="s">
        <v>45</v>
      </c>
      <c r="I149">
        <v>10</v>
      </c>
      <c r="J149">
        <v>30</v>
      </c>
      <c r="K149">
        <v>20</v>
      </c>
      <c r="L149">
        <v>40</v>
      </c>
      <c r="M149">
        <v>17</v>
      </c>
      <c r="N149">
        <v>777</v>
      </c>
      <c r="O149">
        <v>26</v>
      </c>
      <c r="P149">
        <v>4</v>
      </c>
      <c r="Q149">
        <v>11</v>
      </c>
      <c r="R149">
        <v>43</v>
      </c>
      <c r="S149">
        <v>1.075</v>
      </c>
      <c r="T149">
        <v>0.55000000000000004</v>
      </c>
      <c r="U149">
        <v>1.7</v>
      </c>
    </row>
    <row r="150" spans="1:21" x14ac:dyDescent="0.35">
      <c r="A150">
        <v>775</v>
      </c>
      <c r="B150" s="16">
        <v>40179</v>
      </c>
      <c r="C150" s="15" t="s">
        <v>76</v>
      </c>
      <c r="D150" s="15" t="s">
        <v>58</v>
      </c>
      <c r="E150" s="15" t="s">
        <v>44</v>
      </c>
      <c r="F150" s="15" t="s">
        <v>40</v>
      </c>
      <c r="G150" s="15" t="s">
        <v>79</v>
      </c>
      <c r="H150" s="15" t="s">
        <v>45</v>
      </c>
      <c r="I150">
        <v>30</v>
      </c>
      <c r="J150">
        <v>40</v>
      </c>
      <c r="K150">
        <v>20</v>
      </c>
      <c r="L150">
        <v>70</v>
      </c>
      <c r="M150">
        <v>28</v>
      </c>
      <c r="N150">
        <v>965</v>
      </c>
      <c r="O150">
        <v>34</v>
      </c>
      <c r="P150">
        <v>8</v>
      </c>
      <c r="Q150">
        <v>4</v>
      </c>
      <c r="R150">
        <v>62</v>
      </c>
      <c r="S150">
        <v>0.88571428571428568</v>
      </c>
      <c r="T150">
        <v>0.2</v>
      </c>
      <c r="U150">
        <v>0.93333333333333335</v>
      </c>
    </row>
    <row r="151" spans="1:21" x14ac:dyDescent="0.35">
      <c r="A151">
        <v>702</v>
      </c>
      <c r="B151" s="16">
        <v>40179</v>
      </c>
      <c r="C151" s="15" t="s">
        <v>76</v>
      </c>
      <c r="D151" s="15" t="s">
        <v>58</v>
      </c>
      <c r="E151" s="15" t="s">
        <v>51</v>
      </c>
      <c r="F151" s="15" t="s">
        <v>52</v>
      </c>
      <c r="G151" s="15" t="s">
        <v>79</v>
      </c>
      <c r="H151" s="15" t="s">
        <v>45</v>
      </c>
      <c r="I151">
        <v>90</v>
      </c>
      <c r="J151">
        <v>130</v>
      </c>
      <c r="K151">
        <v>30</v>
      </c>
      <c r="L151">
        <v>220</v>
      </c>
      <c r="M151">
        <v>105</v>
      </c>
      <c r="N151">
        <v>725</v>
      </c>
      <c r="O151">
        <v>145</v>
      </c>
      <c r="P151">
        <v>95</v>
      </c>
      <c r="Q151">
        <v>16</v>
      </c>
      <c r="R151">
        <v>250</v>
      </c>
      <c r="S151">
        <v>1.1363636363636365</v>
      </c>
      <c r="T151">
        <v>0.53333333333333333</v>
      </c>
      <c r="U151">
        <v>1.1666666666666667</v>
      </c>
    </row>
    <row r="152" spans="1:21" x14ac:dyDescent="0.35">
      <c r="A152">
        <v>775</v>
      </c>
      <c r="B152" s="16">
        <v>40179</v>
      </c>
      <c r="C152" s="15" t="s">
        <v>76</v>
      </c>
      <c r="D152" s="15" t="s">
        <v>58</v>
      </c>
      <c r="E152" s="15" t="s">
        <v>53</v>
      </c>
      <c r="F152" s="15" t="s">
        <v>52</v>
      </c>
      <c r="G152" s="15" t="s">
        <v>79</v>
      </c>
      <c r="H152" s="15" t="s">
        <v>45</v>
      </c>
      <c r="I152">
        <v>120</v>
      </c>
      <c r="J152">
        <v>180</v>
      </c>
      <c r="K152">
        <v>120</v>
      </c>
      <c r="L152">
        <v>300</v>
      </c>
      <c r="M152">
        <v>144</v>
      </c>
      <c r="N152">
        <v>862</v>
      </c>
      <c r="O152">
        <v>201</v>
      </c>
      <c r="P152">
        <v>47</v>
      </c>
      <c r="Q152">
        <v>111</v>
      </c>
      <c r="R152">
        <v>345</v>
      </c>
      <c r="S152">
        <v>1.1499999999999999</v>
      </c>
      <c r="T152">
        <v>0.92500000000000004</v>
      </c>
      <c r="U152">
        <v>1.2</v>
      </c>
    </row>
    <row r="153" spans="1:21" x14ac:dyDescent="0.35">
      <c r="A153">
        <v>702</v>
      </c>
      <c r="B153" s="16">
        <v>40179</v>
      </c>
      <c r="C153" s="15" t="s">
        <v>76</v>
      </c>
      <c r="D153" s="15" t="s">
        <v>58</v>
      </c>
      <c r="E153" s="15" t="s">
        <v>54</v>
      </c>
      <c r="F153" s="15" t="s">
        <v>52</v>
      </c>
      <c r="G153" s="15" t="s">
        <v>79</v>
      </c>
      <c r="H153" s="15" t="s">
        <v>45</v>
      </c>
      <c r="I153">
        <v>80</v>
      </c>
      <c r="J153">
        <v>120</v>
      </c>
      <c r="K153">
        <v>90</v>
      </c>
      <c r="L153">
        <v>200</v>
      </c>
      <c r="M153">
        <v>95</v>
      </c>
      <c r="N153">
        <v>608</v>
      </c>
      <c r="O153">
        <v>139</v>
      </c>
      <c r="P153">
        <v>30</v>
      </c>
      <c r="Q153">
        <v>86</v>
      </c>
      <c r="R153">
        <v>234</v>
      </c>
      <c r="S153">
        <v>1.17</v>
      </c>
      <c r="T153">
        <v>0.9555555555555556</v>
      </c>
      <c r="U153">
        <v>1.1875</v>
      </c>
    </row>
    <row r="154" spans="1:21" x14ac:dyDescent="0.35">
      <c r="A154">
        <v>775</v>
      </c>
      <c r="B154" s="16">
        <v>40179</v>
      </c>
      <c r="C154" s="15" t="s">
        <v>76</v>
      </c>
      <c r="D154" s="15" t="s">
        <v>58</v>
      </c>
      <c r="E154" s="15" t="s">
        <v>55</v>
      </c>
      <c r="F154" s="15" t="s">
        <v>47</v>
      </c>
      <c r="G154" s="15" t="s">
        <v>79</v>
      </c>
      <c r="H154" s="15" t="s">
        <v>42</v>
      </c>
      <c r="I154">
        <v>150</v>
      </c>
      <c r="J154">
        <v>220</v>
      </c>
      <c r="K154">
        <v>150</v>
      </c>
      <c r="L154">
        <v>370</v>
      </c>
      <c r="M154">
        <v>234</v>
      </c>
      <c r="N154">
        <v>1310</v>
      </c>
      <c r="O154">
        <v>312</v>
      </c>
      <c r="P154">
        <v>77</v>
      </c>
      <c r="Q154">
        <v>203</v>
      </c>
      <c r="R154">
        <v>546</v>
      </c>
      <c r="S154">
        <v>1.4756756756756757</v>
      </c>
      <c r="T154">
        <v>1.3533333333333333</v>
      </c>
      <c r="U154">
        <v>1.56</v>
      </c>
    </row>
    <row r="155" spans="1:21" x14ac:dyDescent="0.35">
      <c r="A155">
        <v>775</v>
      </c>
      <c r="B155" s="16">
        <v>40179</v>
      </c>
      <c r="C155" s="15" t="s">
        <v>76</v>
      </c>
      <c r="D155" s="15" t="s">
        <v>58</v>
      </c>
      <c r="E155" s="15" t="s">
        <v>56</v>
      </c>
      <c r="F155" s="15" t="s">
        <v>47</v>
      </c>
      <c r="G155" s="15" t="s">
        <v>79</v>
      </c>
      <c r="H155" s="15" t="s">
        <v>42</v>
      </c>
      <c r="I155">
        <v>150</v>
      </c>
      <c r="J155">
        <v>160</v>
      </c>
      <c r="K155">
        <v>100</v>
      </c>
      <c r="L155">
        <v>310</v>
      </c>
      <c r="M155">
        <v>228</v>
      </c>
      <c r="N155">
        <v>1459</v>
      </c>
      <c r="O155">
        <v>228</v>
      </c>
      <c r="P155">
        <v>63</v>
      </c>
      <c r="Q155">
        <v>141</v>
      </c>
      <c r="R155">
        <v>456</v>
      </c>
      <c r="S155">
        <v>1.4709677419354839</v>
      </c>
      <c r="T155">
        <v>1.41</v>
      </c>
      <c r="U155">
        <v>1.52</v>
      </c>
    </row>
    <row r="156" spans="1:21" x14ac:dyDescent="0.35">
      <c r="A156">
        <v>702</v>
      </c>
      <c r="B156" s="16">
        <v>40179</v>
      </c>
      <c r="C156" s="15" t="s">
        <v>76</v>
      </c>
      <c r="D156" s="15" t="s">
        <v>58</v>
      </c>
      <c r="E156" s="15" t="s">
        <v>46</v>
      </c>
      <c r="F156" s="15" t="s">
        <v>47</v>
      </c>
      <c r="G156" s="15" t="s">
        <v>79</v>
      </c>
      <c r="H156" s="15" t="s">
        <v>42</v>
      </c>
      <c r="I156">
        <v>160</v>
      </c>
      <c r="J156">
        <v>-160</v>
      </c>
      <c r="K156">
        <v>-240</v>
      </c>
      <c r="L156">
        <v>0</v>
      </c>
      <c r="M156">
        <v>245</v>
      </c>
      <c r="N156">
        <v>1419</v>
      </c>
      <c r="O156">
        <v>-245</v>
      </c>
      <c r="P156">
        <v>93</v>
      </c>
      <c r="Q156">
        <v>-354</v>
      </c>
      <c r="R156">
        <v>17</v>
      </c>
      <c r="T156">
        <v>1.4750000000000001</v>
      </c>
      <c r="U156">
        <v>1.53125</v>
      </c>
    </row>
    <row r="157" spans="1:21" x14ac:dyDescent="0.35">
      <c r="A157">
        <v>702</v>
      </c>
      <c r="B157" s="16">
        <v>40179</v>
      </c>
      <c r="C157" s="15" t="s">
        <v>76</v>
      </c>
      <c r="D157" s="15" t="s">
        <v>58</v>
      </c>
      <c r="E157" s="15" t="s">
        <v>43</v>
      </c>
      <c r="F157" s="15" t="s">
        <v>40</v>
      </c>
      <c r="G157" s="15" t="s">
        <v>79</v>
      </c>
      <c r="H157" s="15" t="s">
        <v>42</v>
      </c>
      <c r="I157">
        <v>40</v>
      </c>
      <c r="J157">
        <v>50</v>
      </c>
      <c r="K157">
        <v>10</v>
      </c>
      <c r="L157">
        <v>90</v>
      </c>
      <c r="M157">
        <v>34</v>
      </c>
      <c r="N157">
        <v>197</v>
      </c>
      <c r="O157">
        <v>42</v>
      </c>
      <c r="P157">
        <v>12</v>
      </c>
      <c r="Q157">
        <v>-3</v>
      </c>
      <c r="R157">
        <v>76</v>
      </c>
      <c r="S157">
        <v>0.84444444444444444</v>
      </c>
      <c r="T157">
        <v>-0.3</v>
      </c>
      <c r="U157">
        <v>0.85</v>
      </c>
    </row>
    <row r="158" spans="1:21" x14ac:dyDescent="0.35">
      <c r="A158">
        <v>503</v>
      </c>
      <c r="B158" s="16">
        <v>40179</v>
      </c>
      <c r="C158" s="15" t="s">
        <v>76</v>
      </c>
      <c r="D158" s="15" t="s">
        <v>58</v>
      </c>
      <c r="E158" s="15" t="s">
        <v>72</v>
      </c>
      <c r="F158" s="15" t="s">
        <v>49</v>
      </c>
      <c r="G158" s="15" t="s">
        <v>80</v>
      </c>
      <c r="H158" s="15" t="s">
        <v>42</v>
      </c>
      <c r="I158">
        <v>50</v>
      </c>
      <c r="J158">
        <v>70</v>
      </c>
      <c r="K158">
        <v>20</v>
      </c>
      <c r="L158">
        <v>120</v>
      </c>
      <c r="M158">
        <v>58</v>
      </c>
      <c r="N158">
        <v>338</v>
      </c>
      <c r="O158">
        <v>72</v>
      </c>
      <c r="P158">
        <v>22</v>
      </c>
      <c r="Q158">
        <v>16</v>
      </c>
      <c r="R158">
        <v>130</v>
      </c>
      <c r="S158">
        <v>1.0833333333333333</v>
      </c>
      <c r="T158">
        <v>0.8</v>
      </c>
      <c r="U158">
        <v>1.1599999999999999</v>
      </c>
    </row>
    <row r="159" spans="1:21" x14ac:dyDescent="0.35">
      <c r="A159">
        <v>503</v>
      </c>
      <c r="B159" s="16">
        <v>40179</v>
      </c>
      <c r="C159" s="15" t="s">
        <v>76</v>
      </c>
      <c r="D159" s="15" t="s">
        <v>58</v>
      </c>
      <c r="E159" s="15" t="s">
        <v>48</v>
      </c>
      <c r="F159" s="15" t="s">
        <v>49</v>
      </c>
      <c r="G159" s="15" t="s">
        <v>80</v>
      </c>
      <c r="H159" s="15" t="s">
        <v>42</v>
      </c>
      <c r="I159">
        <v>50</v>
      </c>
      <c r="J159">
        <v>80</v>
      </c>
      <c r="K159">
        <v>50</v>
      </c>
      <c r="L159">
        <v>130</v>
      </c>
      <c r="M159">
        <v>60</v>
      </c>
      <c r="N159">
        <v>336</v>
      </c>
      <c r="O159">
        <v>80</v>
      </c>
      <c r="P159">
        <v>19</v>
      </c>
      <c r="Q159">
        <v>33</v>
      </c>
      <c r="R159">
        <v>140</v>
      </c>
      <c r="S159">
        <v>1.0769230769230769</v>
      </c>
      <c r="T159">
        <v>0.66</v>
      </c>
      <c r="U159">
        <v>1.2</v>
      </c>
    </row>
    <row r="160" spans="1:21" x14ac:dyDescent="0.35">
      <c r="A160">
        <v>971</v>
      </c>
      <c r="B160" s="16">
        <v>40179</v>
      </c>
      <c r="C160" s="15" t="s">
        <v>76</v>
      </c>
      <c r="D160" s="15" t="s">
        <v>58</v>
      </c>
      <c r="E160" s="15" t="s">
        <v>50</v>
      </c>
      <c r="F160" s="15" t="s">
        <v>49</v>
      </c>
      <c r="G160" s="15" t="s">
        <v>80</v>
      </c>
      <c r="H160" s="15" t="s">
        <v>45</v>
      </c>
      <c r="I160">
        <v>160</v>
      </c>
      <c r="J160">
        <v>160</v>
      </c>
      <c r="K160">
        <v>100</v>
      </c>
      <c r="L160">
        <v>320</v>
      </c>
      <c r="M160">
        <v>170</v>
      </c>
      <c r="N160">
        <v>1091</v>
      </c>
      <c r="O160">
        <v>171</v>
      </c>
      <c r="P160">
        <v>47</v>
      </c>
      <c r="Q160">
        <v>99</v>
      </c>
      <c r="R160">
        <v>341</v>
      </c>
      <c r="S160">
        <v>1.065625</v>
      </c>
      <c r="T160">
        <v>0.99</v>
      </c>
      <c r="U160">
        <v>1.0625</v>
      </c>
    </row>
    <row r="161" spans="1:21" x14ac:dyDescent="0.35">
      <c r="A161">
        <v>971</v>
      </c>
      <c r="B161" s="16">
        <v>40179</v>
      </c>
      <c r="C161" s="15" t="s">
        <v>76</v>
      </c>
      <c r="D161" s="15" t="s">
        <v>58</v>
      </c>
      <c r="E161" s="15" t="s">
        <v>44</v>
      </c>
      <c r="F161" s="15" t="s">
        <v>40</v>
      </c>
      <c r="G161" s="15" t="s">
        <v>80</v>
      </c>
      <c r="H161" s="15" t="s">
        <v>45</v>
      </c>
      <c r="I161">
        <v>70</v>
      </c>
      <c r="J161">
        <v>100</v>
      </c>
      <c r="K161">
        <v>70</v>
      </c>
      <c r="L161">
        <v>170</v>
      </c>
      <c r="M161">
        <v>57</v>
      </c>
      <c r="N161">
        <v>364</v>
      </c>
      <c r="O161">
        <v>83</v>
      </c>
      <c r="P161">
        <v>18</v>
      </c>
      <c r="Q161">
        <v>42</v>
      </c>
      <c r="R161">
        <v>140</v>
      </c>
      <c r="S161">
        <v>0.82352941176470584</v>
      </c>
      <c r="T161">
        <v>0.6</v>
      </c>
      <c r="U161">
        <v>0.81428571428571428</v>
      </c>
    </row>
    <row r="162" spans="1:21" x14ac:dyDescent="0.35">
      <c r="A162">
        <v>971</v>
      </c>
      <c r="B162" s="16">
        <v>40179</v>
      </c>
      <c r="C162" s="15" t="s">
        <v>76</v>
      </c>
      <c r="D162" s="15" t="s">
        <v>58</v>
      </c>
      <c r="E162" s="15" t="s">
        <v>51</v>
      </c>
      <c r="F162" s="15" t="s">
        <v>52</v>
      </c>
      <c r="G162" s="15" t="s">
        <v>80</v>
      </c>
      <c r="H162" s="15" t="s">
        <v>45</v>
      </c>
      <c r="I162">
        <v>30</v>
      </c>
      <c r="J162">
        <v>40</v>
      </c>
      <c r="K162">
        <v>40</v>
      </c>
      <c r="L162">
        <v>70</v>
      </c>
      <c r="M162">
        <v>36</v>
      </c>
      <c r="N162">
        <v>777</v>
      </c>
      <c r="O162">
        <v>54</v>
      </c>
      <c r="P162">
        <v>10</v>
      </c>
      <c r="Q162">
        <v>33</v>
      </c>
      <c r="R162">
        <v>90</v>
      </c>
      <c r="S162">
        <v>1.2857142857142858</v>
      </c>
      <c r="T162">
        <v>0.82499999999999996</v>
      </c>
      <c r="U162">
        <v>1.2</v>
      </c>
    </row>
    <row r="163" spans="1:21" x14ac:dyDescent="0.35">
      <c r="A163">
        <v>503</v>
      </c>
      <c r="B163" s="16">
        <v>40179</v>
      </c>
      <c r="C163" s="15" t="s">
        <v>76</v>
      </c>
      <c r="D163" s="15" t="s">
        <v>58</v>
      </c>
      <c r="E163" s="15" t="s">
        <v>53</v>
      </c>
      <c r="F163" s="15" t="s">
        <v>52</v>
      </c>
      <c r="G163" s="15" t="s">
        <v>80</v>
      </c>
      <c r="H163" s="15" t="s">
        <v>45</v>
      </c>
      <c r="I163">
        <v>30</v>
      </c>
      <c r="J163">
        <v>50</v>
      </c>
      <c r="K163">
        <v>30</v>
      </c>
      <c r="L163">
        <v>80</v>
      </c>
      <c r="M163">
        <v>44</v>
      </c>
      <c r="N163">
        <v>623</v>
      </c>
      <c r="O163">
        <v>56</v>
      </c>
      <c r="P163">
        <v>14</v>
      </c>
      <c r="Q163">
        <v>29</v>
      </c>
      <c r="R163">
        <v>100</v>
      </c>
      <c r="S163">
        <v>1.25</v>
      </c>
      <c r="T163">
        <v>0.96666666666666667</v>
      </c>
      <c r="U163">
        <v>1.4666666666666666</v>
      </c>
    </row>
    <row r="164" spans="1:21" x14ac:dyDescent="0.35">
      <c r="A164">
        <v>971</v>
      </c>
      <c r="B164" s="16">
        <v>40179</v>
      </c>
      <c r="C164" s="15" t="s">
        <v>76</v>
      </c>
      <c r="D164" s="15" t="s">
        <v>58</v>
      </c>
      <c r="E164" s="15" t="s">
        <v>55</v>
      </c>
      <c r="F164" s="15" t="s">
        <v>47</v>
      </c>
      <c r="G164" s="15" t="s">
        <v>80</v>
      </c>
      <c r="H164" s="15" t="s">
        <v>42</v>
      </c>
      <c r="I164">
        <v>20</v>
      </c>
      <c r="J164">
        <v>30</v>
      </c>
      <c r="K164">
        <v>30</v>
      </c>
      <c r="L164">
        <v>50</v>
      </c>
      <c r="M164">
        <v>32</v>
      </c>
      <c r="N164">
        <v>456</v>
      </c>
      <c r="O164">
        <v>48</v>
      </c>
      <c r="P164">
        <v>8</v>
      </c>
      <c r="Q164">
        <v>28</v>
      </c>
      <c r="R164">
        <v>80</v>
      </c>
      <c r="S164">
        <v>1.6</v>
      </c>
      <c r="T164">
        <v>0.93333333333333335</v>
      </c>
      <c r="U164">
        <v>1.6</v>
      </c>
    </row>
    <row r="165" spans="1:21" x14ac:dyDescent="0.35">
      <c r="A165">
        <v>503</v>
      </c>
      <c r="B165" s="16">
        <v>40179</v>
      </c>
      <c r="C165" s="15" t="s">
        <v>76</v>
      </c>
      <c r="D165" s="15" t="s">
        <v>58</v>
      </c>
      <c r="E165" s="15" t="s">
        <v>56</v>
      </c>
      <c r="F165" s="15" t="s">
        <v>47</v>
      </c>
      <c r="G165" s="15" t="s">
        <v>80</v>
      </c>
      <c r="H165" s="15" t="s">
        <v>42</v>
      </c>
      <c r="I165">
        <v>50</v>
      </c>
      <c r="J165">
        <v>90</v>
      </c>
      <c r="K165">
        <v>60</v>
      </c>
      <c r="L165">
        <v>140</v>
      </c>
      <c r="M165">
        <v>84</v>
      </c>
      <c r="N165">
        <v>651</v>
      </c>
      <c r="O165">
        <v>126</v>
      </c>
      <c r="P165">
        <v>27</v>
      </c>
      <c r="Q165">
        <v>68</v>
      </c>
      <c r="R165">
        <v>210</v>
      </c>
      <c r="S165">
        <v>1.5</v>
      </c>
      <c r="T165">
        <v>1.1333333333333333</v>
      </c>
      <c r="U165">
        <v>1.68</v>
      </c>
    </row>
    <row r="166" spans="1:21" x14ac:dyDescent="0.35">
      <c r="A166">
        <v>541</v>
      </c>
      <c r="B166" s="16">
        <v>40179</v>
      </c>
      <c r="C166" s="15" t="s">
        <v>76</v>
      </c>
      <c r="D166" s="15" t="s">
        <v>58</v>
      </c>
      <c r="E166" s="15" t="s">
        <v>46</v>
      </c>
      <c r="F166" s="15" t="s">
        <v>47</v>
      </c>
      <c r="G166" s="15" t="s">
        <v>80</v>
      </c>
      <c r="H166" s="15" t="s">
        <v>42</v>
      </c>
      <c r="I166">
        <v>50</v>
      </c>
      <c r="J166">
        <v>80</v>
      </c>
      <c r="K166">
        <v>50</v>
      </c>
      <c r="L166">
        <v>130</v>
      </c>
      <c r="M166">
        <v>84</v>
      </c>
      <c r="N166">
        <v>500</v>
      </c>
      <c r="O166">
        <v>116</v>
      </c>
      <c r="P166">
        <v>26</v>
      </c>
      <c r="Q166">
        <v>67</v>
      </c>
      <c r="R166">
        <v>200</v>
      </c>
      <c r="S166">
        <v>1.5384615384615385</v>
      </c>
      <c r="T166">
        <v>1.34</v>
      </c>
      <c r="U166">
        <v>1.68</v>
      </c>
    </row>
    <row r="167" spans="1:21" x14ac:dyDescent="0.35">
      <c r="A167">
        <v>541</v>
      </c>
      <c r="B167" s="16">
        <v>40179</v>
      </c>
      <c r="C167" s="15" t="s">
        <v>76</v>
      </c>
      <c r="D167" s="15" t="s">
        <v>58</v>
      </c>
      <c r="E167" s="15" t="s">
        <v>39</v>
      </c>
      <c r="F167" s="15" t="s">
        <v>40</v>
      </c>
      <c r="G167" s="15" t="s">
        <v>80</v>
      </c>
      <c r="H167" s="15" t="s">
        <v>42</v>
      </c>
      <c r="I167">
        <v>70</v>
      </c>
      <c r="J167">
        <v>110</v>
      </c>
      <c r="K167">
        <v>40</v>
      </c>
      <c r="L167">
        <v>180</v>
      </c>
      <c r="M167">
        <v>63</v>
      </c>
      <c r="N167">
        <v>435</v>
      </c>
      <c r="O167">
        <v>87</v>
      </c>
      <c r="P167">
        <v>57</v>
      </c>
      <c r="Q167">
        <v>1</v>
      </c>
      <c r="R167">
        <v>150</v>
      </c>
      <c r="S167">
        <v>0.83333333333333337</v>
      </c>
      <c r="T167">
        <v>2.5000000000000001E-2</v>
      </c>
      <c r="U167">
        <v>0.9</v>
      </c>
    </row>
    <row r="168" spans="1:21" x14ac:dyDescent="0.35">
      <c r="A168">
        <v>503</v>
      </c>
      <c r="B168" s="16">
        <v>40179</v>
      </c>
      <c r="C168" s="15" t="s">
        <v>76</v>
      </c>
      <c r="D168" s="15" t="s">
        <v>58</v>
      </c>
      <c r="E168" s="15" t="s">
        <v>43</v>
      </c>
      <c r="F168" s="15" t="s">
        <v>40</v>
      </c>
      <c r="G168" s="15" t="s">
        <v>80</v>
      </c>
      <c r="H168" s="15" t="s">
        <v>42</v>
      </c>
      <c r="I168">
        <v>80</v>
      </c>
      <c r="J168">
        <v>120</v>
      </c>
      <c r="K168">
        <v>60</v>
      </c>
      <c r="L168">
        <v>200</v>
      </c>
      <c r="M168">
        <v>67</v>
      </c>
      <c r="N168">
        <v>400</v>
      </c>
      <c r="O168">
        <v>93</v>
      </c>
      <c r="P168">
        <v>22</v>
      </c>
      <c r="Q168">
        <v>28</v>
      </c>
      <c r="R168">
        <v>160</v>
      </c>
      <c r="S168">
        <v>0.8</v>
      </c>
      <c r="T168">
        <v>0.46666666666666667</v>
      </c>
      <c r="U168">
        <v>0.83750000000000002</v>
      </c>
    </row>
    <row r="169" spans="1:21" x14ac:dyDescent="0.35">
      <c r="A169">
        <v>425</v>
      </c>
      <c r="B169" s="16">
        <v>40179</v>
      </c>
      <c r="C169" s="15" t="s">
        <v>76</v>
      </c>
      <c r="D169" s="15" t="s">
        <v>58</v>
      </c>
      <c r="E169" s="15" t="s">
        <v>72</v>
      </c>
      <c r="F169" s="15" t="s">
        <v>49</v>
      </c>
      <c r="G169" s="15" t="s">
        <v>81</v>
      </c>
      <c r="H169" s="15" t="s">
        <v>42</v>
      </c>
      <c r="I169">
        <v>40</v>
      </c>
      <c r="J169">
        <v>60</v>
      </c>
      <c r="K169">
        <v>40</v>
      </c>
      <c r="L169">
        <v>100</v>
      </c>
      <c r="M169">
        <v>48</v>
      </c>
      <c r="N169">
        <v>623</v>
      </c>
      <c r="O169">
        <v>62</v>
      </c>
      <c r="P169">
        <v>15</v>
      </c>
      <c r="Q169">
        <v>35</v>
      </c>
      <c r="R169">
        <v>110</v>
      </c>
      <c r="S169">
        <v>1.1000000000000001</v>
      </c>
      <c r="T169">
        <v>0.875</v>
      </c>
      <c r="U169">
        <v>1.2</v>
      </c>
    </row>
    <row r="170" spans="1:21" x14ac:dyDescent="0.35">
      <c r="A170">
        <v>253</v>
      </c>
      <c r="B170" s="16">
        <v>40179</v>
      </c>
      <c r="C170" s="15" t="s">
        <v>76</v>
      </c>
      <c r="D170" s="15" t="s">
        <v>58</v>
      </c>
      <c r="E170" s="15" t="s">
        <v>48</v>
      </c>
      <c r="F170" s="15" t="s">
        <v>49</v>
      </c>
      <c r="G170" s="15" t="s">
        <v>81</v>
      </c>
      <c r="H170" s="15" t="s">
        <v>42</v>
      </c>
      <c r="I170">
        <v>50</v>
      </c>
      <c r="J170">
        <v>60</v>
      </c>
      <c r="K170">
        <v>20</v>
      </c>
      <c r="L170">
        <v>110</v>
      </c>
      <c r="M170">
        <v>54</v>
      </c>
      <c r="N170">
        <v>312</v>
      </c>
      <c r="O170">
        <v>66</v>
      </c>
      <c r="P170">
        <v>20</v>
      </c>
      <c r="Q170">
        <v>13</v>
      </c>
      <c r="R170">
        <v>120</v>
      </c>
      <c r="S170">
        <v>1.0909090909090908</v>
      </c>
      <c r="T170">
        <v>0.65</v>
      </c>
      <c r="U170">
        <v>1.08</v>
      </c>
    </row>
    <row r="171" spans="1:21" x14ac:dyDescent="0.35">
      <c r="A171">
        <v>206</v>
      </c>
      <c r="B171" s="16">
        <v>40179</v>
      </c>
      <c r="C171" s="15" t="s">
        <v>76</v>
      </c>
      <c r="D171" s="15" t="s">
        <v>58</v>
      </c>
      <c r="E171" s="15" t="s">
        <v>50</v>
      </c>
      <c r="F171" s="15" t="s">
        <v>49</v>
      </c>
      <c r="G171" s="15" t="s">
        <v>81</v>
      </c>
      <c r="H171" s="15" t="s">
        <v>45</v>
      </c>
      <c r="I171">
        <v>60</v>
      </c>
      <c r="J171">
        <v>80</v>
      </c>
      <c r="K171">
        <v>60</v>
      </c>
      <c r="L171">
        <v>140</v>
      </c>
      <c r="M171">
        <v>69</v>
      </c>
      <c r="N171">
        <v>965</v>
      </c>
      <c r="O171">
        <v>81</v>
      </c>
      <c r="P171">
        <v>21</v>
      </c>
      <c r="Q171">
        <v>39</v>
      </c>
      <c r="R171">
        <v>150</v>
      </c>
      <c r="S171">
        <v>1.0714285714285714</v>
      </c>
      <c r="T171">
        <v>0.65</v>
      </c>
      <c r="U171">
        <v>1.1499999999999999</v>
      </c>
    </row>
    <row r="172" spans="1:21" x14ac:dyDescent="0.35">
      <c r="A172">
        <v>509</v>
      </c>
      <c r="B172" s="16">
        <v>40179</v>
      </c>
      <c r="C172" s="15" t="s">
        <v>76</v>
      </c>
      <c r="D172" s="15" t="s">
        <v>58</v>
      </c>
      <c r="E172" s="15" t="s">
        <v>44</v>
      </c>
      <c r="F172" s="15" t="s">
        <v>40</v>
      </c>
      <c r="G172" s="15" t="s">
        <v>81</v>
      </c>
      <c r="H172" s="15" t="s">
        <v>45</v>
      </c>
      <c r="I172">
        <v>90</v>
      </c>
      <c r="J172">
        <v>140</v>
      </c>
      <c r="K172">
        <v>60</v>
      </c>
      <c r="L172">
        <v>230</v>
      </c>
      <c r="M172">
        <v>79</v>
      </c>
      <c r="N172">
        <v>551</v>
      </c>
      <c r="O172">
        <v>111</v>
      </c>
      <c r="P172">
        <v>72</v>
      </c>
      <c r="Q172">
        <v>9</v>
      </c>
      <c r="R172">
        <v>190</v>
      </c>
      <c r="S172">
        <v>0.82608695652173914</v>
      </c>
      <c r="T172">
        <v>0.15</v>
      </c>
      <c r="U172">
        <v>0.87777777777777777</v>
      </c>
    </row>
    <row r="173" spans="1:21" x14ac:dyDescent="0.35">
      <c r="A173">
        <v>206</v>
      </c>
      <c r="B173" s="16">
        <v>40179</v>
      </c>
      <c r="C173" s="15" t="s">
        <v>76</v>
      </c>
      <c r="D173" s="15" t="s">
        <v>58</v>
      </c>
      <c r="E173" s="15" t="s">
        <v>51</v>
      </c>
      <c r="F173" s="15" t="s">
        <v>52</v>
      </c>
      <c r="G173" s="15" t="s">
        <v>81</v>
      </c>
      <c r="H173" s="15" t="s">
        <v>45</v>
      </c>
      <c r="I173">
        <v>100</v>
      </c>
      <c r="J173">
        <v>170</v>
      </c>
      <c r="K173">
        <v>120</v>
      </c>
      <c r="L173">
        <v>270</v>
      </c>
      <c r="M173">
        <v>124</v>
      </c>
      <c r="N173">
        <v>961</v>
      </c>
      <c r="O173">
        <v>186</v>
      </c>
      <c r="P173">
        <v>40</v>
      </c>
      <c r="Q173">
        <v>115</v>
      </c>
      <c r="R173">
        <v>310</v>
      </c>
      <c r="S173">
        <v>1.1481481481481481</v>
      </c>
      <c r="T173">
        <v>0.95833333333333337</v>
      </c>
      <c r="U173">
        <v>1.24</v>
      </c>
    </row>
    <row r="174" spans="1:21" x14ac:dyDescent="0.35">
      <c r="A174">
        <v>360</v>
      </c>
      <c r="B174" s="16">
        <v>40179</v>
      </c>
      <c r="C174" s="15" t="s">
        <v>76</v>
      </c>
      <c r="D174" s="15" t="s">
        <v>58</v>
      </c>
      <c r="E174" s="15" t="s">
        <v>53</v>
      </c>
      <c r="F174" s="15" t="s">
        <v>52</v>
      </c>
      <c r="G174" s="15" t="s">
        <v>81</v>
      </c>
      <c r="H174" s="15" t="s">
        <v>45</v>
      </c>
      <c r="I174">
        <v>20</v>
      </c>
      <c r="J174">
        <v>50</v>
      </c>
      <c r="K174">
        <v>50</v>
      </c>
      <c r="L174">
        <v>70</v>
      </c>
      <c r="M174">
        <v>34</v>
      </c>
      <c r="N174">
        <v>777</v>
      </c>
      <c r="O174">
        <v>51</v>
      </c>
      <c r="P174">
        <v>9</v>
      </c>
      <c r="Q174">
        <v>30</v>
      </c>
      <c r="R174">
        <v>85</v>
      </c>
      <c r="S174">
        <v>1.2142857142857142</v>
      </c>
      <c r="T174">
        <v>0.6</v>
      </c>
      <c r="U174">
        <v>1.7</v>
      </c>
    </row>
    <row r="175" spans="1:21" x14ac:dyDescent="0.35">
      <c r="A175">
        <v>360</v>
      </c>
      <c r="B175" s="16">
        <v>40179</v>
      </c>
      <c r="C175" s="15" t="s">
        <v>76</v>
      </c>
      <c r="D175" s="15" t="s">
        <v>58</v>
      </c>
      <c r="E175" s="15" t="s">
        <v>55</v>
      </c>
      <c r="F175" s="15" t="s">
        <v>47</v>
      </c>
      <c r="G175" s="15" t="s">
        <v>81</v>
      </c>
      <c r="H175" s="15" t="s">
        <v>42</v>
      </c>
      <c r="I175">
        <v>40</v>
      </c>
      <c r="J175">
        <v>80</v>
      </c>
      <c r="K175">
        <v>50</v>
      </c>
      <c r="L175">
        <v>120</v>
      </c>
      <c r="M175">
        <v>67</v>
      </c>
      <c r="N175">
        <v>400</v>
      </c>
      <c r="O175">
        <v>113</v>
      </c>
      <c r="P175">
        <v>20</v>
      </c>
      <c r="Q175">
        <v>70</v>
      </c>
      <c r="R175">
        <v>180</v>
      </c>
      <c r="S175">
        <v>1.5</v>
      </c>
      <c r="T175">
        <v>1.4</v>
      </c>
      <c r="U175">
        <v>1.675</v>
      </c>
    </row>
    <row r="176" spans="1:21" x14ac:dyDescent="0.35">
      <c r="A176">
        <v>253</v>
      </c>
      <c r="B176" s="16">
        <v>40179</v>
      </c>
      <c r="C176" s="15" t="s">
        <v>76</v>
      </c>
      <c r="D176" s="15" t="s">
        <v>58</v>
      </c>
      <c r="E176" s="15" t="s">
        <v>56</v>
      </c>
      <c r="F176" s="15" t="s">
        <v>47</v>
      </c>
      <c r="G176" s="15" t="s">
        <v>81</v>
      </c>
      <c r="H176" s="15" t="s">
        <v>42</v>
      </c>
      <c r="I176">
        <v>40</v>
      </c>
      <c r="J176">
        <v>60</v>
      </c>
      <c r="K176">
        <v>40</v>
      </c>
      <c r="L176">
        <v>100</v>
      </c>
      <c r="M176">
        <v>61</v>
      </c>
      <c r="N176">
        <v>390</v>
      </c>
      <c r="O176">
        <v>89</v>
      </c>
      <c r="P176">
        <v>19</v>
      </c>
      <c r="Q176">
        <v>48</v>
      </c>
      <c r="R176">
        <v>150</v>
      </c>
      <c r="S176">
        <v>1.5</v>
      </c>
      <c r="T176">
        <v>1.2</v>
      </c>
      <c r="U176">
        <v>1.5249999999999999</v>
      </c>
    </row>
    <row r="177" spans="1:21" x14ac:dyDescent="0.35">
      <c r="A177">
        <v>360</v>
      </c>
      <c r="B177" s="16">
        <v>40179</v>
      </c>
      <c r="C177" s="15" t="s">
        <v>76</v>
      </c>
      <c r="D177" s="15" t="s">
        <v>58</v>
      </c>
      <c r="E177" s="15" t="s">
        <v>46</v>
      </c>
      <c r="F177" s="15" t="s">
        <v>47</v>
      </c>
      <c r="G177" s="15" t="s">
        <v>81</v>
      </c>
      <c r="H177" s="15" t="s">
        <v>42</v>
      </c>
      <c r="I177">
        <v>40</v>
      </c>
      <c r="J177">
        <v>80</v>
      </c>
      <c r="K177">
        <v>20</v>
      </c>
      <c r="L177">
        <v>120</v>
      </c>
      <c r="M177">
        <v>75</v>
      </c>
      <c r="N177">
        <v>522</v>
      </c>
      <c r="O177">
        <v>105</v>
      </c>
      <c r="P177">
        <v>68</v>
      </c>
      <c r="Q177">
        <v>8</v>
      </c>
      <c r="R177">
        <v>180</v>
      </c>
      <c r="S177">
        <v>1.5</v>
      </c>
      <c r="T177">
        <v>0.4</v>
      </c>
      <c r="U177">
        <v>1.875</v>
      </c>
    </row>
    <row r="178" spans="1:21" x14ac:dyDescent="0.35">
      <c r="A178">
        <v>206</v>
      </c>
      <c r="B178" s="16">
        <v>40179</v>
      </c>
      <c r="C178" s="15" t="s">
        <v>76</v>
      </c>
      <c r="D178" s="15" t="s">
        <v>58</v>
      </c>
      <c r="E178" s="15" t="s">
        <v>43</v>
      </c>
      <c r="F178" s="15" t="s">
        <v>40</v>
      </c>
      <c r="G178" s="15" t="s">
        <v>81</v>
      </c>
      <c r="H178" s="15" t="s">
        <v>42</v>
      </c>
      <c r="I178">
        <v>60</v>
      </c>
      <c r="J178">
        <v>100</v>
      </c>
      <c r="K178">
        <v>70</v>
      </c>
      <c r="L178">
        <v>160</v>
      </c>
      <c r="M178">
        <v>53</v>
      </c>
      <c r="N178">
        <v>338</v>
      </c>
      <c r="O178">
        <v>77</v>
      </c>
      <c r="P178">
        <v>16</v>
      </c>
      <c r="Q178">
        <v>38</v>
      </c>
      <c r="R178">
        <v>130</v>
      </c>
      <c r="S178">
        <v>0.8125</v>
      </c>
      <c r="T178">
        <v>0.54285714285714282</v>
      </c>
      <c r="U178">
        <v>0.8833333333333333</v>
      </c>
    </row>
    <row r="179" spans="1:21" x14ac:dyDescent="0.35">
      <c r="A179">
        <v>303</v>
      </c>
      <c r="B179" s="16">
        <v>40210</v>
      </c>
      <c r="C179" s="15" t="s">
        <v>37</v>
      </c>
      <c r="D179" s="15" t="s">
        <v>38</v>
      </c>
      <c r="E179" s="15" t="s">
        <v>39</v>
      </c>
      <c r="F179" s="15" t="s">
        <v>40</v>
      </c>
      <c r="G179" s="15" t="s">
        <v>41</v>
      </c>
      <c r="H179" s="15" t="s">
        <v>42</v>
      </c>
      <c r="I179">
        <v>100</v>
      </c>
      <c r="J179">
        <v>150</v>
      </c>
      <c r="K179">
        <v>120</v>
      </c>
      <c r="L179">
        <v>250</v>
      </c>
      <c r="M179">
        <v>99</v>
      </c>
      <c r="N179">
        <v>766</v>
      </c>
      <c r="O179">
        <v>144</v>
      </c>
      <c r="P179">
        <v>27</v>
      </c>
      <c r="Q179">
        <v>105</v>
      </c>
      <c r="R179">
        <v>243</v>
      </c>
      <c r="S179">
        <v>0.97199999999999998</v>
      </c>
      <c r="T179">
        <v>0.875</v>
      </c>
      <c r="U179">
        <v>0.99</v>
      </c>
    </row>
    <row r="180" spans="1:21" x14ac:dyDescent="0.35">
      <c r="A180">
        <v>720</v>
      </c>
      <c r="B180" s="16">
        <v>40210</v>
      </c>
      <c r="C180" s="15" t="s">
        <v>37</v>
      </c>
      <c r="D180" s="15" t="s">
        <v>38</v>
      </c>
      <c r="E180" s="15" t="s">
        <v>43</v>
      </c>
      <c r="F180" s="15" t="s">
        <v>40</v>
      </c>
      <c r="G180" s="15" t="s">
        <v>41</v>
      </c>
      <c r="H180" s="15" t="s">
        <v>42</v>
      </c>
      <c r="I180">
        <v>80</v>
      </c>
      <c r="J180">
        <v>110</v>
      </c>
      <c r="K180">
        <v>80</v>
      </c>
      <c r="L180">
        <v>190</v>
      </c>
      <c r="M180">
        <v>83</v>
      </c>
      <c r="N180">
        <v>613</v>
      </c>
      <c r="O180">
        <v>107</v>
      </c>
      <c r="P180">
        <v>27</v>
      </c>
      <c r="Q180">
        <v>68</v>
      </c>
      <c r="R180">
        <v>190</v>
      </c>
      <c r="S180">
        <v>1</v>
      </c>
      <c r="T180">
        <v>0.85</v>
      </c>
      <c r="U180">
        <v>1.0375000000000001</v>
      </c>
    </row>
    <row r="181" spans="1:21" x14ac:dyDescent="0.35">
      <c r="A181">
        <v>719</v>
      </c>
      <c r="B181" s="16">
        <v>40210</v>
      </c>
      <c r="C181" s="15" t="s">
        <v>37</v>
      </c>
      <c r="D181" s="15" t="s">
        <v>38</v>
      </c>
      <c r="E181" s="15" t="s">
        <v>44</v>
      </c>
      <c r="F181" s="15" t="s">
        <v>40</v>
      </c>
      <c r="G181" s="15" t="s">
        <v>41</v>
      </c>
      <c r="H181" s="15" t="s">
        <v>45</v>
      </c>
      <c r="I181">
        <v>100</v>
      </c>
      <c r="J181">
        <v>140</v>
      </c>
      <c r="K181">
        <v>110</v>
      </c>
      <c r="L181">
        <v>240</v>
      </c>
      <c r="M181">
        <v>95</v>
      </c>
      <c r="N181">
        <v>809</v>
      </c>
      <c r="O181">
        <v>137</v>
      </c>
      <c r="P181">
        <v>26</v>
      </c>
      <c r="Q181">
        <v>99</v>
      </c>
      <c r="R181">
        <v>232</v>
      </c>
      <c r="S181">
        <v>0.96666666666666667</v>
      </c>
      <c r="T181">
        <v>0.9</v>
      </c>
      <c r="U181">
        <v>0.95</v>
      </c>
    </row>
    <row r="182" spans="1:21" x14ac:dyDescent="0.35">
      <c r="A182">
        <v>970</v>
      </c>
      <c r="B182" s="16">
        <v>40210</v>
      </c>
      <c r="C182" s="15" t="s">
        <v>37</v>
      </c>
      <c r="D182" s="15" t="s">
        <v>38</v>
      </c>
      <c r="E182" s="15" t="s">
        <v>46</v>
      </c>
      <c r="F182" s="15" t="s">
        <v>47</v>
      </c>
      <c r="G182" s="15" t="s">
        <v>41</v>
      </c>
      <c r="H182" s="15" t="s">
        <v>42</v>
      </c>
      <c r="I182">
        <v>30</v>
      </c>
      <c r="J182">
        <v>50</v>
      </c>
      <c r="K182">
        <v>30</v>
      </c>
      <c r="L182">
        <v>80</v>
      </c>
      <c r="M182">
        <v>44</v>
      </c>
      <c r="N182">
        <v>618</v>
      </c>
      <c r="O182">
        <v>56</v>
      </c>
      <c r="P182">
        <v>14</v>
      </c>
      <c r="Q182">
        <v>30</v>
      </c>
      <c r="R182">
        <v>100</v>
      </c>
      <c r="S182">
        <v>1.25</v>
      </c>
      <c r="T182">
        <v>1</v>
      </c>
      <c r="U182">
        <v>1.4666666666666666</v>
      </c>
    </row>
    <row r="183" spans="1:21" x14ac:dyDescent="0.35">
      <c r="A183">
        <v>970</v>
      </c>
      <c r="B183" s="16">
        <v>40210</v>
      </c>
      <c r="C183" s="15" t="s">
        <v>37</v>
      </c>
      <c r="D183" s="15" t="s">
        <v>38</v>
      </c>
      <c r="E183" s="15" t="s">
        <v>48</v>
      </c>
      <c r="F183" s="15" t="s">
        <v>49</v>
      </c>
      <c r="G183" s="15" t="s">
        <v>41</v>
      </c>
      <c r="H183" s="15" t="s">
        <v>42</v>
      </c>
      <c r="I183">
        <v>80</v>
      </c>
      <c r="J183">
        <v>140</v>
      </c>
      <c r="K183">
        <v>110</v>
      </c>
      <c r="L183">
        <v>220</v>
      </c>
      <c r="M183">
        <v>77</v>
      </c>
      <c r="N183">
        <v>449</v>
      </c>
      <c r="O183">
        <v>112</v>
      </c>
      <c r="P183">
        <v>21</v>
      </c>
      <c r="Q183">
        <v>80</v>
      </c>
      <c r="R183">
        <v>189</v>
      </c>
      <c r="S183">
        <v>0.85909090909090913</v>
      </c>
      <c r="T183">
        <v>0.72727272727272729</v>
      </c>
      <c r="U183">
        <v>0.96250000000000002</v>
      </c>
    </row>
    <row r="184" spans="1:21" x14ac:dyDescent="0.35">
      <c r="A184">
        <v>303</v>
      </c>
      <c r="B184" s="16">
        <v>40210</v>
      </c>
      <c r="C184" s="15" t="s">
        <v>37</v>
      </c>
      <c r="D184" s="15" t="s">
        <v>38</v>
      </c>
      <c r="E184" s="15" t="s">
        <v>50</v>
      </c>
      <c r="F184" s="15" t="s">
        <v>49</v>
      </c>
      <c r="G184" s="15" t="s">
        <v>41</v>
      </c>
      <c r="H184" s="15" t="s">
        <v>45</v>
      </c>
      <c r="I184">
        <v>80</v>
      </c>
      <c r="J184">
        <v>140</v>
      </c>
      <c r="K184">
        <v>90</v>
      </c>
      <c r="L184">
        <v>220</v>
      </c>
      <c r="M184">
        <v>75</v>
      </c>
      <c r="N184">
        <v>549</v>
      </c>
      <c r="O184">
        <v>114</v>
      </c>
      <c r="P184">
        <v>24</v>
      </c>
      <c r="Q184">
        <v>59</v>
      </c>
      <c r="R184">
        <v>189</v>
      </c>
      <c r="S184">
        <v>0.85909090909090913</v>
      </c>
      <c r="T184">
        <v>0.65555555555555556</v>
      </c>
      <c r="U184">
        <v>0.9375</v>
      </c>
    </row>
    <row r="185" spans="1:21" x14ac:dyDescent="0.35">
      <c r="A185">
        <v>970</v>
      </c>
      <c r="B185" s="16">
        <v>40210</v>
      </c>
      <c r="C185" s="15" t="s">
        <v>37</v>
      </c>
      <c r="D185" s="15" t="s">
        <v>38</v>
      </c>
      <c r="E185" s="15" t="s">
        <v>51</v>
      </c>
      <c r="F185" s="15" t="s">
        <v>52</v>
      </c>
      <c r="G185" s="15" t="s">
        <v>41</v>
      </c>
      <c r="H185" s="15" t="s">
        <v>45</v>
      </c>
      <c r="I185">
        <v>140</v>
      </c>
      <c r="J185">
        <v>150</v>
      </c>
      <c r="K185">
        <v>100</v>
      </c>
      <c r="L185">
        <v>290</v>
      </c>
      <c r="M185">
        <v>170</v>
      </c>
      <c r="N185">
        <v>1073</v>
      </c>
      <c r="O185">
        <v>170</v>
      </c>
      <c r="P185">
        <v>47</v>
      </c>
      <c r="Q185">
        <v>99</v>
      </c>
      <c r="R185">
        <v>340</v>
      </c>
      <c r="S185">
        <v>1.1724137931034482</v>
      </c>
      <c r="T185">
        <v>0.99</v>
      </c>
      <c r="U185">
        <v>1.2142857142857142</v>
      </c>
    </row>
    <row r="186" spans="1:21" x14ac:dyDescent="0.35">
      <c r="A186">
        <v>970</v>
      </c>
      <c r="B186" s="16">
        <v>40210</v>
      </c>
      <c r="C186" s="15" t="s">
        <v>37</v>
      </c>
      <c r="D186" s="15" t="s">
        <v>38</v>
      </c>
      <c r="E186" s="15" t="s">
        <v>53</v>
      </c>
      <c r="F186" s="15" t="s">
        <v>52</v>
      </c>
      <c r="G186" s="15" t="s">
        <v>41</v>
      </c>
      <c r="H186" s="15" t="s">
        <v>45</v>
      </c>
      <c r="I186">
        <v>40</v>
      </c>
      <c r="J186">
        <v>70</v>
      </c>
      <c r="K186">
        <v>10</v>
      </c>
      <c r="L186">
        <v>110</v>
      </c>
      <c r="M186">
        <v>54</v>
      </c>
      <c r="N186">
        <v>427</v>
      </c>
      <c r="O186">
        <v>75</v>
      </c>
      <c r="P186">
        <v>49</v>
      </c>
      <c r="Q186">
        <v>-3</v>
      </c>
      <c r="R186">
        <v>129</v>
      </c>
      <c r="S186">
        <v>1.1727272727272726</v>
      </c>
      <c r="T186">
        <v>-0.3</v>
      </c>
      <c r="U186">
        <v>1.35</v>
      </c>
    </row>
    <row r="187" spans="1:21" x14ac:dyDescent="0.35">
      <c r="A187">
        <v>303</v>
      </c>
      <c r="B187" s="16">
        <v>40210</v>
      </c>
      <c r="C187" s="15" t="s">
        <v>37</v>
      </c>
      <c r="D187" s="15" t="s">
        <v>38</v>
      </c>
      <c r="E187" s="15" t="s">
        <v>54</v>
      </c>
      <c r="F187" s="15" t="s">
        <v>52</v>
      </c>
      <c r="G187" s="15" t="s">
        <v>41</v>
      </c>
      <c r="H187" s="15" t="s">
        <v>45</v>
      </c>
      <c r="I187">
        <v>50</v>
      </c>
      <c r="J187">
        <v>70</v>
      </c>
      <c r="K187">
        <v>40</v>
      </c>
      <c r="L187">
        <v>120</v>
      </c>
      <c r="M187">
        <v>60</v>
      </c>
      <c r="N187">
        <v>329</v>
      </c>
      <c r="O187">
        <v>80</v>
      </c>
      <c r="P187">
        <v>19</v>
      </c>
      <c r="Q187">
        <v>33</v>
      </c>
      <c r="R187">
        <v>140</v>
      </c>
      <c r="S187">
        <v>1.1666666666666667</v>
      </c>
      <c r="T187">
        <v>0.82499999999999996</v>
      </c>
      <c r="U187">
        <v>1.2</v>
      </c>
    </row>
    <row r="188" spans="1:21" x14ac:dyDescent="0.35">
      <c r="A188">
        <v>719</v>
      </c>
      <c r="B188" s="16">
        <v>40210</v>
      </c>
      <c r="C188" s="15" t="s">
        <v>37</v>
      </c>
      <c r="D188" s="15" t="s">
        <v>38</v>
      </c>
      <c r="E188" s="15" t="s">
        <v>55</v>
      </c>
      <c r="F188" s="15" t="s">
        <v>47</v>
      </c>
      <c r="G188" s="15" t="s">
        <v>41</v>
      </c>
      <c r="H188" s="15" t="s">
        <v>42</v>
      </c>
      <c r="I188">
        <v>50</v>
      </c>
      <c r="J188">
        <v>60</v>
      </c>
      <c r="K188">
        <v>10</v>
      </c>
      <c r="L188">
        <v>110</v>
      </c>
      <c r="M188">
        <v>59</v>
      </c>
      <c r="N188">
        <v>331</v>
      </c>
      <c r="O188">
        <v>73</v>
      </c>
      <c r="P188">
        <v>22</v>
      </c>
      <c r="Q188">
        <v>18</v>
      </c>
      <c r="R188">
        <v>132</v>
      </c>
      <c r="S188">
        <v>1.2</v>
      </c>
      <c r="T188">
        <v>1.8</v>
      </c>
      <c r="U188">
        <v>1.18</v>
      </c>
    </row>
    <row r="189" spans="1:21" x14ac:dyDescent="0.35">
      <c r="A189">
        <v>720</v>
      </c>
      <c r="B189" s="16">
        <v>40210</v>
      </c>
      <c r="C189" s="15" t="s">
        <v>37</v>
      </c>
      <c r="D189" s="15" t="s">
        <v>38</v>
      </c>
      <c r="E189" s="15" t="s">
        <v>56</v>
      </c>
      <c r="F189" s="15" t="s">
        <v>47</v>
      </c>
      <c r="G189" s="15" t="s">
        <v>41</v>
      </c>
      <c r="H189" s="15" t="s">
        <v>42</v>
      </c>
      <c r="I189">
        <v>50</v>
      </c>
      <c r="J189">
        <v>60</v>
      </c>
      <c r="K189">
        <v>30</v>
      </c>
      <c r="L189">
        <v>110</v>
      </c>
      <c r="M189">
        <v>62</v>
      </c>
      <c r="N189">
        <v>958</v>
      </c>
      <c r="O189">
        <v>74</v>
      </c>
      <c r="P189">
        <v>19</v>
      </c>
      <c r="Q189">
        <v>34</v>
      </c>
      <c r="R189">
        <v>136</v>
      </c>
      <c r="S189">
        <v>1.2363636363636363</v>
      </c>
      <c r="T189">
        <v>1.1333333333333333</v>
      </c>
      <c r="U189">
        <v>1.24</v>
      </c>
    </row>
    <row r="190" spans="1:21" x14ac:dyDescent="0.35">
      <c r="A190">
        <v>312</v>
      </c>
      <c r="B190" s="16">
        <v>40210</v>
      </c>
      <c r="C190" s="15" t="s">
        <v>37</v>
      </c>
      <c r="D190" s="15" t="s">
        <v>38</v>
      </c>
      <c r="E190" s="15" t="s">
        <v>43</v>
      </c>
      <c r="F190" s="15" t="s">
        <v>40</v>
      </c>
      <c r="G190" s="15" t="s">
        <v>57</v>
      </c>
      <c r="H190" s="15" t="s">
        <v>42</v>
      </c>
      <c r="I190">
        <v>150</v>
      </c>
      <c r="J190">
        <v>220</v>
      </c>
      <c r="K190">
        <v>140</v>
      </c>
      <c r="L190">
        <v>370</v>
      </c>
      <c r="M190">
        <v>148</v>
      </c>
      <c r="N190">
        <v>844</v>
      </c>
      <c r="O190">
        <v>206</v>
      </c>
      <c r="P190">
        <v>48</v>
      </c>
      <c r="Q190">
        <v>115</v>
      </c>
      <c r="R190">
        <v>354</v>
      </c>
      <c r="S190">
        <v>0.95675675675675675</v>
      </c>
      <c r="T190">
        <v>0.8214285714285714</v>
      </c>
      <c r="U190">
        <v>0.98666666666666669</v>
      </c>
    </row>
    <row r="191" spans="1:21" x14ac:dyDescent="0.35">
      <c r="A191">
        <v>847</v>
      </c>
      <c r="B191" s="16">
        <v>40210</v>
      </c>
      <c r="C191" s="15" t="s">
        <v>37</v>
      </c>
      <c r="D191" s="15" t="s">
        <v>38</v>
      </c>
      <c r="E191" s="15" t="s">
        <v>44</v>
      </c>
      <c r="F191" s="15" t="s">
        <v>40</v>
      </c>
      <c r="G191" s="15" t="s">
        <v>57</v>
      </c>
      <c r="H191" s="15" t="s">
        <v>45</v>
      </c>
      <c r="I191">
        <v>110</v>
      </c>
      <c r="J191">
        <v>150</v>
      </c>
      <c r="K191">
        <v>100</v>
      </c>
      <c r="L191">
        <v>260</v>
      </c>
      <c r="M191">
        <v>104</v>
      </c>
      <c r="N191">
        <v>596</v>
      </c>
      <c r="O191">
        <v>150</v>
      </c>
      <c r="P191">
        <v>33</v>
      </c>
      <c r="Q191">
        <v>95</v>
      </c>
      <c r="R191">
        <v>254</v>
      </c>
      <c r="S191">
        <v>0.97692307692307689</v>
      </c>
      <c r="T191">
        <v>0.95</v>
      </c>
      <c r="U191">
        <v>0.94545454545454544</v>
      </c>
    </row>
    <row r="192" spans="1:21" x14ac:dyDescent="0.35">
      <c r="A192">
        <v>708</v>
      </c>
      <c r="B192" s="16">
        <v>40210</v>
      </c>
      <c r="C192" s="15" t="s">
        <v>37</v>
      </c>
      <c r="D192" s="15" t="s">
        <v>38</v>
      </c>
      <c r="E192" s="15" t="s">
        <v>48</v>
      </c>
      <c r="F192" s="15" t="s">
        <v>49</v>
      </c>
      <c r="G192" s="15" t="s">
        <v>57</v>
      </c>
      <c r="H192" s="15" t="s">
        <v>42</v>
      </c>
      <c r="I192">
        <v>270</v>
      </c>
      <c r="J192">
        <v>370</v>
      </c>
      <c r="K192">
        <v>260</v>
      </c>
      <c r="L192">
        <v>640</v>
      </c>
      <c r="M192">
        <v>234</v>
      </c>
      <c r="N192">
        <v>1282</v>
      </c>
      <c r="O192">
        <v>311</v>
      </c>
      <c r="P192">
        <v>77</v>
      </c>
      <c r="Q192">
        <v>201</v>
      </c>
      <c r="R192">
        <v>545</v>
      </c>
      <c r="S192">
        <v>0.8515625</v>
      </c>
      <c r="T192">
        <v>0.77307692307692311</v>
      </c>
      <c r="U192">
        <v>0.8666666666666667</v>
      </c>
    </row>
    <row r="193" spans="1:21" x14ac:dyDescent="0.35">
      <c r="A193">
        <v>312</v>
      </c>
      <c r="B193" s="16">
        <v>40210</v>
      </c>
      <c r="C193" s="15" t="s">
        <v>37</v>
      </c>
      <c r="D193" s="15" t="s">
        <v>38</v>
      </c>
      <c r="E193" s="15" t="s">
        <v>50</v>
      </c>
      <c r="F193" s="15" t="s">
        <v>49</v>
      </c>
      <c r="G193" s="15" t="s">
        <v>57</v>
      </c>
      <c r="H193" s="15" t="s">
        <v>45</v>
      </c>
      <c r="I193">
        <v>260</v>
      </c>
      <c r="J193">
        <v>270</v>
      </c>
      <c r="K193">
        <v>180</v>
      </c>
      <c r="L193">
        <v>530</v>
      </c>
      <c r="M193">
        <v>228</v>
      </c>
      <c r="N193">
        <v>1436</v>
      </c>
      <c r="O193">
        <v>229</v>
      </c>
      <c r="P193">
        <v>63</v>
      </c>
      <c r="Q193">
        <v>142</v>
      </c>
      <c r="R193">
        <v>457</v>
      </c>
      <c r="S193">
        <v>0.86226415094339626</v>
      </c>
      <c r="T193">
        <v>0.78888888888888886</v>
      </c>
      <c r="U193">
        <v>0.87692307692307692</v>
      </c>
    </row>
    <row r="194" spans="1:21" x14ac:dyDescent="0.35">
      <c r="A194">
        <v>815</v>
      </c>
      <c r="B194" s="16">
        <v>40210</v>
      </c>
      <c r="C194" s="15" t="s">
        <v>37</v>
      </c>
      <c r="D194" s="15" t="s">
        <v>38</v>
      </c>
      <c r="E194" s="15" t="s">
        <v>51</v>
      </c>
      <c r="F194" s="15" t="s">
        <v>52</v>
      </c>
      <c r="G194" s="15" t="s">
        <v>57</v>
      </c>
      <c r="H194" s="15" t="s">
        <v>45</v>
      </c>
      <c r="I194">
        <v>80</v>
      </c>
      <c r="J194">
        <v>130</v>
      </c>
      <c r="K194">
        <v>110</v>
      </c>
      <c r="L194">
        <v>210</v>
      </c>
      <c r="M194">
        <v>99</v>
      </c>
      <c r="N194">
        <v>766</v>
      </c>
      <c r="O194">
        <v>144</v>
      </c>
      <c r="P194">
        <v>27</v>
      </c>
      <c r="Q194">
        <v>105</v>
      </c>
      <c r="R194">
        <v>243</v>
      </c>
      <c r="S194">
        <v>1.1571428571428573</v>
      </c>
      <c r="T194">
        <v>0.95454545454545459</v>
      </c>
      <c r="U194">
        <v>1.2375</v>
      </c>
    </row>
    <row r="195" spans="1:21" x14ac:dyDescent="0.35">
      <c r="A195">
        <v>773</v>
      </c>
      <c r="B195" s="16">
        <v>40210</v>
      </c>
      <c r="C195" s="15" t="s">
        <v>37</v>
      </c>
      <c r="D195" s="15" t="s">
        <v>38</v>
      </c>
      <c r="E195" s="15" t="s">
        <v>53</v>
      </c>
      <c r="F195" s="15" t="s">
        <v>52</v>
      </c>
      <c r="G195" s="15" t="s">
        <v>57</v>
      </c>
      <c r="H195" s="15" t="s">
        <v>45</v>
      </c>
      <c r="I195">
        <v>70</v>
      </c>
      <c r="J195">
        <v>90</v>
      </c>
      <c r="K195">
        <v>60</v>
      </c>
      <c r="L195">
        <v>160</v>
      </c>
      <c r="M195">
        <v>83</v>
      </c>
      <c r="N195">
        <v>613</v>
      </c>
      <c r="O195">
        <v>107</v>
      </c>
      <c r="P195">
        <v>27</v>
      </c>
      <c r="Q195">
        <v>68</v>
      </c>
      <c r="R195">
        <v>190</v>
      </c>
      <c r="S195">
        <v>1.1875</v>
      </c>
      <c r="T195">
        <v>1.1333333333333333</v>
      </c>
      <c r="U195">
        <v>1.1857142857142857</v>
      </c>
    </row>
    <row r="196" spans="1:21" x14ac:dyDescent="0.35">
      <c r="A196">
        <v>847</v>
      </c>
      <c r="B196" s="16">
        <v>40210</v>
      </c>
      <c r="C196" s="15" t="s">
        <v>37</v>
      </c>
      <c r="D196" s="15" t="s">
        <v>38</v>
      </c>
      <c r="E196" s="15" t="s">
        <v>54</v>
      </c>
      <c r="F196" s="15" t="s">
        <v>52</v>
      </c>
      <c r="G196" s="15" t="s">
        <v>57</v>
      </c>
      <c r="H196" s="15" t="s">
        <v>45</v>
      </c>
      <c r="I196">
        <v>80</v>
      </c>
      <c r="J196">
        <v>120</v>
      </c>
      <c r="K196">
        <v>100</v>
      </c>
      <c r="L196">
        <v>200</v>
      </c>
      <c r="M196">
        <v>95</v>
      </c>
      <c r="N196">
        <v>809</v>
      </c>
      <c r="O196">
        <v>137</v>
      </c>
      <c r="P196">
        <v>26</v>
      </c>
      <c r="Q196">
        <v>99</v>
      </c>
      <c r="R196">
        <v>232</v>
      </c>
      <c r="S196">
        <v>1.1599999999999999</v>
      </c>
      <c r="T196">
        <v>0.99</v>
      </c>
      <c r="U196">
        <v>1.1875</v>
      </c>
    </row>
    <row r="197" spans="1:21" x14ac:dyDescent="0.35">
      <c r="A197">
        <v>309</v>
      </c>
      <c r="B197" s="16">
        <v>40210</v>
      </c>
      <c r="C197" s="15" t="s">
        <v>37</v>
      </c>
      <c r="D197" s="15" t="s">
        <v>38</v>
      </c>
      <c r="E197" s="15" t="s">
        <v>55</v>
      </c>
      <c r="F197" s="15" t="s">
        <v>47</v>
      </c>
      <c r="G197" s="15" t="s">
        <v>57</v>
      </c>
      <c r="H197" s="15" t="s">
        <v>42</v>
      </c>
      <c r="I197">
        <v>60</v>
      </c>
      <c r="J197">
        <v>100</v>
      </c>
      <c r="K197">
        <v>80</v>
      </c>
      <c r="L197">
        <v>160</v>
      </c>
      <c r="M197">
        <v>77</v>
      </c>
      <c r="N197">
        <v>449</v>
      </c>
      <c r="O197">
        <v>112</v>
      </c>
      <c r="P197">
        <v>21</v>
      </c>
      <c r="Q197">
        <v>79</v>
      </c>
      <c r="R197">
        <v>189</v>
      </c>
      <c r="S197">
        <v>1.1812499999999999</v>
      </c>
      <c r="T197">
        <v>0.98750000000000004</v>
      </c>
      <c r="U197">
        <v>1.2833333333333334</v>
      </c>
    </row>
    <row r="198" spans="1:21" x14ac:dyDescent="0.35">
      <c r="A198">
        <v>630</v>
      </c>
      <c r="B198" s="16">
        <v>40210</v>
      </c>
      <c r="C198" s="15" t="s">
        <v>37</v>
      </c>
      <c r="D198" s="15" t="s">
        <v>38</v>
      </c>
      <c r="E198" s="15" t="s">
        <v>56</v>
      </c>
      <c r="F198" s="15" t="s">
        <v>47</v>
      </c>
      <c r="G198" s="15" t="s">
        <v>57</v>
      </c>
      <c r="H198" s="15" t="s">
        <v>42</v>
      </c>
      <c r="I198">
        <v>60</v>
      </c>
      <c r="J198">
        <v>100</v>
      </c>
      <c r="K198">
        <v>50</v>
      </c>
      <c r="L198">
        <v>160</v>
      </c>
      <c r="M198">
        <v>75</v>
      </c>
      <c r="N198">
        <v>549</v>
      </c>
      <c r="O198">
        <v>114</v>
      </c>
      <c r="P198">
        <v>24</v>
      </c>
      <c r="Q198">
        <v>59</v>
      </c>
      <c r="R198">
        <v>189</v>
      </c>
      <c r="S198">
        <v>1.1812499999999999</v>
      </c>
      <c r="T198">
        <v>1.18</v>
      </c>
      <c r="U198">
        <v>1.25</v>
      </c>
    </row>
    <row r="199" spans="1:21" x14ac:dyDescent="0.35">
      <c r="A199">
        <v>712</v>
      </c>
      <c r="B199" s="16">
        <v>40210</v>
      </c>
      <c r="C199" s="15" t="s">
        <v>37</v>
      </c>
      <c r="D199" s="15" t="s">
        <v>58</v>
      </c>
      <c r="E199" s="15" t="s">
        <v>39</v>
      </c>
      <c r="F199" s="15" t="s">
        <v>40</v>
      </c>
      <c r="G199" s="15" t="s">
        <v>59</v>
      </c>
      <c r="H199" s="15" t="s">
        <v>42</v>
      </c>
      <c r="I199">
        <v>10</v>
      </c>
      <c r="J199">
        <v>30</v>
      </c>
      <c r="K199">
        <v>20</v>
      </c>
      <c r="L199">
        <v>40</v>
      </c>
      <c r="M199">
        <v>18</v>
      </c>
      <c r="N199">
        <v>818</v>
      </c>
      <c r="O199">
        <v>27</v>
      </c>
      <c r="P199">
        <v>5</v>
      </c>
      <c r="Q199">
        <v>10</v>
      </c>
      <c r="R199">
        <v>45</v>
      </c>
      <c r="S199">
        <v>1.125</v>
      </c>
      <c r="T199">
        <v>0.5</v>
      </c>
      <c r="U199">
        <v>1.8</v>
      </c>
    </row>
    <row r="200" spans="1:21" x14ac:dyDescent="0.35">
      <c r="A200">
        <v>319</v>
      </c>
      <c r="B200" s="16">
        <v>40210</v>
      </c>
      <c r="C200" s="15" t="s">
        <v>37</v>
      </c>
      <c r="D200" s="15" t="s">
        <v>58</v>
      </c>
      <c r="E200" s="15" t="s">
        <v>43</v>
      </c>
      <c r="F200" s="15" t="s">
        <v>40</v>
      </c>
      <c r="G200" s="15" t="s">
        <v>59</v>
      </c>
      <c r="H200" s="15" t="s">
        <v>42</v>
      </c>
      <c r="I200">
        <v>20</v>
      </c>
      <c r="J200">
        <v>40</v>
      </c>
      <c r="K200">
        <v>20</v>
      </c>
      <c r="L200">
        <v>60</v>
      </c>
      <c r="M200">
        <v>28</v>
      </c>
      <c r="N200">
        <v>961</v>
      </c>
      <c r="O200">
        <v>35</v>
      </c>
      <c r="P200">
        <v>8</v>
      </c>
      <c r="Q200">
        <v>6</v>
      </c>
      <c r="R200">
        <v>63</v>
      </c>
      <c r="S200">
        <v>1.05</v>
      </c>
      <c r="T200">
        <v>0.3</v>
      </c>
      <c r="U200">
        <v>1.4</v>
      </c>
    </row>
    <row r="201" spans="1:21" x14ac:dyDescent="0.35">
      <c r="A201">
        <v>712</v>
      </c>
      <c r="B201" s="16">
        <v>40210</v>
      </c>
      <c r="C201" s="15" t="s">
        <v>37</v>
      </c>
      <c r="D201" s="15" t="s">
        <v>58</v>
      </c>
      <c r="E201" s="15" t="s">
        <v>44</v>
      </c>
      <c r="F201" s="15" t="s">
        <v>40</v>
      </c>
      <c r="G201" s="15" t="s">
        <v>59</v>
      </c>
      <c r="H201" s="15" t="s">
        <v>45</v>
      </c>
      <c r="I201">
        <v>20</v>
      </c>
      <c r="J201">
        <v>30</v>
      </c>
      <c r="K201">
        <v>20</v>
      </c>
      <c r="L201">
        <v>50</v>
      </c>
      <c r="M201">
        <v>23</v>
      </c>
      <c r="N201">
        <v>620</v>
      </c>
      <c r="O201">
        <v>31</v>
      </c>
      <c r="P201">
        <v>7</v>
      </c>
      <c r="Q201">
        <v>12</v>
      </c>
      <c r="R201">
        <v>54</v>
      </c>
      <c r="S201">
        <v>1.08</v>
      </c>
      <c r="T201">
        <v>0.6</v>
      </c>
      <c r="U201">
        <v>1.1499999999999999</v>
      </c>
    </row>
    <row r="202" spans="1:21" x14ac:dyDescent="0.35">
      <c r="A202">
        <v>319</v>
      </c>
      <c r="B202" s="16">
        <v>40210</v>
      </c>
      <c r="C202" s="15" t="s">
        <v>37</v>
      </c>
      <c r="D202" s="15" t="s">
        <v>58</v>
      </c>
      <c r="E202" s="15" t="s">
        <v>48</v>
      </c>
      <c r="F202" s="15" t="s">
        <v>49</v>
      </c>
      <c r="G202" s="15" t="s">
        <v>59</v>
      </c>
      <c r="H202" s="15" t="s">
        <v>42</v>
      </c>
      <c r="I202">
        <v>20</v>
      </c>
      <c r="J202">
        <v>30</v>
      </c>
      <c r="K202">
        <v>20</v>
      </c>
      <c r="L202">
        <v>50</v>
      </c>
      <c r="M202">
        <v>19</v>
      </c>
      <c r="N202">
        <v>774</v>
      </c>
      <c r="O202">
        <v>28</v>
      </c>
      <c r="P202">
        <v>5</v>
      </c>
      <c r="Q202">
        <v>11</v>
      </c>
      <c r="R202">
        <v>47</v>
      </c>
      <c r="S202">
        <v>0.94</v>
      </c>
      <c r="T202">
        <v>0.55000000000000004</v>
      </c>
      <c r="U202">
        <v>0.95</v>
      </c>
    </row>
    <row r="203" spans="1:21" x14ac:dyDescent="0.35">
      <c r="A203">
        <v>712</v>
      </c>
      <c r="B203" s="16">
        <v>40210</v>
      </c>
      <c r="C203" s="15" t="s">
        <v>37</v>
      </c>
      <c r="D203" s="15" t="s">
        <v>58</v>
      </c>
      <c r="E203" s="15" t="s">
        <v>50</v>
      </c>
      <c r="F203" s="15" t="s">
        <v>49</v>
      </c>
      <c r="G203" s="15" t="s">
        <v>59</v>
      </c>
      <c r="H203" s="15" t="s">
        <v>45</v>
      </c>
      <c r="I203">
        <v>0</v>
      </c>
      <c r="J203">
        <v>50</v>
      </c>
      <c r="K203">
        <v>40</v>
      </c>
      <c r="L203">
        <v>50</v>
      </c>
      <c r="M203">
        <v>0</v>
      </c>
      <c r="N203">
        <v>774</v>
      </c>
      <c r="O203">
        <v>43</v>
      </c>
      <c r="P203">
        <v>0</v>
      </c>
      <c r="Q203">
        <v>32</v>
      </c>
      <c r="R203">
        <v>43</v>
      </c>
      <c r="S203">
        <v>0.86</v>
      </c>
      <c r="T203">
        <v>0.8</v>
      </c>
    </row>
    <row r="204" spans="1:21" x14ac:dyDescent="0.35">
      <c r="A204">
        <v>563</v>
      </c>
      <c r="B204" s="16">
        <v>40210</v>
      </c>
      <c r="C204" s="15" t="s">
        <v>37</v>
      </c>
      <c r="D204" s="15" t="s">
        <v>58</v>
      </c>
      <c r="E204" s="15" t="s">
        <v>51</v>
      </c>
      <c r="F204" s="15" t="s">
        <v>52</v>
      </c>
      <c r="G204" s="15" t="s">
        <v>59</v>
      </c>
      <c r="H204" s="15" t="s">
        <v>45</v>
      </c>
      <c r="I204">
        <v>200</v>
      </c>
      <c r="J204">
        <v>270</v>
      </c>
      <c r="K204">
        <v>190</v>
      </c>
      <c r="L204">
        <v>470</v>
      </c>
      <c r="M204">
        <v>234</v>
      </c>
      <c r="N204">
        <v>1282</v>
      </c>
      <c r="O204">
        <v>311</v>
      </c>
      <c r="P204">
        <v>77</v>
      </c>
      <c r="Q204">
        <v>201</v>
      </c>
      <c r="R204">
        <v>545</v>
      </c>
      <c r="S204">
        <v>1.1595744680851063</v>
      </c>
      <c r="T204">
        <v>1.0578947368421052</v>
      </c>
      <c r="U204">
        <v>1.17</v>
      </c>
    </row>
    <row r="205" spans="1:21" x14ac:dyDescent="0.35">
      <c r="A205">
        <v>563</v>
      </c>
      <c r="B205" s="16">
        <v>40210</v>
      </c>
      <c r="C205" s="15" t="s">
        <v>37</v>
      </c>
      <c r="D205" s="15" t="s">
        <v>58</v>
      </c>
      <c r="E205" s="15" t="s">
        <v>53</v>
      </c>
      <c r="F205" s="15" t="s">
        <v>52</v>
      </c>
      <c r="G205" s="15" t="s">
        <v>59</v>
      </c>
      <c r="H205" s="15" t="s">
        <v>45</v>
      </c>
      <c r="I205">
        <v>80</v>
      </c>
      <c r="J205">
        <v>140</v>
      </c>
      <c r="K205">
        <v>110</v>
      </c>
      <c r="L205">
        <v>220</v>
      </c>
      <c r="M205">
        <v>104</v>
      </c>
      <c r="N205">
        <v>596</v>
      </c>
      <c r="O205">
        <v>150</v>
      </c>
      <c r="P205">
        <v>33</v>
      </c>
      <c r="Q205">
        <v>95</v>
      </c>
      <c r="R205">
        <v>254</v>
      </c>
      <c r="S205">
        <v>1.1545454545454545</v>
      </c>
      <c r="T205">
        <v>0.86363636363636365</v>
      </c>
      <c r="U205">
        <v>1.3</v>
      </c>
    </row>
    <row r="206" spans="1:21" x14ac:dyDescent="0.35">
      <c r="A206">
        <v>563</v>
      </c>
      <c r="B206" s="16">
        <v>40210</v>
      </c>
      <c r="C206" s="15" t="s">
        <v>37</v>
      </c>
      <c r="D206" s="15" t="s">
        <v>58</v>
      </c>
      <c r="E206" s="15" t="s">
        <v>55</v>
      </c>
      <c r="F206" s="15" t="s">
        <v>47</v>
      </c>
      <c r="G206" s="15" t="s">
        <v>59</v>
      </c>
      <c r="H206" s="15" t="s">
        <v>42</v>
      </c>
      <c r="I206">
        <v>190</v>
      </c>
      <c r="J206">
        <v>210</v>
      </c>
      <c r="K206">
        <v>140</v>
      </c>
      <c r="L206">
        <v>400</v>
      </c>
      <c r="M206">
        <v>228</v>
      </c>
      <c r="N206">
        <v>1436</v>
      </c>
      <c r="O206">
        <v>229</v>
      </c>
      <c r="P206">
        <v>63</v>
      </c>
      <c r="Q206">
        <v>141</v>
      </c>
      <c r="R206">
        <v>457</v>
      </c>
      <c r="S206">
        <v>1.1425000000000001</v>
      </c>
      <c r="T206">
        <v>1.0071428571428571</v>
      </c>
      <c r="U206">
        <v>1.2</v>
      </c>
    </row>
    <row r="207" spans="1:21" x14ac:dyDescent="0.35">
      <c r="A207">
        <v>515</v>
      </c>
      <c r="B207" s="16">
        <v>40210</v>
      </c>
      <c r="C207" s="15" t="s">
        <v>37</v>
      </c>
      <c r="D207" s="15" t="s">
        <v>58</v>
      </c>
      <c r="E207" s="15" t="s">
        <v>56</v>
      </c>
      <c r="F207" s="15" t="s">
        <v>47</v>
      </c>
      <c r="G207" s="15" t="s">
        <v>59</v>
      </c>
      <c r="H207" s="15" t="s">
        <v>42</v>
      </c>
      <c r="I207">
        <v>200</v>
      </c>
      <c r="J207">
        <v>260</v>
      </c>
      <c r="K207">
        <v>150</v>
      </c>
      <c r="L207">
        <v>460</v>
      </c>
      <c r="M207">
        <v>240</v>
      </c>
      <c r="N207">
        <v>1391</v>
      </c>
      <c r="O207">
        <v>294</v>
      </c>
      <c r="P207">
        <v>91</v>
      </c>
      <c r="Q207">
        <v>169</v>
      </c>
      <c r="R207">
        <v>534</v>
      </c>
      <c r="S207">
        <v>1.1608695652173913</v>
      </c>
      <c r="T207">
        <v>1.1266666666666667</v>
      </c>
      <c r="U207">
        <v>1.2</v>
      </c>
    </row>
    <row r="208" spans="1:21" x14ac:dyDescent="0.35">
      <c r="A208">
        <v>314</v>
      </c>
      <c r="B208" s="16">
        <v>40210</v>
      </c>
      <c r="C208" s="15" t="s">
        <v>37</v>
      </c>
      <c r="D208" s="15" t="s">
        <v>58</v>
      </c>
      <c r="E208" s="15" t="s">
        <v>43</v>
      </c>
      <c r="F208" s="15" t="s">
        <v>40</v>
      </c>
      <c r="G208" s="15" t="s">
        <v>60</v>
      </c>
      <c r="H208" s="15" t="s">
        <v>42</v>
      </c>
      <c r="I208">
        <v>90</v>
      </c>
      <c r="J208">
        <v>110</v>
      </c>
      <c r="K208">
        <v>50</v>
      </c>
      <c r="L208">
        <v>200</v>
      </c>
      <c r="M208">
        <v>86</v>
      </c>
      <c r="N208">
        <v>484</v>
      </c>
      <c r="O208">
        <v>107</v>
      </c>
      <c r="P208">
        <v>32</v>
      </c>
      <c r="Q208">
        <v>42</v>
      </c>
      <c r="R208">
        <v>193</v>
      </c>
      <c r="S208">
        <v>0.96499999999999997</v>
      </c>
      <c r="T208">
        <v>0.84</v>
      </c>
      <c r="U208">
        <v>0.9555555555555556</v>
      </c>
    </row>
    <row r="209" spans="1:21" x14ac:dyDescent="0.35">
      <c r="A209">
        <v>816</v>
      </c>
      <c r="B209" s="16">
        <v>40210</v>
      </c>
      <c r="C209" s="15" t="s">
        <v>37</v>
      </c>
      <c r="D209" s="15" t="s">
        <v>58</v>
      </c>
      <c r="E209" s="15" t="s">
        <v>44</v>
      </c>
      <c r="F209" s="15" t="s">
        <v>40</v>
      </c>
      <c r="G209" s="15" t="s">
        <v>60</v>
      </c>
      <c r="H209" s="15" t="s">
        <v>45</v>
      </c>
      <c r="I209">
        <v>70</v>
      </c>
      <c r="J209">
        <v>100</v>
      </c>
      <c r="K209">
        <v>60</v>
      </c>
      <c r="L209">
        <v>170</v>
      </c>
      <c r="M209">
        <v>75</v>
      </c>
      <c r="N209">
        <v>956</v>
      </c>
      <c r="O209">
        <v>90</v>
      </c>
      <c r="P209">
        <v>23</v>
      </c>
      <c r="Q209">
        <v>46</v>
      </c>
      <c r="R209">
        <v>165</v>
      </c>
      <c r="S209">
        <v>0.97058823529411764</v>
      </c>
      <c r="T209">
        <v>0.76666666666666672</v>
      </c>
      <c r="U209">
        <v>1.0714285714285714</v>
      </c>
    </row>
    <row r="210" spans="1:21" x14ac:dyDescent="0.35">
      <c r="A210">
        <v>573</v>
      </c>
      <c r="B210" s="16">
        <v>40210</v>
      </c>
      <c r="C210" s="15" t="s">
        <v>37</v>
      </c>
      <c r="D210" s="15" t="s">
        <v>58</v>
      </c>
      <c r="E210" s="15" t="s">
        <v>46</v>
      </c>
      <c r="F210" s="15" t="s">
        <v>47</v>
      </c>
      <c r="G210" s="15" t="s">
        <v>60</v>
      </c>
      <c r="H210" s="15" t="s">
        <v>42</v>
      </c>
      <c r="I210">
        <v>20</v>
      </c>
      <c r="J210">
        <v>40</v>
      </c>
      <c r="K210">
        <v>0</v>
      </c>
      <c r="L210">
        <v>60</v>
      </c>
      <c r="M210">
        <v>33</v>
      </c>
      <c r="N210">
        <v>193</v>
      </c>
      <c r="O210">
        <v>41</v>
      </c>
      <c r="P210">
        <v>12</v>
      </c>
      <c r="Q210">
        <v>-4</v>
      </c>
      <c r="R210">
        <v>74</v>
      </c>
      <c r="S210">
        <v>1.2333333333333334</v>
      </c>
      <c r="U210">
        <v>1.65</v>
      </c>
    </row>
    <row r="211" spans="1:21" x14ac:dyDescent="0.35">
      <c r="A211">
        <v>573</v>
      </c>
      <c r="B211" s="16">
        <v>40210</v>
      </c>
      <c r="C211" s="15" t="s">
        <v>37</v>
      </c>
      <c r="D211" s="15" t="s">
        <v>58</v>
      </c>
      <c r="E211" s="15" t="s">
        <v>48</v>
      </c>
      <c r="F211" s="15" t="s">
        <v>49</v>
      </c>
      <c r="G211" s="15" t="s">
        <v>60</v>
      </c>
      <c r="H211" s="15" t="s">
        <v>42</v>
      </c>
      <c r="I211">
        <v>50</v>
      </c>
      <c r="J211">
        <v>90</v>
      </c>
      <c r="K211">
        <v>70</v>
      </c>
      <c r="L211">
        <v>140</v>
      </c>
      <c r="M211">
        <v>50</v>
      </c>
      <c r="N211">
        <v>814</v>
      </c>
      <c r="O211">
        <v>73</v>
      </c>
      <c r="P211">
        <v>14</v>
      </c>
      <c r="Q211">
        <v>48</v>
      </c>
      <c r="R211">
        <v>123</v>
      </c>
      <c r="S211">
        <v>0.87857142857142856</v>
      </c>
      <c r="T211">
        <v>0.68571428571428572</v>
      </c>
      <c r="U211">
        <v>1</v>
      </c>
    </row>
    <row r="212" spans="1:21" x14ac:dyDescent="0.35">
      <c r="A212">
        <v>573</v>
      </c>
      <c r="B212" s="16">
        <v>40210</v>
      </c>
      <c r="C212" s="15" t="s">
        <v>37</v>
      </c>
      <c r="D212" s="15" t="s">
        <v>58</v>
      </c>
      <c r="E212" s="15" t="s">
        <v>50</v>
      </c>
      <c r="F212" s="15" t="s">
        <v>49</v>
      </c>
      <c r="G212" s="15" t="s">
        <v>60</v>
      </c>
      <c r="H212" s="15" t="s">
        <v>45</v>
      </c>
      <c r="I212">
        <v>40</v>
      </c>
      <c r="J212">
        <v>80</v>
      </c>
      <c r="K212">
        <v>60</v>
      </c>
      <c r="L212">
        <v>120</v>
      </c>
      <c r="M212">
        <v>42</v>
      </c>
      <c r="N212">
        <v>771</v>
      </c>
      <c r="O212">
        <v>61</v>
      </c>
      <c r="P212">
        <v>11</v>
      </c>
      <c r="Q212">
        <v>38</v>
      </c>
      <c r="R212">
        <v>103</v>
      </c>
      <c r="S212">
        <v>0.85833333333333328</v>
      </c>
      <c r="T212">
        <v>0.6333333333333333</v>
      </c>
      <c r="U212">
        <v>1.05</v>
      </c>
    </row>
    <row r="213" spans="1:21" x14ac:dyDescent="0.35">
      <c r="A213">
        <v>636</v>
      </c>
      <c r="B213" s="16">
        <v>40210</v>
      </c>
      <c r="C213" s="15" t="s">
        <v>37</v>
      </c>
      <c r="D213" s="15" t="s">
        <v>58</v>
      </c>
      <c r="E213" s="15" t="s">
        <v>51</v>
      </c>
      <c r="F213" s="15" t="s">
        <v>52</v>
      </c>
      <c r="G213" s="15" t="s">
        <v>60</v>
      </c>
      <c r="H213" s="15" t="s">
        <v>45</v>
      </c>
      <c r="I213">
        <v>30</v>
      </c>
      <c r="J213">
        <v>60</v>
      </c>
      <c r="K213">
        <v>10</v>
      </c>
      <c r="L213">
        <v>90</v>
      </c>
      <c r="M213">
        <v>43</v>
      </c>
      <c r="N213">
        <v>256</v>
      </c>
      <c r="O213">
        <v>61</v>
      </c>
      <c r="P213">
        <v>39</v>
      </c>
      <c r="Q213">
        <v>-8</v>
      </c>
      <c r="R213">
        <v>104</v>
      </c>
      <c r="S213">
        <v>1.1555555555555554</v>
      </c>
      <c r="T213">
        <v>-0.8</v>
      </c>
      <c r="U213">
        <v>1.4333333333333333</v>
      </c>
    </row>
    <row r="214" spans="1:21" x14ac:dyDescent="0.35">
      <c r="A214">
        <v>417</v>
      </c>
      <c r="B214" s="16">
        <v>40210</v>
      </c>
      <c r="C214" s="15" t="s">
        <v>37</v>
      </c>
      <c r="D214" s="15" t="s">
        <v>58</v>
      </c>
      <c r="E214" s="15" t="s">
        <v>53</v>
      </c>
      <c r="F214" s="15" t="s">
        <v>52</v>
      </c>
      <c r="G214" s="15" t="s">
        <v>60</v>
      </c>
      <c r="H214" s="15" t="s">
        <v>45</v>
      </c>
      <c r="I214">
        <v>70</v>
      </c>
      <c r="J214">
        <v>10</v>
      </c>
      <c r="K214">
        <v>-20</v>
      </c>
      <c r="L214">
        <v>80</v>
      </c>
      <c r="M214">
        <v>84</v>
      </c>
      <c r="N214">
        <v>625</v>
      </c>
      <c r="O214">
        <v>18</v>
      </c>
      <c r="P214">
        <v>26</v>
      </c>
      <c r="Q214">
        <v>-32</v>
      </c>
      <c r="R214">
        <v>102</v>
      </c>
      <c r="S214">
        <v>1.2749999999999999</v>
      </c>
      <c r="T214">
        <v>1.6</v>
      </c>
      <c r="U214">
        <v>1.2</v>
      </c>
    </row>
    <row r="215" spans="1:21" x14ac:dyDescent="0.35">
      <c r="A215">
        <v>816</v>
      </c>
      <c r="B215" s="16">
        <v>40210</v>
      </c>
      <c r="C215" s="15" t="s">
        <v>37</v>
      </c>
      <c r="D215" s="15" t="s">
        <v>58</v>
      </c>
      <c r="E215" s="15" t="s">
        <v>55</v>
      </c>
      <c r="F215" s="15" t="s">
        <v>47</v>
      </c>
      <c r="G215" s="15" t="s">
        <v>60</v>
      </c>
      <c r="H215" s="15" t="s">
        <v>42</v>
      </c>
      <c r="I215">
        <v>30</v>
      </c>
      <c r="J215">
        <v>40</v>
      </c>
      <c r="K215">
        <v>10</v>
      </c>
      <c r="L215">
        <v>70</v>
      </c>
      <c r="M215">
        <v>35</v>
      </c>
      <c r="N215">
        <v>191</v>
      </c>
      <c r="O215">
        <v>47</v>
      </c>
      <c r="P215">
        <v>11</v>
      </c>
      <c r="Q215">
        <v>9</v>
      </c>
      <c r="R215">
        <v>82</v>
      </c>
      <c r="S215">
        <v>1.1714285714285715</v>
      </c>
      <c r="T215">
        <v>0.9</v>
      </c>
      <c r="U215">
        <v>1.1666666666666667</v>
      </c>
    </row>
    <row r="216" spans="1:21" x14ac:dyDescent="0.35">
      <c r="A216">
        <v>314</v>
      </c>
      <c r="B216" s="16">
        <v>40210</v>
      </c>
      <c r="C216" s="15" t="s">
        <v>37</v>
      </c>
      <c r="D216" s="15" t="s">
        <v>58</v>
      </c>
      <c r="E216" s="15" t="s">
        <v>56</v>
      </c>
      <c r="F216" s="15" t="s">
        <v>47</v>
      </c>
      <c r="G216" s="15" t="s">
        <v>60</v>
      </c>
      <c r="H216" s="15" t="s">
        <v>42</v>
      </c>
      <c r="I216">
        <v>20</v>
      </c>
      <c r="J216">
        <v>30</v>
      </c>
      <c r="K216">
        <v>-10</v>
      </c>
      <c r="L216">
        <v>50</v>
      </c>
      <c r="M216">
        <v>30</v>
      </c>
      <c r="N216">
        <v>165</v>
      </c>
      <c r="O216">
        <v>38</v>
      </c>
      <c r="P216">
        <v>11</v>
      </c>
      <c r="Q216">
        <v>-7</v>
      </c>
      <c r="R216">
        <v>68</v>
      </c>
      <c r="S216">
        <v>1.36</v>
      </c>
      <c r="T216">
        <v>0.7</v>
      </c>
      <c r="U216">
        <v>1.5</v>
      </c>
    </row>
    <row r="217" spans="1:21" x14ac:dyDescent="0.35">
      <c r="A217">
        <v>937</v>
      </c>
      <c r="B217" s="16">
        <v>40210</v>
      </c>
      <c r="C217" s="15" t="s">
        <v>37</v>
      </c>
      <c r="D217" s="15" t="s">
        <v>38</v>
      </c>
      <c r="E217" s="15" t="s">
        <v>39</v>
      </c>
      <c r="F217" s="15" t="s">
        <v>40</v>
      </c>
      <c r="G217" s="15" t="s">
        <v>61</v>
      </c>
      <c r="H217" s="15" t="s">
        <v>42</v>
      </c>
      <c r="I217">
        <v>60</v>
      </c>
      <c r="J217">
        <v>80</v>
      </c>
      <c r="K217">
        <v>50</v>
      </c>
      <c r="L217">
        <v>140</v>
      </c>
      <c r="M217">
        <v>60</v>
      </c>
      <c r="N217">
        <v>329</v>
      </c>
      <c r="O217">
        <v>80</v>
      </c>
      <c r="P217">
        <v>19</v>
      </c>
      <c r="Q217">
        <v>33</v>
      </c>
      <c r="R217">
        <v>140</v>
      </c>
      <c r="S217">
        <v>1</v>
      </c>
      <c r="T217">
        <v>0.66</v>
      </c>
      <c r="U217">
        <v>1</v>
      </c>
    </row>
    <row r="218" spans="1:21" x14ac:dyDescent="0.35">
      <c r="A218">
        <v>513</v>
      </c>
      <c r="B218" s="16">
        <v>40210</v>
      </c>
      <c r="C218" s="15" t="s">
        <v>37</v>
      </c>
      <c r="D218" s="15" t="s">
        <v>38</v>
      </c>
      <c r="E218" s="15" t="s">
        <v>43</v>
      </c>
      <c r="F218" s="15" t="s">
        <v>40</v>
      </c>
      <c r="G218" s="15" t="s">
        <v>61</v>
      </c>
      <c r="H218" s="15" t="s">
        <v>42</v>
      </c>
      <c r="I218">
        <v>50</v>
      </c>
      <c r="J218">
        <v>80</v>
      </c>
      <c r="K218">
        <v>50</v>
      </c>
      <c r="L218">
        <v>130</v>
      </c>
      <c r="M218">
        <v>52</v>
      </c>
      <c r="N218">
        <v>357</v>
      </c>
      <c r="O218">
        <v>76</v>
      </c>
      <c r="P218">
        <v>16</v>
      </c>
      <c r="Q218">
        <v>38</v>
      </c>
      <c r="R218">
        <v>128</v>
      </c>
      <c r="S218">
        <v>0.98461538461538467</v>
      </c>
      <c r="T218">
        <v>0.76</v>
      </c>
      <c r="U218">
        <v>1.04</v>
      </c>
    </row>
    <row r="219" spans="1:21" x14ac:dyDescent="0.35">
      <c r="A219">
        <v>614</v>
      </c>
      <c r="B219" s="16">
        <v>40210</v>
      </c>
      <c r="C219" s="15" t="s">
        <v>37</v>
      </c>
      <c r="D219" s="15" t="s">
        <v>38</v>
      </c>
      <c r="E219" s="15" t="s">
        <v>44</v>
      </c>
      <c r="F219" s="15" t="s">
        <v>40</v>
      </c>
      <c r="G219" s="15" t="s">
        <v>61</v>
      </c>
      <c r="H219" s="15" t="s">
        <v>45</v>
      </c>
      <c r="I219">
        <v>50</v>
      </c>
      <c r="J219">
        <v>80</v>
      </c>
      <c r="K219">
        <v>20</v>
      </c>
      <c r="L219">
        <v>130</v>
      </c>
      <c r="M219">
        <v>54</v>
      </c>
      <c r="N219">
        <v>427</v>
      </c>
      <c r="O219">
        <v>75</v>
      </c>
      <c r="P219">
        <v>49</v>
      </c>
      <c r="Q219">
        <v>-3</v>
      </c>
      <c r="R219">
        <v>129</v>
      </c>
      <c r="S219">
        <v>0.99230769230769234</v>
      </c>
      <c r="T219">
        <v>-0.15</v>
      </c>
      <c r="U219">
        <v>1.08</v>
      </c>
    </row>
    <row r="220" spans="1:21" x14ac:dyDescent="0.35">
      <c r="A220">
        <v>614</v>
      </c>
      <c r="B220" s="16">
        <v>40210</v>
      </c>
      <c r="C220" s="15" t="s">
        <v>37</v>
      </c>
      <c r="D220" s="15" t="s">
        <v>38</v>
      </c>
      <c r="E220" s="15" t="s">
        <v>55</v>
      </c>
      <c r="F220" s="15" t="s">
        <v>47</v>
      </c>
      <c r="G220" s="15" t="s">
        <v>61</v>
      </c>
      <c r="H220" s="15" t="s">
        <v>42</v>
      </c>
      <c r="I220">
        <v>60</v>
      </c>
      <c r="J220">
        <v>110</v>
      </c>
      <c r="K220">
        <v>60</v>
      </c>
      <c r="L220">
        <v>170</v>
      </c>
      <c r="M220">
        <v>80</v>
      </c>
      <c r="N220">
        <v>640</v>
      </c>
      <c r="O220">
        <v>120</v>
      </c>
      <c r="P220">
        <v>26</v>
      </c>
      <c r="Q220">
        <v>62</v>
      </c>
      <c r="R220">
        <v>200</v>
      </c>
      <c r="S220">
        <v>1.1764705882352942</v>
      </c>
      <c r="T220">
        <v>1.0333333333333334</v>
      </c>
      <c r="U220">
        <v>1.3333333333333333</v>
      </c>
    </row>
    <row r="221" spans="1:21" x14ac:dyDescent="0.35">
      <c r="A221">
        <v>513</v>
      </c>
      <c r="B221" s="16">
        <v>40210</v>
      </c>
      <c r="C221" s="15" t="s">
        <v>37</v>
      </c>
      <c r="D221" s="15" t="s">
        <v>38</v>
      </c>
      <c r="E221" s="15" t="s">
        <v>56</v>
      </c>
      <c r="F221" s="15" t="s">
        <v>47</v>
      </c>
      <c r="G221" s="15" t="s">
        <v>61</v>
      </c>
      <c r="H221" s="15" t="s">
        <v>42</v>
      </c>
      <c r="I221">
        <v>70</v>
      </c>
      <c r="J221">
        <v>110</v>
      </c>
      <c r="K221">
        <v>70</v>
      </c>
      <c r="L221">
        <v>180</v>
      </c>
      <c r="M221">
        <v>86</v>
      </c>
      <c r="N221">
        <v>490</v>
      </c>
      <c r="O221">
        <v>120</v>
      </c>
      <c r="P221">
        <v>26</v>
      </c>
      <c r="Q221">
        <v>71</v>
      </c>
      <c r="R221">
        <v>206</v>
      </c>
      <c r="S221">
        <v>1.1444444444444444</v>
      </c>
      <c r="T221">
        <v>1.0142857142857142</v>
      </c>
      <c r="U221">
        <v>1.2285714285714286</v>
      </c>
    </row>
    <row r="222" spans="1:21" x14ac:dyDescent="0.35">
      <c r="A222">
        <v>614</v>
      </c>
      <c r="B222" s="16">
        <v>40210</v>
      </c>
      <c r="C222" s="15" t="s">
        <v>37</v>
      </c>
      <c r="D222" s="15" t="s">
        <v>38</v>
      </c>
      <c r="E222" s="15" t="s">
        <v>50</v>
      </c>
      <c r="F222" s="15" t="s">
        <v>49</v>
      </c>
      <c r="G222" s="15" t="s">
        <v>61</v>
      </c>
      <c r="H222" s="15" t="s">
        <v>45</v>
      </c>
      <c r="I222">
        <v>60</v>
      </c>
      <c r="J222">
        <v>90</v>
      </c>
      <c r="K222">
        <v>40</v>
      </c>
      <c r="L222">
        <v>150</v>
      </c>
      <c r="M222">
        <v>59</v>
      </c>
      <c r="N222">
        <v>331</v>
      </c>
      <c r="O222">
        <v>73</v>
      </c>
      <c r="P222">
        <v>22</v>
      </c>
      <c r="Q222">
        <v>18</v>
      </c>
      <c r="R222">
        <v>132</v>
      </c>
      <c r="S222">
        <v>0.88</v>
      </c>
      <c r="T222">
        <v>0.45</v>
      </c>
      <c r="U222">
        <v>0.98333333333333328</v>
      </c>
    </row>
    <row r="223" spans="1:21" x14ac:dyDescent="0.35">
      <c r="A223">
        <v>234</v>
      </c>
      <c r="B223" s="16">
        <v>40210</v>
      </c>
      <c r="C223" s="15" t="s">
        <v>37</v>
      </c>
      <c r="D223" s="15" t="s">
        <v>38</v>
      </c>
      <c r="E223" s="15" t="s">
        <v>48</v>
      </c>
      <c r="F223" s="15" t="s">
        <v>49</v>
      </c>
      <c r="G223" s="15" t="s">
        <v>61</v>
      </c>
      <c r="H223" s="15" t="s">
        <v>42</v>
      </c>
      <c r="I223">
        <v>190</v>
      </c>
      <c r="J223">
        <v>210</v>
      </c>
      <c r="K223">
        <v>140</v>
      </c>
      <c r="L223">
        <v>400</v>
      </c>
      <c r="M223">
        <v>170</v>
      </c>
      <c r="N223">
        <v>1073</v>
      </c>
      <c r="O223">
        <v>170</v>
      </c>
      <c r="P223">
        <v>47</v>
      </c>
      <c r="Q223">
        <v>98</v>
      </c>
      <c r="R223">
        <v>340</v>
      </c>
      <c r="S223">
        <v>0.85</v>
      </c>
      <c r="T223">
        <v>0.7</v>
      </c>
      <c r="U223">
        <v>0.89473684210526316</v>
      </c>
    </row>
    <row r="224" spans="1:21" x14ac:dyDescent="0.35">
      <c r="A224">
        <v>330</v>
      </c>
      <c r="B224" s="16">
        <v>40210</v>
      </c>
      <c r="C224" s="15" t="s">
        <v>37</v>
      </c>
      <c r="D224" s="15" t="s">
        <v>38</v>
      </c>
      <c r="E224" s="15" t="s">
        <v>51</v>
      </c>
      <c r="F224" s="15" t="s">
        <v>52</v>
      </c>
      <c r="G224" s="15" t="s">
        <v>61</v>
      </c>
      <c r="H224" s="15" t="s">
        <v>45</v>
      </c>
      <c r="I224">
        <v>10</v>
      </c>
      <c r="J224">
        <v>30</v>
      </c>
      <c r="K224">
        <v>30</v>
      </c>
      <c r="L224">
        <v>40</v>
      </c>
      <c r="M224">
        <v>22</v>
      </c>
      <c r="N224">
        <v>452</v>
      </c>
      <c r="O224">
        <v>34</v>
      </c>
      <c r="P224">
        <v>6</v>
      </c>
      <c r="Q224">
        <v>17</v>
      </c>
      <c r="R224">
        <v>56</v>
      </c>
      <c r="S224">
        <v>1.4</v>
      </c>
      <c r="T224">
        <v>0.56666666666666665</v>
      </c>
      <c r="U224">
        <v>2.2000000000000002</v>
      </c>
    </row>
    <row r="225" spans="1:21" x14ac:dyDescent="0.35">
      <c r="A225">
        <v>740</v>
      </c>
      <c r="B225" s="16">
        <v>40210</v>
      </c>
      <c r="C225" s="15" t="s">
        <v>37</v>
      </c>
      <c r="D225" s="15" t="s">
        <v>38</v>
      </c>
      <c r="E225" s="15" t="s">
        <v>53</v>
      </c>
      <c r="F225" s="15" t="s">
        <v>52</v>
      </c>
      <c r="G225" s="15" t="s">
        <v>61</v>
      </c>
      <c r="H225" s="15" t="s">
        <v>45</v>
      </c>
      <c r="I225">
        <v>20</v>
      </c>
      <c r="J225">
        <v>50</v>
      </c>
      <c r="K225">
        <v>50</v>
      </c>
      <c r="L225">
        <v>70</v>
      </c>
      <c r="M225">
        <v>32</v>
      </c>
      <c r="N225">
        <v>817</v>
      </c>
      <c r="O225">
        <v>48</v>
      </c>
      <c r="P225">
        <v>8</v>
      </c>
      <c r="Q225">
        <v>28</v>
      </c>
      <c r="R225">
        <v>80</v>
      </c>
      <c r="S225">
        <v>1.1428571428571428</v>
      </c>
      <c r="T225">
        <v>0.56000000000000005</v>
      </c>
      <c r="U225">
        <v>1.6</v>
      </c>
    </row>
    <row r="226" spans="1:21" x14ac:dyDescent="0.35">
      <c r="A226">
        <v>262</v>
      </c>
      <c r="B226" s="16">
        <v>40210</v>
      </c>
      <c r="C226" s="15" t="s">
        <v>37</v>
      </c>
      <c r="D226" s="15" t="s">
        <v>58</v>
      </c>
      <c r="E226" s="15" t="s">
        <v>39</v>
      </c>
      <c r="F226" s="15" t="s">
        <v>40</v>
      </c>
      <c r="G226" s="15" t="s">
        <v>62</v>
      </c>
      <c r="H226" s="15" t="s">
        <v>42</v>
      </c>
      <c r="I226">
        <v>50</v>
      </c>
      <c r="J226">
        <v>70</v>
      </c>
      <c r="K226">
        <v>30</v>
      </c>
      <c r="L226">
        <v>120</v>
      </c>
      <c r="M226">
        <v>53</v>
      </c>
      <c r="N226">
        <v>306</v>
      </c>
      <c r="O226">
        <v>65</v>
      </c>
      <c r="P226">
        <v>20</v>
      </c>
      <c r="Q226">
        <v>12</v>
      </c>
      <c r="R226">
        <v>118</v>
      </c>
      <c r="S226">
        <v>0.98333333333333328</v>
      </c>
      <c r="T226">
        <v>0.4</v>
      </c>
      <c r="U226">
        <v>1.06</v>
      </c>
    </row>
    <row r="227" spans="1:21" x14ac:dyDescent="0.35">
      <c r="A227">
        <v>920</v>
      </c>
      <c r="B227" s="16">
        <v>40210</v>
      </c>
      <c r="C227" s="15" t="s">
        <v>37</v>
      </c>
      <c r="D227" s="15" t="s">
        <v>58</v>
      </c>
      <c r="E227" s="15" t="s">
        <v>43</v>
      </c>
      <c r="F227" s="15" t="s">
        <v>40</v>
      </c>
      <c r="G227" s="15" t="s">
        <v>62</v>
      </c>
      <c r="H227" s="15" t="s">
        <v>42</v>
      </c>
      <c r="I227">
        <v>90</v>
      </c>
      <c r="J227">
        <v>140</v>
      </c>
      <c r="K227">
        <v>40</v>
      </c>
      <c r="L227">
        <v>230</v>
      </c>
      <c r="M227">
        <v>92</v>
      </c>
      <c r="N227">
        <v>541</v>
      </c>
      <c r="O227">
        <v>128</v>
      </c>
      <c r="P227">
        <v>83</v>
      </c>
      <c r="Q227">
        <v>15</v>
      </c>
      <c r="R227">
        <v>220</v>
      </c>
      <c r="S227">
        <v>0.95652173913043481</v>
      </c>
      <c r="T227">
        <v>0.375</v>
      </c>
      <c r="U227">
        <v>1.0222222222222221</v>
      </c>
    </row>
    <row r="228" spans="1:21" x14ac:dyDescent="0.35">
      <c r="A228">
        <v>414</v>
      </c>
      <c r="B228" s="16">
        <v>40210</v>
      </c>
      <c r="C228" s="15" t="s">
        <v>37</v>
      </c>
      <c r="D228" s="15" t="s">
        <v>58</v>
      </c>
      <c r="E228" s="15" t="s">
        <v>44</v>
      </c>
      <c r="F228" s="15" t="s">
        <v>40</v>
      </c>
      <c r="G228" s="15" t="s">
        <v>62</v>
      </c>
      <c r="H228" s="15" t="s">
        <v>45</v>
      </c>
      <c r="I228">
        <v>80</v>
      </c>
      <c r="J228">
        <v>100</v>
      </c>
      <c r="K228">
        <v>60</v>
      </c>
      <c r="L228">
        <v>180</v>
      </c>
      <c r="M228">
        <v>77</v>
      </c>
      <c r="N228">
        <v>423</v>
      </c>
      <c r="O228">
        <v>103</v>
      </c>
      <c r="P228">
        <v>25</v>
      </c>
      <c r="Q228">
        <v>50</v>
      </c>
      <c r="R228">
        <v>180</v>
      </c>
      <c r="S228">
        <v>1</v>
      </c>
      <c r="T228">
        <v>0.83333333333333337</v>
      </c>
      <c r="U228">
        <v>0.96250000000000002</v>
      </c>
    </row>
    <row r="229" spans="1:21" x14ac:dyDescent="0.35">
      <c r="A229">
        <v>920</v>
      </c>
      <c r="B229" s="16">
        <v>40210</v>
      </c>
      <c r="C229" s="15" t="s">
        <v>37</v>
      </c>
      <c r="D229" s="15" t="s">
        <v>58</v>
      </c>
      <c r="E229" s="15" t="s">
        <v>55</v>
      </c>
      <c r="F229" s="15" t="s">
        <v>47</v>
      </c>
      <c r="G229" s="15" t="s">
        <v>62</v>
      </c>
      <c r="H229" s="15" t="s">
        <v>42</v>
      </c>
      <c r="I229">
        <v>40</v>
      </c>
      <c r="J229">
        <v>80</v>
      </c>
      <c r="K229">
        <v>50</v>
      </c>
      <c r="L229">
        <v>120</v>
      </c>
      <c r="M229">
        <v>56</v>
      </c>
      <c r="N229">
        <v>382</v>
      </c>
      <c r="O229">
        <v>81</v>
      </c>
      <c r="P229">
        <v>17</v>
      </c>
      <c r="Q229">
        <v>41</v>
      </c>
      <c r="R229">
        <v>137</v>
      </c>
      <c r="S229">
        <v>1.1416666666666666</v>
      </c>
      <c r="T229">
        <v>0.82</v>
      </c>
      <c r="U229">
        <v>1.4</v>
      </c>
    </row>
    <row r="230" spans="1:21" x14ac:dyDescent="0.35">
      <c r="A230">
        <v>414</v>
      </c>
      <c r="B230" s="16">
        <v>40210</v>
      </c>
      <c r="C230" s="15" t="s">
        <v>37</v>
      </c>
      <c r="D230" s="15" t="s">
        <v>58</v>
      </c>
      <c r="E230" s="15" t="s">
        <v>56</v>
      </c>
      <c r="F230" s="15" t="s">
        <v>47</v>
      </c>
      <c r="G230" s="15" t="s">
        <v>62</v>
      </c>
      <c r="H230" s="15" t="s">
        <v>42</v>
      </c>
      <c r="I230">
        <v>50</v>
      </c>
      <c r="J230">
        <v>80</v>
      </c>
      <c r="K230">
        <v>10</v>
      </c>
      <c r="L230">
        <v>130</v>
      </c>
      <c r="M230">
        <v>65</v>
      </c>
      <c r="N230">
        <v>513</v>
      </c>
      <c r="O230">
        <v>90</v>
      </c>
      <c r="P230">
        <v>58</v>
      </c>
      <c r="Q230">
        <v>3</v>
      </c>
      <c r="R230">
        <v>155</v>
      </c>
      <c r="S230">
        <v>1.1923076923076923</v>
      </c>
      <c r="T230">
        <v>0.3</v>
      </c>
      <c r="U230">
        <v>1.3</v>
      </c>
    </row>
    <row r="231" spans="1:21" x14ac:dyDescent="0.35">
      <c r="A231">
        <v>715</v>
      </c>
      <c r="B231" s="16">
        <v>40210</v>
      </c>
      <c r="C231" s="15" t="s">
        <v>37</v>
      </c>
      <c r="D231" s="15" t="s">
        <v>58</v>
      </c>
      <c r="E231" s="15" t="s">
        <v>50</v>
      </c>
      <c r="F231" s="15" t="s">
        <v>49</v>
      </c>
      <c r="G231" s="15" t="s">
        <v>62</v>
      </c>
      <c r="H231" s="15" t="s">
        <v>45</v>
      </c>
      <c r="I231">
        <v>50</v>
      </c>
      <c r="J231">
        <v>70</v>
      </c>
      <c r="K231">
        <v>50</v>
      </c>
      <c r="L231">
        <v>120</v>
      </c>
      <c r="M231">
        <v>48</v>
      </c>
      <c r="N231">
        <v>617</v>
      </c>
      <c r="O231">
        <v>62</v>
      </c>
      <c r="P231">
        <v>15</v>
      </c>
      <c r="Q231">
        <v>35</v>
      </c>
      <c r="R231">
        <v>110</v>
      </c>
      <c r="S231">
        <v>0.91666666666666663</v>
      </c>
      <c r="T231">
        <v>0.7</v>
      </c>
      <c r="U231">
        <v>0.96</v>
      </c>
    </row>
    <row r="232" spans="1:21" x14ac:dyDescent="0.35">
      <c r="A232">
        <v>414</v>
      </c>
      <c r="B232" s="16">
        <v>40210</v>
      </c>
      <c r="C232" s="15" t="s">
        <v>37</v>
      </c>
      <c r="D232" s="15" t="s">
        <v>58</v>
      </c>
      <c r="E232" s="15" t="s">
        <v>48</v>
      </c>
      <c r="F232" s="15" t="s">
        <v>49</v>
      </c>
      <c r="G232" s="15" t="s">
        <v>62</v>
      </c>
      <c r="H232" s="15" t="s">
        <v>42</v>
      </c>
      <c r="I232">
        <v>80</v>
      </c>
      <c r="J232">
        <v>100</v>
      </c>
      <c r="K232">
        <v>60</v>
      </c>
      <c r="L232">
        <v>180</v>
      </c>
      <c r="M232">
        <v>70</v>
      </c>
      <c r="N232">
        <v>957</v>
      </c>
      <c r="O232">
        <v>84</v>
      </c>
      <c r="P232">
        <v>21</v>
      </c>
      <c r="Q232">
        <v>42</v>
      </c>
      <c r="R232">
        <v>154</v>
      </c>
      <c r="S232">
        <v>0.85555555555555551</v>
      </c>
      <c r="T232">
        <v>0.7</v>
      </c>
      <c r="U232">
        <v>0.875</v>
      </c>
    </row>
    <row r="233" spans="1:21" x14ac:dyDescent="0.35">
      <c r="A233">
        <v>715</v>
      </c>
      <c r="B233" s="16">
        <v>40210</v>
      </c>
      <c r="C233" s="15" t="s">
        <v>37</v>
      </c>
      <c r="D233" s="15" t="s">
        <v>58</v>
      </c>
      <c r="E233" s="15" t="s">
        <v>51</v>
      </c>
      <c r="F233" s="15" t="s">
        <v>52</v>
      </c>
      <c r="G233" s="15" t="s">
        <v>62</v>
      </c>
      <c r="H233" s="15" t="s">
        <v>45</v>
      </c>
      <c r="I233">
        <v>50</v>
      </c>
      <c r="J233">
        <v>100</v>
      </c>
      <c r="K233">
        <v>80</v>
      </c>
      <c r="L233">
        <v>150</v>
      </c>
      <c r="M233">
        <v>65</v>
      </c>
      <c r="N233">
        <v>372</v>
      </c>
      <c r="O233">
        <v>109</v>
      </c>
      <c r="P233">
        <v>20</v>
      </c>
      <c r="Q233">
        <v>66</v>
      </c>
      <c r="R233">
        <v>174</v>
      </c>
      <c r="S233">
        <v>1.1599999999999999</v>
      </c>
      <c r="T233">
        <v>0.82499999999999996</v>
      </c>
      <c r="U233">
        <v>1.3</v>
      </c>
    </row>
    <row r="234" spans="1:21" x14ac:dyDescent="0.35">
      <c r="A234">
        <v>262</v>
      </c>
      <c r="B234" s="16">
        <v>40210</v>
      </c>
      <c r="C234" s="15" t="s">
        <v>37</v>
      </c>
      <c r="D234" s="15" t="s">
        <v>58</v>
      </c>
      <c r="E234" s="15" t="s">
        <v>53</v>
      </c>
      <c r="F234" s="15" t="s">
        <v>52</v>
      </c>
      <c r="G234" s="15" t="s">
        <v>62</v>
      </c>
      <c r="H234" s="15" t="s">
        <v>45</v>
      </c>
      <c r="I234">
        <v>40</v>
      </c>
      <c r="J234">
        <v>60</v>
      </c>
      <c r="K234">
        <v>50</v>
      </c>
      <c r="L234">
        <v>100</v>
      </c>
      <c r="M234">
        <v>47</v>
      </c>
      <c r="N234">
        <v>772</v>
      </c>
      <c r="O234">
        <v>68</v>
      </c>
      <c r="P234">
        <v>13</v>
      </c>
      <c r="Q234">
        <v>43</v>
      </c>
      <c r="R234">
        <v>115</v>
      </c>
      <c r="S234">
        <v>1.1499999999999999</v>
      </c>
      <c r="T234">
        <v>0.86</v>
      </c>
      <c r="U234">
        <v>1.175</v>
      </c>
    </row>
    <row r="235" spans="1:21" x14ac:dyDescent="0.35">
      <c r="A235">
        <v>475</v>
      </c>
      <c r="B235" s="16">
        <v>40210</v>
      </c>
      <c r="C235" s="15" t="s">
        <v>63</v>
      </c>
      <c r="D235" s="15" t="s">
        <v>58</v>
      </c>
      <c r="E235" s="15" t="s">
        <v>55</v>
      </c>
      <c r="F235" s="15" t="s">
        <v>47</v>
      </c>
      <c r="G235" s="15" t="s">
        <v>64</v>
      </c>
      <c r="H235" s="15" t="s">
        <v>42</v>
      </c>
      <c r="I235">
        <v>50</v>
      </c>
      <c r="J235">
        <v>80</v>
      </c>
      <c r="K235">
        <v>60</v>
      </c>
      <c r="L235">
        <v>130</v>
      </c>
      <c r="M235">
        <v>50</v>
      </c>
      <c r="N235">
        <v>814</v>
      </c>
      <c r="O235">
        <v>73</v>
      </c>
      <c r="P235">
        <v>14</v>
      </c>
      <c r="Q235">
        <v>48</v>
      </c>
      <c r="R235">
        <v>123</v>
      </c>
      <c r="S235">
        <v>0.94615384615384612</v>
      </c>
      <c r="T235">
        <v>0.8</v>
      </c>
      <c r="U235">
        <v>1</v>
      </c>
    </row>
    <row r="236" spans="1:21" x14ac:dyDescent="0.35">
      <c r="A236">
        <v>475</v>
      </c>
      <c r="B236" s="16">
        <v>40210</v>
      </c>
      <c r="C236" s="15" t="s">
        <v>63</v>
      </c>
      <c r="D236" s="15" t="s">
        <v>58</v>
      </c>
      <c r="E236" s="15" t="s">
        <v>46</v>
      </c>
      <c r="F236" s="15" t="s">
        <v>47</v>
      </c>
      <c r="G236" s="15" t="s">
        <v>64</v>
      </c>
      <c r="H236" s="15" t="s">
        <v>42</v>
      </c>
      <c r="I236">
        <v>20</v>
      </c>
      <c r="J236">
        <v>50</v>
      </c>
      <c r="K236">
        <v>40</v>
      </c>
      <c r="L236">
        <v>70</v>
      </c>
      <c r="M236">
        <v>27</v>
      </c>
      <c r="N236">
        <v>772</v>
      </c>
      <c r="O236">
        <v>39</v>
      </c>
      <c r="P236">
        <v>7</v>
      </c>
      <c r="Q236">
        <v>21</v>
      </c>
      <c r="R236">
        <v>66</v>
      </c>
      <c r="S236">
        <v>0.94285714285714284</v>
      </c>
      <c r="T236">
        <v>0.52500000000000002</v>
      </c>
      <c r="U236">
        <v>1.35</v>
      </c>
    </row>
    <row r="237" spans="1:21" x14ac:dyDescent="0.35">
      <c r="A237">
        <v>203</v>
      </c>
      <c r="B237" s="16">
        <v>40210</v>
      </c>
      <c r="C237" s="15" t="s">
        <v>63</v>
      </c>
      <c r="D237" s="15" t="s">
        <v>58</v>
      </c>
      <c r="E237" s="15" t="s">
        <v>50</v>
      </c>
      <c r="F237" s="15" t="s">
        <v>49</v>
      </c>
      <c r="G237" s="15" t="s">
        <v>64</v>
      </c>
      <c r="H237" s="15" t="s">
        <v>45</v>
      </c>
      <c r="I237">
        <v>50</v>
      </c>
      <c r="J237">
        <v>70</v>
      </c>
      <c r="K237">
        <v>40</v>
      </c>
      <c r="L237">
        <v>120</v>
      </c>
      <c r="M237">
        <v>55</v>
      </c>
      <c r="N237">
        <v>305</v>
      </c>
      <c r="O237">
        <v>75</v>
      </c>
      <c r="P237">
        <v>18</v>
      </c>
      <c r="Q237">
        <v>29</v>
      </c>
      <c r="R237">
        <v>130</v>
      </c>
      <c r="S237">
        <v>1.0833333333333333</v>
      </c>
      <c r="T237">
        <v>0.72499999999999998</v>
      </c>
      <c r="U237">
        <v>1.1000000000000001</v>
      </c>
    </row>
    <row r="238" spans="1:21" x14ac:dyDescent="0.35">
      <c r="A238">
        <v>860</v>
      </c>
      <c r="B238" s="16">
        <v>40210</v>
      </c>
      <c r="C238" s="15" t="s">
        <v>63</v>
      </c>
      <c r="D238" s="15" t="s">
        <v>58</v>
      </c>
      <c r="E238" s="15" t="s">
        <v>48</v>
      </c>
      <c r="F238" s="15" t="s">
        <v>49</v>
      </c>
      <c r="G238" s="15" t="s">
        <v>64</v>
      </c>
      <c r="H238" s="15" t="s">
        <v>42</v>
      </c>
      <c r="I238">
        <v>60</v>
      </c>
      <c r="J238">
        <v>90</v>
      </c>
      <c r="K238">
        <v>20</v>
      </c>
      <c r="L238">
        <v>150</v>
      </c>
      <c r="M238">
        <v>65</v>
      </c>
      <c r="N238">
        <v>513</v>
      </c>
      <c r="O238">
        <v>90</v>
      </c>
      <c r="P238">
        <v>58</v>
      </c>
      <c r="Q238">
        <v>3</v>
      </c>
      <c r="R238">
        <v>155</v>
      </c>
      <c r="S238">
        <v>1.0333333333333334</v>
      </c>
      <c r="T238">
        <v>0.15</v>
      </c>
      <c r="U238">
        <v>1.0833333333333333</v>
      </c>
    </row>
    <row r="239" spans="1:21" x14ac:dyDescent="0.35">
      <c r="A239">
        <v>959</v>
      </c>
      <c r="B239" s="16">
        <v>40210</v>
      </c>
      <c r="C239" s="15" t="s">
        <v>63</v>
      </c>
      <c r="D239" s="15" t="s">
        <v>58</v>
      </c>
      <c r="E239" s="15" t="s">
        <v>43</v>
      </c>
      <c r="F239" s="15" t="s">
        <v>40</v>
      </c>
      <c r="G239" s="15" t="s">
        <v>64</v>
      </c>
      <c r="H239" s="15" t="s">
        <v>42</v>
      </c>
      <c r="I239">
        <v>120</v>
      </c>
      <c r="J239">
        <v>180</v>
      </c>
      <c r="K239">
        <v>130</v>
      </c>
      <c r="L239">
        <v>300</v>
      </c>
      <c r="M239">
        <v>130</v>
      </c>
      <c r="N239">
        <v>945</v>
      </c>
      <c r="O239">
        <v>195</v>
      </c>
      <c r="P239">
        <v>42</v>
      </c>
      <c r="Q239">
        <v>121</v>
      </c>
      <c r="R239">
        <v>325</v>
      </c>
      <c r="S239">
        <v>1.0833333333333333</v>
      </c>
      <c r="T239">
        <v>0.93076923076923079</v>
      </c>
      <c r="U239">
        <v>1.0833333333333333</v>
      </c>
    </row>
    <row r="240" spans="1:21" x14ac:dyDescent="0.35">
      <c r="A240">
        <v>475</v>
      </c>
      <c r="B240" s="16">
        <v>40210</v>
      </c>
      <c r="C240" s="15" t="s">
        <v>63</v>
      </c>
      <c r="D240" s="15" t="s">
        <v>58</v>
      </c>
      <c r="E240" s="15" t="s">
        <v>53</v>
      </c>
      <c r="F240" s="15" t="s">
        <v>52</v>
      </c>
      <c r="G240" s="15" t="s">
        <v>64</v>
      </c>
      <c r="H240" s="15" t="s">
        <v>45</v>
      </c>
      <c r="I240">
        <v>60</v>
      </c>
      <c r="J240">
        <v>90</v>
      </c>
      <c r="K240">
        <v>50</v>
      </c>
      <c r="L240">
        <v>150</v>
      </c>
      <c r="M240">
        <v>86</v>
      </c>
      <c r="N240">
        <v>484</v>
      </c>
      <c r="O240">
        <v>107</v>
      </c>
      <c r="P240">
        <v>32</v>
      </c>
      <c r="Q240">
        <v>41</v>
      </c>
      <c r="R240">
        <v>193</v>
      </c>
      <c r="S240">
        <v>1.2866666666666666</v>
      </c>
      <c r="T240">
        <v>0.82</v>
      </c>
      <c r="U240">
        <v>1.4333333333333333</v>
      </c>
    </row>
    <row r="241" spans="1:21" x14ac:dyDescent="0.35">
      <c r="A241">
        <v>860</v>
      </c>
      <c r="B241" s="16">
        <v>40210</v>
      </c>
      <c r="C241" s="15" t="s">
        <v>63</v>
      </c>
      <c r="D241" s="15" t="s">
        <v>58</v>
      </c>
      <c r="E241" s="15" t="s">
        <v>54</v>
      </c>
      <c r="F241" s="15" t="s">
        <v>52</v>
      </c>
      <c r="G241" s="15" t="s">
        <v>64</v>
      </c>
      <c r="H241" s="15" t="s">
        <v>45</v>
      </c>
      <c r="I241">
        <v>50</v>
      </c>
      <c r="J241">
        <v>70</v>
      </c>
      <c r="K241">
        <v>50</v>
      </c>
      <c r="L241">
        <v>120</v>
      </c>
      <c r="M241">
        <v>75</v>
      </c>
      <c r="N241">
        <v>956</v>
      </c>
      <c r="O241">
        <v>90</v>
      </c>
      <c r="P241">
        <v>23</v>
      </c>
      <c r="Q241">
        <v>46</v>
      </c>
      <c r="R241">
        <v>165</v>
      </c>
      <c r="S241">
        <v>1.375</v>
      </c>
      <c r="T241">
        <v>0.92</v>
      </c>
      <c r="U241">
        <v>1.5</v>
      </c>
    </row>
    <row r="242" spans="1:21" x14ac:dyDescent="0.35">
      <c r="A242">
        <v>786</v>
      </c>
      <c r="B242" s="16">
        <v>40210</v>
      </c>
      <c r="C242" s="15" t="s">
        <v>63</v>
      </c>
      <c r="D242" s="15" t="s">
        <v>38</v>
      </c>
      <c r="E242" s="15" t="s">
        <v>55</v>
      </c>
      <c r="F242" s="15" t="s">
        <v>47</v>
      </c>
      <c r="G242" s="15" t="s">
        <v>65</v>
      </c>
      <c r="H242" s="15" t="s">
        <v>42</v>
      </c>
      <c r="I242">
        <v>30</v>
      </c>
      <c r="J242">
        <v>50</v>
      </c>
      <c r="K242">
        <v>40</v>
      </c>
      <c r="L242">
        <v>80</v>
      </c>
      <c r="M242">
        <v>32</v>
      </c>
      <c r="N242">
        <v>817</v>
      </c>
      <c r="O242">
        <v>48</v>
      </c>
      <c r="P242">
        <v>8</v>
      </c>
      <c r="Q242">
        <v>28</v>
      </c>
      <c r="R242">
        <v>80</v>
      </c>
      <c r="S242">
        <v>1</v>
      </c>
      <c r="T242">
        <v>0.7</v>
      </c>
      <c r="U242">
        <v>1.0666666666666667</v>
      </c>
    </row>
    <row r="243" spans="1:21" x14ac:dyDescent="0.35">
      <c r="A243">
        <v>727</v>
      </c>
      <c r="B243" s="16">
        <v>40210</v>
      </c>
      <c r="C243" s="15" t="s">
        <v>63</v>
      </c>
      <c r="D243" s="15" t="s">
        <v>38</v>
      </c>
      <c r="E243" s="15" t="s">
        <v>46</v>
      </c>
      <c r="F243" s="15" t="s">
        <v>47</v>
      </c>
      <c r="G243" s="15" t="s">
        <v>65</v>
      </c>
      <c r="H243" s="15" t="s">
        <v>42</v>
      </c>
      <c r="I243">
        <v>40</v>
      </c>
      <c r="J243">
        <v>80</v>
      </c>
      <c r="K243">
        <v>60</v>
      </c>
      <c r="L243">
        <v>120</v>
      </c>
      <c r="M243">
        <v>47</v>
      </c>
      <c r="N243">
        <v>772</v>
      </c>
      <c r="O243">
        <v>68</v>
      </c>
      <c r="P243">
        <v>13</v>
      </c>
      <c r="Q243">
        <v>44</v>
      </c>
      <c r="R243">
        <v>115</v>
      </c>
      <c r="S243">
        <v>0.95833333333333337</v>
      </c>
      <c r="T243">
        <v>0.73333333333333328</v>
      </c>
      <c r="U243">
        <v>1.175</v>
      </c>
    </row>
    <row r="244" spans="1:21" x14ac:dyDescent="0.35">
      <c r="A244">
        <v>407</v>
      </c>
      <c r="B244" s="16">
        <v>40210</v>
      </c>
      <c r="C244" s="15" t="s">
        <v>63</v>
      </c>
      <c r="D244" s="15" t="s">
        <v>38</v>
      </c>
      <c r="E244" s="15" t="s">
        <v>50</v>
      </c>
      <c r="F244" s="15" t="s">
        <v>49</v>
      </c>
      <c r="G244" s="15" t="s">
        <v>65</v>
      </c>
      <c r="H244" s="15" t="s">
        <v>45</v>
      </c>
      <c r="I244">
        <v>70</v>
      </c>
      <c r="J244">
        <v>100</v>
      </c>
      <c r="K244">
        <v>60</v>
      </c>
      <c r="L244">
        <v>170</v>
      </c>
      <c r="M244">
        <v>77</v>
      </c>
      <c r="N244">
        <v>423</v>
      </c>
      <c r="O244">
        <v>103</v>
      </c>
      <c r="P244">
        <v>25</v>
      </c>
      <c r="Q244">
        <v>51</v>
      </c>
      <c r="R244">
        <v>180</v>
      </c>
      <c r="S244">
        <v>1.0588235294117647</v>
      </c>
      <c r="T244">
        <v>0.85</v>
      </c>
      <c r="U244">
        <v>1.1000000000000001</v>
      </c>
    </row>
    <row r="245" spans="1:21" x14ac:dyDescent="0.35">
      <c r="A245">
        <v>305</v>
      </c>
      <c r="B245" s="16">
        <v>40210</v>
      </c>
      <c r="C245" s="15" t="s">
        <v>63</v>
      </c>
      <c r="D245" s="15" t="s">
        <v>38</v>
      </c>
      <c r="E245" s="15" t="s">
        <v>48</v>
      </c>
      <c r="F245" s="15" t="s">
        <v>49</v>
      </c>
      <c r="G245" s="15" t="s">
        <v>65</v>
      </c>
      <c r="H245" s="15" t="s">
        <v>42</v>
      </c>
      <c r="I245">
        <v>80</v>
      </c>
      <c r="J245">
        <v>130</v>
      </c>
      <c r="K245">
        <v>40</v>
      </c>
      <c r="L245">
        <v>210</v>
      </c>
      <c r="M245">
        <v>92</v>
      </c>
      <c r="N245">
        <v>541</v>
      </c>
      <c r="O245">
        <v>128</v>
      </c>
      <c r="P245">
        <v>83</v>
      </c>
      <c r="Q245">
        <v>16</v>
      </c>
      <c r="R245">
        <v>220</v>
      </c>
      <c r="S245">
        <v>1.0476190476190477</v>
      </c>
      <c r="T245">
        <v>0.4</v>
      </c>
      <c r="U245">
        <v>1.1499999999999999</v>
      </c>
    </row>
    <row r="246" spans="1:21" x14ac:dyDescent="0.35">
      <c r="A246">
        <v>305</v>
      </c>
      <c r="B246" s="16">
        <v>40210</v>
      </c>
      <c r="C246" s="15" t="s">
        <v>63</v>
      </c>
      <c r="D246" s="15" t="s">
        <v>38</v>
      </c>
      <c r="E246" s="15" t="s">
        <v>44</v>
      </c>
      <c r="F246" s="15" t="s">
        <v>40</v>
      </c>
      <c r="G246" s="15" t="s">
        <v>65</v>
      </c>
      <c r="H246" s="15" t="s">
        <v>45</v>
      </c>
      <c r="I246">
        <v>80</v>
      </c>
      <c r="J246">
        <v>110</v>
      </c>
      <c r="K246">
        <v>70</v>
      </c>
      <c r="L246">
        <v>190</v>
      </c>
      <c r="M246">
        <v>86</v>
      </c>
      <c r="N246">
        <v>490</v>
      </c>
      <c r="O246">
        <v>120</v>
      </c>
      <c r="P246">
        <v>26</v>
      </c>
      <c r="Q246">
        <v>71</v>
      </c>
      <c r="R246">
        <v>206</v>
      </c>
      <c r="S246">
        <v>1.0842105263157895</v>
      </c>
      <c r="T246">
        <v>1.0142857142857142</v>
      </c>
      <c r="U246">
        <v>1.075</v>
      </c>
    </row>
    <row r="247" spans="1:21" x14ac:dyDescent="0.35">
      <c r="A247">
        <v>754</v>
      </c>
      <c r="B247" s="16">
        <v>40210</v>
      </c>
      <c r="C247" s="15" t="s">
        <v>63</v>
      </c>
      <c r="D247" s="15" t="s">
        <v>38</v>
      </c>
      <c r="E247" s="15" t="s">
        <v>43</v>
      </c>
      <c r="F247" s="15" t="s">
        <v>40</v>
      </c>
      <c r="G247" s="15" t="s">
        <v>65</v>
      </c>
      <c r="H247" s="15" t="s">
        <v>42</v>
      </c>
      <c r="I247">
        <v>70</v>
      </c>
      <c r="J247">
        <v>120</v>
      </c>
      <c r="K247">
        <v>80</v>
      </c>
      <c r="L247">
        <v>190</v>
      </c>
      <c r="M247">
        <v>80</v>
      </c>
      <c r="N247">
        <v>640</v>
      </c>
      <c r="O247">
        <v>120</v>
      </c>
      <c r="P247">
        <v>26</v>
      </c>
      <c r="Q247">
        <v>63</v>
      </c>
      <c r="R247">
        <v>200</v>
      </c>
      <c r="S247">
        <v>1.0526315789473684</v>
      </c>
      <c r="T247">
        <v>0.78749999999999998</v>
      </c>
      <c r="U247">
        <v>1.1428571428571428</v>
      </c>
    </row>
    <row r="248" spans="1:21" x14ac:dyDescent="0.35">
      <c r="A248">
        <v>754</v>
      </c>
      <c r="B248" s="16">
        <v>40210</v>
      </c>
      <c r="C248" s="15" t="s">
        <v>63</v>
      </c>
      <c r="D248" s="15" t="s">
        <v>38</v>
      </c>
      <c r="E248" s="15" t="s">
        <v>51</v>
      </c>
      <c r="F248" s="15" t="s">
        <v>52</v>
      </c>
      <c r="G248" s="15" t="s">
        <v>65</v>
      </c>
      <c r="H248" s="15" t="s">
        <v>45</v>
      </c>
      <c r="I248">
        <v>30</v>
      </c>
      <c r="J248">
        <v>50</v>
      </c>
      <c r="K248">
        <v>30</v>
      </c>
      <c r="L248">
        <v>80</v>
      </c>
      <c r="M248">
        <v>48</v>
      </c>
      <c r="N248">
        <v>617</v>
      </c>
      <c r="O248">
        <v>62</v>
      </c>
      <c r="P248">
        <v>15</v>
      </c>
      <c r="Q248">
        <v>34</v>
      </c>
      <c r="R248">
        <v>110</v>
      </c>
      <c r="S248">
        <v>1.375</v>
      </c>
      <c r="T248">
        <v>1.1333333333333333</v>
      </c>
      <c r="U248">
        <v>1.6</v>
      </c>
    </row>
    <row r="249" spans="1:21" x14ac:dyDescent="0.35">
      <c r="A249">
        <v>727</v>
      </c>
      <c r="B249" s="16">
        <v>40210</v>
      </c>
      <c r="C249" s="15" t="s">
        <v>63</v>
      </c>
      <c r="D249" s="15" t="s">
        <v>38</v>
      </c>
      <c r="E249" s="15" t="s">
        <v>53</v>
      </c>
      <c r="F249" s="15" t="s">
        <v>52</v>
      </c>
      <c r="G249" s="15" t="s">
        <v>65</v>
      </c>
      <c r="H249" s="15" t="s">
        <v>45</v>
      </c>
      <c r="I249">
        <v>40</v>
      </c>
      <c r="J249">
        <v>50</v>
      </c>
      <c r="K249">
        <v>20</v>
      </c>
      <c r="L249">
        <v>90</v>
      </c>
      <c r="M249">
        <v>53</v>
      </c>
      <c r="N249">
        <v>306</v>
      </c>
      <c r="O249">
        <v>65</v>
      </c>
      <c r="P249">
        <v>20</v>
      </c>
      <c r="Q249">
        <v>12</v>
      </c>
      <c r="R249">
        <v>118</v>
      </c>
      <c r="S249">
        <v>1.3111111111111111</v>
      </c>
      <c r="T249">
        <v>0.6</v>
      </c>
      <c r="U249">
        <v>1.325</v>
      </c>
    </row>
    <row r="250" spans="1:21" x14ac:dyDescent="0.35">
      <c r="A250">
        <v>850</v>
      </c>
      <c r="B250" s="16">
        <v>40210</v>
      </c>
      <c r="C250" s="15" t="s">
        <v>63</v>
      </c>
      <c r="D250" s="15" t="s">
        <v>38</v>
      </c>
      <c r="E250" s="15" t="s">
        <v>54</v>
      </c>
      <c r="F250" s="15" t="s">
        <v>52</v>
      </c>
      <c r="G250" s="15" t="s">
        <v>65</v>
      </c>
      <c r="H250" s="15" t="s">
        <v>45</v>
      </c>
      <c r="I250">
        <v>50</v>
      </c>
      <c r="J250">
        <v>70</v>
      </c>
      <c r="K250">
        <v>50</v>
      </c>
      <c r="L250">
        <v>120</v>
      </c>
      <c r="M250">
        <v>70</v>
      </c>
      <c r="N250">
        <v>957</v>
      </c>
      <c r="O250">
        <v>84</v>
      </c>
      <c r="P250">
        <v>21</v>
      </c>
      <c r="Q250">
        <v>42</v>
      </c>
      <c r="R250">
        <v>154</v>
      </c>
      <c r="S250">
        <v>1.2833333333333334</v>
      </c>
      <c r="T250">
        <v>0.84</v>
      </c>
      <c r="U250">
        <v>1.4</v>
      </c>
    </row>
    <row r="251" spans="1:21" x14ac:dyDescent="0.35">
      <c r="A251">
        <v>978</v>
      </c>
      <c r="B251" s="16">
        <v>40210</v>
      </c>
      <c r="C251" s="15" t="s">
        <v>63</v>
      </c>
      <c r="D251" s="15" t="s">
        <v>38</v>
      </c>
      <c r="E251" s="15" t="s">
        <v>55</v>
      </c>
      <c r="F251" s="15" t="s">
        <v>47</v>
      </c>
      <c r="G251" s="15" t="s">
        <v>66</v>
      </c>
      <c r="H251" s="15" t="s">
        <v>42</v>
      </c>
      <c r="I251">
        <v>30</v>
      </c>
      <c r="J251">
        <v>50</v>
      </c>
      <c r="K251">
        <v>40</v>
      </c>
      <c r="L251">
        <v>80</v>
      </c>
      <c r="M251">
        <v>32</v>
      </c>
      <c r="N251">
        <v>817</v>
      </c>
      <c r="O251">
        <v>48</v>
      </c>
      <c r="P251">
        <v>8</v>
      </c>
      <c r="Q251">
        <v>28</v>
      </c>
      <c r="R251">
        <v>80</v>
      </c>
      <c r="S251">
        <v>1</v>
      </c>
      <c r="T251">
        <v>0.7</v>
      </c>
      <c r="U251">
        <v>1.0666666666666667</v>
      </c>
    </row>
    <row r="252" spans="1:21" x14ac:dyDescent="0.35">
      <c r="A252">
        <v>978</v>
      </c>
      <c r="B252" s="16">
        <v>40210</v>
      </c>
      <c r="C252" s="15" t="s">
        <v>63</v>
      </c>
      <c r="D252" s="15" t="s">
        <v>38</v>
      </c>
      <c r="E252" s="15" t="s">
        <v>46</v>
      </c>
      <c r="F252" s="15" t="s">
        <v>47</v>
      </c>
      <c r="G252" s="15" t="s">
        <v>66</v>
      </c>
      <c r="H252" s="15" t="s">
        <v>42</v>
      </c>
      <c r="I252">
        <v>20</v>
      </c>
      <c r="J252">
        <v>40</v>
      </c>
      <c r="K252">
        <v>30</v>
      </c>
      <c r="L252">
        <v>60</v>
      </c>
      <c r="M252">
        <v>22</v>
      </c>
      <c r="N252">
        <v>452</v>
      </c>
      <c r="O252">
        <v>34</v>
      </c>
      <c r="P252">
        <v>6</v>
      </c>
      <c r="Q252">
        <v>17</v>
      </c>
      <c r="R252">
        <v>56</v>
      </c>
      <c r="S252">
        <v>0.93333333333333335</v>
      </c>
      <c r="T252">
        <v>0.56666666666666665</v>
      </c>
      <c r="U252">
        <v>1.1000000000000001</v>
      </c>
    </row>
    <row r="253" spans="1:21" x14ac:dyDescent="0.35">
      <c r="A253">
        <v>508</v>
      </c>
      <c r="B253" s="16">
        <v>40210</v>
      </c>
      <c r="C253" s="15" t="s">
        <v>63</v>
      </c>
      <c r="D253" s="15" t="s">
        <v>38</v>
      </c>
      <c r="E253" s="15" t="s">
        <v>67</v>
      </c>
      <c r="F253" s="15" t="s">
        <v>49</v>
      </c>
      <c r="G253" s="15" t="s">
        <v>66</v>
      </c>
      <c r="H253" s="15" t="s">
        <v>42</v>
      </c>
      <c r="I253">
        <v>160</v>
      </c>
      <c r="J253">
        <v>170</v>
      </c>
      <c r="K253">
        <v>110</v>
      </c>
      <c r="L253">
        <v>330</v>
      </c>
      <c r="M253">
        <v>170</v>
      </c>
      <c r="N253">
        <v>1073</v>
      </c>
      <c r="O253">
        <v>170</v>
      </c>
      <c r="P253">
        <v>47</v>
      </c>
      <c r="Q253">
        <v>99</v>
      </c>
      <c r="R253">
        <v>340</v>
      </c>
      <c r="S253">
        <v>1.0303030303030303</v>
      </c>
      <c r="T253">
        <v>0.9</v>
      </c>
      <c r="U253">
        <v>1.0625</v>
      </c>
    </row>
    <row r="254" spans="1:21" x14ac:dyDescent="0.35">
      <c r="A254">
        <v>508</v>
      </c>
      <c r="B254" s="16">
        <v>40210</v>
      </c>
      <c r="C254" s="15" t="s">
        <v>63</v>
      </c>
      <c r="D254" s="15" t="s">
        <v>38</v>
      </c>
      <c r="E254" s="15" t="s">
        <v>48</v>
      </c>
      <c r="F254" s="15" t="s">
        <v>49</v>
      </c>
      <c r="G254" s="15" t="s">
        <v>66</v>
      </c>
      <c r="H254" s="15" t="s">
        <v>42</v>
      </c>
      <c r="I254">
        <v>50</v>
      </c>
      <c r="J254">
        <v>70</v>
      </c>
      <c r="K254">
        <v>10</v>
      </c>
      <c r="L254">
        <v>120</v>
      </c>
      <c r="M254">
        <v>54</v>
      </c>
      <c r="N254">
        <v>451</v>
      </c>
      <c r="O254">
        <v>74</v>
      </c>
      <c r="P254">
        <v>49</v>
      </c>
      <c r="Q254">
        <v>-4</v>
      </c>
      <c r="R254">
        <v>128</v>
      </c>
      <c r="S254">
        <v>1.0666666666666667</v>
      </c>
      <c r="T254">
        <v>-0.4</v>
      </c>
      <c r="U254">
        <v>1.08</v>
      </c>
    </row>
    <row r="255" spans="1:21" x14ac:dyDescent="0.35">
      <c r="A255">
        <v>774</v>
      </c>
      <c r="B255" s="16">
        <v>40210</v>
      </c>
      <c r="C255" s="15" t="s">
        <v>63</v>
      </c>
      <c r="D255" s="15" t="s">
        <v>38</v>
      </c>
      <c r="E255" s="15" t="s">
        <v>43</v>
      </c>
      <c r="F255" s="15" t="s">
        <v>40</v>
      </c>
      <c r="G255" s="15" t="s">
        <v>66</v>
      </c>
      <c r="H255" s="15" t="s">
        <v>42</v>
      </c>
      <c r="I255">
        <v>70</v>
      </c>
      <c r="J255">
        <v>370</v>
      </c>
      <c r="K255">
        <v>330</v>
      </c>
      <c r="L255">
        <v>440</v>
      </c>
      <c r="M255">
        <v>75</v>
      </c>
      <c r="N255">
        <v>235</v>
      </c>
      <c r="O255">
        <v>395</v>
      </c>
      <c r="P255">
        <v>24</v>
      </c>
      <c r="Q255">
        <v>340</v>
      </c>
      <c r="R255">
        <v>470</v>
      </c>
      <c r="S255">
        <v>1.0681818181818181</v>
      </c>
      <c r="T255">
        <v>1.0303030303030303</v>
      </c>
      <c r="U255">
        <v>1.0714285714285714</v>
      </c>
    </row>
    <row r="256" spans="1:21" x14ac:dyDescent="0.35">
      <c r="A256">
        <v>781</v>
      </c>
      <c r="B256" s="16">
        <v>40210</v>
      </c>
      <c r="C256" s="15" t="s">
        <v>63</v>
      </c>
      <c r="D256" s="15" t="s">
        <v>38</v>
      </c>
      <c r="E256" s="15" t="s">
        <v>53</v>
      </c>
      <c r="F256" s="15" t="s">
        <v>52</v>
      </c>
      <c r="G256" s="15" t="s">
        <v>66</v>
      </c>
      <c r="H256" s="15" t="s">
        <v>45</v>
      </c>
      <c r="I256">
        <v>40</v>
      </c>
      <c r="J256">
        <v>60</v>
      </c>
      <c r="K256">
        <v>30</v>
      </c>
      <c r="L256">
        <v>100</v>
      </c>
      <c r="M256">
        <v>59</v>
      </c>
      <c r="N256">
        <v>331</v>
      </c>
      <c r="O256">
        <v>73</v>
      </c>
      <c r="P256">
        <v>22</v>
      </c>
      <c r="Q256">
        <v>18</v>
      </c>
      <c r="R256">
        <v>132</v>
      </c>
      <c r="S256">
        <v>1.32</v>
      </c>
      <c r="T256">
        <v>0.6</v>
      </c>
      <c r="U256">
        <v>1.4750000000000001</v>
      </c>
    </row>
    <row r="257" spans="1:21" x14ac:dyDescent="0.35">
      <c r="A257">
        <v>603</v>
      </c>
      <c r="B257" s="16">
        <v>40210</v>
      </c>
      <c r="C257" s="15" t="s">
        <v>63</v>
      </c>
      <c r="D257" s="15" t="s">
        <v>58</v>
      </c>
      <c r="E257" s="15" t="s">
        <v>55</v>
      </c>
      <c r="F257" s="15" t="s">
        <v>47</v>
      </c>
      <c r="G257" s="15" t="s">
        <v>68</v>
      </c>
      <c r="H257" s="15" t="s">
        <v>42</v>
      </c>
      <c r="I257">
        <v>10</v>
      </c>
      <c r="J257">
        <v>30</v>
      </c>
      <c r="K257">
        <v>20</v>
      </c>
      <c r="L257">
        <v>40</v>
      </c>
      <c r="M257">
        <v>18</v>
      </c>
      <c r="N257">
        <v>818</v>
      </c>
      <c r="O257">
        <v>27</v>
      </c>
      <c r="P257">
        <v>5</v>
      </c>
      <c r="Q257">
        <v>11</v>
      </c>
      <c r="R257">
        <v>45</v>
      </c>
      <c r="S257">
        <v>1.125</v>
      </c>
      <c r="T257">
        <v>0.55000000000000004</v>
      </c>
      <c r="U257">
        <v>1.8</v>
      </c>
    </row>
    <row r="258" spans="1:21" x14ac:dyDescent="0.35">
      <c r="A258">
        <v>603</v>
      </c>
      <c r="B258" s="16">
        <v>40210</v>
      </c>
      <c r="C258" s="15" t="s">
        <v>63</v>
      </c>
      <c r="D258" s="15" t="s">
        <v>58</v>
      </c>
      <c r="E258" s="15" t="s">
        <v>46</v>
      </c>
      <c r="F258" s="15" t="s">
        <v>47</v>
      </c>
      <c r="G258" s="15" t="s">
        <v>68</v>
      </c>
      <c r="H258" s="15" t="s">
        <v>42</v>
      </c>
      <c r="I258">
        <v>0</v>
      </c>
      <c r="J258">
        <v>40</v>
      </c>
      <c r="K258">
        <v>30</v>
      </c>
      <c r="L258">
        <v>40</v>
      </c>
      <c r="M258">
        <v>0</v>
      </c>
      <c r="N258">
        <v>774</v>
      </c>
      <c r="O258">
        <v>43</v>
      </c>
      <c r="P258">
        <v>0</v>
      </c>
      <c r="Q258">
        <v>32</v>
      </c>
      <c r="R258">
        <v>43</v>
      </c>
      <c r="S258">
        <v>1.075</v>
      </c>
      <c r="T258">
        <v>1.0666666666666667</v>
      </c>
    </row>
    <row r="259" spans="1:21" x14ac:dyDescent="0.35">
      <c r="A259">
        <v>603</v>
      </c>
      <c r="B259" s="16">
        <v>40210</v>
      </c>
      <c r="C259" s="15" t="s">
        <v>63</v>
      </c>
      <c r="D259" s="15" t="s">
        <v>58</v>
      </c>
      <c r="E259" s="15" t="s">
        <v>67</v>
      </c>
      <c r="F259" s="15" t="s">
        <v>49</v>
      </c>
      <c r="G259" s="15" t="s">
        <v>68</v>
      </c>
      <c r="H259" s="15" t="s">
        <v>42</v>
      </c>
      <c r="I259">
        <v>20</v>
      </c>
      <c r="J259">
        <v>40</v>
      </c>
      <c r="K259">
        <v>0</v>
      </c>
      <c r="L259">
        <v>60</v>
      </c>
      <c r="M259">
        <v>30</v>
      </c>
      <c r="N259">
        <v>165</v>
      </c>
      <c r="O259">
        <v>38</v>
      </c>
      <c r="P259">
        <v>11</v>
      </c>
      <c r="Q259">
        <v>-6</v>
      </c>
      <c r="R259">
        <v>68</v>
      </c>
      <c r="S259">
        <v>1.1333333333333333</v>
      </c>
      <c r="U259">
        <v>1.5</v>
      </c>
    </row>
    <row r="260" spans="1:21" x14ac:dyDescent="0.35">
      <c r="A260">
        <v>603</v>
      </c>
      <c r="B260" s="16">
        <v>40210</v>
      </c>
      <c r="C260" s="15" t="s">
        <v>63</v>
      </c>
      <c r="D260" s="15" t="s">
        <v>58</v>
      </c>
      <c r="E260" s="15" t="s">
        <v>48</v>
      </c>
      <c r="F260" s="15" t="s">
        <v>49</v>
      </c>
      <c r="G260" s="15" t="s">
        <v>68</v>
      </c>
      <c r="H260" s="15" t="s">
        <v>42</v>
      </c>
      <c r="I260">
        <v>40</v>
      </c>
      <c r="J260">
        <v>60</v>
      </c>
      <c r="K260">
        <v>10</v>
      </c>
      <c r="L260">
        <v>100</v>
      </c>
      <c r="M260">
        <v>43</v>
      </c>
      <c r="N260">
        <v>256</v>
      </c>
      <c r="O260">
        <v>61</v>
      </c>
      <c r="P260">
        <v>39</v>
      </c>
      <c r="Q260">
        <v>-7</v>
      </c>
      <c r="R260">
        <v>104</v>
      </c>
      <c r="S260">
        <v>1.04</v>
      </c>
      <c r="T260">
        <v>-0.7</v>
      </c>
      <c r="U260">
        <v>1.075</v>
      </c>
    </row>
    <row r="261" spans="1:21" x14ac:dyDescent="0.35">
      <c r="A261">
        <v>603</v>
      </c>
      <c r="B261" s="16">
        <v>40210</v>
      </c>
      <c r="C261" s="15" t="s">
        <v>63</v>
      </c>
      <c r="D261" s="15" t="s">
        <v>58</v>
      </c>
      <c r="E261" s="15" t="s">
        <v>39</v>
      </c>
      <c r="F261" s="15" t="s">
        <v>40</v>
      </c>
      <c r="G261" s="15" t="s">
        <v>68</v>
      </c>
      <c r="H261" s="15" t="s">
        <v>42</v>
      </c>
      <c r="I261">
        <v>30</v>
      </c>
      <c r="J261">
        <v>60</v>
      </c>
      <c r="K261">
        <v>40</v>
      </c>
      <c r="L261">
        <v>90</v>
      </c>
      <c r="M261">
        <v>41</v>
      </c>
      <c r="N261">
        <v>236</v>
      </c>
      <c r="O261">
        <v>60</v>
      </c>
      <c r="P261">
        <v>13</v>
      </c>
      <c r="Q261">
        <v>25</v>
      </c>
      <c r="R261">
        <v>101</v>
      </c>
      <c r="S261">
        <v>1.1222222222222222</v>
      </c>
      <c r="T261">
        <v>0.625</v>
      </c>
      <c r="U261">
        <v>1.3666666666666667</v>
      </c>
    </row>
    <row r="262" spans="1:21" x14ac:dyDescent="0.35">
      <c r="A262">
        <v>603</v>
      </c>
      <c r="B262" s="16">
        <v>40210</v>
      </c>
      <c r="C262" s="15" t="s">
        <v>63</v>
      </c>
      <c r="D262" s="15" t="s">
        <v>58</v>
      </c>
      <c r="E262" s="15" t="s">
        <v>43</v>
      </c>
      <c r="F262" s="15" t="s">
        <v>40</v>
      </c>
      <c r="G262" s="15" t="s">
        <v>68</v>
      </c>
      <c r="H262" s="15" t="s">
        <v>42</v>
      </c>
      <c r="I262">
        <v>40</v>
      </c>
      <c r="J262">
        <v>60</v>
      </c>
      <c r="K262">
        <v>30</v>
      </c>
      <c r="L262">
        <v>100</v>
      </c>
      <c r="M262">
        <v>45</v>
      </c>
      <c r="N262">
        <v>366</v>
      </c>
      <c r="O262">
        <v>69</v>
      </c>
      <c r="P262">
        <v>14</v>
      </c>
      <c r="Q262">
        <v>23</v>
      </c>
      <c r="R262">
        <v>114</v>
      </c>
      <c r="S262">
        <v>1.1399999999999999</v>
      </c>
      <c r="T262">
        <v>0.76666666666666672</v>
      </c>
      <c r="U262">
        <v>1.125</v>
      </c>
    </row>
    <row r="263" spans="1:21" x14ac:dyDescent="0.35">
      <c r="A263">
        <v>603</v>
      </c>
      <c r="B263" s="16">
        <v>40210</v>
      </c>
      <c r="C263" s="15" t="s">
        <v>63</v>
      </c>
      <c r="D263" s="15" t="s">
        <v>58</v>
      </c>
      <c r="E263" s="15" t="s">
        <v>53</v>
      </c>
      <c r="F263" s="15" t="s">
        <v>52</v>
      </c>
      <c r="G263" s="15" t="s">
        <v>68</v>
      </c>
      <c r="H263" s="15" t="s">
        <v>45</v>
      </c>
      <c r="I263">
        <v>20</v>
      </c>
      <c r="J263">
        <v>30</v>
      </c>
      <c r="K263">
        <v>0</v>
      </c>
      <c r="L263">
        <v>50</v>
      </c>
      <c r="M263">
        <v>33</v>
      </c>
      <c r="N263">
        <v>193</v>
      </c>
      <c r="O263">
        <v>41</v>
      </c>
      <c r="P263">
        <v>12</v>
      </c>
      <c r="Q263">
        <v>-4</v>
      </c>
      <c r="R263">
        <v>74</v>
      </c>
      <c r="S263">
        <v>1.48</v>
      </c>
      <c r="U263">
        <v>1.65</v>
      </c>
    </row>
    <row r="264" spans="1:21" x14ac:dyDescent="0.35">
      <c r="A264">
        <v>631</v>
      </c>
      <c r="B264" s="16">
        <v>40210</v>
      </c>
      <c r="C264" s="15" t="s">
        <v>63</v>
      </c>
      <c r="D264" s="15" t="s">
        <v>38</v>
      </c>
      <c r="E264" s="15" t="s">
        <v>55</v>
      </c>
      <c r="F264" s="15" t="s">
        <v>47</v>
      </c>
      <c r="G264" s="15" t="s">
        <v>69</v>
      </c>
      <c r="H264" s="15" t="s">
        <v>42</v>
      </c>
      <c r="I264">
        <v>100</v>
      </c>
      <c r="J264">
        <v>150</v>
      </c>
      <c r="K264">
        <v>120</v>
      </c>
      <c r="L264">
        <v>250</v>
      </c>
      <c r="M264">
        <v>95</v>
      </c>
      <c r="N264">
        <v>809</v>
      </c>
      <c r="O264">
        <v>137</v>
      </c>
      <c r="P264">
        <v>26</v>
      </c>
      <c r="Q264">
        <v>100</v>
      </c>
      <c r="R264">
        <v>232</v>
      </c>
      <c r="S264">
        <v>0.92800000000000005</v>
      </c>
      <c r="T264">
        <v>0.83333333333333337</v>
      </c>
      <c r="U264">
        <v>0.95</v>
      </c>
    </row>
    <row r="265" spans="1:21" x14ac:dyDescent="0.35">
      <c r="A265">
        <v>518</v>
      </c>
      <c r="B265" s="16">
        <v>40210</v>
      </c>
      <c r="C265" s="15" t="s">
        <v>63</v>
      </c>
      <c r="D265" s="15" t="s">
        <v>38</v>
      </c>
      <c r="E265" s="15" t="s">
        <v>56</v>
      </c>
      <c r="F265" s="15" t="s">
        <v>47</v>
      </c>
      <c r="G265" s="15" t="s">
        <v>69</v>
      </c>
      <c r="H265" s="15" t="s">
        <v>42</v>
      </c>
      <c r="I265">
        <v>100</v>
      </c>
      <c r="J265">
        <v>160</v>
      </c>
      <c r="K265">
        <v>130</v>
      </c>
      <c r="L265">
        <v>260</v>
      </c>
      <c r="M265">
        <v>99</v>
      </c>
      <c r="N265">
        <v>766</v>
      </c>
      <c r="O265">
        <v>144</v>
      </c>
      <c r="P265">
        <v>27</v>
      </c>
      <c r="Q265">
        <v>105</v>
      </c>
      <c r="R265">
        <v>243</v>
      </c>
      <c r="S265">
        <v>0.93461538461538463</v>
      </c>
      <c r="T265">
        <v>0.80769230769230771</v>
      </c>
      <c r="U265">
        <v>0.99</v>
      </c>
    </row>
    <row r="266" spans="1:21" x14ac:dyDescent="0.35">
      <c r="A266">
        <v>845</v>
      </c>
      <c r="B266" s="16">
        <v>40210</v>
      </c>
      <c r="C266" s="15" t="s">
        <v>63</v>
      </c>
      <c r="D266" s="15" t="s">
        <v>38</v>
      </c>
      <c r="E266" s="15" t="s">
        <v>46</v>
      </c>
      <c r="F266" s="15" t="s">
        <v>47</v>
      </c>
      <c r="G266" s="15" t="s">
        <v>69</v>
      </c>
      <c r="H266" s="15" t="s">
        <v>42</v>
      </c>
      <c r="I266">
        <v>80</v>
      </c>
      <c r="J266">
        <v>120</v>
      </c>
      <c r="K266">
        <v>90</v>
      </c>
      <c r="L266">
        <v>200</v>
      </c>
      <c r="M266">
        <v>77</v>
      </c>
      <c r="N266">
        <v>449</v>
      </c>
      <c r="O266">
        <v>112</v>
      </c>
      <c r="P266">
        <v>21</v>
      </c>
      <c r="Q266">
        <v>79</v>
      </c>
      <c r="R266">
        <v>189</v>
      </c>
      <c r="S266">
        <v>0.94499999999999995</v>
      </c>
      <c r="T266">
        <v>0.87777777777777777</v>
      </c>
      <c r="U266">
        <v>0.96250000000000002</v>
      </c>
    </row>
    <row r="267" spans="1:21" x14ac:dyDescent="0.35">
      <c r="A267">
        <v>585</v>
      </c>
      <c r="B267" s="16">
        <v>40210</v>
      </c>
      <c r="C267" s="15" t="s">
        <v>63</v>
      </c>
      <c r="D267" s="15" t="s">
        <v>38</v>
      </c>
      <c r="E267" s="15" t="s">
        <v>67</v>
      </c>
      <c r="F267" s="15" t="s">
        <v>49</v>
      </c>
      <c r="G267" s="15" t="s">
        <v>69</v>
      </c>
      <c r="H267" s="15" t="s">
        <v>42</v>
      </c>
      <c r="I267">
        <v>210</v>
      </c>
      <c r="J267">
        <v>350</v>
      </c>
      <c r="K267">
        <v>280</v>
      </c>
      <c r="L267">
        <v>560</v>
      </c>
      <c r="M267">
        <v>228</v>
      </c>
      <c r="N267">
        <v>1402</v>
      </c>
      <c r="O267">
        <v>352</v>
      </c>
      <c r="P267">
        <v>63</v>
      </c>
      <c r="Q267">
        <v>264</v>
      </c>
      <c r="R267">
        <v>580</v>
      </c>
      <c r="S267">
        <v>1.0357142857142858</v>
      </c>
      <c r="T267">
        <v>0.94285714285714284</v>
      </c>
      <c r="U267">
        <v>1.0857142857142856</v>
      </c>
    </row>
    <row r="268" spans="1:21" x14ac:dyDescent="0.35">
      <c r="A268">
        <v>585</v>
      </c>
      <c r="B268" s="16">
        <v>40210</v>
      </c>
      <c r="C268" s="15" t="s">
        <v>63</v>
      </c>
      <c r="D268" s="15" t="s">
        <v>38</v>
      </c>
      <c r="E268" s="15" t="s">
        <v>48</v>
      </c>
      <c r="F268" s="15" t="s">
        <v>49</v>
      </c>
      <c r="G268" s="15" t="s">
        <v>69</v>
      </c>
      <c r="H268" s="15" t="s">
        <v>42</v>
      </c>
      <c r="I268">
        <v>110</v>
      </c>
      <c r="J268">
        <v>-60</v>
      </c>
      <c r="K268">
        <v>-190</v>
      </c>
      <c r="L268">
        <v>50</v>
      </c>
      <c r="M268">
        <v>121</v>
      </c>
      <c r="N268">
        <v>901</v>
      </c>
      <c r="O268">
        <v>-60</v>
      </c>
      <c r="P268">
        <v>110</v>
      </c>
      <c r="Q268">
        <v>-203</v>
      </c>
      <c r="R268">
        <v>61</v>
      </c>
      <c r="S268">
        <v>1.22</v>
      </c>
      <c r="T268">
        <v>1.0684210526315789</v>
      </c>
      <c r="U268">
        <v>1.1000000000000001</v>
      </c>
    </row>
    <row r="269" spans="1:21" x14ac:dyDescent="0.35">
      <c r="A269">
        <v>917</v>
      </c>
      <c r="B269" s="16">
        <v>40210</v>
      </c>
      <c r="C269" s="15" t="s">
        <v>63</v>
      </c>
      <c r="D269" s="15" t="s">
        <v>38</v>
      </c>
      <c r="E269" s="15" t="s">
        <v>43</v>
      </c>
      <c r="F269" s="15" t="s">
        <v>40</v>
      </c>
      <c r="G269" s="15" t="s">
        <v>69</v>
      </c>
      <c r="H269" s="15" t="s">
        <v>42</v>
      </c>
      <c r="I269">
        <v>240</v>
      </c>
      <c r="J269">
        <v>370</v>
      </c>
      <c r="K269">
        <v>250</v>
      </c>
      <c r="L269">
        <v>610</v>
      </c>
      <c r="M269">
        <v>258</v>
      </c>
      <c r="N269">
        <v>2067</v>
      </c>
      <c r="O269">
        <v>387</v>
      </c>
      <c r="P269">
        <v>90</v>
      </c>
      <c r="Q269">
        <v>245</v>
      </c>
      <c r="R269">
        <v>645</v>
      </c>
      <c r="S269">
        <v>1.0573770491803278</v>
      </c>
      <c r="T269">
        <v>0.98</v>
      </c>
      <c r="U269">
        <v>1.075</v>
      </c>
    </row>
    <row r="270" spans="1:21" x14ac:dyDescent="0.35">
      <c r="A270">
        <v>518</v>
      </c>
      <c r="B270" s="16">
        <v>40210</v>
      </c>
      <c r="C270" s="15" t="s">
        <v>63</v>
      </c>
      <c r="D270" s="15" t="s">
        <v>38</v>
      </c>
      <c r="E270" s="15" t="s">
        <v>53</v>
      </c>
      <c r="F270" s="15" t="s">
        <v>52</v>
      </c>
      <c r="G270" s="15" t="s">
        <v>69</v>
      </c>
      <c r="H270" s="15" t="s">
        <v>45</v>
      </c>
      <c r="I270">
        <v>180</v>
      </c>
      <c r="J270">
        <v>200</v>
      </c>
      <c r="K270">
        <v>110</v>
      </c>
      <c r="L270">
        <v>380</v>
      </c>
      <c r="M270">
        <v>240</v>
      </c>
      <c r="N270">
        <v>1454</v>
      </c>
      <c r="O270">
        <v>255</v>
      </c>
      <c r="P270">
        <v>91</v>
      </c>
      <c r="Q270">
        <v>131</v>
      </c>
      <c r="R270">
        <v>495</v>
      </c>
      <c r="S270">
        <v>1.3026315789473684</v>
      </c>
      <c r="T270">
        <v>1.1909090909090909</v>
      </c>
      <c r="U270">
        <v>1.3333333333333333</v>
      </c>
    </row>
    <row r="271" spans="1:21" x14ac:dyDescent="0.35">
      <c r="A271">
        <v>607</v>
      </c>
      <c r="B271" s="16">
        <v>40210</v>
      </c>
      <c r="C271" s="15" t="s">
        <v>63</v>
      </c>
      <c r="D271" s="15" t="s">
        <v>38</v>
      </c>
      <c r="E271" s="15" t="s">
        <v>54</v>
      </c>
      <c r="F271" s="15" t="s">
        <v>52</v>
      </c>
      <c r="G271" s="15" t="s">
        <v>69</v>
      </c>
      <c r="H271" s="15" t="s">
        <v>45</v>
      </c>
      <c r="I271">
        <v>160</v>
      </c>
      <c r="J271">
        <v>-20</v>
      </c>
      <c r="K271">
        <v>-80</v>
      </c>
      <c r="L271">
        <v>140</v>
      </c>
      <c r="M271">
        <v>213</v>
      </c>
      <c r="N271">
        <v>1214</v>
      </c>
      <c r="O271">
        <v>-33</v>
      </c>
      <c r="P271">
        <v>66</v>
      </c>
      <c r="Q271">
        <v>-120</v>
      </c>
      <c r="R271">
        <v>180</v>
      </c>
      <c r="S271">
        <v>1.2857142857142858</v>
      </c>
      <c r="T271">
        <v>1.5</v>
      </c>
      <c r="U271">
        <v>1.33125</v>
      </c>
    </row>
    <row r="272" spans="1:21" x14ac:dyDescent="0.35">
      <c r="A272">
        <v>504</v>
      </c>
      <c r="B272" s="16">
        <v>40210</v>
      </c>
      <c r="C272" s="15" t="s">
        <v>70</v>
      </c>
      <c r="D272" s="15" t="s">
        <v>58</v>
      </c>
      <c r="E272" s="15" t="s">
        <v>48</v>
      </c>
      <c r="F272" s="15" t="s">
        <v>49</v>
      </c>
      <c r="G272" s="15" t="s">
        <v>71</v>
      </c>
      <c r="H272" s="15" t="s">
        <v>42</v>
      </c>
      <c r="I272">
        <v>50</v>
      </c>
      <c r="J272">
        <v>90</v>
      </c>
      <c r="K272">
        <v>70</v>
      </c>
      <c r="L272">
        <v>140</v>
      </c>
      <c r="M272">
        <v>65</v>
      </c>
      <c r="N272">
        <v>372</v>
      </c>
      <c r="O272">
        <v>109</v>
      </c>
      <c r="P272">
        <v>20</v>
      </c>
      <c r="Q272">
        <v>65</v>
      </c>
      <c r="R272">
        <v>174</v>
      </c>
      <c r="S272">
        <v>1.2428571428571429</v>
      </c>
      <c r="T272">
        <v>0.9285714285714286</v>
      </c>
      <c r="U272">
        <v>1.3</v>
      </c>
    </row>
    <row r="273" spans="1:21" x14ac:dyDescent="0.35">
      <c r="A273">
        <v>985</v>
      </c>
      <c r="B273" s="16">
        <v>40210</v>
      </c>
      <c r="C273" s="15" t="s">
        <v>70</v>
      </c>
      <c r="D273" s="15" t="s">
        <v>58</v>
      </c>
      <c r="E273" s="15" t="s">
        <v>50</v>
      </c>
      <c r="F273" s="15" t="s">
        <v>49</v>
      </c>
      <c r="G273" s="15" t="s">
        <v>71</v>
      </c>
      <c r="H273" s="15" t="s">
        <v>45</v>
      </c>
      <c r="I273">
        <v>40</v>
      </c>
      <c r="J273">
        <v>70</v>
      </c>
      <c r="K273">
        <v>50</v>
      </c>
      <c r="L273">
        <v>110</v>
      </c>
      <c r="M273">
        <v>56</v>
      </c>
      <c r="N273">
        <v>382</v>
      </c>
      <c r="O273">
        <v>81</v>
      </c>
      <c r="P273">
        <v>17</v>
      </c>
      <c r="Q273">
        <v>41</v>
      </c>
      <c r="R273">
        <v>137</v>
      </c>
      <c r="S273">
        <v>1.2454545454545454</v>
      </c>
      <c r="T273">
        <v>0.82</v>
      </c>
      <c r="U273">
        <v>1.4</v>
      </c>
    </row>
    <row r="274" spans="1:21" x14ac:dyDescent="0.35">
      <c r="A274">
        <v>337</v>
      </c>
      <c r="B274" s="16">
        <v>40210</v>
      </c>
      <c r="C274" s="15" t="s">
        <v>70</v>
      </c>
      <c r="D274" s="15" t="s">
        <v>58</v>
      </c>
      <c r="E274" s="15" t="s">
        <v>51</v>
      </c>
      <c r="F274" s="15" t="s">
        <v>52</v>
      </c>
      <c r="G274" s="15" t="s">
        <v>71</v>
      </c>
      <c r="H274" s="15" t="s">
        <v>45</v>
      </c>
      <c r="I274">
        <v>40</v>
      </c>
      <c r="J274">
        <v>60</v>
      </c>
      <c r="K274">
        <v>40</v>
      </c>
      <c r="L274">
        <v>100</v>
      </c>
      <c r="M274">
        <v>49</v>
      </c>
      <c r="N274">
        <v>617</v>
      </c>
      <c r="O274">
        <v>63</v>
      </c>
      <c r="P274">
        <v>16</v>
      </c>
      <c r="Q274">
        <v>35</v>
      </c>
      <c r="R274">
        <v>112</v>
      </c>
      <c r="S274">
        <v>1.1200000000000001</v>
      </c>
      <c r="T274">
        <v>0.875</v>
      </c>
      <c r="U274">
        <v>1.2250000000000001</v>
      </c>
    </row>
    <row r="275" spans="1:21" x14ac:dyDescent="0.35">
      <c r="A275">
        <v>225</v>
      </c>
      <c r="B275" s="16">
        <v>40210</v>
      </c>
      <c r="C275" s="15" t="s">
        <v>70</v>
      </c>
      <c r="D275" s="15" t="s">
        <v>58</v>
      </c>
      <c r="E275" s="15" t="s">
        <v>53</v>
      </c>
      <c r="F275" s="15" t="s">
        <v>52</v>
      </c>
      <c r="G275" s="15" t="s">
        <v>71</v>
      </c>
      <c r="H275" s="15" t="s">
        <v>45</v>
      </c>
      <c r="I275">
        <v>80</v>
      </c>
      <c r="J275">
        <v>100</v>
      </c>
      <c r="K275">
        <v>40</v>
      </c>
      <c r="L275">
        <v>180</v>
      </c>
      <c r="M275">
        <v>86</v>
      </c>
      <c r="N275">
        <v>484</v>
      </c>
      <c r="O275">
        <v>107</v>
      </c>
      <c r="P275">
        <v>32</v>
      </c>
      <c r="Q275">
        <v>42</v>
      </c>
      <c r="R275">
        <v>193</v>
      </c>
      <c r="S275">
        <v>1.0722222222222222</v>
      </c>
      <c r="T275">
        <v>1.05</v>
      </c>
      <c r="U275">
        <v>1.075</v>
      </c>
    </row>
    <row r="276" spans="1:21" x14ac:dyDescent="0.35">
      <c r="A276">
        <v>318</v>
      </c>
      <c r="B276" s="16">
        <v>40210</v>
      </c>
      <c r="C276" s="15" t="s">
        <v>70</v>
      </c>
      <c r="D276" s="15" t="s">
        <v>58</v>
      </c>
      <c r="E276" s="15" t="s">
        <v>72</v>
      </c>
      <c r="F276" s="15" t="s">
        <v>49</v>
      </c>
      <c r="G276" s="15" t="s">
        <v>71</v>
      </c>
      <c r="H276" s="15" t="s">
        <v>42</v>
      </c>
      <c r="I276">
        <v>50</v>
      </c>
      <c r="J276">
        <v>80</v>
      </c>
      <c r="K276">
        <v>10</v>
      </c>
      <c r="L276">
        <v>130</v>
      </c>
      <c r="M276">
        <v>65</v>
      </c>
      <c r="N276">
        <v>342</v>
      </c>
      <c r="O276">
        <v>90</v>
      </c>
      <c r="P276">
        <v>58</v>
      </c>
      <c r="Q276">
        <v>2</v>
      </c>
      <c r="R276">
        <v>155</v>
      </c>
      <c r="S276">
        <v>1.1923076923076923</v>
      </c>
      <c r="T276">
        <v>0.2</v>
      </c>
      <c r="U276">
        <v>1.3</v>
      </c>
    </row>
    <row r="277" spans="1:21" x14ac:dyDescent="0.35">
      <c r="A277">
        <v>337</v>
      </c>
      <c r="B277" s="16">
        <v>40210</v>
      </c>
      <c r="C277" s="15" t="s">
        <v>70</v>
      </c>
      <c r="D277" s="15" t="s">
        <v>58</v>
      </c>
      <c r="E277" s="15" t="s">
        <v>43</v>
      </c>
      <c r="F277" s="15" t="s">
        <v>40</v>
      </c>
      <c r="G277" s="15" t="s">
        <v>71</v>
      </c>
      <c r="H277" s="15" t="s">
        <v>42</v>
      </c>
      <c r="I277">
        <v>40</v>
      </c>
      <c r="J277">
        <v>70</v>
      </c>
      <c r="K277">
        <v>60</v>
      </c>
      <c r="L277">
        <v>110</v>
      </c>
      <c r="M277">
        <v>38</v>
      </c>
      <c r="N277">
        <v>772</v>
      </c>
      <c r="O277">
        <v>56</v>
      </c>
      <c r="P277">
        <v>10</v>
      </c>
      <c r="Q277">
        <v>34</v>
      </c>
      <c r="R277">
        <v>94</v>
      </c>
      <c r="S277">
        <v>0.8545454545454545</v>
      </c>
      <c r="T277">
        <v>0.56666666666666665</v>
      </c>
      <c r="U277">
        <v>0.95</v>
      </c>
    </row>
    <row r="278" spans="1:21" x14ac:dyDescent="0.35">
      <c r="A278">
        <v>504</v>
      </c>
      <c r="B278" s="16">
        <v>40210</v>
      </c>
      <c r="C278" s="15" t="s">
        <v>70</v>
      </c>
      <c r="D278" s="15" t="s">
        <v>58</v>
      </c>
      <c r="E278" s="15" t="s">
        <v>44</v>
      </c>
      <c r="F278" s="15" t="s">
        <v>40</v>
      </c>
      <c r="G278" s="15" t="s">
        <v>71</v>
      </c>
      <c r="H278" s="15" t="s">
        <v>45</v>
      </c>
      <c r="I278">
        <v>50</v>
      </c>
      <c r="J278">
        <v>90</v>
      </c>
      <c r="K278">
        <v>70</v>
      </c>
      <c r="L278">
        <v>140</v>
      </c>
      <c r="M278">
        <v>47</v>
      </c>
      <c r="N278">
        <v>772</v>
      </c>
      <c r="O278">
        <v>68</v>
      </c>
      <c r="P278">
        <v>13</v>
      </c>
      <c r="Q278">
        <v>44</v>
      </c>
      <c r="R278">
        <v>115</v>
      </c>
      <c r="S278">
        <v>0.8214285714285714</v>
      </c>
      <c r="T278">
        <v>0.62857142857142856</v>
      </c>
      <c r="U278">
        <v>0.94</v>
      </c>
    </row>
    <row r="279" spans="1:21" x14ac:dyDescent="0.35">
      <c r="A279">
        <v>505</v>
      </c>
      <c r="B279" s="16">
        <v>40210</v>
      </c>
      <c r="C279" s="15" t="s">
        <v>70</v>
      </c>
      <c r="D279" s="15" t="s">
        <v>58</v>
      </c>
      <c r="E279" s="15" t="s">
        <v>48</v>
      </c>
      <c r="F279" s="15" t="s">
        <v>49</v>
      </c>
      <c r="G279" s="15" t="s">
        <v>73</v>
      </c>
      <c r="H279" s="15" t="s">
        <v>42</v>
      </c>
      <c r="I279">
        <v>30</v>
      </c>
      <c r="J279">
        <v>50</v>
      </c>
      <c r="K279">
        <v>0</v>
      </c>
      <c r="L279">
        <v>80</v>
      </c>
      <c r="M279">
        <v>43</v>
      </c>
      <c r="N279">
        <v>256</v>
      </c>
      <c r="O279">
        <v>61</v>
      </c>
      <c r="P279">
        <v>39</v>
      </c>
      <c r="Q279">
        <v>-7</v>
      </c>
      <c r="R279">
        <v>104</v>
      </c>
      <c r="S279">
        <v>1.3</v>
      </c>
      <c r="U279">
        <v>1.4333333333333333</v>
      </c>
    </row>
    <row r="280" spans="1:21" x14ac:dyDescent="0.35">
      <c r="A280">
        <v>505</v>
      </c>
      <c r="B280" s="16">
        <v>40210</v>
      </c>
      <c r="C280" s="15" t="s">
        <v>70</v>
      </c>
      <c r="D280" s="15" t="s">
        <v>58</v>
      </c>
      <c r="E280" s="15" t="s">
        <v>50</v>
      </c>
      <c r="F280" s="15" t="s">
        <v>49</v>
      </c>
      <c r="G280" s="15" t="s">
        <v>73</v>
      </c>
      <c r="H280" s="15" t="s">
        <v>45</v>
      </c>
      <c r="I280">
        <v>30</v>
      </c>
      <c r="J280">
        <v>40</v>
      </c>
      <c r="K280">
        <v>10</v>
      </c>
      <c r="L280">
        <v>70</v>
      </c>
      <c r="M280">
        <v>35</v>
      </c>
      <c r="N280">
        <v>191</v>
      </c>
      <c r="O280">
        <v>47</v>
      </c>
      <c r="P280">
        <v>11</v>
      </c>
      <c r="Q280">
        <v>8</v>
      </c>
      <c r="R280">
        <v>82</v>
      </c>
      <c r="S280">
        <v>1.1714285714285715</v>
      </c>
      <c r="T280">
        <v>0.8</v>
      </c>
      <c r="U280">
        <v>1.1666666666666667</v>
      </c>
    </row>
    <row r="281" spans="1:21" x14ac:dyDescent="0.35">
      <c r="A281">
        <v>505</v>
      </c>
      <c r="B281" s="16">
        <v>40210</v>
      </c>
      <c r="C281" s="15" t="s">
        <v>70</v>
      </c>
      <c r="D281" s="15" t="s">
        <v>58</v>
      </c>
      <c r="E281" s="15" t="s">
        <v>51</v>
      </c>
      <c r="F281" s="15" t="s">
        <v>52</v>
      </c>
      <c r="G281" s="15" t="s">
        <v>73</v>
      </c>
      <c r="H281" s="15" t="s">
        <v>45</v>
      </c>
      <c r="I281">
        <v>10</v>
      </c>
      <c r="J281">
        <v>30</v>
      </c>
      <c r="K281">
        <v>20</v>
      </c>
      <c r="L281">
        <v>40</v>
      </c>
      <c r="M281">
        <v>18</v>
      </c>
      <c r="N281">
        <v>818</v>
      </c>
      <c r="O281">
        <v>27</v>
      </c>
      <c r="P281">
        <v>5</v>
      </c>
      <c r="Q281">
        <v>10</v>
      </c>
      <c r="R281">
        <v>45</v>
      </c>
      <c r="S281">
        <v>1.125</v>
      </c>
      <c r="T281">
        <v>0.5</v>
      </c>
      <c r="U281">
        <v>1.8</v>
      </c>
    </row>
    <row r="282" spans="1:21" x14ac:dyDescent="0.35">
      <c r="A282">
        <v>505</v>
      </c>
      <c r="B282" s="16">
        <v>40210</v>
      </c>
      <c r="C282" s="15" t="s">
        <v>70</v>
      </c>
      <c r="D282" s="15" t="s">
        <v>58</v>
      </c>
      <c r="E282" s="15" t="s">
        <v>53</v>
      </c>
      <c r="F282" s="15" t="s">
        <v>52</v>
      </c>
      <c r="G282" s="15" t="s">
        <v>73</v>
      </c>
      <c r="H282" s="15" t="s">
        <v>45</v>
      </c>
      <c r="I282">
        <v>20</v>
      </c>
      <c r="J282">
        <v>40</v>
      </c>
      <c r="K282">
        <v>20</v>
      </c>
      <c r="L282">
        <v>60</v>
      </c>
      <c r="M282">
        <v>28</v>
      </c>
      <c r="N282">
        <v>961</v>
      </c>
      <c r="O282">
        <v>35</v>
      </c>
      <c r="P282">
        <v>8</v>
      </c>
      <c r="Q282">
        <v>5</v>
      </c>
      <c r="R282">
        <v>63</v>
      </c>
      <c r="S282">
        <v>1.05</v>
      </c>
      <c r="T282">
        <v>0.25</v>
      </c>
      <c r="U282">
        <v>1.4</v>
      </c>
    </row>
    <row r="283" spans="1:21" x14ac:dyDescent="0.35">
      <c r="A283">
        <v>505</v>
      </c>
      <c r="B283" s="16">
        <v>40210</v>
      </c>
      <c r="C283" s="15" t="s">
        <v>70</v>
      </c>
      <c r="D283" s="15" t="s">
        <v>58</v>
      </c>
      <c r="E283" s="15" t="s">
        <v>72</v>
      </c>
      <c r="F283" s="15" t="s">
        <v>49</v>
      </c>
      <c r="G283" s="15" t="s">
        <v>73</v>
      </c>
      <c r="H283" s="15" t="s">
        <v>42</v>
      </c>
      <c r="I283">
        <v>20</v>
      </c>
      <c r="J283">
        <v>30</v>
      </c>
      <c r="K283">
        <v>0</v>
      </c>
      <c r="L283">
        <v>50</v>
      </c>
      <c r="M283">
        <v>30</v>
      </c>
      <c r="N283">
        <v>104</v>
      </c>
      <c r="O283">
        <v>38</v>
      </c>
      <c r="P283">
        <v>11</v>
      </c>
      <c r="Q283">
        <v>-7</v>
      </c>
      <c r="R283">
        <v>68</v>
      </c>
      <c r="S283">
        <v>1.36</v>
      </c>
      <c r="U283">
        <v>1.5</v>
      </c>
    </row>
    <row r="284" spans="1:21" x14ac:dyDescent="0.35">
      <c r="A284">
        <v>505</v>
      </c>
      <c r="B284" s="16">
        <v>40210</v>
      </c>
      <c r="C284" s="15" t="s">
        <v>70</v>
      </c>
      <c r="D284" s="15" t="s">
        <v>58</v>
      </c>
      <c r="E284" s="15" t="s">
        <v>43</v>
      </c>
      <c r="F284" s="15" t="s">
        <v>40</v>
      </c>
      <c r="G284" s="15" t="s">
        <v>73</v>
      </c>
      <c r="H284" s="15" t="s">
        <v>42</v>
      </c>
      <c r="I284">
        <v>50</v>
      </c>
      <c r="J284">
        <v>90</v>
      </c>
      <c r="K284">
        <v>50</v>
      </c>
      <c r="L284">
        <v>140</v>
      </c>
      <c r="M284">
        <v>45</v>
      </c>
      <c r="N284">
        <v>366</v>
      </c>
      <c r="O284">
        <v>69</v>
      </c>
      <c r="P284">
        <v>14</v>
      </c>
      <c r="Q284">
        <v>24</v>
      </c>
      <c r="R284">
        <v>114</v>
      </c>
      <c r="S284">
        <v>0.81428571428571428</v>
      </c>
      <c r="T284">
        <v>0.48</v>
      </c>
      <c r="U284">
        <v>0.9</v>
      </c>
    </row>
    <row r="285" spans="1:21" x14ac:dyDescent="0.35">
      <c r="A285">
        <v>505</v>
      </c>
      <c r="B285" s="16">
        <v>40210</v>
      </c>
      <c r="C285" s="15" t="s">
        <v>70</v>
      </c>
      <c r="D285" s="15" t="s">
        <v>58</v>
      </c>
      <c r="E285" s="15" t="s">
        <v>44</v>
      </c>
      <c r="F285" s="15" t="s">
        <v>40</v>
      </c>
      <c r="G285" s="15" t="s">
        <v>73</v>
      </c>
      <c r="H285" s="15" t="s">
        <v>45</v>
      </c>
      <c r="I285">
        <v>100</v>
      </c>
      <c r="J285">
        <v>20</v>
      </c>
      <c r="K285">
        <v>-20</v>
      </c>
      <c r="L285">
        <v>120</v>
      </c>
      <c r="M285">
        <v>84</v>
      </c>
      <c r="N285">
        <v>625</v>
      </c>
      <c r="O285">
        <v>18</v>
      </c>
      <c r="P285">
        <v>26</v>
      </c>
      <c r="Q285">
        <v>-31</v>
      </c>
      <c r="R285">
        <v>102</v>
      </c>
      <c r="S285">
        <v>0.85</v>
      </c>
      <c r="T285">
        <v>1.55</v>
      </c>
      <c r="U285">
        <v>0.84</v>
      </c>
    </row>
    <row r="286" spans="1:21" x14ac:dyDescent="0.35">
      <c r="A286">
        <v>405</v>
      </c>
      <c r="B286" s="16">
        <v>40210</v>
      </c>
      <c r="C286" s="15" t="s">
        <v>70</v>
      </c>
      <c r="D286" s="15" t="s">
        <v>58</v>
      </c>
      <c r="E286" s="15" t="s">
        <v>72</v>
      </c>
      <c r="F286" s="15" t="s">
        <v>49</v>
      </c>
      <c r="G286" s="15" t="s">
        <v>74</v>
      </c>
      <c r="H286" s="15" t="s">
        <v>42</v>
      </c>
      <c r="I286">
        <v>70</v>
      </c>
      <c r="J286">
        <v>100</v>
      </c>
      <c r="K286">
        <v>70</v>
      </c>
      <c r="L286">
        <v>170</v>
      </c>
      <c r="M286">
        <v>86</v>
      </c>
      <c r="N286">
        <v>300</v>
      </c>
      <c r="O286">
        <v>120</v>
      </c>
      <c r="P286">
        <v>26</v>
      </c>
      <c r="Q286">
        <v>70</v>
      </c>
      <c r="R286">
        <v>206</v>
      </c>
      <c r="S286">
        <v>1.2117647058823529</v>
      </c>
      <c r="T286">
        <v>1</v>
      </c>
      <c r="U286">
        <v>1.2285714285714286</v>
      </c>
    </row>
    <row r="287" spans="1:21" x14ac:dyDescent="0.35">
      <c r="A287">
        <v>918</v>
      </c>
      <c r="B287" s="16">
        <v>40210</v>
      </c>
      <c r="C287" s="15" t="s">
        <v>70</v>
      </c>
      <c r="D287" s="15" t="s">
        <v>58</v>
      </c>
      <c r="E287" s="15" t="s">
        <v>48</v>
      </c>
      <c r="F287" s="15" t="s">
        <v>49</v>
      </c>
      <c r="G287" s="15" t="s">
        <v>74</v>
      </c>
      <c r="H287" s="15" t="s">
        <v>42</v>
      </c>
      <c r="I287">
        <v>10</v>
      </c>
      <c r="J287">
        <v>30</v>
      </c>
      <c r="K287">
        <v>30</v>
      </c>
      <c r="L287">
        <v>40</v>
      </c>
      <c r="M287">
        <v>22</v>
      </c>
      <c r="N287">
        <v>452</v>
      </c>
      <c r="O287">
        <v>34</v>
      </c>
      <c r="P287">
        <v>6</v>
      </c>
      <c r="Q287">
        <v>17</v>
      </c>
      <c r="R287">
        <v>56</v>
      </c>
      <c r="S287">
        <v>1.4</v>
      </c>
      <c r="T287">
        <v>0.56666666666666665</v>
      </c>
      <c r="U287">
        <v>2.2000000000000002</v>
      </c>
    </row>
    <row r="288" spans="1:21" x14ac:dyDescent="0.35">
      <c r="A288">
        <v>405</v>
      </c>
      <c r="B288" s="16">
        <v>40210</v>
      </c>
      <c r="C288" s="15" t="s">
        <v>70</v>
      </c>
      <c r="D288" s="15" t="s">
        <v>58</v>
      </c>
      <c r="E288" s="15" t="s">
        <v>50</v>
      </c>
      <c r="F288" s="15" t="s">
        <v>49</v>
      </c>
      <c r="G288" s="15" t="s">
        <v>74</v>
      </c>
      <c r="H288" s="15" t="s">
        <v>45</v>
      </c>
      <c r="I288">
        <v>60</v>
      </c>
      <c r="J288">
        <v>110</v>
      </c>
      <c r="K288">
        <v>70</v>
      </c>
      <c r="L288">
        <v>170</v>
      </c>
      <c r="M288">
        <v>80</v>
      </c>
      <c r="N288">
        <v>640</v>
      </c>
      <c r="O288">
        <v>120</v>
      </c>
      <c r="P288">
        <v>26</v>
      </c>
      <c r="Q288">
        <v>63</v>
      </c>
      <c r="R288">
        <v>200</v>
      </c>
      <c r="S288">
        <v>1.1764705882352942</v>
      </c>
      <c r="T288">
        <v>0.9</v>
      </c>
      <c r="U288">
        <v>1.3333333333333333</v>
      </c>
    </row>
    <row r="289" spans="1:21" x14ac:dyDescent="0.35">
      <c r="A289">
        <v>918</v>
      </c>
      <c r="B289" s="16">
        <v>40210</v>
      </c>
      <c r="C289" s="15" t="s">
        <v>70</v>
      </c>
      <c r="D289" s="15" t="s">
        <v>58</v>
      </c>
      <c r="E289" s="15" t="s">
        <v>51</v>
      </c>
      <c r="F289" s="15" t="s">
        <v>52</v>
      </c>
      <c r="G289" s="15" t="s">
        <v>74</v>
      </c>
      <c r="H289" s="15" t="s">
        <v>45</v>
      </c>
      <c r="I289">
        <v>50</v>
      </c>
      <c r="J289">
        <v>60</v>
      </c>
      <c r="K289">
        <v>20</v>
      </c>
      <c r="L289">
        <v>110</v>
      </c>
      <c r="M289">
        <v>53</v>
      </c>
      <c r="N289">
        <v>306</v>
      </c>
      <c r="O289">
        <v>65</v>
      </c>
      <c r="P289">
        <v>20</v>
      </c>
      <c r="Q289">
        <v>11</v>
      </c>
      <c r="R289">
        <v>118</v>
      </c>
      <c r="S289">
        <v>1.0727272727272728</v>
      </c>
      <c r="T289">
        <v>0.55000000000000004</v>
      </c>
      <c r="U289">
        <v>1.06</v>
      </c>
    </row>
    <row r="290" spans="1:21" x14ac:dyDescent="0.35">
      <c r="A290">
        <v>405</v>
      </c>
      <c r="B290" s="16">
        <v>40210</v>
      </c>
      <c r="C290" s="15" t="s">
        <v>70</v>
      </c>
      <c r="D290" s="15" t="s">
        <v>58</v>
      </c>
      <c r="E290" s="15" t="s">
        <v>53</v>
      </c>
      <c r="F290" s="15" t="s">
        <v>52</v>
      </c>
      <c r="G290" s="15" t="s">
        <v>74</v>
      </c>
      <c r="H290" s="15" t="s">
        <v>45</v>
      </c>
      <c r="I290">
        <v>80</v>
      </c>
      <c r="J290">
        <v>130</v>
      </c>
      <c r="K290">
        <v>40</v>
      </c>
      <c r="L290">
        <v>210</v>
      </c>
      <c r="M290">
        <v>92</v>
      </c>
      <c r="N290">
        <v>541</v>
      </c>
      <c r="O290">
        <v>128</v>
      </c>
      <c r="P290">
        <v>83</v>
      </c>
      <c r="Q290">
        <v>15</v>
      </c>
      <c r="R290">
        <v>220</v>
      </c>
      <c r="S290">
        <v>1.0476190476190477</v>
      </c>
      <c r="T290">
        <v>0.375</v>
      </c>
      <c r="U290">
        <v>1.1499999999999999</v>
      </c>
    </row>
    <row r="291" spans="1:21" x14ac:dyDescent="0.35">
      <c r="A291">
        <v>918</v>
      </c>
      <c r="B291" s="16">
        <v>40210</v>
      </c>
      <c r="C291" s="15" t="s">
        <v>70</v>
      </c>
      <c r="D291" s="15" t="s">
        <v>58</v>
      </c>
      <c r="E291" s="15" t="s">
        <v>43</v>
      </c>
      <c r="F291" s="15" t="s">
        <v>40</v>
      </c>
      <c r="G291" s="15" t="s">
        <v>74</v>
      </c>
      <c r="H291" s="15" t="s">
        <v>42</v>
      </c>
      <c r="I291">
        <v>50</v>
      </c>
      <c r="J291">
        <v>70</v>
      </c>
      <c r="K291">
        <v>50</v>
      </c>
      <c r="L291">
        <v>120</v>
      </c>
      <c r="M291">
        <v>44</v>
      </c>
      <c r="N291">
        <v>618</v>
      </c>
      <c r="O291">
        <v>56</v>
      </c>
      <c r="P291">
        <v>14</v>
      </c>
      <c r="Q291">
        <v>29</v>
      </c>
      <c r="R291">
        <v>100</v>
      </c>
      <c r="S291">
        <v>0.83333333333333337</v>
      </c>
      <c r="T291">
        <v>0.57999999999999996</v>
      </c>
      <c r="U291">
        <v>0.88</v>
      </c>
    </row>
    <row r="292" spans="1:21" x14ac:dyDescent="0.35">
      <c r="A292">
        <v>405</v>
      </c>
      <c r="B292" s="16">
        <v>40210</v>
      </c>
      <c r="C292" s="15" t="s">
        <v>70</v>
      </c>
      <c r="D292" s="15" t="s">
        <v>58</v>
      </c>
      <c r="E292" s="15" t="s">
        <v>44</v>
      </c>
      <c r="F292" s="15" t="s">
        <v>40</v>
      </c>
      <c r="G292" s="15" t="s">
        <v>74</v>
      </c>
      <c r="H292" s="15" t="s">
        <v>45</v>
      </c>
      <c r="I292">
        <v>40</v>
      </c>
      <c r="J292">
        <v>60</v>
      </c>
      <c r="K292">
        <v>50</v>
      </c>
      <c r="L292">
        <v>100</v>
      </c>
      <c r="M292">
        <v>32</v>
      </c>
      <c r="N292">
        <v>817</v>
      </c>
      <c r="O292">
        <v>48</v>
      </c>
      <c r="P292">
        <v>8</v>
      </c>
      <c r="Q292">
        <v>29</v>
      </c>
      <c r="R292">
        <v>80</v>
      </c>
      <c r="S292">
        <v>0.8</v>
      </c>
      <c r="T292">
        <v>0.57999999999999996</v>
      </c>
      <c r="U292">
        <v>0.8</v>
      </c>
    </row>
    <row r="293" spans="1:21" x14ac:dyDescent="0.35">
      <c r="A293">
        <v>512</v>
      </c>
      <c r="B293" s="16">
        <v>40210</v>
      </c>
      <c r="C293" s="15" t="s">
        <v>70</v>
      </c>
      <c r="D293" s="15" t="s">
        <v>38</v>
      </c>
      <c r="E293" s="15" t="s">
        <v>72</v>
      </c>
      <c r="F293" s="15" t="s">
        <v>49</v>
      </c>
      <c r="G293" s="15" t="s">
        <v>75</v>
      </c>
      <c r="H293" s="15" t="s">
        <v>42</v>
      </c>
      <c r="I293">
        <v>60</v>
      </c>
      <c r="J293">
        <v>100</v>
      </c>
      <c r="K293">
        <v>60</v>
      </c>
      <c r="L293">
        <v>160</v>
      </c>
      <c r="M293">
        <v>75</v>
      </c>
      <c r="N293">
        <v>378</v>
      </c>
      <c r="O293">
        <v>114</v>
      </c>
      <c r="P293">
        <v>24</v>
      </c>
      <c r="Q293">
        <v>58</v>
      </c>
      <c r="R293">
        <v>189</v>
      </c>
      <c r="S293">
        <v>1.1812499999999999</v>
      </c>
      <c r="T293">
        <v>0.96666666666666667</v>
      </c>
      <c r="U293">
        <v>1.25</v>
      </c>
    </row>
    <row r="294" spans="1:21" x14ac:dyDescent="0.35">
      <c r="A294">
        <v>903</v>
      </c>
      <c r="B294" s="16">
        <v>40210</v>
      </c>
      <c r="C294" s="15" t="s">
        <v>70</v>
      </c>
      <c r="D294" s="15" t="s">
        <v>38</v>
      </c>
      <c r="E294" s="15" t="s">
        <v>48</v>
      </c>
      <c r="F294" s="15" t="s">
        <v>49</v>
      </c>
      <c r="G294" s="15" t="s">
        <v>75</v>
      </c>
      <c r="H294" s="15" t="s">
        <v>42</v>
      </c>
      <c r="I294">
        <v>80</v>
      </c>
      <c r="J294">
        <v>120</v>
      </c>
      <c r="K294">
        <v>100</v>
      </c>
      <c r="L294">
        <v>200</v>
      </c>
      <c r="M294">
        <v>99</v>
      </c>
      <c r="N294">
        <v>766</v>
      </c>
      <c r="O294">
        <v>144</v>
      </c>
      <c r="P294">
        <v>27</v>
      </c>
      <c r="Q294">
        <v>106</v>
      </c>
      <c r="R294">
        <v>243</v>
      </c>
      <c r="S294">
        <v>1.2150000000000001</v>
      </c>
      <c r="T294">
        <v>1.06</v>
      </c>
      <c r="U294">
        <v>1.2375</v>
      </c>
    </row>
    <row r="295" spans="1:21" x14ac:dyDescent="0.35">
      <c r="A295">
        <v>956</v>
      </c>
      <c r="B295" s="16">
        <v>40210</v>
      </c>
      <c r="C295" s="15" t="s">
        <v>70</v>
      </c>
      <c r="D295" s="15" t="s">
        <v>38</v>
      </c>
      <c r="E295" s="15" t="s">
        <v>50</v>
      </c>
      <c r="F295" s="15" t="s">
        <v>49</v>
      </c>
      <c r="G295" s="15" t="s">
        <v>75</v>
      </c>
      <c r="H295" s="15" t="s">
        <v>45</v>
      </c>
      <c r="I295">
        <v>60</v>
      </c>
      <c r="J295">
        <v>100</v>
      </c>
      <c r="K295">
        <v>90</v>
      </c>
      <c r="L295">
        <v>160</v>
      </c>
      <c r="M295">
        <v>77</v>
      </c>
      <c r="N295">
        <v>449</v>
      </c>
      <c r="O295">
        <v>112</v>
      </c>
      <c r="P295">
        <v>21</v>
      </c>
      <c r="Q295">
        <v>80</v>
      </c>
      <c r="R295">
        <v>189</v>
      </c>
      <c r="S295">
        <v>1.1812499999999999</v>
      </c>
      <c r="T295">
        <v>0.88888888888888884</v>
      </c>
      <c r="U295">
        <v>1.2833333333333334</v>
      </c>
    </row>
    <row r="296" spans="1:21" x14ac:dyDescent="0.35">
      <c r="A296">
        <v>214</v>
      </c>
      <c r="B296" s="16">
        <v>40210</v>
      </c>
      <c r="C296" s="15" t="s">
        <v>70</v>
      </c>
      <c r="D296" s="15" t="s">
        <v>38</v>
      </c>
      <c r="E296" s="15" t="s">
        <v>51</v>
      </c>
      <c r="F296" s="15" t="s">
        <v>52</v>
      </c>
      <c r="G296" s="15" t="s">
        <v>75</v>
      </c>
      <c r="H296" s="15" t="s">
        <v>45</v>
      </c>
      <c r="I296">
        <v>50</v>
      </c>
      <c r="J296">
        <v>80</v>
      </c>
      <c r="K296">
        <v>50</v>
      </c>
      <c r="L296">
        <v>130</v>
      </c>
      <c r="M296">
        <v>60</v>
      </c>
      <c r="N296">
        <v>329</v>
      </c>
      <c r="O296">
        <v>80</v>
      </c>
      <c r="P296">
        <v>19</v>
      </c>
      <c r="Q296">
        <v>33</v>
      </c>
      <c r="R296">
        <v>140</v>
      </c>
      <c r="S296">
        <v>1.0769230769230769</v>
      </c>
      <c r="T296">
        <v>0.66</v>
      </c>
      <c r="U296">
        <v>1.2</v>
      </c>
    </row>
    <row r="297" spans="1:21" x14ac:dyDescent="0.35">
      <c r="A297">
        <v>432</v>
      </c>
      <c r="B297" s="16">
        <v>40210</v>
      </c>
      <c r="C297" s="15" t="s">
        <v>70</v>
      </c>
      <c r="D297" s="15" t="s">
        <v>38</v>
      </c>
      <c r="E297" s="15" t="s">
        <v>53</v>
      </c>
      <c r="F297" s="15" t="s">
        <v>52</v>
      </c>
      <c r="G297" s="15" t="s">
        <v>75</v>
      </c>
      <c r="H297" s="15" t="s">
        <v>45</v>
      </c>
      <c r="I297">
        <v>40</v>
      </c>
      <c r="J297">
        <v>80</v>
      </c>
      <c r="K297">
        <v>50</v>
      </c>
      <c r="L297">
        <v>120</v>
      </c>
      <c r="M297">
        <v>52</v>
      </c>
      <c r="N297">
        <v>357</v>
      </c>
      <c r="O297">
        <v>76</v>
      </c>
      <c r="P297">
        <v>16</v>
      </c>
      <c r="Q297">
        <v>38</v>
      </c>
      <c r="R297">
        <v>128</v>
      </c>
      <c r="S297">
        <v>1.0666666666666667</v>
      </c>
      <c r="T297">
        <v>0.76</v>
      </c>
      <c r="U297">
        <v>1.3</v>
      </c>
    </row>
    <row r="298" spans="1:21" x14ac:dyDescent="0.35">
      <c r="A298">
        <v>972</v>
      </c>
      <c r="B298" s="16">
        <v>40210</v>
      </c>
      <c r="C298" s="15" t="s">
        <v>70</v>
      </c>
      <c r="D298" s="15" t="s">
        <v>38</v>
      </c>
      <c r="E298" s="15" t="s">
        <v>43</v>
      </c>
      <c r="F298" s="15" t="s">
        <v>40</v>
      </c>
      <c r="G298" s="15" t="s">
        <v>75</v>
      </c>
      <c r="H298" s="15" t="s">
        <v>42</v>
      </c>
      <c r="I298">
        <v>260</v>
      </c>
      <c r="J298">
        <v>320</v>
      </c>
      <c r="K298">
        <v>240</v>
      </c>
      <c r="L298">
        <v>580</v>
      </c>
      <c r="M298">
        <v>213</v>
      </c>
      <c r="N298">
        <v>942</v>
      </c>
      <c r="O298">
        <v>252</v>
      </c>
      <c r="P298">
        <v>66</v>
      </c>
      <c r="Q298">
        <v>164</v>
      </c>
      <c r="R298">
        <v>465</v>
      </c>
      <c r="S298">
        <v>0.80172413793103448</v>
      </c>
      <c r="T298">
        <v>0.68333333333333335</v>
      </c>
      <c r="U298">
        <v>0.81923076923076921</v>
      </c>
    </row>
    <row r="299" spans="1:21" x14ac:dyDescent="0.35">
      <c r="A299">
        <v>432</v>
      </c>
      <c r="B299" s="16">
        <v>40210</v>
      </c>
      <c r="C299" s="15" t="s">
        <v>70</v>
      </c>
      <c r="D299" s="15" t="s">
        <v>38</v>
      </c>
      <c r="E299" s="15" t="s">
        <v>44</v>
      </c>
      <c r="F299" s="15" t="s">
        <v>40</v>
      </c>
      <c r="G299" s="15" t="s">
        <v>75</v>
      </c>
      <c r="H299" s="15" t="s">
        <v>45</v>
      </c>
      <c r="I299">
        <v>100</v>
      </c>
      <c r="J299">
        <v>130</v>
      </c>
      <c r="K299">
        <v>100</v>
      </c>
      <c r="L299">
        <v>230</v>
      </c>
      <c r="M299">
        <v>83</v>
      </c>
      <c r="N299">
        <v>613</v>
      </c>
      <c r="O299">
        <v>107</v>
      </c>
      <c r="P299">
        <v>27</v>
      </c>
      <c r="Q299">
        <v>68</v>
      </c>
      <c r="R299">
        <v>190</v>
      </c>
      <c r="S299">
        <v>0.82608695652173914</v>
      </c>
      <c r="T299">
        <v>0.68</v>
      </c>
      <c r="U299">
        <v>0.83</v>
      </c>
    </row>
    <row r="300" spans="1:21" x14ac:dyDescent="0.35">
      <c r="A300">
        <v>435</v>
      </c>
      <c r="B300" s="16">
        <v>40210</v>
      </c>
      <c r="C300" s="15" t="s">
        <v>76</v>
      </c>
      <c r="D300" s="15" t="s">
        <v>58</v>
      </c>
      <c r="E300" s="15" t="s">
        <v>72</v>
      </c>
      <c r="F300" s="15" t="s">
        <v>49</v>
      </c>
      <c r="G300" s="15" t="s">
        <v>77</v>
      </c>
      <c r="H300" s="15" t="s">
        <v>42</v>
      </c>
      <c r="I300">
        <v>40</v>
      </c>
      <c r="J300">
        <v>50</v>
      </c>
      <c r="K300">
        <v>30</v>
      </c>
      <c r="L300">
        <v>90</v>
      </c>
      <c r="M300">
        <v>42</v>
      </c>
      <c r="N300">
        <v>771</v>
      </c>
      <c r="O300">
        <v>61</v>
      </c>
      <c r="P300">
        <v>11</v>
      </c>
      <c r="Q300">
        <v>38</v>
      </c>
      <c r="R300">
        <v>103</v>
      </c>
      <c r="S300">
        <v>1.1444444444444444</v>
      </c>
      <c r="T300">
        <v>1.2666666666666666</v>
      </c>
      <c r="U300">
        <v>1.05</v>
      </c>
    </row>
    <row r="301" spans="1:21" x14ac:dyDescent="0.35">
      <c r="A301">
        <v>801</v>
      </c>
      <c r="B301" s="16">
        <v>40210</v>
      </c>
      <c r="C301" s="15" t="s">
        <v>76</v>
      </c>
      <c r="D301" s="15" t="s">
        <v>58</v>
      </c>
      <c r="E301" s="15" t="s">
        <v>48</v>
      </c>
      <c r="F301" s="15" t="s">
        <v>49</v>
      </c>
      <c r="G301" s="15" t="s">
        <v>77</v>
      </c>
      <c r="H301" s="15" t="s">
        <v>42</v>
      </c>
      <c r="I301">
        <v>40</v>
      </c>
      <c r="J301">
        <v>60</v>
      </c>
      <c r="K301">
        <v>40</v>
      </c>
      <c r="L301">
        <v>100</v>
      </c>
      <c r="M301">
        <v>49</v>
      </c>
      <c r="N301">
        <v>617</v>
      </c>
      <c r="O301">
        <v>63</v>
      </c>
      <c r="P301">
        <v>16</v>
      </c>
      <c r="Q301">
        <v>35</v>
      </c>
      <c r="R301">
        <v>112</v>
      </c>
      <c r="S301">
        <v>1.1200000000000001</v>
      </c>
      <c r="T301">
        <v>0.875</v>
      </c>
      <c r="U301">
        <v>1.2250000000000001</v>
      </c>
    </row>
    <row r="302" spans="1:21" x14ac:dyDescent="0.35">
      <c r="A302">
        <v>435</v>
      </c>
      <c r="B302" s="16">
        <v>40210</v>
      </c>
      <c r="C302" s="15" t="s">
        <v>76</v>
      </c>
      <c r="D302" s="15" t="s">
        <v>58</v>
      </c>
      <c r="E302" s="15" t="s">
        <v>50</v>
      </c>
      <c r="F302" s="15" t="s">
        <v>49</v>
      </c>
      <c r="G302" s="15" t="s">
        <v>77</v>
      </c>
      <c r="H302" s="15" t="s">
        <v>45</v>
      </c>
      <c r="I302">
        <v>40</v>
      </c>
      <c r="J302">
        <v>70</v>
      </c>
      <c r="K302">
        <v>50</v>
      </c>
      <c r="L302">
        <v>110</v>
      </c>
      <c r="M302">
        <v>50</v>
      </c>
      <c r="N302">
        <v>814</v>
      </c>
      <c r="O302">
        <v>73</v>
      </c>
      <c r="P302">
        <v>14</v>
      </c>
      <c r="Q302">
        <v>48</v>
      </c>
      <c r="R302">
        <v>123</v>
      </c>
      <c r="S302">
        <v>1.1181818181818182</v>
      </c>
      <c r="T302">
        <v>0.96</v>
      </c>
      <c r="U302">
        <v>1.25</v>
      </c>
    </row>
    <row r="303" spans="1:21" x14ac:dyDescent="0.35">
      <c r="A303">
        <v>435</v>
      </c>
      <c r="B303" s="16">
        <v>40210</v>
      </c>
      <c r="C303" s="15" t="s">
        <v>76</v>
      </c>
      <c r="D303" s="15" t="s">
        <v>58</v>
      </c>
      <c r="E303" s="15" t="s">
        <v>51</v>
      </c>
      <c r="F303" s="15" t="s">
        <v>52</v>
      </c>
      <c r="G303" s="15" t="s">
        <v>77</v>
      </c>
      <c r="H303" s="15" t="s">
        <v>45</v>
      </c>
      <c r="I303">
        <v>30</v>
      </c>
      <c r="J303">
        <v>50</v>
      </c>
      <c r="K303">
        <v>30</v>
      </c>
      <c r="L303">
        <v>80</v>
      </c>
      <c r="M303">
        <v>41</v>
      </c>
      <c r="N303">
        <v>236</v>
      </c>
      <c r="O303">
        <v>60</v>
      </c>
      <c r="P303">
        <v>13</v>
      </c>
      <c r="Q303">
        <v>24</v>
      </c>
      <c r="R303">
        <v>101</v>
      </c>
      <c r="S303">
        <v>1.2625</v>
      </c>
      <c r="T303">
        <v>0.8</v>
      </c>
      <c r="U303">
        <v>1.3666666666666667</v>
      </c>
    </row>
    <row r="304" spans="1:21" x14ac:dyDescent="0.35">
      <c r="A304">
        <v>435</v>
      </c>
      <c r="B304" s="16">
        <v>40210</v>
      </c>
      <c r="C304" s="15" t="s">
        <v>76</v>
      </c>
      <c r="D304" s="15" t="s">
        <v>58</v>
      </c>
      <c r="E304" s="15" t="s">
        <v>53</v>
      </c>
      <c r="F304" s="15" t="s">
        <v>52</v>
      </c>
      <c r="G304" s="15" t="s">
        <v>77</v>
      </c>
      <c r="H304" s="15" t="s">
        <v>45</v>
      </c>
      <c r="I304">
        <v>30</v>
      </c>
      <c r="J304">
        <v>70</v>
      </c>
      <c r="K304">
        <v>40</v>
      </c>
      <c r="L304">
        <v>100</v>
      </c>
      <c r="M304">
        <v>45</v>
      </c>
      <c r="N304">
        <v>366</v>
      </c>
      <c r="O304">
        <v>69</v>
      </c>
      <c r="P304">
        <v>14</v>
      </c>
      <c r="Q304">
        <v>24</v>
      </c>
      <c r="R304">
        <v>114</v>
      </c>
      <c r="S304">
        <v>1.1399999999999999</v>
      </c>
      <c r="T304">
        <v>0.6</v>
      </c>
      <c r="U304">
        <v>1.5</v>
      </c>
    </row>
    <row r="305" spans="1:21" x14ac:dyDescent="0.35">
      <c r="A305">
        <v>435</v>
      </c>
      <c r="B305" s="16">
        <v>40210</v>
      </c>
      <c r="C305" s="15" t="s">
        <v>76</v>
      </c>
      <c r="D305" s="15" t="s">
        <v>58</v>
      </c>
      <c r="E305" s="15" t="s">
        <v>54</v>
      </c>
      <c r="F305" s="15" t="s">
        <v>52</v>
      </c>
      <c r="G305" s="15" t="s">
        <v>77</v>
      </c>
      <c r="H305" s="15" t="s">
        <v>45</v>
      </c>
      <c r="I305">
        <v>70</v>
      </c>
      <c r="J305">
        <v>10</v>
      </c>
      <c r="K305">
        <v>-30</v>
      </c>
      <c r="L305">
        <v>80</v>
      </c>
      <c r="M305">
        <v>84</v>
      </c>
      <c r="N305">
        <v>625</v>
      </c>
      <c r="O305">
        <v>18</v>
      </c>
      <c r="P305">
        <v>26</v>
      </c>
      <c r="Q305">
        <v>-31</v>
      </c>
      <c r="R305">
        <v>102</v>
      </c>
      <c r="S305">
        <v>1.2749999999999999</v>
      </c>
      <c r="T305">
        <v>1.0333333333333334</v>
      </c>
      <c r="U305">
        <v>1.2</v>
      </c>
    </row>
    <row r="306" spans="1:21" x14ac:dyDescent="0.35">
      <c r="A306">
        <v>435</v>
      </c>
      <c r="B306" s="16">
        <v>40210</v>
      </c>
      <c r="C306" s="15" t="s">
        <v>76</v>
      </c>
      <c r="D306" s="15" t="s">
        <v>58</v>
      </c>
      <c r="E306" s="15" t="s">
        <v>55</v>
      </c>
      <c r="F306" s="15" t="s">
        <v>47</v>
      </c>
      <c r="G306" s="15" t="s">
        <v>77</v>
      </c>
      <c r="H306" s="15" t="s">
        <v>42</v>
      </c>
      <c r="I306">
        <v>20</v>
      </c>
      <c r="J306">
        <v>50</v>
      </c>
      <c r="K306">
        <v>10</v>
      </c>
      <c r="L306">
        <v>70</v>
      </c>
      <c r="M306">
        <v>43</v>
      </c>
      <c r="N306">
        <v>256</v>
      </c>
      <c r="O306">
        <v>61</v>
      </c>
      <c r="P306">
        <v>39</v>
      </c>
      <c r="Q306">
        <v>-7</v>
      </c>
      <c r="R306">
        <v>104</v>
      </c>
      <c r="S306">
        <v>1.4857142857142858</v>
      </c>
      <c r="T306">
        <v>-0.7</v>
      </c>
      <c r="U306">
        <v>2.15</v>
      </c>
    </row>
    <row r="307" spans="1:21" x14ac:dyDescent="0.35">
      <c r="A307">
        <v>435</v>
      </c>
      <c r="B307" s="16">
        <v>40210</v>
      </c>
      <c r="C307" s="15" t="s">
        <v>76</v>
      </c>
      <c r="D307" s="15" t="s">
        <v>58</v>
      </c>
      <c r="E307" s="15" t="s">
        <v>56</v>
      </c>
      <c r="F307" s="15" t="s">
        <v>47</v>
      </c>
      <c r="G307" s="15" t="s">
        <v>77</v>
      </c>
      <c r="H307" s="15" t="s">
        <v>42</v>
      </c>
      <c r="I307">
        <v>20</v>
      </c>
      <c r="J307">
        <v>30</v>
      </c>
      <c r="K307">
        <v>10</v>
      </c>
      <c r="L307">
        <v>50</v>
      </c>
      <c r="M307">
        <v>35</v>
      </c>
      <c r="N307">
        <v>191</v>
      </c>
      <c r="O307">
        <v>47</v>
      </c>
      <c r="P307">
        <v>11</v>
      </c>
      <c r="Q307">
        <v>9</v>
      </c>
      <c r="R307">
        <v>82</v>
      </c>
      <c r="S307">
        <v>1.64</v>
      </c>
      <c r="T307">
        <v>0.9</v>
      </c>
      <c r="U307">
        <v>1.75</v>
      </c>
    </row>
    <row r="308" spans="1:21" x14ac:dyDescent="0.35">
      <c r="A308">
        <v>435</v>
      </c>
      <c r="B308" s="16">
        <v>40210</v>
      </c>
      <c r="C308" s="15" t="s">
        <v>76</v>
      </c>
      <c r="D308" s="15" t="s">
        <v>58</v>
      </c>
      <c r="E308" s="15" t="s">
        <v>46</v>
      </c>
      <c r="F308" s="15" t="s">
        <v>47</v>
      </c>
      <c r="G308" s="15" t="s">
        <v>77</v>
      </c>
      <c r="H308" s="15" t="s">
        <v>42</v>
      </c>
      <c r="I308">
        <v>10</v>
      </c>
      <c r="J308">
        <v>30</v>
      </c>
      <c r="K308">
        <v>10</v>
      </c>
      <c r="L308">
        <v>40</v>
      </c>
      <c r="M308">
        <v>30</v>
      </c>
      <c r="N308">
        <v>165</v>
      </c>
      <c r="O308">
        <v>38</v>
      </c>
      <c r="P308">
        <v>11</v>
      </c>
      <c r="Q308">
        <v>-6</v>
      </c>
      <c r="R308">
        <v>68</v>
      </c>
      <c r="S308">
        <v>1.7</v>
      </c>
      <c r="T308">
        <v>-0.6</v>
      </c>
      <c r="U308">
        <v>3</v>
      </c>
    </row>
    <row r="309" spans="1:21" x14ac:dyDescent="0.35">
      <c r="A309">
        <v>435</v>
      </c>
      <c r="B309" s="16">
        <v>40210</v>
      </c>
      <c r="C309" s="15" t="s">
        <v>76</v>
      </c>
      <c r="D309" s="15" t="s">
        <v>58</v>
      </c>
      <c r="E309" s="15" t="s">
        <v>39</v>
      </c>
      <c r="F309" s="15" t="s">
        <v>40</v>
      </c>
      <c r="G309" s="15" t="s">
        <v>77</v>
      </c>
      <c r="H309" s="15" t="s">
        <v>42</v>
      </c>
      <c r="I309">
        <v>90</v>
      </c>
      <c r="J309">
        <v>110</v>
      </c>
      <c r="K309">
        <v>70</v>
      </c>
      <c r="L309">
        <v>200</v>
      </c>
      <c r="M309">
        <v>75</v>
      </c>
      <c r="N309">
        <v>956</v>
      </c>
      <c r="O309">
        <v>90</v>
      </c>
      <c r="P309">
        <v>23</v>
      </c>
      <c r="Q309">
        <v>46</v>
      </c>
      <c r="R309">
        <v>165</v>
      </c>
      <c r="S309">
        <v>0.82499999999999996</v>
      </c>
      <c r="T309">
        <v>0.65714285714285714</v>
      </c>
      <c r="U309">
        <v>0.83333333333333337</v>
      </c>
    </row>
    <row r="310" spans="1:21" x14ac:dyDescent="0.35">
      <c r="A310">
        <v>435</v>
      </c>
      <c r="B310" s="16">
        <v>40210</v>
      </c>
      <c r="C310" s="15" t="s">
        <v>76</v>
      </c>
      <c r="D310" s="15" t="s">
        <v>58</v>
      </c>
      <c r="E310" s="15" t="s">
        <v>43</v>
      </c>
      <c r="F310" s="15" t="s">
        <v>40</v>
      </c>
      <c r="G310" s="15" t="s">
        <v>77</v>
      </c>
      <c r="H310" s="15" t="s">
        <v>42</v>
      </c>
      <c r="I310">
        <v>60</v>
      </c>
      <c r="J310">
        <v>100</v>
      </c>
      <c r="K310">
        <v>70</v>
      </c>
      <c r="L310">
        <v>160</v>
      </c>
      <c r="M310">
        <v>55</v>
      </c>
      <c r="N310">
        <v>305</v>
      </c>
      <c r="O310">
        <v>75</v>
      </c>
      <c r="P310">
        <v>18</v>
      </c>
      <c r="Q310">
        <v>30</v>
      </c>
      <c r="R310">
        <v>130</v>
      </c>
      <c r="S310">
        <v>0.8125</v>
      </c>
      <c r="T310">
        <v>0.42857142857142855</v>
      </c>
      <c r="U310">
        <v>0.91666666666666663</v>
      </c>
    </row>
    <row r="311" spans="1:21" x14ac:dyDescent="0.35">
      <c r="A311">
        <v>435</v>
      </c>
      <c r="B311" s="16">
        <v>40210</v>
      </c>
      <c r="C311" s="15" t="s">
        <v>76</v>
      </c>
      <c r="D311" s="15" t="s">
        <v>58</v>
      </c>
      <c r="E311" s="15" t="s">
        <v>44</v>
      </c>
      <c r="F311" s="15" t="s">
        <v>40</v>
      </c>
      <c r="G311" s="15" t="s">
        <v>77</v>
      </c>
      <c r="H311" s="15" t="s">
        <v>45</v>
      </c>
      <c r="I311">
        <v>100</v>
      </c>
      <c r="J311">
        <v>140</v>
      </c>
      <c r="K311">
        <v>80</v>
      </c>
      <c r="L311">
        <v>240</v>
      </c>
      <c r="M311">
        <v>86</v>
      </c>
      <c r="N311">
        <v>484</v>
      </c>
      <c r="O311">
        <v>107</v>
      </c>
      <c r="P311">
        <v>32</v>
      </c>
      <c r="Q311">
        <v>41</v>
      </c>
      <c r="R311">
        <v>193</v>
      </c>
      <c r="S311">
        <v>0.8041666666666667</v>
      </c>
      <c r="T311">
        <v>0.51249999999999996</v>
      </c>
      <c r="U311">
        <v>0.86</v>
      </c>
    </row>
    <row r="312" spans="1:21" x14ac:dyDescent="0.35">
      <c r="A312">
        <v>831</v>
      </c>
      <c r="B312" s="16">
        <v>40210</v>
      </c>
      <c r="C312" s="15" t="s">
        <v>76</v>
      </c>
      <c r="D312" s="15" t="s">
        <v>38</v>
      </c>
      <c r="E312" s="15" t="s">
        <v>72</v>
      </c>
      <c r="F312" s="15" t="s">
        <v>49</v>
      </c>
      <c r="G312" s="15" t="s">
        <v>78</v>
      </c>
      <c r="H312" s="15" t="s">
        <v>42</v>
      </c>
      <c r="I312">
        <v>210</v>
      </c>
      <c r="J312">
        <v>220</v>
      </c>
      <c r="K312">
        <v>150</v>
      </c>
      <c r="L312">
        <v>430</v>
      </c>
      <c r="M312">
        <v>228</v>
      </c>
      <c r="N312">
        <v>1436</v>
      </c>
      <c r="O312">
        <v>229</v>
      </c>
      <c r="P312">
        <v>63</v>
      </c>
      <c r="Q312">
        <v>142</v>
      </c>
      <c r="R312">
        <v>457</v>
      </c>
      <c r="S312">
        <v>1.0627906976744186</v>
      </c>
      <c r="T312">
        <v>0.94666666666666666</v>
      </c>
      <c r="U312">
        <v>1.0857142857142856</v>
      </c>
    </row>
    <row r="313" spans="1:21" x14ac:dyDescent="0.35">
      <c r="A313">
        <v>916</v>
      </c>
      <c r="B313" s="16">
        <v>40210</v>
      </c>
      <c r="C313" s="15" t="s">
        <v>76</v>
      </c>
      <c r="D313" s="15" t="s">
        <v>38</v>
      </c>
      <c r="E313" s="15" t="s">
        <v>48</v>
      </c>
      <c r="F313" s="15" t="s">
        <v>49</v>
      </c>
      <c r="G313" s="15" t="s">
        <v>78</v>
      </c>
      <c r="H313" s="15" t="s">
        <v>42</v>
      </c>
      <c r="I313">
        <v>110</v>
      </c>
      <c r="J313">
        <v>160</v>
      </c>
      <c r="K313">
        <v>30</v>
      </c>
      <c r="L313">
        <v>270</v>
      </c>
      <c r="M313">
        <v>121</v>
      </c>
      <c r="N313">
        <v>712</v>
      </c>
      <c r="O313">
        <v>169</v>
      </c>
      <c r="P313">
        <v>110</v>
      </c>
      <c r="Q313">
        <v>26</v>
      </c>
      <c r="R313">
        <v>290</v>
      </c>
      <c r="S313">
        <v>1.0740740740740742</v>
      </c>
      <c r="T313">
        <v>0.8666666666666667</v>
      </c>
      <c r="U313">
        <v>1.1000000000000001</v>
      </c>
    </row>
    <row r="314" spans="1:21" x14ac:dyDescent="0.35">
      <c r="A314">
        <v>951</v>
      </c>
      <c r="B314" s="16">
        <v>40210</v>
      </c>
      <c r="C314" s="15" t="s">
        <v>76</v>
      </c>
      <c r="D314" s="15" t="s">
        <v>38</v>
      </c>
      <c r="E314" s="15" t="s">
        <v>50</v>
      </c>
      <c r="F314" s="15" t="s">
        <v>49</v>
      </c>
      <c r="G314" s="15" t="s">
        <v>78</v>
      </c>
      <c r="H314" s="15" t="s">
        <v>45</v>
      </c>
      <c r="I314">
        <v>220</v>
      </c>
      <c r="J314">
        <v>300</v>
      </c>
      <c r="K314">
        <v>200</v>
      </c>
      <c r="L314">
        <v>520</v>
      </c>
      <c r="M314">
        <v>234</v>
      </c>
      <c r="N314">
        <v>1282</v>
      </c>
      <c r="O314">
        <v>311</v>
      </c>
      <c r="P314">
        <v>77</v>
      </c>
      <c r="Q314">
        <v>202</v>
      </c>
      <c r="R314">
        <v>545</v>
      </c>
      <c r="S314">
        <v>1.0480769230769231</v>
      </c>
      <c r="T314">
        <v>1.01</v>
      </c>
      <c r="U314">
        <v>1.0636363636363637</v>
      </c>
    </row>
    <row r="315" spans="1:21" x14ac:dyDescent="0.35">
      <c r="A315">
        <v>949</v>
      </c>
      <c r="B315" s="16">
        <v>40210</v>
      </c>
      <c r="C315" s="15" t="s">
        <v>76</v>
      </c>
      <c r="D315" s="15" t="s">
        <v>38</v>
      </c>
      <c r="E315" s="15" t="s">
        <v>51</v>
      </c>
      <c r="F315" s="15" t="s">
        <v>52</v>
      </c>
      <c r="G315" s="15" t="s">
        <v>78</v>
      </c>
      <c r="H315" s="15" t="s">
        <v>45</v>
      </c>
      <c r="I315">
        <v>80</v>
      </c>
      <c r="J315">
        <v>120</v>
      </c>
      <c r="K315">
        <v>100</v>
      </c>
      <c r="L315">
        <v>200</v>
      </c>
      <c r="M315">
        <v>95</v>
      </c>
      <c r="N315">
        <v>809</v>
      </c>
      <c r="O315">
        <v>137</v>
      </c>
      <c r="P315">
        <v>26</v>
      </c>
      <c r="Q315">
        <v>100</v>
      </c>
      <c r="R315">
        <v>232</v>
      </c>
      <c r="S315">
        <v>1.1599999999999999</v>
      </c>
      <c r="T315">
        <v>1</v>
      </c>
      <c r="U315">
        <v>1.1875</v>
      </c>
    </row>
    <row r="316" spans="1:21" x14ac:dyDescent="0.35">
      <c r="A316">
        <v>714</v>
      </c>
      <c r="B316" s="16">
        <v>40210</v>
      </c>
      <c r="C316" s="15" t="s">
        <v>76</v>
      </c>
      <c r="D316" s="15" t="s">
        <v>38</v>
      </c>
      <c r="E316" s="15" t="s">
        <v>53</v>
      </c>
      <c r="F316" s="15" t="s">
        <v>52</v>
      </c>
      <c r="G316" s="15" t="s">
        <v>78</v>
      </c>
      <c r="H316" s="15" t="s">
        <v>45</v>
      </c>
      <c r="I316">
        <v>180</v>
      </c>
      <c r="J316">
        <v>220</v>
      </c>
      <c r="K316">
        <v>160</v>
      </c>
      <c r="L316">
        <v>400</v>
      </c>
      <c r="M316">
        <v>213</v>
      </c>
      <c r="N316">
        <v>942</v>
      </c>
      <c r="O316">
        <v>252</v>
      </c>
      <c r="P316">
        <v>66</v>
      </c>
      <c r="Q316">
        <v>164</v>
      </c>
      <c r="R316">
        <v>465</v>
      </c>
      <c r="S316">
        <v>1.1625000000000001</v>
      </c>
      <c r="T316">
        <v>1.0249999999999999</v>
      </c>
      <c r="U316">
        <v>1.1833333333333333</v>
      </c>
    </row>
    <row r="317" spans="1:21" x14ac:dyDescent="0.35">
      <c r="A317">
        <v>530</v>
      </c>
      <c r="B317" s="16">
        <v>40210</v>
      </c>
      <c r="C317" s="15" t="s">
        <v>76</v>
      </c>
      <c r="D317" s="15" t="s">
        <v>38</v>
      </c>
      <c r="E317" s="15" t="s">
        <v>54</v>
      </c>
      <c r="F317" s="15" t="s">
        <v>52</v>
      </c>
      <c r="G317" s="15" t="s">
        <v>78</v>
      </c>
      <c r="H317" s="15" t="s">
        <v>45</v>
      </c>
      <c r="I317">
        <v>70</v>
      </c>
      <c r="J317">
        <v>90</v>
      </c>
      <c r="K317">
        <v>60</v>
      </c>
      <c r="L317">
        <v>160</v>
      </c>
      <c r="M317">
        <v>83</v>
      </c>
      <c r="N317">
        <v>613</v>
      </c>
      <c r="O317">
        <v>107</v>
      </c>
      <c r="P317">
        <v>27</v>
      </c>
      <c r="Q317">
        <v>68</v>
      </c>
      <c r="R317">
        <v>190</v>
      </c>
      <c r="S317">
        <v>1.1875</v>
      </c>
      <c r="T317">
        <v>1.1333333333333333</v>
      </c>
      <c r="U317">
        <v>1.1857142857142857</v>
      </c>
    </row>
    <row r="318" spans="1:21" x14ac:dyDescent="0.35">
      <c r="A318">
        <v>626</v>
      </c>
      <c r="B318" s="16">
        <v>40210</v>
      </c>
      <c r="C318" s="15" t="s">
        <v>76</v>
      </c>
      <c r="D318" s="15" t="s">
        <v>38</v>
      </c>
      <c r="E318" s="15" t="s">
        <v>55</v>
      </c>
      <c r="F318" s="15" t="s">
        <v>47</v>
      </c>
      <c r="G318" s="15" t="s">
        <v>78</v>
      </c>
      <c r="H318" s="15" t="s">
        <v>42</v>
      </c>
      <c r="I318">
        <v>60</v>
      </c>
      <c r="J318">
        <v>100</v>
      </c>
      <c r="K318">
        <v>90</v>
      </c>
      <c r="L318">
        <v>160</v>
      </c>
      <c r="M318">
        <v>99</v>
      </c>
      <c r="N318">
        <v>766</v>
      </c>
      <c r="O318">
        <v>144</v>
      </c>
      <c r="P318">
        <v>27</v>
      </c>
      <c r="Q318">
        <v>106</v>
      </c>
      <c r="R318">
        <v>243</v>
      </c>
      <c r="S318">
        <v>1.51875</v>
      </c>
      <c r="T318">
        <v>1.1777777777777778</v>
      </c>
      <c r="U318">
        <v>1.65</v>
      </c>
    </row>
    <row r="319" spans="1:21" x14ac:dyDescent="0.35">
      <c r="A319">
        <v>858</v>
      </c>
      <c r="B319" s="16">
        <v>40210</v>
      </c>
      <c r="C319" s="15" t="s">
        <v>76</v>
      </c>
      <c r="D319" s="15" t="s">
        <v>38</v>
      </c>
      <c r="E319" s="15" t="s">
        <v>56</v>
      </c>
      <c r="F319" s="15" t="s">
        <v>47</v>
      </c>
      <c r="G319" s="15" t="s">
        <v>78</v>
      </c>
      <c r="H319" s="15" t="s">
        <v>42</v>
      </c>
      <c r="I319">
        <v>50</v>
      </c>
      <c r="J319">
        <v>70</v>
      </c>
      <c r="K319">
        <v>60</v>
      </c>
      <c r="L319">
        <v>120</v>
      </c>
      <c r="M319">
        <v>77</v>
      </c>
      <c r="N319">
        <v>449</v>
      </c>
      <c r="O319">
        <v>112</v>
      </c>
      <c r="P319">
        <v>21</v>
      </c>
      <c r="Q319">
        <v>80</v>
      </c>
      <c r="R319">
        <v>189</v>
      </c>
      <c r="S319">
        <v>1.575</v>
      </c>
      <c r="T319">
        <v>1.3333333333333333</v>
      </c>
      <c r="U319">
        <v>1.54</v>
      </c>
    </row>
    <row r="320" spans="1:21" x14ac:dyDescent="0.35">
      <c r="A320">
        <v>858</v>
      </c>
      <c r="B320" s="16">
        <v>40210</v>
      </c>
      <c r="C320" s="15" t="s">
        <v>76</v>
      </c>
      <c r="D320" s="15" t="s">
        <v>38</v>
      </c>
      <c r="E320" s="15" t="s">
        <v>46</v>
      </c>
      <c r="F320" s="15" t="s">
        <v>47</v>
      </c>
      <c r="G320" s="15" t="s">
        <v>78</v>
      </c>
      <c r="H320" s="15" t="s">
        <v>42</v>
      </c>
      <c r="I320">
        <v>40</v>
      </c>
      <c r="J320">
        <v>80</v>
      </c>
      <c r="K320">
        <v>50</v>
      </c>
      <c r="L320">
        <v>120</v>
      </c>
      <c r="M320">
        <v>75</v>
      </c>
      <c r="N320">
        <v>549</v>
      </c>
      <c r="O320">
        <v>114</v>
      </c>
      <c r="P320">
        <v>24</v>
      </c>
      <c r="Q320">
        <v>58</v>
      </c>
      <c r="R320">
        <v>189</v>
      </c>
      <c r="S320">
        <v>1.575</v>
      </c>
      <c r="T320">
        <v>1.1599999999999999</v>
      </c>
      <c r="U320">
        <v>1.875</v>
      </c>
    </row>
    <row r="321" spans="1:21" x14ac:dyDescent="0.35">
      <c r="A321">
        <v>909</v>
      </c>
      <c r="B321" s="16">
        <v>40210</v>
      </c>
      <c r="C321" s="15" t="s">
        <v>76</v>
      </c>
      <c r="D321" s="15" t="s">
        <v>38</v>
      </c>
      <c r="E321" s="15" t="s">
        <v>39</v>
      </c>
      <c r="F321" s="15" t="s">
        <v>40</v>
      </c>
      <c r="G321" s="15" t="s">
        <v>78</v>
      </c>
      <c r="H321" s="15" t="s">
        <v>42</v>
      </c>
      <c r="I321">
        <v>130</v>
      </c>
      <c r="J321">
        <v>30</v>
      </c>
      <c r="K321">
        <v>-20</v>
      </c>
      <c r="L321">
        <v>160</v>
      </c>
      <c r="M321">
        <v>104</v>
      </c>
      <c r="N321">
        <v>685</v>
      </c>
      <c r="O321">
        <v>28</v>
      </c>
      <c r="P321">
        <v>33</v>
      </c>
      <c r="Q321">
        <v>-27</v>
      </c>
      <c r="R321">
        <v>132</v>
      </c>
      <c r="S321">
        <v>0.82499999999999996</v>
      </c>
      <c r="T321">
        <v>1.35</v>
      </c>
      <c r="U321">
        <v>0.8</v>
      </c>
    </row>
    <row r="322" spans="1:21" x14ac:dyDescent="0.35">
      <c r="A322">
        <v>415</v>
      </c>
      <c r="B322" s="16">
        <v>40210</v>
      </c>
      <c r="C322" s="15" t="s">
        <v>76</v>
      </c>
      <c r="D322" s="15" t="s">
        <v>38</v>
      </c>
      <c r="E322" s="15" t="s">
        <v>43</v>
      </c>
      <c r="F322" s="15" t="s">
        <v>40</v>
      </c>
      <c r="G322" s="15" t="s">
        <v>78</v>
      </c>
      <c r="H322" s="15" t="s">
        <v>42</v>
      </c>
      <c r="I322">
        <v>320</v>
      </c>
      <c r="J322">
        <v>480</v>
      </c>
      <c r="K322">
        <v>360</v>
      </c>
      <c r="L322">
        <v>800</v>
      </c>
      <c r="M322">
        <v>258</v>
      </c>
      <c r="N322">
        <v>2067</v>
      </c>
      <c r="O322">
        <v>387</v>
      </c>
      <c r="P322">
        <v>90</v>
      </c>
      <c r="Q322">
        <v>245</v>
      </c>
      <c r="R322">
        <v>645</v>
      </c>
      <c r="S322">
        <v>0.80625000000000002</v>
      </c>
      <c r="T322">
        <v>0.68055555555555558</v>
      </c>
      <c r="U322">
        <v>0.80625000000000002</v>
      </c>
    </row>
    <row r="323" spans="1:21" x14ac:dyDescent="0.35">
      <c r="A323">
        <v>818</v>
      </c>
      <c r="B323" s="16">
        <v>40210</v>
      </c>
      <c r="C323" s="15" t="s">
        <v>76</v>
      </c>
      <c r="D323" s="15" t="s">
        <v>38</v>
      </c>
      <c r="E323" s="15" t="s">
        <v>44</v>
      </c>
      <c r="F323" s="15" t="s">
        <v>40</v>
      </c>
      <c r="G323" s="15" t="s">
        <v>78</v>
      </c>
      <c r="H323" s="15" t="s">
        <v>45</v>
      </c>
      <c r="I323">
        <v>180</v>
      </c>
      <c r="J323">
        <v>-30</v>
      </c>
      <c r="K323">
        <v>-110</v>
      </c>
      <c r="L323">
        <v>150</v>
      </c>
      <c r="M323">
        <v>148</v>
      </c>
      <c r="N323">
        <v>1071</v>
      </c>
      <c r="O323">
        <v>-26</v>
      </c>
      <c r="P323">
        <v>48</v>
      </c>
      <c r="Q323">
        <v>-117</v>
      </c>
      <c r="R323">
        <v>122</v>
      </c>
      <c r="S323">
        <v>0.81333333333333335</v>
      </c>
      <c r="T323">
        <v>1.0636363636363637</v>
      </c>
      <c r="U323">
        <v>0.82222222222222219</v>
      </c>
    </row>
    <row r="324" spans="1:21" x14ac:dyDescent="0.35">
      <c r="A324">
        <v>702</v>
      </c>
      <c r="B324" s="16">
        <v>40210</v>
      </c>
      <c r="C324" s="15" t="s">
        <v>76</v>
      </c>
      <c r="D324" s="15" t="s">
        <v>58</v>
      </c>
      <c r="E324" s="15" t="s">
        <v>72</v>
      </c>
      <c r="F324" s="15" t="s">
        <v>49</v>
      </c>
      <c r="G324" s="15" t="s">
        <v>79</v>
      </c>
      <c r="H324" s="15" t="s">
        <v>42</v>
      </c>
      <c r="I324">
        <v>0</v>
      </c>
      <c r="J324">
        <v>40</v>
      </c>
      <c r="K324">
        <v>30</v>
      </c>
      <c r="L324">
        <v>40</v>
      </c>
      <c r="M324">
        <v>0</v>
      </c>
      <c r="N324">
        <v>774</v>
      </c>
      <c r="O324">
        <v>43</v>
      </c>
      <c r="P324">
        <v>0</v>
      </c>
      <c r="Q324">
        <v>31</v>
      </c>
      <c r="R324">
        <v>43</v>
      </c>
      <c r="S324">
        <v>1.075</v>
      </c>
      <c r="T324">
        <v>1.0333333333333334</v>
      </c>
    </row>
    <row r="325" spans="1:21" x14ac:dyDescent="0.35">
      <c r="A325">
        <v>775</v>
      </c>
      <c r="B325" s="16">
        <v>40210</v>
      </c>
      <c r="C325" s="15" t="s">
        <v>76</v>
      </c>
      <c r="D325" s="15" t="s">
        <v>58</v>
      </c>
      <c r="E325" s="15" t="s">
        <v>48</v>
      </c>
      <c r="F325" s="15" t="s">
        <v>49</v>
      </c>
      <c r="G325" s="15" t="s">
        <v>79</v>
      </c>
      <c r="H325" s="15" t="s">
        <v>42</v>
      </c>
      <c r="I325">
        <v>10</v>
      </c>
      <c r="J325">
        <v>30</v>
      </c>
      <c r="K325">
        <v>20</v>
      </c>
      <c r="L325">
        <v>40</v>
      </c>
      <c r="M325">
        <v>18</v>
      </c>
      <c r="N325">
        <v>818</v>
      </c>
      <c r="O325">
        <v>27</v>
      </c>
      <c r="P325">
        <v>5</v>
      </c>
      <c r="Q325">
        <v>10</v>
      </c>
      <c r="R325">
        <v>45</v>
      </c>
      <c r="S325">
        <v>1.125</v>
      </c>
      <c r="T325">
        <v>0.5</v>
      </c>
      <c r="U325">
        <v>1.8</v>
      </c>
    </row>
    <row r="326" spans="1:21" x14ac:dyDescent="0.35">
      <c r="A326">
        <v>775</v>
      </c>
      <c r="B326" s="16">
        <v>40210</v>
      </c>
      <c r="C326" s="15" t="s">
        <v>76</v>
      </c>
      <c r="D326" s="15" t="s">
        <v>58</v>
      </c>
      <c r="E326" s="15" t="s">
        <v>50</v>
      </c>
      <c r="F326" s="15" t="s">
        <v>49</v>
      </c>
      <c r="G326" s="15" t="s">
        <v>79</v>
      </c>
      <c r="H326" s="15" t="s">
        <v>45</v>
      </c>
      <c r="I326">
        <v>10</v>
      </c>
      <c r="J326">
        <v>30</v>
      </c>
      <c r="K326">
        <v>20</v>
      </c>
      <c r="L326">
        <v>40</v>
      </c>
      <c r="M326">
        <v>19</v>
      </c>
      <c r="N326">
        <v>774</v>
      </c>
      <c r="O326">
        <v>28</v>
      </c>
      <c r="P326">
        <v>5</v>
      </c>
      <c r="Q326">
        <v>11</v>
      </c>
      <c r="R326">
        <v>47</v>
      </c>
      <c r="S326">
        <v>1.175</v>
      </c>
      <c r="T326">
        <v>0.55000000000000004</v>
      </c>
      <c r="U326">
        <v>1.9</v>
      </c>
    </row>
    <row r="327" spans="1:21" x14ac:dyDescent="0.35">
      <c r="A327">
        <v>702</v>
      </c>
      <c r="B327" s="16">
        <v>40210</v>
      </c>
      <c r="C327" s="15" t="s">
        <v>76</v>
      </c>
      <c r="D327" s="15" t="s">
        <v>58</v>
      </c>
      <c r="E327" s="15" t="s">
        <v>44</v>
      </c>
      <c r="F327" s="15" t="s">
        <v>40</v>
      </c>
      <c r="G327" s="15" t="s">
        <v>79</v>
      </c>
      <c r="H327" s="15" t="s">
        <v>45</v>
      </c>
      <c r="I327">
        <v>30</v>
      </c>
      <c r="J327">
        <v>40</v>
      </c>
      <c r="K327">
        <v>20</v>
      </c>
      <c r="L327">
        <v>70</v>
      </c>
      <c r="M327">
        <v>28</v>
      </c>
      <c r="N327">
        <v>961</v>
      </c>
      <c r="O327">
        <v>35</v>
      </c>
      <c r="P327">
        <v>8</v>
      </c>
      <c r="Q327">
        <v>6</v>
      </c>
      <c r="R327">
        <v>63</v>
      </c>
      <c r="S327">
        <v>0.9</v>
      </c>
      <c r="T327">
        <v>0.3</v>
      </c>
      <c r="U327">
        <v>0.93333333333333335</v>
      </c>
    </row>
    <row r="328" spans="1:21" x14ac:dyDescent="0.35">
      <c r="A328">
        <v>775</v>
      </c>
      <c r="B328" s="16">
        <v>40210</v>
      </c>
      <c r="C328" s="15" t="s">
        <v>76</v>
      </c>
      <c r="D328" s="15" t="s">
        <v>58</v>
      </c>
      <c r="E328" s="15" t="s">
        <v>51</v>
      </c>
      <c r="F328" s="15" t="s">
        <v>52</v>
      </c>
      <c r="G328" s="15" t="s">
        <v>79</v>
      </c>
      <c r="H328" s="15" t="s">
        <v>45</v>
      </c>
      <c r="I328">
        <v>100</v>
      </c>
      <c r="J328">
        <v>150</v>
      </c>
      <c r="K328">
        <v>40</v>
      </c>
      <c r="L328">
        <v>250</v>
      </c>
      <c r="M328">
        <v>121</v>
      </c>
      <c r="N328">
        <v>712</v>
      </c>
      <c r="O328">
        <v>169</v>
      </c>
      <c r="P328">
        <v>110</v>
      </c>
      <c r="Q328">
        <v>26</v>
      </c>
      <c r="R328">
        <v>290</v>
      </c>
      <c r="S328">
        <v>1.1599999999999999</v>
      </c>
      <c r="T328">
        <v>0.65</v>
      </c>
      <c r="U328">
        <v>1.21</v>
      </c>
    </row>
    <row r="329" spans="1:21" x14ac:dyDescent="0.35">
      <c r="A329">
        <v>775</v>
      </c>
      <c r="B329" s="16">
        <v>40210</v>
      </c>
      <c r="C329" s="15" t="s">
        <v>76</v>
      </c>
      <c r="D329" s="15" t="s">
        <v>58</v>
      </c>
      <c r="E329" s="15" t="s">
        <v>53</v>
      </c>
      <c r="F329" s="15" t="s">
        <v>52</v>
      </c>
      <c r="G329" s="15" t="s">
        <v>79</v>
      </c>
      <c r="H329" s="15" t="s">
        <v>45</v>
      </c>
      <c r="I329">
        <v>120</v>
      </c>
      <c r="J329">
        <v>190</v>
      </c>
      <c r="K329">
        <v>120</v>
      </c>
      <c r="L329">
        <v>310</v>
      </c>
      <c r="M329">
        <v>148</v>
      </c>
      <c r="N329">
        <v>844</v>
      </c>
      <c r="O329">
        <v>206</v>
      </c>
      <c r="P329">
        <v>48</v>
      </c>
      <c r="Q329">
        <v>115</v>
      </c>
      <c r="R329">
        <v>354</v>
      </c>
      <c r="S329">
        <v>1.1419354838709677</v>
      </c>
      <c r="T329">
        <v>0.95833333333333337</v>
      </c>
      <c r="U329">
        <v>1.2333333333333334</v>
      </c>
    </row>
    <row r="330" spans="1:21" x14ac:dyDescent="0.35">
      <c r="A330">
        <v>702</v>
      </c>
      <c r="B330" s="16">
        <v>40210</v>
      </c>
      <c r="C330" s="15" t="s">
        <v>76</v>
      </c>
      <c r="D330" s="15" t="s">
        <v>58</v>
      </c>
      <c r="E330" s="15" t="s">
        <v>54</v>
      </c>
      <c r="F330" s="15" t="s">
        <v>52</v>
      </c>
      <c r="G330" s="15" t="s">
        <v>79</v>
      </c>
      <c r="H330" s="15" t="s">
        <v>45</v>
      </c>
      <c r="I330">
        <v>80</v>
      </c>
      <c r="J330">
        <v>140</v>
      </c>
      <c r="K330">
        <v>110</v>
      </c>
      <c r="L330">
        <v>220</v>
      </c>
      <c r="M330">
        <v>104</v>
      </c>
      <c r="N330">
        <v>596</v>
      </c>
      <c r="O330">
        <v>150</v>
      </c>
      <c r="P330">
        <v>33</v>
      </c>
      <c r="Q330">
        <v>94</v>
      </c>
      <c r="R330">
        <v>254</v>
      </c>
      <c r="S330">
        <v>1.1545454545454545</v>
      </c>
      <c r="T330">
        <v>0.8545454545454545</v>
      </c>
      <c r="U330">
        <v>1.3</v>
      </c>
    </row>
    <row r="331" spans="1:21" x14ac:dyDescent="0.35">
      <c r="A331">
        <v>775</v>
      </c>
      <c r="B331" s="16">
        <v>40210</v>
      </c>
      <c r="C331" s="15" t="s">
        <v>76</v>
      </c>
      <c r="D331" s="15" t="s">
        <v>58</v>
      </c>
      <c r="E331" s="15" t="s">
        <v>55</v>
      </c>
      <c r="F331" s="15" t="s">
        <v>47</v>
      </c>
      <c r="G331" s="15" t="s">
        <v>79</v>
      </c>
      <c r="H331" s="15" t="s">
        <v>42</v>
      </c>
      <c r="I331">
        <v>150</v>
      </c>
      <c r="J331">
        <v>220</v>
      </c>
      <c r="K331">
        <v>150</v>
      </c>
      <c r="L331">
        <v>370</v>
      </c>
      <c r="M331">
        <v>234</v>
      </c>
      <c r="N331">
        <v>1282</v>
      </c>
      <c r="O331">
        <v>311</v>
      </c>
      <c r="P331">
        <v>77</v>
      </c>
      <c r="Q331">
        <v>202</v>
      </c>
      <c r="R331">
        <v>545</v>
      </c>
      <c r="S331">
        <v>1.472972972972973</v>
      </c>
      <c r="T331">
        <v>1.3466666666666667</v>
      </c>
      <c r="U331">
        <v>1.56</v>
      </c>
    </row>
    <row r="332" spans="1:21" x14ac:dyDescent="0.35">
      <c r="A332">
        <v>702</v>
      </c>
      <c r="B332" s="16">
        <v>40210</v>
      </c>
      <c r="C332" s="15" t="s">
        <v>76</v>
      </c>
      <c r="D332" s="15" t="s">
        <v>58</v>
      </c>
      <c r="E332" s="15" t="s">
        <v>56</v>
      </c>
      <c r="F332" s="15" t="s">
        <v>47</v>
      </c>
      <c r="G332" s="15" t="s">
        <v>79</v>
      </c>
      <c r="H332" s="15" t="s">
        <v>42</v>
      </c>
      <c r="I332">
        <v>150</v>
      </c>
      <c r="J332">
        <v>160</v>
      </c>
      <c r="K332">
        <v>100</v>
      </c>
      <c r="L332">
        <v>310</v>
      </c>
      <c r="M332">
        <v>228</v>
      </c>
      <c r="N332">
        <v>1436</v>
      </c>
      <c r="O332">
        <v>229</v>
      </c>
      <c r="P332">
        <v>63</v>
      </c>
      <c r="Q332">
        <v>142</v>
      </c>
      <c r="R332">
        <v>457</v>
      </c>
      <c r="S332">
        <v>1.4741935483870967</v>
      </c>
      <c r="T332">
        <v>1.42</v>
      </c>
      <c r="U332">
        <v>1.52</v>
      </c>
    </row>
    <row r="333" spans="1:21" x14ac:dyDescent="0.35">
      <c r="A333">
        <v>702</v>
      </c>
      <c r="B333" s="16">
        <v>40210</v>
      </c>
      <c r="C333" s="15" t="s">
        <v>76</v>
      </c>
      <c r="D333" s="15" t="s">
        <v>58</v>
      </c>
      <c r="E333" s="15" t="s">
        <v>46</v>
      </c>
      <c r="F333" s="15" t="s">
        <v>47</v>
      </c>
      <c r="G333" s="15" t="s">
        <v>79</v>
      </c>
      <c r="H333" s="15" t="s">
        <v>42</v>
      </c>
      <c r="I333">
        <v>150</v>
      </c>
      <c r="J333">
        <v>-150</v>
      </c>
      <c r="K333">
        <v>-220</v>
      </c>
      <c r="L333">
        <v>0</v>
      </c>
      <c r="M333">
        <v>240</v>
      </c>
      <c r="N333">
        <v>1937</v>
      </c>
      <c r="O333">
        <v>-240</v>
      </c>
      <c r="P333">
        <v>91</v>
      </c>
      <c r="Q333">
        <v>-342</v>
      </c>
      <c r="R333">
        <v>23</v>
      </c>
      <c r="T333">
        <v>1.5545454545454545</v>
      </c>
      <c r="U333">
        <v>1.6</v>
      </c>
    </row>
    <row r="334" spans="1:21" x14ac:dyDescent="0.35">
      <c r="A334">
        <v>775</v>
      </c>
      <c r="B334" s="16">
        <v>40210</v>
      </c>
      <c r="C334" s="15" t="s">
        <v>76</v>
      </c>
      <c r="D334" s="15" t="s">
        <v>58</v>
      </c>
      <c r="E334" s="15" t="s">
        <v>43</v>
      </c>
      <c r="F334" s="15" t="s">
        <v>40</v>
      </c>
      <c r="G334" s="15" t="s">
        <v>79</v>
      </c>
      <c r="H334" s="15" t="s">
        <v>42</v>
      </c>
      <c r="I334">
        <v>40</v>
      </c>
      <c r="J334">
        <v>50</v>
      </c>
      <c r="K334">
        <v>10</v>
      </c>
      <c r="L334">
        <v>90</v>
      </c>
      <c r="M334">
        <v>33</v>
      </c>
      <c r="N334">
        <v>193</v>
      </c>
      <c r="O334">
        <v>41</v>
      </c>
      <c r="P334">
        <v>12</v>
      </c>
      <c r="Q334">
        <v>-5</v>
      </c>
      <c r="R334">
        <v>74</v>
      </c>
      <c r="S334">
        <v>0.82222222222222219</v>
      </c>
      <c r="T334">
        <v>-0.5</v>
      </c>
      <c r="U334">
        <v>0.82499999999999996</v>
      </c>
    </row>
    <row r="335" spans="1:21" x14ac:dyDescent="0.35">
      <c r="A335">
        <v>503</v>
      </c>
      <c r="B335" s="16">
        <v>40210</v>
      </c>
      <c r="C335" s="15" t="s">
        <v>76</v>
      </c>
      <c r="D335" s="15" t="s">
        <v>58</v>
      </c>
      <c r="E335" s="15" t="s">
        <v>72</v>
      </c>
      <c r="F335" s="15" t="s">
        <v>49</v>
      </c>
      <c r="G335" s="15" t="s">
        <v>80</v>
      </c>
      <c r="H335" s="15" t="s">
        <v>42</v>
      </c>
      <c r="I335">
        <v>50</v>
      </c>
      <c r="J335">
        <v>70</v>
      </c>
      <c r="K335">
        <v>20</v>
      </c>
      <c r="L335">
        <v>120</v>
      </c>
      <c r="M335">
        <v>59</v>
      </c>
      <c r="N335">
        <v>331</v>
      </c>
      <c r="O335">
        <v>73</v>
      </c>
      <c r="P335">
        <v>22</v>
      </c>
      <c r="Q335">
        <v>18</v>
      </c>
      <c r="R335">
        <v>132</v>
      </c>
      <c r="S335">
        <v>1.1000000000000001</v>
      </c>
      <c r="T335">
        <v>0.9</v>
      </c>
      <c r="U335">
        <v>1.18</v>
      </c>
    </row>
    <row r="336" spans="1:21" x14ac:dyDescent="0.35">
      <c r="A336">
        <v>541</v>
      </c>
      <c r="B336" s="16">
        <v>40210</v>
      </c>
      <c r="C336" s="15" t="s">
        <v>76</v>
      </c>
      <c r="D336" s="15" t="s">
        <v>58</v>
      </c>
      <c r="E336" s="15" t="s">
        <v>48</v>
      </c>
      <c r="F336" s="15" t="s">
        <v>49</v>
      </c>
      <c r="G336" s="15" t="s">
        <v>80</v>
      </c>
      <c r="H336" s="15" t="s">
        <v>42</v>
      </c>
      <c r="I336">
        <v>50</v>
      </c>
      <c r="J336">
        <v>80</v>
      </c>
      <c r="K336">
        <v>50</v>
      </c>
      <c r="L336">
        <v>130</v>
      </c>
      <c r="M336">
        <v>60</v>
      </c>
      <c r="N336">
        <v>329</v>
      </c>
      <c r="O336">
        <v>80</v>
      </c>
      <c r="P336">
        <v>19</v>
      </c>
      <c r="Q336">
        <v>33</v>
      </c>
      <c r="R336">
        <v>140</v>
      </c>
      <c r="S336">
        <v>1.0769230769230769</v>
      </c>
      <c r="T336">
        <v>0.66</v>
      </c>
      <c r="U336">
        <v>1.2</v>
      </c>
    </row>
    <row r="337" spans="1:21" x14ac:dyDescent="0.35">
      <c r="A337">
        <v>971</v>
      </c>
      <c r="B337" s="16">
        <v>40210</v>
      </c>
      <c r="C337" s="15" t="s">
        <v>76</v>
      </c>
      <c r="D337" s="15" t="s">
        <v>58</v>
      </c>
      <c r="E337" s="15" t="s">
        <v>50</v>
      </c>
      <c r="F337" s="15" t="s">
        <v>49</v>
      </c>
      <c r="G337" s="15" t="s">
        <v>80</v>
      </c>
      <c r="H337" s="15" t="s">
        <v>45</v>
      </c>
      <c r="I337">
        <v>160</v>
      </c>
      <c r="J337">
        <v>160</v>
      </c>
      <c r="K337">
        <v>100</v>
      </c>
      <c r="L337">
        <v>320</v>
      </c>
      <c r="M337">
        <v>170</v>
      </c>
      <c r="N337">
        <v>1073</v>
      </c>
      <c r="O337">
        <v>170</v>
      </c>
      <c r="P337">
        <v>47</v>
      </c>
      <c r="Q337">
        <v>99</v>
      </c>
      <c r="R337">
        <v>340</v>
      </c>
      <c r="S337">
        <v>1.0625</v>
      </c>
      <c r="T337">
        <v>0.99</v>
      </c>
      <c r="U337">
        <v>1.0625</v>
      </c>
    </row>
    <row r="338" spans="1:21" x14ac:dyDescent="0.35">
      <c r="A338">
        <v>971</v>
      </c>
      <c r="B338" s="16">
        <v>40210</v>
      </c>
      <c r="C338" s="15" t="s">
        <v>76</v>
      </c>
      <c r="D338" s="15" t="s">
        <v>58</v>
      </c>
      <c r="E338" s="15" t="s">
        <v>44</v>
      </c>
      <c r="F338" s="15" t="s">
        <v>40</v>
      </c>
      <c r="G338" s="15" t="s">
        <v>80</v>
      </c>
      <c r="H338" s="15" t="s">
        <v>45</v>
      </c>
      <c r="I338">
        <v>60</v>
      </c>
      <c r="J338">
        <v>100</v>
      </c>
      <c r="K338">
        <v>70</v>
      </c>
      <c r="L338">
        <v>160</v>
      </c>
      <c r="M338">
        <v>52</v>
      </c>
      <c r="N338">
        <v>357</v>
      </c>
      <c r="O338">
        <v>76</v>
      </c>
      <c r="P338">
        <v>16</v>
      </c>
      <c r="Q338">
        <v>38</v>
      </c>
      <c r="R338">
        <v>128</v>
      </c>
      <c r="S338">
        <v>0.8</v>
      </c>
      <c r="T338">
        <v>0.54285714285714282</v>
      </c>
      <c r="U338">
        <v>0.8666666666666667</v>
      </c>
    </row>
    <row r="339" spans="1:21" x14ac:dyDescent="0.35">
      <c r="A339">
        <v>971</v>
      </c>
      <c r="B339" s="16">
        <v>40210</v>
      </c>
      <c r="C339" s="15" t="s">
        <v>76</v>
      </c>
      <c r="D339" s="15" t="s">
        <v>58</v>
      </c>
      <c r="E339" s="15" t="s">
        <v>51</v>
      </c>
      <c r="F339" s="15" t="s">
        <v>52</v>
      </c>
      <c r="G339" s="15" t="s">
        <v>80</v>
      </c>
      <c r="H339" s="15" t="s">
        <v>45</v>
      </c>
      <c r="I339">
        <v>20</v>
      </c>
      <c r="J339">
        <v>50</v>
      </c>
      <c r="K339">
        <v>50</v>
      </c>
      <c r="L339">
        <v>70</v>
      </c>
      <c r="M339">
        <v>33</v>
      </c>
      <c r="N339">
        <v>772</v>
      </c>
      <c r="O339">
        <v>48</v>
      </c>
      <c r="P339">
        <v>9</v>
      </c>
      <c r="Q339">
        <v>28</v>
      </c>
      <c r="R339">
        <v>81</v>
      </c>
      <c r="S339">
        <v>1.1571428571428573</v>
      </c>
      <c r="T339">
        <v>0.56000000000000005</v>
      </c>
      <c r="U339">
        <v>1.65</v>
      </c>
    </row>
    <row r="340" spans="1:21" x14ac:dyDescent="0.35">
      <c r="A340">
        <v>541</v>
      </c>
      <c r="B340" s="16">
        <v>40210</v>
      </c>
      <c r="C340" s="15" t="s">
        <v>76</v>
      </c>
      <c r="D340" s="15" t="s">
        <v>58</v>
      </c>
      <c r="E340" s="15" t="s">
        <v>53</v>
      </c>
      <c r="F340" s="15" t="s">
        <v>52</v>
      </c>
      <c r="G340" s="15" t="s">
        <v>80</v>
      </c>
      <c r="H340" s="15" t="s">
        <v>45</v>
      </c>
      <c r="I340">
        <v>30</v>
      </c>
      <c r="J340">
        <v>50</v>
      </c>
      <c r="K340">
        <v>30</v>
      </c>
      <c r="L340">
        <v>80</v>
      </c>
      <c r="M340">
        <v>44</v>
      </c>
      <c r="N340">
        <v>618</v>
      </c>
      <c r="O340">
        <v>56</v>
      </c>
      <c r="P340">
        <v>14</v>
      </c>
      <c r="Q340">
        <v>30</v>
      </c>
      <c r="R340">
        <v>100</v>
      </c>
      <c r="S340">
        <v>1.25</v>
      </c>
      <c r="T340">
        <v>1</v>
      </c>
      <c r="U340">
        <v>1.4666666666666666</v>
      </c>
    </row>
    <row r="341" spans="1:21" x14ac:dyDescent="0.35">
      <c r="A341">
        <v>541</v>
      </c>
      <c r="B341" s="16">
        <v>40210</v>
      </c>
      <c r="C341" s="15" t="s">
        <v>76</v>
      </c>
      <c r="D341" s="15" t="s">
        <v>58</v>
      </c>
      <c r="E341" s="15" t="s">
        <v>55</v>
      </c>
      <c r="F341" s="15" t="s">
        <v>47</v>
      </c>
      <c r="G341" s="15" t="s">
        <v>80</v>
      </c>
      <c r="H341" s="15" t="s">
        <v>42</v>
      </c>
      <c r="I341">
        <v>10</v>
      </c>
      <c r="J341">
        <v>20</v>
      </c>
      <c r="K341">
        <v>20</v>
      </c>
      <c r="L341">
        <v>30</v>
      </c>
      <c r="M341">
        <v>22</v>
      </c>
      <c r="N341">
        <v>452</v>
      </c>
      <c r="O341">
        <v>34</v>
      </c>
      <c r="P341">
        <v>6</v>
      </c>
      <c r="Q341">
        <v>17</v>
      </c>
      <c r="R341">
        <v>56</v>
      </c>
      <c r="S341">
        <v>1.8666666666666667</v>
      </c>
      <c r="T341">
        <v>0.85</v>
      </c>
      <c r="U341">
        <v>2.2000000000000002</v>
      </c>
    </row>
    <row r="342" spans="1:21" x14ac:dyDescent="0.35">
      <c r="A342">
        <v>971</v>
      </c>
      <c r="B342" s="16">
        <v>40210</v>
      </c>
      <c r="C342" s="15" t="s">
        <v>76</v>
      </c>
      <c r="D342" s="15" t="s">
        <v>58</v>
      </c>
      <c r="E342" s="15" t="s">
        <v>56</v>
      </c>
      <c r="F342" s="15" t="s">
        <v>47</v>
      </c>
      <c r="G342" s="15" t="s">
        <v>80</v>
      </c>
      <c r="H342" s="15" t="s">
        <v>42</v>
      </c>
      <c r="I342">
        <v>50</v>
      </c>
      <c r="J342">
        <v>80</v>
      </c>
      <c r="K342">
        <v>50</v>
      </c>
      <c r="L342">
        <v>130</v>
      </c>
      <c r="M342">
        <v>80</v>
      </c>
      <c r="N342">
        <v>640</v>
      </c>
      <c r="O342">
        <v>120</v>
      </c>
      <c r="P342">
        <v>26</v>
      </c>
      <c r="Q342">
        <v>62</v>
      </c>
      <c r="R342">
        <v>200</v>
      </c>
      <c r="S342">
        <v>1.5384615384615385</v>
      </c>
      <c r="T342">
        <v>1.24</v>
      </c>
      <c r="U342">
        <v>1.6</v>
      </c>
    </row>
    <row r="343" spans="1:21" x14ac:dyDescent="0.35">
      <c r="A343">
        <v>503</v>
      </c>
      <c r="B343" s="16">
        <v>40210</v>
      </c>
      <c r="C343" s="15" t="s">
        <v>76</v>
      </c>
      <c r="D343" s="15" t="s">
        <v>58</v>
      </c>
      <c r="E343" s="15" t="s">
        <v>46</v>
      </c>
      <c r="F343" s="15" t="s">
        <v>47</v>
      </c>
      <c r="G343" s="15" t="s">
        <v>80</v>
      </c>
      <c r="H343" s="15" t="s">
        <v>42</v>
      </c>
      <c r="I343">
        <v>50</v>
      </c>
      <c r="J343">
        <v>90</v>
      </c>
      <c r="K343">
        <v>60</v>
      </c>
      <c r="L343">
        <v>140</v>
      </c>
      <c r="M343">
        <v>86</v>
      </c>
      <c r="N343">
        <v>490</v>
      </c>
      <c r="O343">
        <v>120</v>
      </c>
      <c r="P343">
        <v>26</v>
      </c>
      <c r="Q343">
        <v>71</v>
      </c>
      <c r="R343">
        <v>206</v>
      </c>
      <c r="S343">
        <v>1.4714285714285715</v>
      </c>
      <c r="T343">
        <v>1.1833333333333333</v>
      </c>
      <c r="U343">
        <v>1.72</v>
      </c>
    </row>
    <row r="344" spans="1:21" x14ac:dyDescent="0.35">
      <c r="A344">
        <v>971</v>
      </c>
      <c r="B344" s="16">
        <v>40210</v>
      </c>
      <c r="C344" s="15" t="s">
        <v>76</v>
      </c>
      <c r="D344" s="15" t="s">
        <v>58</v>
      </c>
      <c r="E344" s="15" t="s">
        <v>39</v>
      </c>
      <c r="F344" s="15" t="s">
        <v>40</v>
      </c>
      <c r="G344" s="15" t="s">
        <v>80</v>
      </c>
      <c r="H344" s="15" t="s">
        <v>42</v>
      </c>
      <c r="I344">
        <v>60</v>
      </c>
      <c r="J344">
        <v>100</v>
      </c>
      <c r="K344">
        <v>40</v>
      </c>
      <c r="L344">
        <v>160</v>
      </c>
      <c r="M344">
        <v>54</v>
      </c>
      <c r="N344">
        <v>427</v>
      </c>
      <c r="O344">
        <v>75</v>
      </c>
      <c r="P344">
        <v>49</v>
      </c>
      <c r="Q344">
        <v>-4</v>
      </c>
      <c r="R344">
        <v>129</v>
      </c>
      <c r="S344">
        <v>0.80625000000000002</v>
      </c>
      <c r="T344">
        <v>-0.1</v>
      </c>
      <c r="U344">
        <v>0.9</v>
      </c>
    </row>
    <row r="345" spans="1:21" x14ac:dyDescent="0.35">
      <c r="A345">
        <v>503</v>
      </c>
      <c r="B345" s="16">
        <v>40210</v>
      </c>
      <c r="C345" s="15" t="s">
        <v>76</v>
      </c>
      <c r="D345" s="15" t="s">
        <v>58</v>
      </c>
      <c r="E345" s="15" t="s">
        <v>43</v>
      </c>
      <c r="F345" s="15" t="s">
        <v>40</v>
      </c>
      <c r="G345" s="15" t="s">
        <v>80</v>
      </c>
      <c r="H345" s="15" t="s">
        <v>42</v>
      </c>
      <c r="I345">
        <v>80</v>
      </c>
      <c r="J345">
        <v>110</v>
      </c>
      <c r="K345">
        <v>50</v>
      </c>
      <c r="L345">
        <v>190</v>
      </c>
      <c r="M345">
        <v>65</v>
      </c>
      <c r="N345">
        <v>392</v>
      </c>
      <c r="O345">
        <v>90</v>
      </c>
      <c r="P345">
        <v>21</v>
      </c>
      <c r="Q345">
        <v>25</v>
      </c>
      <c r="R345">
        <v>155</v>
      </c>
      <c r="S345">
        <v>0.81578947368421051</v>
      </c>
      <c r="T345">
        <v>0.5</v>
      </c>
      <c r="U345">
        <v>0.8125</v>
      </c>
    </row>
    <row r="346" spans="1:21" x14ac:dyDescent="0.35">
      <c r="A346">
        <v>360</v>
      </c>
      <c r="B346" s="16">
        <v>40210</v>
      </c>
      <c r="C346" s="15" t="s">
        <v>76</v>
      </c>
      <c r="D346" s="15" t="s">
        <v>58</v>
      </c>
      <c r="E346" s="15" t="s">
        <v>72</v>
      </c>
      <c r="F346" s="15" t="s">
        <v>49</v>
      </c>
      <c r="G346" s="15" t="s">
        <v>81</v>
      </c>
      <c r="H346" s="15" t="s">
        <v>42</v>
      </c>
      <c r="I346">
        <v>40</v>
      </c>
      <c r="J346">
        <v>60</v>
      </c>
      <c r="K346">
        <v>40</v>
      </c>
      <c r="L346">
        <v>100</v>
      </c>
      <c r="M346">
        <v>48</v>
      </c>
      <c r="N346">
        <v>617</v>
      </c>
      <c r="O346">
        <v>62</v>
      </c>
      <c r="P346">
        <v>15</v>
      </c>
      <c r="Q346">
        <v>35</v>
      </c>
      <c r="R346">
        <v>110</v>
      </c>
      <c r="S346">
        <v>1.1000000000000001</v>
      </c>
      <c r="T346">
        <v>0.875</v>
      </c>
      <c r="U346">
        <v>1.2</v>
      </c>
    </row>
    <row r="347" spans="1:21" x14ac:dyDescent="0.35">
      <c r="A347">
        <v>253</v>
      </c>
      <c r="B347" s="16">
        <v>40210</v>
      </c>
      <c r="C347" s="15" t="s">
        <v>76</v>
      </c>
      <c r="D347" s="15" t="s">
        <v>58</v>
      </c>
      <c r="E347" s="15" t="s">
        <v>48</v>
      </c>
      <c r="F347" s="15" t="s">
        <v>49</v>
      </c>
      <c r="G347" s="15" t="s">
        <v>81</v>
      </c>
      <c r="H347" s="15" t="s">
        <v>42</v>
      </c>
      <c r="I347">
        <v>50</v>
      </c>
      <c r="J347">
        <v>60</v>
      </c>
      <c r="K347">
        <v>20</v>
      </c>
      <c r="L347">
        <v>110</v>
      </c>
      <c r="M347">
        <v>53</v>
      </c>
      <c r="N347">
        <v>306</v>
      </c>
      <c r="O347">
        <v>65</v>
      </c>
      <c r="P347">
        <v>20</v>
      </c>
      <c r="Q347">
        <v>12</v>
      </c>
      <c r="R347">
        <v>118</v>
      </c>
      <c r="S347">
        <v>1.0727272727272728</v>
      </c>
      <c r="T347">
        <v>0.6</v>
      </c>
      <c r="U347">
        <v>1.06</v>
      </c>
    </row>
    <row r="348" spans="1:21" x14ac:dyDescent="0.35">
      <c r="A348">
        <v>509</v>
      </c>
      <c r="B348" s="16">
        <v>40210</v>
      </c>
      <c r="C348" s="15" t="s">
        <v>76</v>
      </c>
      <c r="D348" s="15" t="s">
        <v>58</v>
      </c>
      <c r="E348" s="15" t="s">
        <v>50</v>
      </c>
      <c r="F348" s="15" t="s">
        <v>49</v>
      </c>
      <c r="G348" s="15" t="s">
        <v>81</v>
      </c>
      <c r="H348" s="15" t="s">
        <v>45</v>
      </c>
      <c r="I348">
        <v>60</v>
      </c>
      <c r="J348">
        <v>80</v>
      </c>
      <c r="K348">
        <v>60</v>
      </c>
      <c r="L348">
        <v>140</v>
      </c>
      <c r="M348">
        <v>70</v>
      </c>
      <c r="N348">
        <v>957</v>
      </c>
      <c r="O348">
        <v>84</v>
      </c>
      <c r="P348">
        <v>21</v>
      </c>
      <c r="Q348">
        <v>41</v>
      </c>
      <c r="R348">
        <v>154</v>
      </c>
      <c r="S348">
        <v>1.1000000000000001</v>
      </c>
      <c r="T348">
        <v>0.68333333333333335</v>
      </c>
      <c r="U348">
        <v>1.1666666666666667</v>
      </c>
    </row>
    <row r="349" spans="1:21" x14ac:dyDescent="0.35">
      <c r="A349">
        <v>206</v>
      </c>
      <c r="B349" s="16">
        <v>40210</v>
      </c>
      <c r="C349" s="15" t="s">
        <v>76</v>
      </c>
      <c r="D349" s="15" t="s">
        <v>58</v>
      </c>
      <c r="E349" s="15" t="s">
        <v>44</v>
      </c>
      <c r="F349" s="15" t="s">
        <v>40</v>
      </c>
      <c r="G349" s="15" t="s">
        <v>81</v>
      </c>
      <c r="H349" s="15" t="s">
        <v>45</v>
      </c>
      <c r="I349">
        <v>110</v>
      </c>
      <c r="J349">
        <v>160</v>
      </c>
      <c r="K349">
        <v>60</v>
      </c>
      <c r="L349">
        <v>270</v>
      </c>
      <c r="M349">
        <v>92</v>
      </c>
      <c r="N349">
        <v>541</v>
      </c>
      <c r="O349">
        <v>128</v>
      </c>
      <c r="P349">
        <v>83</v>
      </c>
      <c r="Q349">
        <v>15</v>
      </c>
      <c r="R349">
        <v>220</v>
      </c>
      <c r="S349">
        <v>0.81481481481481477</v>
      </c>
      <c r="T349">
        <v>0.25</v>
      </c>
      <c r="U349">
        <v>0.83636363636363631</v>
      </c>
    </row>
    <row r="350" spans="1:21" x14ac:dyDescent="0.35">
      <c r="A350">
        <v>206</v>
      </c>
      <c r="B350" s="16">
        <v>40210</v>
      </c>
      <c r="C350" s="15" t="s">
        <v>76</v>
      </c>
      <c r="D350" s="15" t="s">
        <v>58</v>
      </c>
      <c r="E350" s="15" t="s">
        <v>51</v>
      </c>
      <c r="F350" s="15" t="s">
        <v>52</v>
      </c>
      <c r="G350" s="15" t="s">
        <v>81</v>
      </c>
      <c r="H350" s="15" t="s">
        <v>45</v>
      </c>
      <c r="I350">
        <v>110</v>
      </c>
      <c r="J350">
        <v>170</v>
      </c>
      <c r="K350">
        <v>120</v>
      </c>
      <c r="L350">
        <v>280</v>
      </c>
      <c r="M350">
        <v>130</v>
      </c>
      <c r="N350">
        <v>945</v>
      </c>
      <c r="O350">
        <v>195</v>
      </c>
      <c r="P350">
        <v>42</v>
      </c>
      <c r="Q350">
        <v>121</v>
      </c>
      <c r="R350">
        <v>325</v>
      </c>
      <c r="S350">
        <v>1.1607142857142858</v>
      </c>
      <c r="T350">
        <v>1.0083333333333333</v>
      </c>
      <c r="U350">
        <v>1.1818181818181819</v>
      </c>
    </row>
    <row r="351" spans="1:21" x14ac:dyDescent="0.35">
      <c r="A351">
        <v>509</v>
      </c>
      <c r="B351" s="16">
        <v>40210</v>
      </c>
      <c r="C351" s="15" t="s">
        <v>76</v>
      </c>
      <c r="D351" s="15" t="s">
        <v>58</v>
      </c>
      <c r="E351" s="15" t="s">
        <v>53</v>
      </c>
      <c r="F351" s="15" t="s">
        <v>52</v>
      </c>
      <c r="G351" s="15" t="s">
        <v>81</v>
      </c>
      <c r="H351" s="15" t="s">
        <v>45</v>
      </c>
      <c r="I351">
        <v>30</v>
      </c>
      <c r="J351">
        <v>50</v>
      </c>
      <c r="K351">
        <v>50</v>
      </c>
      <c r="L351">
        <v>80</v>
      </c>
      <c r="M351">
        <v>38</v>
      </c>
      <c r="N351">
        <v>772</v>
      </c>
      <c r="O351">
        <v>56</v>
      </c>
      <c r="P351">
        <v>10</v>
      </c>
      <c r="Q351">
        <v>34</v>
      </c>
      <c r="R351">
        <v>94</v>
      </c>
      <c r="S351">
        <v>1.175</v>
      </c>
      <c r="T351">
        <v>0.68</v>
      </c>
      <c r="U351">
        <v>1.2666666666666666</v>
      </c>
    </row>
    <row r="352" spans="1:21" x14ac:dyDescent="0.35">
      <c r="A352">
        <v>360</v>
      </c>
      <c r="B352" s="16">
        <v>40210</v>
      </c>
      <c r="C352" s="15" t="s">
        <v>76</v>
      </c>
      <c r="D352" s="15" t="s">
        <v>58</v>
      </c>
      <c r="E352" s="15" t="s">
        <v>55</v>
      </c>
      <c r="F352" s="15" t="s">
        <v>47</v>
      </c>
      <c r="G352" s="15" t="s">
        <v>81</v>
      </c>
      <c r="H352" s="15" t="s">
        <v>42</v>
      </c>
      <c r="I352">
        <v>40</v>
      </c>
      <c r="J352">
        <v>70</v>
      </c>
      <c r="K352">
        <v>40</v>
      </c>
      <c r="L352">
        <v>110</v>
      </c>
      <c r="M352">
        <v>65</v>
      </c>
      <c r="N352">
        <v>372</v>
      </c>
      <c r="O352">
        <v>109</v>
      </c>
      <c r="P352">
        <v>20</v>
      </c>
      <c r="Q352">
        <v>66</v>
      </c>
      <c r="R352">
        <v>174</v>
      </c>
      <c r="S352">
        <v>1.5818181818181818</v>
      </c>
      <c r="T352">
        <v>1.65</v>
      </c>
      <c r="U352">
        <v>1.625</v>
      </c>
    </row>
    <row r="353" spans="1:21" x14ac:dyDescent="0.35">
      <c r="A353">
        <v>206</v>
      </c>
      <c r="B353" s="16">
        <v>40210</v>
      </c>
      <c r="C353" s="15" t="s">
        <v>76</v>
      </c>
      <c r="D353" s="15" t="s">
        <v>58</v>
      </c>
      <c r="E353" s="15" t="s">
        <v>56</v>
      </c>
      <c r="F353" s="15" t="s">
        <v>47</v>
      </c>
      <c r="G353" s="15" t="s">
        <v>81</v>
      </c>
      <c r="H353" s="15" t="s">
        <v>42</v>
      </c>
      <c r="I353">
        <v>30</v>
      </c>
      <c r="J353">
        <v>60</v>
      </c>
      <c r="K353">
        <v>40</v>
      </c>
      <c r="L353">
        <v>90</v>
      </c>
      <c r="M353">
        <v>56</v>
      </c>
      <c r="N353">
        <v>382</v>
      </c>
      <c r="O353">
        <v>81</v>
      </c>
      <c r="P353">
        <v>17</v>
      </c>
      <c r="Q353">
        <v>41</v>
      </c>
      <c r="R353">
        <v>137</v>
      </c>
      <c r="S353">
        <v>1.5222222222222221</v>
      </c>
      <c r="T353">
        <v>1.0249999999999999</v>
      </c>
      <c r="U353">
        <v>1.8666666666666667</v>
      </c>
    </row>
    <row r="354" spans="1:21" x14ac:dyDescent="0.35">
      <c r="A354">
        <v>253</v>
      </c>
      <c r="B354" s="16">
        <v>40210</v>
      </c>
      <c r="C354" s="15" t="s">
        <v>76</v>
      </c>
      <c r="D354" s="15" t="s">
        <v>58</v>
      </c>
      <c r="E354" s="15" t="s">
        <v>46</v>
      </c>
      <c r="F354" s="15" t="s">
        <v>47</v>
      </c>
      <c r="G354" s="15" t="s">
        <v>81</v>
      </c>
      <c r="H354" s="15" t="s">
        <v>42</v>
      </c>
      <c r="I354">
        <v>40</v>
      </c>
      <c r="J354">
        <v>60</v>
      </c>
      <c r="K354">
        <v>10</v>
      </c>
      <c r="L354">
        <v>100</v>
      </c>
      <c r="M354">
        <v>65</v>
      </c>
      <c r="N354">
        <v>513</v>
      </c>
      <c r="O354">
        <v>90</v>
      </c>
      <c r="P354">
        <v>58</v>
      </c>
      <c r="Q354">
        <v>3</v>
      </c>
      <c r="R354">
        <v>155</v>
      </c>
      <c r="S354">
        <v>1.55</v>
      </c>
      <c r="T354">
        <v>0.3</v>
      </c>
      <c r="U354">
        <v>1.625</v>
      </c>
    </row>
    <row r="355" spans="1:21" x14ac:dyDescent="0.35">
      <c r="A355">
        <v>509</v>
      </c>
      <c r="B355" s="16">
        <v>40210</v>
      </c>
      <c r="C355" s="15" t="s">
        <v>76</v>
      </c>
      <c r="D355" s="15" t="s">
        <v>58</v>
      </c>
      <c r="E355" s="15" t="s">
        <v>43</v>
      </c>
      <c r="F355" s="15" t="s">
        <v>40</v>
      </c>
      <c r="G355" s="15" t="s">
        <v>81</v>
      </c>
      <c r="H355" s="15" t="s">
        <v>42</v>
      </c>
      <c r="I355">
        <v>70</v>
      </c>
      <c r="J355">
        <v>100</v>
      </c>
      <c r="K355">
        <v>70</v>
      </c>
      <c r="L355">
        <v>170</v>
      </c>
      <c r="M355">
        <v>58</v>
      </c>
      <c r="N355">
        <v>331</v>
      </c>
      <c r="O355">
        <v>84</v>
      </c>
      <c r="P355">
        <v>18</v>
      </c>
      <c r="Q355">
        <v>44</v>
      </c>
      <c r="R355">
        <v>142</v>
      </c>
      <c r="S355">
        <v>0.83529411764705885</v>
      </c>
      <c r="T355">
        <v>0.62857142857142856</v>
      </c>
      <c r="U355">
        <v>0.82857142857142863</v>
      </c>
    </row>
    <row r="356" spans="1:21" x14ac:dyDescent="0.35">
      <c r="A356">
        <v>720</v>
      </c>
      <c r="B356" s="16">
        <v>40238</v>
      </c>
      <c r="C356" s="15" t="s">
        <v>37</v>
      </c>
      <c r="D356" s="15" t="s">
        <v>38</v>
      </c>
      <c r="E356" s="15" t="s">
        <v>39</v>
      </c>
      <c r="F356" s="15" t="s">
        <v>40</v>
      </c>
      <c r="G356" s="15" t="s">
        <v>41</v>
      </c>
      <c r="H356" s="15" t="s">
        <v>42</v>
      </c>
      <c r="I356">
        <v>90</v>
      </c>
      <c r="J356">
        <v>130</v>
      </c>
      <c r="K356">
        <v>100</v>
      </c>
      <c r="L356">
        <v>220</v>
      </c>
      <c r="M356">
        <v>87</v>
      </c>
      <c r="N356">
        <v>756</v>
      </c>
      <c r="O356">
        <v>126</v>
      </c>
      <c r="P356">
        <v>24</v>
      </c>
      <c r="Q356">
        <v>90</v>
      </c>
      <c r="R356">
        <v>213</v>
      </c>
      <c r="S356">
        <v>0.96818181818181814</v>
      </c>
      <c r="T356">
        <v>0.9</v>
      </c>
      <c r="U356">
        <v>0.96666666666666667</v>
      </c>
    </row>
    <row r="357" spans="1:21" x14ac:dyDescent="0.35">
      <c r="A357">
        <v>970</v>
      </c>
      <c r="B357" s="16">
        <v>40238</v>
      </c>
      <c r="C357" s="15" t="s">
        <v>37</v>
      </c>
      <c r="D357" s="15" t="s">
        <v>38</v>
      </c>
      <c r="E357" s="15" t="s">
        <v>43</v>
      </c>
      <c r="F357" s="15" t="s">
        <v>40</v>
      </c>
      <c r="G357" s="15" t="s">
        <v>41</v>
      </c>
      <c r="H357" s="15" t="s">
        <v>42</v>
      </c>
      <c r="I357">
        <v>80</v>
      </c>
      <c r="J357">
        <v>120</v>
      </c>
      <c r="K357">
        <v>90</v>
      </c>
      <c r="L357">
        <v>200</v>
      </c>
      <c r="M357">
        <v>84</v>
      </c>
      <c r="N357">
        <v>603</v>
      </c>
      <c r="O357">
        <v>109</v>
      </c>
      <c r="P357">
        <v>27</v>
      </c>
      <c r="Q357">
        <v>69</v>
      </c>
      <c r="R357">
        <v>193</v>
      </c>
      <c r="S357">
        <v>0.96499999999999997</v>
      </c>
      <c r="T357">
        <v>0.76666666666666672</v>
      </c>
      <c r="U357">
        <v>1.05</v>
      </c>
    </row>
    <row r="358" spans="1:21" x14ac:dyDescent="0.35">
      <c r="A358">
        <v>720</v>
      </c>
      <c r="B358" s="16">
        <v>40238</v>
      </c>
      <c r="C358" s="15" t="s">
        <v>37</v>
      </c>
      <c r="D358" s="15" t="s">
        <v>38</v>
      </c>
      <c r="E358" s="15" t="s">
        <v>44</v>
      </c>
      <c r="F358" s="15" t="s">
        <v>40</v>
      </c>
      <c r="G358" s="15" t="s">
        <v>41</v>
      </c>
      <c r="H358" s="15" t="s">
        <v>45</v>
      </c>
      <c r="I358">
        <v>100</v>
      </c>
      <c r="J358">
        <v>140</v>
      </c>
      <c r="K358">
        <v>110</v>
      </c>
      <c r="L358">
        <v>240</v>
      </c>
      <c r="M358">
        <v>95</v>
      </c>
      <c r="N358">
        <v>799</v>
      </c>
      <c r="O358">
        <v>139</v>
      </c>
      <c r="P358">
        <v>26</v>
      </c>
      <c r="Q358">
        <v>101</v>
      </c>
      <c r="R358">
        <v>234</v>
      </c>
      <c r="S358">
        <v>0.97499999999999998</v>
      </c>
      <c r="T358">
        <v>0.91818181818181821</v>
      </c>
      <c r="U358">
        <v>0.95</v>
      </c>
    </row>
    <row r="359" spans="1:21" x14ac:dyDescent="0.35">
      <c r="A359">
        <v>720</v>
      </c>
      <c r="B359" s="16">
        <v>40238</v>
      </c>
      <c r="C359" s="15" t="s">
        <v>37</v>
      </c>
      <c r="D359" s="15" t="s">
        <v>38</v>
      </c>
      <c r="E359" s="15" t="s">
        <v>46</v>
      </c>
      <c r="F359" s="15" t="s">
        <v>47</v>
      </c>
      <c r="G359" s="15" t="s">
        <v>41</v>
      </c>
      <c r="H359" s="15" t="s">
        <v>42</v>
      </c>
      <c r="I359">
        <v>30</v>
      </c>
      <c r="J359">
        <v>50</v>
      </c>
      <c r="K359">
        <v>30</v>
      </c>
      <c r="L359">
        <v>80</v>
      </c>
      <c r="M359">
        <v>43</v>
      </c>
      <c r="N359">
        <v>613</v>
      </c>
      <c r="O359">
        <v>55</v>
      </c>
      <c r="P359">
        <v>14</v>
      </c>
      <c r="Q359">
        <v>29</v>
      </c>
      <c r="R359">
        <v>98</v>
      </c>
      <c r="S359">
        <v>1.2250000000000001</v>
      </c>
      <c r="T359">
        <v>0.96666666666666667</v>
      </c>
      <c r="U359">
        <v>1.4333333333333333</v>
      </c>
    </row>
    <row r="360" spans="1:21" x14ac:dyDescent="0.35">
      <c r="A360">
        <v>719</v>
      </c>
      <c r="B360" s="16">
        <v>40238</v>
      </c>
      <c r="C360" s="15" t="s">
        <v>37</v>
      </c>
      <c r="D360" s="15" t="s">
        <v>38</v>
      </c>
      <c r="E360" s="15" t="s">
        <v>48</v>
      </c>
      <c r="F360" s="15" t="s">
        <v>49</v>
      </c>
      <c r="G360" s="15" t="s">
        <v>41</v>
      </c>
      <c r="H360" s="15" t="s">
        <v>42</v>
      </c>
      <c r="I360">
        <v>90</v>
      </c>
      <c r="J360">
        <v>140</v>
      </c>
      <c r="K360">
        <v>110</v>
      </c>
      <c r="L360">
        <v>230</v>
      </c>
      <c r="M360">
        <v>81</v>
      </c>
      <c r="N360">
        <v>441</v>
      </c>
      <c r="O360">
        <v>117</v>
      </c>
      <c r="P360">
        <v>22</v>
      </c>
      <c r="Q360">
        <v>84</v>
      </c>
      <c r="R360">
        <v>198</v>
      </c>
      <c r="S360">
        <v>0.86086956521739133</v>
      </c>
      <c r="T360">
        <v>0.76363636363636367</v>
      </c>
      <c r="U360">
        <v>0.9</v>
      </c>
    </row>
    <row r="361" spans="1:21" x14ac:dyDescent="0.35">
      <c r="A361">
        <v>970</v>
      </c>
      <c r="B361" s="16">
        <v>40238</v>
      </c>
      <c r="C361" s="15" t="s">
        <v>37</v>
      </c>
      <c r="D361" s="15" t="s">
        <v>38</v>
      </c>
      <c r="E361" s="15" t="s">
        <v>50</v>
      </c>
      <c r="F361" s="15" t="s">
        <v>49</v>
      </c>
      <c r="G361" s="15" t="s">
        <v>41</v>
      </c>
      <c r="H361" s="15" t="s">
        <v>45</v>
      </c>
      <c r="I361">
        <v>80</v>
      </c>
      <c r="J361">
        <v>130</v>
      </c>
      <c r="K361">
        <v>80</v>
      </c>
      <c r="L361">
        <v>210</v>
      </c>
      <c r="M361">
        <v>72</v>
      </c>
      <c r="N361">
        <v>541</v>
      </c>
      <c r="O361">
        <v>108</v>
      </c>
      <c r="P361">
        <v>23</v>
      </c>
      <c r="Q361">
        <v>54</v>
      </c>
      <c r="R361">
        <v>180</v>
      </c>
      <c r="S361">
        <v>0.8571428571428571</v>
      </c>
      <c r="T361">
        <v>0.67500000000000004</v>
      </c>
      <c r="U361">
        <v>0.9</v>
      </c>
    </row>
    <row r="362" spans="1:21" x14ac:dyDescent="0.35">
      <c r="A362">
        <v>719</v>
      </c>
      <c r="B362" s="16">
        <v>40238</v>
      </c>
      <c r="C362" s="15" t="s">
        <v>37</v>
      </c>
      <c r="D362" s="15" t="s">
        <v>38</v>
      </c>
      <c r="E362" s="15" t="s">
        <v>51</v>
      </c>
      <c r="F362" s="15" t="s">
        <v>52</v>
      </c>
      <c r="G362" s="15" t="s">
        <v>41</v>
      </c>
      <c r="H362" s="15" t="s">
        <v>45</v>
      </c>
      <c r="I362">
        <v>130</v>
      </c>
      <c r="J362">
        <v>150</v>
      </c>
      <c r="K362">
        <v>100</v>
      </c>
      <c r="L362">
        <v>280</v>
      </c>
      <c r="M362">
        <v>162</v>
      </c>
      <c r="N362">
        <v>1059</v>
      </c>
      <c r="O362">
        <v>163</v>
      </c>
      <c r="P362">
        <v>45</v>
      </c>
      <c r="Q362">
        <v>94</v>
      </c>
      <c r="R362">
        <v>325</v>
      </c>
      <c r="S362">
        <v>1.1607142857142858</v>
      </c>
      <c r="T362">
        <v>0.94</v>
      </c>
      <c r="U362">
        <v>1.2461538461538462</v>
      </c>
    </row>
    <row r="363" spans="1:21" x14ac:dyDescent="0.35">
      <c r="A363">
        <v>970</v>
      </c>
      <c r="B363" s="16">
        <v>40238</v>
      </c>
      <c r="C363" s="15" t="s">
        <v>37</v>
      </c>
      <c r="D363" s="15" t="s">
        <v>38</v>
      </c>
      <c r="E363" s="15" t="s">
        <v>53</v>
      </c>
      <c r="F363" s="15" t="s">
        <v>52</v>
      </c>
      <c r="G363" s="15" t="s">
        <v>41</v>
      </c>
      <c r="H363" s="15" t="s">
        <v>45</v>
      </c>
      <c r="I363">
        <v>40</v>
      </c>
      <c r="J363">
        <v>70</v>
      </c>
      <c r="K363">
        <v>20</v>
      </c>
      <c r="L363">
        <v>110</v>
      </c>
      <c r="M363">
        <v>52</v>
      </c>
      <c r="N363">
        <v>421</v>
      </c>
      <c r="O363">
        <v>73</v>
      </c>
      <c r="P363">
        <v>47</v>
      </c>
      <c r="Q363">
        <v>-4</v>
      </c>
      <c r="R363">
        <v>125</v>
      </c>
      <c r="S363">
        <v>1.1363636363636365</v>
      </c>
      <c r="T363">
        <v>-0.2</v>
      </c>
      <c r="U363">
        <v>1.3</v>
      </c>
    </row>
    <row r="364" spans="1:21" x14ac:dyDescent="0.35">
      <c r="A364">
        <v>720</v>
      </c>
      <c r="B364" s="16">
        <v>40238</v>
      </c>
      <c r="C364" s="15" t="s">
        <v>37</v>
      </c>
      <c r="D364" s="15" t="s">
        <v>38</v>
      </c>
      <c r="E364" s="15" t="s">
        <v>54</v>
      </c>
      <c r="F364" s="15" t="s">
        <v>52</v>
      </c>
      <c r="G364" s="15" t="s">
        <v>41</v>
      </c>
      <c r="H364" s="15" t="s">
        <v>45</v>
      </c>
      <c r="I364">
        <v>40</v>
      </c>
      <c r="J364">
        <v>70</v>
      </c>
      <c r="K364">
        <v>40</v>
      </c>
      <c r="L364">
        <v>110</v>
      </c>
      <c r="M364">
        <v>57</v>
      </c>
      <c r="N364">
        <v>323</v>
      </c>
      <c r="O364">
        <v>77</v>
      </c>
      <c r="P364">
        <v>18</v>
      </c>
      <c r="Q364">
        <v>31</v>
      </c>
      <c r="R364">
        <v>134</v>
      </c>
      <c r="S364">
        <v>1.2181818181818183</v>
      </c>
      <c r="T364">
        <v>0.77500000000000002</v>
      </c>
      <c r="U364">
        <v>1.425</v>
      </c>
    </row>
    <row r="365" spans="1:21" x14ac:dyDescent="0.35">
      <c r="A365">
        <v>970</v>
      </c>
      <c r="B365" s="16">
        <v>40238</v>
      </c>
      <c r="C365" s="15" t="s">
        <v>37</v>
      </c>
      <c r="D365" s="15" t="s">
        <v>38</v>
      </c>
      <c r="E365" s="15" t="s">
        <v>55</v>
      </c>
      <c r="F365" s="15" t="s">
        <v>47</v>
      </c>
      <c r="G365" s="15" t="s">
        <v>41</v>
      </c>
      <c r="H365" s="15" t="s">
        <v>42</v>
      </c>
      <c r="I365">
        <v>40</v>
      </c>
      <c r="J365">
        <v>70</v>
      </c>
      <c r="K365">
        <v>20</v>
      </c>
      <c r="L365">
        <v>110</v>
      </c>
      <c r="M365">
        <v>58</v>
      </c>
      <c r="N365">
        <v>325</v>
      </c>
      <c r="O365">
        <v>71</v>
      </c>
      <c r="P365">
        <v>22</v>
      </c>
      <c r="Q365">
        <v>16</v>
      </c>
      <c r="R365">
        <v>129</v>
      </c>
      <c r="S365">
        <v>1.1727272727272726</v>
      </c>
      <c r="T365">
        <v>0.8</v>
      </c>
      <c r="U365">
        <v>1.45</v>
      </c>
    </row>
    <row r="366" spans="1:21" x14ac:dyDescent="0.35">
      <c r="A366">
        <v>303</v>
      </c>
      <c r="B366" s="16">
        <v>40238</v>
      </c>
      <c r="C366" s="15" t="s">
        <v>37</v>
      </c>
      <c r="D366" s="15" t="s">
        <v>38</v>
      </c>
      <c r="E366" s="15" t="s">
        <v>56</v>
      </c>
      <c r="F366" s="15" t="s">
        <v>47</v>
      </c>
      <c r="G366" s="15" t="s">
        <v>41</v>
      </c>
      <c r="H366" s="15" t="s">
        <v>42</v>
      </c>
      <c r="I366">
        <v>50</v>
      </c>
      <c r="J366">
        <v>60</v>
      </c>
      <c r="K366">
        <v>30</v>
      </c>
      <c r="L366">
        <v>110</v>
      </c>
      <c r="M366">
        <v>62</v>
      </c>
      <c r="N366">
        <v>952</v>
      </c>
      <c r="O366">
        <v>73</v>
      </c>
      <c r="P366">
        <v>19</v>
      </c>
      <c r="Q366">
        <v>32</v>
      </c>
      <c r="R366">
        <v>135</v>
      </c>
      <c r="S366">
        <v>1.2272727272727273</v>
      </c>
      <c r="T366">
        <v>1.0666666666666667</v>
      </c>
      <c r="U366">
        <v>1.24</v>
      </c>
    </row>
    <row r="367" spans="1:21" x14ac:dyDescent="0.35">
      <c r="A367">
        <v>217</v>
      </c>
      <c r="B367" s="16">
        <v>40238</v>
      </c>
      <c r="C367" s="15" t="s">
        <v>37</v>
      </c>
      <c r="D367" s="15" t="s">
        <v>38</v>
      </c>
      <c r="E367" s="15" t="s">
        <v>43</v>
      </c>
      <c r="F367" s="15" t="s">
        <v>40</v>
      </c>
      <c r="G367" s="15" t="s">
        <v>57</v>
      </c>
      <c r="H367" s="15" t="s">
        <v>42</v>
      </c>
      <c r="I367">
        <v>160</v>
      </c>
      <c r="J367">
        <v>220</v>
      </c>
      <c r="K367">
        <v>140</v>
      </c>
      <c r="L367">
        <v>380</v>
      </c>
      <c r="M367">
        <v>154</v>
      </c>
      <c r="N367">
        <v>829</v>
      </c>
      <c r="O367">
        <v>213</v>
      </c>
      <c r="P367">
        <v>50</v>
      </c>
      <c r="Q367">
        <v>119</v>
      </c>
      <c r="R367">
        <v>367</v>
      </c>
      <c r="S367">
        <v>0.96578947368421053</v>
      </c>
      <c r="T367">
        <v>0.85</v>
      </c>
      <c r="U367">
        <v>0.96250000000000002</v>
      </c>
    </row>
    <row r="368" spans="1:21" x14ac:dyDescent="0.35">
      <c r="A368">
        <v>630</v>
      </c>
      <c r="B368" s="16">
        <v>40238</v>
      </c>
      <c r="C368" s="15" t="s">
        <v>37</v>
      </c>
      <c r="D368" s="15" t="s">
        <v>38</v>
      </c>
      <c r="E368" s="15" t="s">
        <v>44</v>
      </c>
      <c r="F368" s="15" t="s">
        <v>40</v>
      </c>
      <c r="G368" s="15" t="s">
        <v>57</v>
      </c>
      <c r="H368" s="15" t="s">
        <v>45</v>
      </c>
      <c r="I368">
        <v>110</v>
      </c>
      <c r="J368">
        <v>170</v>
      </c>
      <c r="K368">
        <v>120</v>
      </c>
      <c r="L368">
        <v>280</v>
      </c>
      <c r="M368">
        <v>109</v>
      </c>
      <c r="N368">
        <v>585</v>
      </c>
      <c r="O368">
        <v>158</v>
      </c>
      <c r="P368">
        <v>34</v>
      </c>
      <c r="Q368">
        <v>102</v>
      </c>
      <c r="R368">
        <v>267</v>
      </c>
      <c r="S368">
        <v>0.95357142857142863</v>
      </c>
      <c r="T368">
        <v>0.85</v>
      </c>
      <c r="U368">
        <v>0.99090909090909096</v>
      </c>
    </row>
    <row r="369" spans="1:21" x14ac:dyDescent="0.35">
      <c r="A369">
        <v>312</v>
      </c>
      <c r="B369" s="16">
        <v>40238</v>
      </c>
      <c r="C369" s="15" t="s">
        <v>37</v>
      </c>
      <c r="D369" s="15" t="s">
        <v>38</v>
      </c>
      <c r="E369" s="15" t="s">
        <v>48</v>
      </c>
      <c r="F369" s="15" t="s">
        <v>49</v>
      </c>
      <c r="G369" s="15" t="s">
        <v>57</v>
      </c>
      <c r="H369" s="15" t="s">
        <v>42</v>
      </c>
      <c r="I369">
        <v>280</v>
      </c>
      <c r="J369">
        <v>380</v>
      </c>
      <c r="K369">
        <v>260</v>
      </c>
      <c r="L369">
        <v>660</v>
      </c>
      <c r="M369">
        <v>243</v>
      </c>
      <c r="N369">
        <v>1260</v>
      </c>
      <c r="O369">
        <v>324</v>
      </c>
      <c r="P369">
        <v>80</v>
      </c>
      <c r="Q369">
        <v>211</v>
      </c>
      <c r="R369">
        <v>567</v>
      </c>
      <c r="S369">
        <v>0.85909090909090913</v>
      </c>
      <c r="T369">
        <v>0.81153846153846154</v>
      </c>
      <c r="U369">
        <v>0.86785714285714288</v>
      </c>
    </row>
    <row r="370" spans="1:21" x14ac:dyDescent="0.35">
      <c r="A370">
        <v>773</v>
      </c>
      <c r="B370" s="16">
        <v>40238</v>
      </c>
      <c r="C370" s="15" t="s">
        <v>37</v>
      </c>
      <c r="D370" s="15" t="s">
        <v>38</v>
      </c>
      <c r="E370" s="15" t="s">
        <v>50</v>
      </c>
      <c r="F370" s="15" t="s">
        <v>49</v>
      </c>
      <c r="G370" s="15" t="s">
        <v>57</v>
      </c>
      <c r="H370" s="15" t="s">
        <v>45</v>
      </c>
      <c r="I370">
        <v>270</v>
      </c>
      <c r="J370">
        <v>290</v>
      </c>
      <c r="K370">
        <v>200</v>
      </c>
      <c r="L370">
        <v>560</v>
      </c>
      <c r="M370">
        <v>239</v>
      </c>
      <c r="N370">
        <v>1417</v>
      </c>
      <c r="O370">
        <v>239</v>
      </c>
      <c r="P370">
        <v>66</v>
      </c>
      <c r="Q370">
        <v>148</v>
      </c>
      <c r="R370">
        <v>478</v>
      </c>
      <c r="S370">
        <v>0.85357142857142854</v>
      </c>
      <c r="T370">
        <v>0.74</v>
      </c>
      <c r="U370">
        <v>0.88518518518518519</v>
      </c>
    </row>
    <row r="371" spans="1:21" x14ac:dyDescent="0.35">
      <c r="A371">
        <v>224</v>
      </c>
      <c r="B371" s="16">
        <v>40238</v>
      </c>
      <c r="C371" s="15" t="s">
        <v>37</v>
      </c>
      <c r="D371" s="15" t="s">
        <v>38</v>
      </c>
      <c r="E371" s="15" t="s">
        <v>51</v>
      </c>
      <c r="F371" s="15" t="s">
        <v>52</v>
      </c>
      <c r="G371" s="15" t="s">
        <v>57</v>
      </c>
      <c r="H371" s="15" t="s">
        <v>45</v>
      </c>
      <c r="I371">
        <v>70</v>
      </c>
      <c r="J371">
        <v>110</v>
      </c>
      <c r="K371">
        <v>90</v>
      </c>
      <c r="L371">
        <v>180</v>
      </c>
      <c r="M371">
        <v>87</v>
      </c>
      <c r="N371">
        <v>756</v>
      </c>
      <c r="O371">
        <v>126</v>
      </c>
      <c r="P371">
        <v>24</v>
      </c>
      <c r="Q371">
        <v>91</v>
      </c>
      <c r="R371">
        <v>213</v>
      </c>
      <c r="S371">
        <v>1.1833333333333333</v>
      </c>
      <c r="T371">
        <v>1.0111111111111111</v>
      </c>
      <c r="U371">
        <v>1.2428571428571429</v>
      </c>
    </row>
    <row r="372" spans="1:21" x14ac:dyDescent="0.35">
      <c r="A372">
        <v>630</v>
      </c>
      <c r="B372" s="16">
        <v>40238</v>
      </c>
      <c r="C372" s="15" t="s">
        <v>37</v>
      </c>
      <c r="D372" s="15" t="s">
        <v>38</v>
      </c>
      <c r="E372" s="15" t="s">
        <v>53</v>
      </c>
      <c r="F372" s="15" t="s">
        <v>52</v>
      </c>
      <c r="G372" s="15" t="s">
        <v>57</v>
      </c>
      <c r="H372" s="15" t="s">
        <v>45</v>
      </c>
      <c r="I372">
        <v>70</v>
      </c>
      <c r="J372">
        <v>90</v>
      </c>
      <c r="K372">
        <v>60</v>
      </c>
      <c r="L372">
        <v>160</v>
      </c>
      <c r="M372">
        <v>84</v>
      </c>
      <c r="N372">
        <v>603</v>
      </c>
      <c r="O372">
        <v>109</v>
      </c>
      <c r="P372">
        <v>27</v>
      </c>
      <c r="Q372">
        <v>70</v>
      </c>
      <c r="R372">
        <v>193</v>
      </c>
      <c r="S372">
        <v>1.20625</v>
      </c>
      <c r="T372">
        <v>1.1666666666666667</v>
      </c>
      <c r="U372">
        <v>1.2</v>
      </c>
    </row>
    <row r="373" spans="1:21" x14ac:dyDescent="0.35">
      <c r="A373">
        <v>773</v>
      </c>
      <c r="B373" s="16">
        <v>40238</v>
      </c>
      <c r="C373" s="15" t="s">
        <v>37</v>
      </c>
      <c r="D373" s="15" t="s">
        <v>38</v>
      </c>
      <c r="E373" s="15" t="s">
        <v>54</v>
      </c>
      <c r="F373" s="15" t="s">
        <v>52</v>
      </c>
      <c r="G373" s="15" t="s">
        <v>57</v>
      </c>
      <c r="H373" s="15" t="s">
        <v>45</v>
      </c>
      <c r="I373">
        <v>80</v>
      </c>
      <c r="J373">
        <v>120</v>
      </c>
      <c r="K373">
        <v>100</v>
      </c>
      <c r="L373">
        <v>200</v>
      </c>
      <c r="M373">
        <v>95</v>
      </c>
      <c r="N373">
        <v>799</v>
      </c>
      <c r="O373">
        <v>139</v>
      </c>
      <c r="P373">
        <v>26</v>
      </c>
      <c r="Q373">
        <v>102</v>
      </c>
      <c r="R373">
        <v>234</v>
      </c>
      <c r="S373">
        <v>1.17</v>
      </c>
      <c r="T373">
        <v>1.02</v>
      </c>
      <c r="U373">
        <v>1.1875</v>
      </c>
    </row>
    <row r="374" spans="1:21" x14ac:dyDescent="0.35">
      <c r="A374">
        <v>815</v>
      </c>
      <c r="B374" s="16">
        <v>40238</v>
      </c>
      <c r="C374" s="15" t="s">
        <v>37</v>
      </c>
      <c r="D374" s="15" t="s">
        <v>38</v>
      </c>
      <c r="E374" s="15" t="s">
        <v>55</v>
      </c>
      <c r="F374" s="15" t="s">
        <v>47</v>
      </c>
      <c r="G374" s="15" t="s">
        <v>57</v>
      </c>
      <c r="H374" s="15" t="s">
        <v>42</v>
      </c>
      <c r="I374">
        <v>60</v>
      </c>
      <c r="J374">
        <v>110</v>
      </c>
      <c r="K374">
        <v>80</v>
      </c>
      <c r="L374">
        <v>170</v>
      </c>
      <c r="M374">
        <v>81</v>
      </c>
      <c r="N374">
        <v>441</v>
      </c>
      <c r="O374">
        <v>117</v>
      </c>
      <c r="P374">
        <v>22</v>
      </c>
      <c r="Q374">
        <v>84</v>
      </c>
      <c r="R374">
        <v>198</v>
      </c>
      <c r="S374">
        <v>1.1647058823529413</v>
      </c>
      <c r="T374">
        <v>1.05</v>
      </c>
      <c r="U374">
        <v>1.35</v>
      </c>
    </row>
    <row r="375" spans="1:21" x14ac:dyDescent="0.35">
      <c r="A375">
        <v>773</v>
      </c>
      <c r="B375" s="16">
        <v>40238</v>
      </c>
      <c r="C375" s="15" t="s">
        <v>37</v>
      </c>
      <c r="D375" s="15" t="s">
        <v>38</v>
      </c>
      <c r="E375" s="15" t="s">
        <v>56</v>
      </c>
      <c r="F375" s="15" t="s">
        <v>47</v>
      </c>
      <c r="G375" s="15" t="s">
        <v>57</v>
      </c>
      <c r="H375" s="15" t="s">
        <v>42</v>
      </c>
      <c r="I375">
        <v>60</v>
      </c>
      <c r="J375">
        <v>90</v>
      </c>
      <c r="K375">
        <v>40</v>
      </c>
      <c r="L375">
        <v>150</v>
      </c>
      <c r="M375">
        <v>72</v>
      </c>
      <c r="N375">
        <v>541</v>
      </c>
      <c r="O375">
        <v>108</v>
      </c>
      <c r="P375">
        <v>23</v>
      </c>
      <c r="Q375">
        <v>53</v>
      </c>
      <c r="R375">
        <v>180</v>
      </c>
      <c r="S375">
        <v>1.2</v>
      </c>
      <c r="T375">
        <v>1.325</v>
      </c>
      <c r="U375">
        <v>1.2</v>
      </c>
    </row>
    <row r="376" spans="1:21" x14ac:dyDescent="0.35">
      <c r="A376">
        <v>712</v>
      </c>
      <c r="B376" s="16">
        <v>40238</v>
      </c>
      <c r="C376" s="15" t="s">
        <v>37</v>
      </c>
      <c r="D376" s="15" t="s">
        <v>58</v>
      </c>
      <c r="E376" s="15" t="s">
        <v>39</v>
      </c>
      <c r="F376" s="15" t="s">
        <v>40</v>
      </c>
      <c r="G376" s="15" t="s">
        <v>59</v>
      </c>
      <c r="H376" s="15" t="s">
        <v>42</v>
      </c>
      <c r="I376">
        <v>10</v>
      </c>
      <c r="J376">
        <v>30</v>
      </c>
      <c r="K376">
        <v>20</v>
      </c>
      <c r="L376">
        <v>40</v>
      </c>
      <c r="M376">
        <v>18</v>
      </c>
      <c r="N376">
        <v>816</v>
      </c>
      <c r="O376">
        <v>27</v>
      </c>
      <c r="P376">
        <v>5</v>
      </c>
      <c r="Q376">
        <v>10</v>
      </c>
      <c r="R376">
        <v>45</v>
      </c>
      <c r="S376">
        <v>1.125</v>
      </c>
      <c r="T376">
        <v>0.5</v>
      </c>
      <c r="U376">
        <v>1.8</v>
      </c>
    </row>
    <row r="377" spans="1:21" x14ac:dyDescent="0.35">
      <c r="A377">
        <v>641</v>
      </c>
      <c r="B377" s="16">
        <v>40238</v>
      </c>
      <c r="C377" s="15" t="s">
        <v>37</v>
      </c>
      <c r="D377" s="15" t="s">
        <v>58</v>
      </c>
      <c r="E377" s="15" t="s">
        <v>43</v>
      </c>
      <c r="F377" s="15" t="s">
        <v>40</v>
      </c>
      <c r="G377" s="15" t="s">
        <v>59</v>
      </c>
      <c r="H377" s="15" t="s">
        <v>42</v>
      </c>
      <c r="I377">
        <v>20</v>
      </c>
      <c r="J377">
        <v>40</v>
      </c>
      <c r="K377">
        <v>20</v>
      </c>
      <c r="L377">
        <v>60</v>
      </c>
      <c r="M377">
        <v>28</v>
      </c>
      <c r="N377">
        <v>958</v>
      </c>
      <c r="O377">
        <v>35</v>
      </c>
      <c r="P377">
        <v>8</v>
      </c>
      <c r="Q377">
        <v>6</v>
      </c>
      <c r="R377">
        <v>63</v>
      </c>
      <c r="S377">
        <v>1.05</v>
      </c>
      <c r="T377">
        <v>0.3</v>
      </c>
      <c r="U377">
        <v>1.4</v>
      </c>
    </row>
    <row r="378" spans="1:21" x14ac:dyDescent="0.35">
      <c r="A378">
        <v>563</v>
      </c>
      <c r="B378" s="16">
        <v>40238</v>
      </c>
      <c r="C378" s="15" t="s">
        <v>37</v>
      </c>
      <c r="D378" s="15" t="s">
        <v>58</v>
      </c>
      <c r="E378" s="15" t="s">
        <v>44</v>
      </c>
      <c r="F378" s="15" t="s">
        <v>40</v>
      </c>
      <c r="G378" s="15" t="s">
        <v>59</v>
      </c>
      <c r="H378" s="15" t="s">
        <v>45</v>
      </c>
      <c r="I378">
        <v>20</v>
      </c>
      <c r="J378">
        <v>30</v>
      </c>
      <c r="K378">
        <v>20</v>
      </c>
      <c r="L378">
        <v>50</v>
      </c>
      <c r="M378">
        <v>23</v>
      </c>
      <c r="N378">
        <v>617</v>
      </c>
      <c r="O378">
        <v>31</v>
      </c>
      <c r="P378">
        <v>7</v>
      </c>
      <c r="Q378">
        <v>12</v>
      </c>
      <c r="R378">
        <v>54</v>
      </c>
      <c r="S378">
        <v>1.08</v>
      </c>
      <c r="T378">
        <v>0.6</v>
      </c>
      <c r="U378">
        <v>1.1499999999999999</v>
      </c>
    </row>
    <row r="379" spans="1:21" x14ac:dyDescent="0.35">
      <c r="A379">
        <v>712</v>
      </c>
      <c r="B379" s="16">
        <v>40238</v>
      </c>
      <c r="C379" s="15" t="s">
        <v>37</v>
      </c>
      <c r="D379" s="15" t="s">
        <v>58</v>
      </c>
      <c r="E379" s="15" t="s">
        <v>48</v>
      </c>
      <c r="F379" s="15" t="s">
        <v>49</v>
      </c>
      <c r="G379" s="15" t="s">
        <v>59</v>
      </c>
      <c r="H379" s="15" t="s">
        <v>42</v>
      </c>
      <c r="I379">
        <v>10</v>
      </c>
      <c r="J379">
        <v>30</v>
      </c>
      <c r="K379">
        <v>20</v>
      </c>
      <c r="L379">
        <v>40</v>
      </c>
      <c r="M379">
        <v>16</v>
      </c>
      <c r="N379">
        <v>772</v>
      </c>
      <c r="O379">
        <v>25</v>
      </c>
      <c r="P379">
        <v>4</v>
      </c>
      <c r="Q379">
        <v>9</v>
      </c>
      <c r="R379">
        <v>41</v>
      </c>
      <c r="S379">
        <v>1.0249999999999999</v>
      </c>
      <c r="T379">
        <v>0.45</v>
      </c>
      <c r="U379">
        <v>1.6</v>
      </c>
    </row>
    <row r="380" spans="1:21" x14ac:dyDescent="0.35">
      <c r="A380">
        <v>563</v>
      </c>
      <c r="B380" s="16">
        <v>40238</v>
      </c>
      <c r="C380" s="15" t="s">
        <v>37</v>
      </c>
      <c r="D380" s="15" t="s">
        <v>58</v>
      </c>
      <c r="E380" s="15" t="s">
        <v>50</v>
      </c>
      <c r="F380" s="15" t="s">
        <v>49</v>
      </c>
      <c r="G380" s="15" t="s">
        <v>59</v>
      </c>
      <c r="H380" s="15" t="s">
        <v>45</v>
      </c>
      <c r="I380">
        <v>0</v>
      </c>
      <c r="J380">
        <v>50</v>
      </c>
      <c r="K380">
        <v>40</v>
      </c>
      <c r="L380">
        <v>50</v>
      </c>
      <c r="M380">
        <v>0</v>
      </c>
      <c r="N380">
        <v>731</v>
      </c>
      <c r="O380">
        <v>43</v>
      </c>
      <c r="P380">
        <v>0</v>
      </c>
      <c r="Q380">
        <v>32</v>
      </c>
      <c r="R380">
        <v>43</v>
      </c>
      <c r="S380">
        <v>0.86</v>
      </c>
      <c r="T380">
        <v>0.8</v>
      </c>
    </row>
    <row r="381" spans="1:21" x14ac:dyDescent="0.35">
      <c r="A381">
        <v>641</v>
      </c>
      <c r="B381" s="16">
        <v>40238</v>
      </c>
      <c r="C381" s="15" t="s">
        <v>37</v>
      </c>
      <c r="D381" s="15" t="s">
        <v>58</v>
      </c>
      <c r="E381" s="15" t="s">
        <v>51</v>
      </c>
      <c r="F381" s="15" t="s">
        <v>52</v>
      </c>
      <c r="G381" s="15" t="s">
        <v>59</v>
      </c>
      <c r="H381" s="15" t="s">
        <v>45</v>
      </c>
      <c r="I381">
        <v>200</v>
      </c>
      <c r="J381">
        <v>290</v>
      </c>
      <c r="K381">
        <v>210</v>
      </c>
      <c r="L381">
        <v>490</v>
      </c>
      <c r="M381">
        <v>243</v>
      </c>
      <c r="N381">
        <v>1260</v>
      </c>
      <c r="O381">
        <v>324</v>
      </c>
      <c r="P381">
        <v>80</v>
      </c>
      <c r="Q381">
        <v>212</v>
      </c>
      <c r="R381">
        <v>567</v>
      </c>
      <c r="S381">
        <v>1.1571428571428573</v>
      </c>
      <c r="T381">
        <v>1.0095238095238095</v>
      </c>
      <c r="U381">
        <v>1.2150000000000001</v>
      </c>
    </row>
    <row r="382" spans="1:21" x14ac:dyDescent="0.35">
      <c r="A382">
        <v>319</v>
      </c>
      <c r="B382" s="16">
        <v>40238</v>
      </c>
      <c r="C382" s="15" t="s">
        <v>37</v>
      </c>
      <c r="D382" s="15" t="s">
        <v>58</v>
      </c>
      <c r="E382" s="15" t="s">
        <v>53</v>
      </c>
      <c r="F382" s="15" t="s">
        <v>52</v>
      </c>
      <c r="G382" s="15" t="s">
        <v>59</v>
      </c>
      <c r="H382" s="15" t="s">
        <v>45</v>
      </c>
      <c r="I382">
        <v>90</v>
      </c>
      <c r="J382">
        <v>140</v>
      </c>
      <c r="K382">
        <v>110</v>
      </c>
      <c r="L382">
        <v>230</v>
      </c>
      <c r="M382">
        <v>109</v>
      </c>
      <c r="N382">
        <v>585</v>
      </c>
      <c r="O382">
        <v>158</v>
      </c>
      <c r="P382">
        <v>34</v>
      </c>
      <c r="Q382">
        <v>102</v>
      </c>
      <c r="R382">
        <v>267</v>
      </c>
      <c r="S382">
        <v>1.1608695652173913</v>
      </c>
      <c r="T382">
        <v>0.92727272727272725</v>
      </c>
      <c r="U382">
        <v>1.211111111111111</v>
      </c>
    </row>
    <row r="383" spans="1:21" x14ac:dyDescent="0.35">
      <c r="A383">
        <v>515</v>
      </c>
      <c r="B383" s="16">
        <v>40238</v>
      </c>
      <c r="C383" s="15" t="s">
        <v>37</v>
      </c>
      <c r="D383" s="15" t="s">
        <v>58</v>
      </c>
      <c r="E383" s="15" t="s">
        <v>55</v>
      </c>
      <c r="F383" s="15" t="s">
        <v>47</v>
      </c>
      <c r="G383" s="15" t="s">
        <v>59</v>
      </c>
      <c r="H383" s="15" t="s">
        <v>42</v>
      </c>
      <c r="I383">
        <v>200</v>
      </c>
      <c r="J383">
        <v>220</v>
      </c>
      <c r="K383">
        <v>140</v>
      </c>
      <c r="L383">
        <v>420</v>
      </c>
      <c r="M383">
        <v>239</v>
      </c>
      <c r="N383">
        <v>1417</v>
      </c>
      <c r="O383">
        <v>239</v>
      </c>
      <c r="P383">
        <v>66</v>
      </c>
      <c r="Q383">
        <v>148</v>
      </c>
      <c r="R383">
        <v>478</v>
      </c>
      <c r="S383">
        <v>1.138095238095238</v>
      </c>
      <c r="T383">
        <v>1.0571428571428572</v>
      </c>
      <c r="U383">
        <v>1.1950000000000001</v>
      </c>
    </row>
    <row r="384" spans="1:21" x14ac:dyDescent="0.35">
      <c r="A384">
        <v>515</v>
      </c>
      <c r="B384" s="16">
        <v>40238</v>
      </c>
      <c r="C384" s="15" t="s">
        <v>37</v>
      </c>
      <c r="D384" s="15" t="s">
        <v>58</v>
      </c>
      <c r="E384" s="15" t="s">
        <v>56</v>
      </c>
      <c r="F384" s="15" t="s">
        <v>47</v>
      </c>
      <c r="G384" s="15" t="s">
        <v>59</v>
      </c>
      <c r="H384" s="15" t="s">
        <v>42</v>
      </c>
      <c r="I384">
        <v>210</v>
      </c>
      <c r="J384">
        <v>270</v>
      </c>
      <c r="K384">
        <v>160</v>
      </c>
      <c r="L384">
        <v>480</v>
      </c>
      <c r="M384">
        <v>245</v>
      </c>
      <c r="N384">
        <v>1369</v>
      </c>
      <c r="O384">
        <v>301</v>
      </c>
      <c r="P384">
        <v>93</v>
      </c>
      <c r="Q384">
        <v>175</v>
      </c>
      <c r="R384">
        <v>546</v>
      </c>
      <c r="S384">
        <v>1.1375</v>
      </c>
      <c r="T384">
        <v>1.09375</v>
      </c>
      <c r="U384">
        <v>1.1666666666666667</v>
      </c>
    </row>
    <row r="385" spans="1:21" x14ac:dyDescent="0.35">
      <c r="A385">
        <v>573</v>
      </c>
      <c r="B385" s="16">
        <v>40238</v>
      </c>
      <c r="C385" s="15" t="s">
        <v>37</v>
      </c>
      <c r="D385" s="15" t="s">
        <v>58</v>
      </c>
      <c r="E385" s="15" t="s">
        <v>43</v>
      </c>
      <c r="F385" s="15" t="s">
        <v>40</v>
      </c>
      <c r="G385" s="15" t="s">
        <v>60</v>
      </c>
      <c r="H385" s="15" t="s">
        <v>42</v>
      </c>
      <c r="I385">
        <v>90</v>
      </c>
      <c r="J385">
        <v>100</v>
      </c>
      <c r="K385">
        <v>40</v>
      </c>
      <c r="L385">
        <v>190</v>
      </c>
      <c r="M385">
        <v>85</v>
      </c>
      <c r="N385">
        <v>476</v>
      </c>
      <c r="O385">
        <v>104</v>
      </c>
      <c r="P385">
        <v>32</v>
      </c>
      <c r="Q385">
        <v>39</v>
      </c>
      <c r="R385">
        <v>189</v>
      </c>
      <c r="S385">
        <v>0.99473684210526314</v>
      </c>
      <c r="T385">
        <v>0.97499999999999998</v>
      </c>
      <c r="U385">
        <v>0.94444444444444442</v>
      </c>
    </row>
    <row r="386" spans="1:21" x14ac:dyDescent="0.35">
      <c r="A386">
        <v>573</v>
      </c>
      <c r="B386" s="16">
        <v>40238</v>
      </c>
      <c r="C386" s="15" t="s">
        <v>37</v>
      </c>
      <c r="D386" s="15" t="s">
        <v>58</v>
      </c>
      <c r="E386" s="15" t="s">
        <v>44</v>
      </c>
      <c r="F386" s="15" t="s">
        <v>40</v>
      </c>
      <c r="G386" s="15" t="s">
        <v>60</v>
      </c>
      <c r="H386" s="15" t="s">
        <v>45</v>
      </c>
      <c r="I386">
        <v>70</v>
      </c>
      <c r="J386">
        <v>100</v>
      </c>
      <c r="K386">
        <v>60</v>
      </c>
      <c r="L386">
        <v>170</v>
      </c>
      <c r="M386">
        <v>74</v>
      </c>
      <c r="N386">
        <v>949</v>
      </c>
      <c r="O386">
        <v>89</v>
      </c>
      <c r="P386">
        <v>22</v>
      </c>
      <c r="Q386">
        <v>45</v>
      </c>
      <c r="R386">
        <v>163</v>
      </c>
      <c r="S386">
        <v>0.95882352941176474</v>
      </c>
      <c r="T386">
        <v>0.75</v>
      </c>
      <c r="U386">
        <v>1.0571428571428572</v>
      </c>
    </row>
    <row r="387" spans="1:21" x14ac:dyDescent="0.35">
      <c r="A387">
        <v>573</v>
      </c>
      <c r="B387" s="16">
        <v>40238</v>
      </c>
      <c r="C387" s="15" t="s">
        <v>37</v>
      </c>
      <c r="D387" s="15" t="s">
        <v>58</v>
      </c>
      <c r="E387" s="15" t="s">
        <v>46</v>
      </c>
      <c r="F387" s="15" t="s">
        <v>47</v>
      </c>
      <c r="G387" s="15" t="s">
        <v>60</v>
      </c>
      <c r="H387" s="15" t="s">
        <v>42</v>
      </c>
      <c r="I387">
        <v>20</v>
      </c>
      <c r="J387">
        <v>40</v>
      </c>
      <c r="K387">
        <v>0</v>
      </c>
      <c r="L387">
        <v>60</v>
      </c>
      <c r="M387">
        <v>33</v>
      </c>
      <c r="N387">
        <v>190</v>
      </c>
      <c r="O387">
        <v>42</v>
      </c>
      <c r="P387">
        <v>12</v>
      </c>
      <c r="Q387">
        <v>-4</v>
      </c>
      <c r="R387">
        <v>75</v>
      </c>
      <c r="S387">
        <v>1.25</v>
      </c>
      <c r="U387">
        <v>1.65</v>
      </c>
    </row>
    <row r="388" spans="1:21" x14ac:dyDescent="0.35">
      <c r="A388">
        <v>573</v>
      </c>
      <c r="B388" s="16">
        <v>40238</v>
      </c>
      <c r="C388" s="15" t="s">
        <v>37</v>
      </c>
      <c r="D388" s="15" t="s">
        <v>58</v>
      </c>
      <c r="E388" s="15" t="s">
        <v>48</v>
      </c>
      <c r="F388" s="15" t="s">
        <v>49</v>
      </c>
      <c r="G388" s="15" t="s">
        <v>60</v>
      </c>
      <c r="H388" s="15" t="s">
        <v>42</v>
      </c>
      <c r="I388">
        <v>50</v>
      </c>
      <c r="J388">
        <v>90</v>
      </c>
      <c r="K388">
        <v>70</v>
      </c>
      <c r="L388">
        <v>140</v>
      </c>
      <c r="M388">
        <v>49</v>
      </c>
      <c r="N388">
        <v>809</v>
      </c>
      <c r="O388">
        <v>72</v>
      </c>
      <c r="P388">
        <v>13</v>
      </c>
      <c r="Q388">
        <v>47</v>
      </c>
      <c r="R388">
        <v>121</v>
      </c>
      <c r="S388">
        <v>0.86428571428571432</v>
      </c>
      <c r="T388">
        <v>0.67142857142857137</v>
      </c>
      <c r="U388">
        <v>0.98</v>
      </c>
    </row>
    <row r="389" spans="1:21" x14ac:dyDescent="0.35">
      <c r="A389">
        <v>660</v>
      </c>
      <c r="B389" s="16">
        <v>40238</v>
      </c>
      <c r="C389" s="15" t="s">
        <v>37</v>
      </c>
      <c r="D389" s="15" t="s">
        <v>58</v>
      </c>
      <c r="E389" s="15" t="s">
        <v>50</v>
      </c>
      <c r="F389" s="15" t="s">
        <v>49</v>
      </c>
      <c r="G389" s="15" t="s">
        <v>60</v>
      </c>
      <c r="H389" s="15" t="s">
        <v>45</v>
      </c>
      <c r="I389">
        <v>50</v>
      </c>
      <c r="J389">
        <v>80</v>
      </c>
      <c r="K389">
        <v>60</v>
      </c>
      <c r="L389">
        <v>130</v>
      </c>
      <c r="M389">
        <v>48</v>
      </c>
      <c r="N389">
        <v>766</v>
      </c>
      <c r="O389">
        <v>70</v>
      </c>
      <c r="P389">
        <v>13</v>
      </c>
      <c r="Q389">
        <v>45</v>
      </c>
      <c r="R389">
        <v>118</v>
      </c>
      <c r="S389">
        <v>0.90769230769230769</v>
      </c>
      <c r="T389">
        <v>0.75</v>
      </c>
      <c r="U389">
        <v>0.96</v>
      </c>
    </row>
    <row r="390" spans="1:21" x14ac:dyDescent="0.35">
      <c r="A390">
        <v>816</v>
      </c>
      <c r="B390" s="16">
        <v>40238</v>
      </c>
      <c r="C390" s="15" t="s">
        <v>37</v>
      </c>
      <c r="D390" s="15" t="s">
        <v>58</v>
      </c>
      <c r="E390" s="15" t="s">
        <v>51</v>
      </c>
      <c r="F390" s="15" t="s">
        <v>52</v>
      </c>
      <c r="G390" s="15" t="s">
        <v>60</v>
      </c>
      <c r="H390" s="15" t="s">
        <v>45</v>
      </c>
      <c r="I390">
        <v>30</v>
      </c>
      <c r="J390">
        <v>60</v>
      </c>
      <c r="K390">
        <v>10</v>
      </c>
      <c r="L390">
        <v>90</v>
      </c>
      <c r="M390">
        <v>44</v>
      </c>
      <c r="N390">
        <v>251</v>
      </c>
      <c r="O390">
        <v>63</v>
      </c>
      <c r="P390">
        <v>40</v>
      </c>
      <c r="Q390">
        <v>-6</v>
      </c>
      <c r="R390">
        <v>107</v>
      </c>
      <c r="S390">
        <v>1.1888888888888889</v>
      </c>
      <c r="T390">
        <v>-0.6</v>
      </c>
      <c r="U390">
        <v>1.4666666666666666</v>
      </c>
    </row>
    <row r="391" spans="1:21" x14ac:dyDescent="0.35">
      <c r="A391">
        <v>636</v>
      </c>
      <c r="B391" s="16">
        <v>40238</v>
      </c>
      <c r="C391" s="15" t="s">
        <v>37</v>
      </c>
      <c r="D391" s="15" t="s">
        <v>58</v>
      </c>
      <c r="E391" s="15" t="s">
        <v>53</v>
      </c>
      <c r="F391" s="15" t="s">
        <v>52</v>
      </c>
      <c r="G391" s="15" t="s">
        <v>60</v>
      </c>
      <c r="H391" s="15" t="s">
        <v>45</v>
      </c>
      <c r="I391">
        <v>70</v>
      </c>
      <c r="J391">
        <v>20</v>
      </c>
      <c r="K391">
        <v>-10</v>
      </c>
      <c r="L391">
        <v>90</v>
      </c>
      <c r="M391">
        <v>88</v>
      </c>
      <c r="N391">
        <v>715</v>
      </c>
      <c r="O391">
        <v>18</v>
      </c>
      <c r="P391">
        <v>27</v>
      </c>
      <c r="Q391">
        <v>-32</v>
      </c>
      <c r="R391">
        <v>106</v>
      </c>
      <c r="S391">
        <v>1.1777777777777778</v>
      </c>
      <c r="T391">
        <v>3.2</v>
      </c>
      <c r="U391">
        <v>1.2571428571428571</v>
      </c>
    </row>
    <row r="392" spans="1:21" x14ac:dyDescent="0.35">
      <c r="A392">
        <v>417</v>
      </c>
      <c r="B392" s="16">
        <v>40238</v>
      </c>
      <c r="C392" s="15" t="s">
        <v>37</v>
      </c>
      <c r="D392" s="15" t="s">
        <v>58</v>
      </c>
      <c r="E392" s="15" t="s">
        <v>55</v>
      </c>
      <c r="F392" s="15" t="s">
        <v>47</v>
      </c>
      <c r="G392" s="15" t="s">
        <v>60</v>
      </c>
      <c r="H392" s="15" t="s">
        <v>42</v>
      </c>
      <c r="I392">
        <v>30</v>
      </c>
      <c r="J392">
        <v>40</v>
      </c>
      <c r="K392">
        <v>10</v>
      </c>
      <c r="L392">
        <v>70</v>
      </c>
      <c r="M392">
        <v>36</v>
      </c>
      <c r="N392">
        <v>187</v>
      </c>
      <c r="O392">
        <v>49</v>
      </c>
      <c r="P392">
        <v>11</v>
      </c>
      <c r="Q392">
        <v>11</v>
      </c>
      <c r="R392">
        <v>85</v>
      </c>
      <c r="S392">
        <v>1.2142857142857142</v>
      </c>
      <c r="T392">
        <v>1.1000000000000001</v>
      </c>
      <c r="U392">
        <v>1.2</v>
      </c>
    </row>
    <row r="393" spans="1:21" x14ac:dyDescent="0.35">
      <c r="A393">
        <v>417</v>
      </c>
      <c r="B393" s="16">
        <v>40238</v>
      </c>
      <c r="C393" s="15" t="s">
        <v>37</v>
      </c>
      <c r="D393" s="15" t="s">
        <v>58</v>
      </c>
      <c r="E393" s="15" t="s">
        <v>56</v>
      </c>
      <c r="F393" s="15" t="s">
        <v>47</v>
      </c>
      <c r="G393" s="15" t="s">
        <v>60</v>
      </c>
      <c r="H393" s="15" t="s">
        <v>42</v>
      </c>
      <c r="I393">
        <v>20</v>
      </c>
      <c r="J393">
        <v>40</v>
      </c>
      <c r="K393">
        <v>0</v>
      </c>
      <c r="L393">
        <v>60</v>
      </c>
      <c r="M393">
        <v>33</v>
      </c>
      <c r="N393">
        <v>162</v>
      </c>
      <c r="O393">
        <v>42</v>
      </c>
      <c r="P393">
        <v>12</v>
      </c>
      <c r="Q393">
        <v>-3</v>
      </c>
      <c r="R393">
        <v>75</v>
      </c>
      <c r="S393">
        <v>1.25</v>
      </c>
      <c r="U393">
        <v>1.65</v>
      </c>
    </row>
    <row r="394" spans="1:21" x14ac:dyDescent="0.35">
      <c r="A394">
        <v>937</v>
      </c>
      <c r="B394" s="16">
        <v>40238</v>
      </c>
      <c r="C394" s="15" t="s">
        <v>37</v>
      </c>
      <c r="D394" s="15" t="s">
        <v>38</v>
      </c>
      <c r="E394" s="15" t="s">
        <v>39</v>
      </c>
      <c r="F394" s="15" t="s">
        <v>40</v>
      </c>
      <c r="G394" s="15" t="s">
        <v>61</v>
      </c>
      <c r="H394" s="15" t="s">
        <v>42</v>
      </c>
      <c r="I394">
        <v>60</v>
      </c>
      <c r="J394">
        <v>80</v>
      </c>
      <c r="K394">
        <v>50</v>
      </c>
      <c r="L394">
        <v>140</v>
      </c>
      <c r="M394">
        <v>57</v>
      </c>
      <c r="N394">
        <v>323</v>
      </c>
      <c r="O394">
        <v>77</v>
      </c>
      <c r="P394">
        <v>18</v>
      </c>
      <c r="Q394">
        <v>32</v>
      </c>
      <c r="R394">
        <v>134</v>
      </c>
      <c r="S394">
        <v>0.95714285714285718</v>
      </c>
      <c r="T394">
        <v>0.64</v>
      </c>
      <c r="U394">
        <v>0.95</v>
      </c>
    </row>
    <row r="395" spans="1:21" x14ac:dyDescent="0.35">
      <c r="A395">
        <v>740</v>
      </c>
      <c r="B395" s="16">
        <v>40238</v>
      </c>
      <c r="C395" s="15" t="s">
        <v>37</v>
      </c>
      <c r="D395" s="15" t="s">
        <v>38</v>
      </c>
      <c r="E395" s="15" t="s">
        <v>43</v>
      </c>
      <c r="F395" s="15" t="s">
        <v>40</v>
      </c>
      <c r="G395" s="15" t="s">
        <v>61</v>
      </c>
      <c r="H395" s="15" t="s">
        <v>42</v>
      </c>
      <c r="I395">
        <v>50</v>
      </c>
      <c r="J395">
        <v>70</v>
      </c>
      <c r="K395">
        <v>40</v>
      </c>
      <c r="L395">
        <v>120</v>
      </c>
      <c r="M395">
        <v>49</v>
      </c>
      <c r="N395">
        <v>351</v>
      </c>
      <c r="O395">
        <v>72</v>
      </c>
      <c r="P395">
        <v>15</v>
      </c>
      <c r="Q395">
        <v>35</v>
      </c>
      <c r="R395">
        <v>121</v>
      </c>
      <c r="S395">
        <v>1.0083333333333333</v>
      </c>
      <c r="T395">
        <v>0.875</v>
      </c>
      <c r="U395">
        <v>0.98</v>
      </c>
    </row>
    <row r="396" spans="1:21" x14ac:dyDescent="0.35">
      <c r="A396">
        <v>513</v>
      </c>
      <c r="B396" s="16">
        <v>40238</v>
      </c>
      <c r="C396" s="15" t="s">
        <v>37</v>
      </c>
      <c r="D396" s="15" t="s">
        <v>38</v>
      </c>
      <c r="E396" s="15" t="s">
        <v>44</v>
      </c>
      <c r="F396" s="15" t="s">
        <v>40</v>
      </c>
      <c r="G396" s="15" t="s">
        <v>61</v>
      </c>
      <c r="H396" s="15" t="s">
        <v>45</v>
      </c>
      <c r="I396">
        <v>50</v>
      </c>
      <c r="J396">
        <v>80</v>
      </c>
      <c r="K396">
        <v>20</v>
      </c>
      <c r="L396">
        <v>130</v>
      </c>
      <c r="M396">
        <v>52</v>
      </c>
      <c r="N396">
        <v>421</v>
      </c>
      <c r="O396">
        <v>73</v>
      </c>
      <c r="P396">
        <v>47</v>
      </c>
      <c r="Q396">
        <v>-4</v>
      </c>
      <c r="R396">
        <v>125</v>
      </c>
      <c r="S396">
        <v>0.96153846153846156</v>
      </c>
      <c r="T396">
        <v>-0.2</v>
      </c>
      <c r="U396">
        <v>1.04</v>
      </c>
    </row>
    <row r="397" spans="1:21" x14ac:dyDescent="0.35">
      <c r="A397">
        <v>513</v>
      </c>
      <c r="B397" s="16">
        <v>40238</v>
      </c>
      <c r="C397" s="15" t="s">
        <v>37</v>
      </c>
      <c r="D397" s="15" t="s">
        <v>38</v>
      </c>
      <c r="E397" s="15" t="s">
        <v>55</v>
      </c>
      <c r="F397" s="15" t="s">
        <v>47</v>
      </c>
      <c r="G397" s="15" t="s">
        <v>61</v>
      </c>
      <c r="H397" s="15" t="s">
        <v>42</v>
      </c>
      <c r="I397">
        <v>70</v>
      </c>
      <c r="J397">
        <v>110</v>
      </c>
      <c r="K397">
        <v>60</v>
      </c>
      <c r="L397">
        <v>180</v>
      </c>
      <c r="M397">
        <v>84</v>
      </c>
      <c r="N397">
        <v>632</v>
      </c>
      <c r="O397">
        <v>126</v>
      </c>
      <c r="P397">
        <v>27</v>
      </c>
      <c r="Q397">
        <v>68</v>
      </c>
      <c r="R397">
        <v>210</v>
      </c>
      <c r="S397">
        <v>1.1666666666666667</v>
      </c>
      <c r="T397">
        <v>1.1333333333333333</v>
      </c>
      <c r="U397">
        <v>1.2</v>
      </c>
    </row>
    <row r="398" spans="1:21" x14ac:dyDescent="0.35">
      <c r="A398">
        <v>513</v>
      </c>
      <c r="B398" s="16">
        <v>40238</v>
      </c>
      <c r="C398" s="15" t="s">
        <v>37</v>
      </c>
      <c r="D398" s="15" t="s">
        <v>38</v>
      </c>
      <c r="E398" s="15" t="s">
        <v>56</v>
      </c>
      <c r="F398" s="15" t="s">
        <v>47</v>
      </c>
      <c r="G398" s="15" t="s">
        <v>61</v>
      </c>
      <c r="H398" s="15" t="s">
        <v>42</v>
      </c>
      <c r="I398">
        <v>70</v>
      </c>
      <c r="J398">
        <v>110</v>
      </c>
      <c r="K398">
        <v>70</v>
      </c>
      <c r="L398">
        <v>180</v>
      </c>
      <c r="M398">
        <v>89</v>
      </c>
      <c r="N398">
        <v>481</v>
      </c>
      <c r="O398">
        <v>125</v>
      </c>
      <c r="P398">
        <v>27</v>
      </c>
      <c r="Q398">
        <v>74</v>
      </c>
      <c r="R398">
        <v>214</v>
      </c>
      <c r="S398">
        <v>1.1888888888888889</v>
      </c>
      <c r="T398">
        <v>1.0571428571428572</v>
      </c>
      <c r="U398">
        <v>1.2714285714285714</v>
      </c>
    </row>
    <row r="399" spans="1:21" x14ac:dyDescent="0.35">
      <c r="A399">
        <v>234</v>
      </c>
      <c r="B399" s="16">
        <v>40238</v>
      </c>
      <c r="C399" s="15" t="s">
        <v>37</v>
      </c>
      <c r="D399" s="15" t="s">
        <v>38</v>
      </c>
      <c r="E399" s="15" t="s">
        <v>50</v>
      </c>
      <c r="F399" s="15" t="s">
        <v>49</v>
      </c>
      <c r="G399" s="15" t="s">
        <v>61</v>
      </c>
      <c r="H399" s="15" t="s">
        <v>45</v>
      </c>
      <c r="I399">
        <v>60</v>
      </c>
      <c r="J399">
        <v>90</v>
      </c>
      <c r="K399">
        <v>40</v>
      </c>
      <c r="L399">
        <v>150</v>
      </c>
      <c r="M399">
        <v>58</v>
      </c>
      <c r="N399">
        <v>325</v>
      </c>
      <c r="O399">
        <v>71</v>
      </c>
      <c r="P399">
        <v>22</v>
      </c>
      <c r="Q399">
        <v>15</v>
      </c>
      <c r="R399">
        <v>129</v>
      </c>
      <c r="S399">
        <v>0.86</v>
      </c>
      <c r="T399">
        <v>0.375</v>
      </c>
      <c r="U399">
        <v>0.96666666666666667</v>
      </c>
    </row>
    <row r="400" spans="1:21" x14ac:dyDescent="0.35">
      <c r="A400">
        <v>513</v>
      </c>
      <c r="B400" s="16">
        <v>40238</v>
      </c>
      <c r="C400" s="15" t="s">
        <v>37</v>
      </c>
      <c r="D400" s="15" t="s">
        <v>38</v>
      </c>
      <c r="E400" s="15" t="s">
        <v>48</v>
      </c>
      <c r="F400" s="15" t="s">
        <v>49</v>
      </c>
      <c r="G400" s="15" t="s">
        <v>61</v>
      </c>
      <c r="H400" s="15" t="s">
        <v>42</v>
      </c>
      <c r="I400">
        <v>180</v>
      </c>
      <c r="J400">
        <v>200</v>
      </c>
      <c r="K400">
        <v>130</v>
      </c>
      <c r="L400">
        <v>380</v>
      </c>
      <c r="M400">
        <v>162</v>
      </c>
      <c r="N400">
        <v>1059</v>
      </c>
      <c r="O400">
        <v>163</v>
      </c>
      <c r="P400">
        <v>45</v>
      </c>
      <c r="Q400">
        <v>94</v>
      </c>
      <c r="R400">
        <v>325</v>
      </c>
      <c r="S400">
        <v>0.85526315789473684</v>
      </c>
      <c r="T400">
        <v>0.72307692307692306</v>
      </c>
      <c r="U400">
        <v>0.9</v>
      </c>
    </row>
    <row r="401" spans="1:21" x14ac:dyDescent="0.35">
      <c r="A401">
        <v>234</v>
      </c>
      <c r="B401" s="16">
        <v>40238</v>
      </c>
      <c r="C401" s="15" t="s">
        <v>37</v>
      </c>
      <c r="D401" s="15" t="s">
        <v>38</v>
      </c>
      <c r="E401" s="15" t="s">
        <v>51</v>
      </c>
      <c r="F401" s="15" t="s">
        <v>52</v>
      </c>
      <c r="G401" s="15" t="s">
        <v>61</v>
      </c>
      <c r="H401" s="15" t="s">
        <v>45</v>
      </c>
      <c r="I401">
        <v>10</v>
      </c>
      <c r="J401">
        <v>30</v>
      </c>
      <c r="K401">
        <v>30</v>
      </c>
      <c r="L401">
        <v>40</v>
      </c>
      <c r="M401">
        <v>21</v>
      </c>
      <c r="N401">
        <v>449</v>
      </c>
      <c r="O401">
        <v>32</v>
      </c>
      <c r="P401">
        <v>5</v>
      </c>
      <c r="Q401">
        <v>15</v>
      </c>
      <c r="R401">
        <v>53</v>
      </c>
      <c r="S401">
        <v>1.325</v>
      </c>
      <c r="T401">
        <v>0.5</v>
      </c>
      <c r="U401">
        <v>2.1</v>
      </c>
    </row>
    <row r="402" spans="1:21" x14ac:dyDescent="0.35">
      <c r="A402">
        <v>740</v>
      </c>
      <c r="B402" s="16">
        <v>40238</v>
      </c>
      <c r="C402" s="15" t="s">
        <v>37</v>
      </c>
      <c r="D402" s="15" t="s">
        <v>38</v>
      </c>
      <c r="E402" s="15" t="s">
        <v>53</v>
      </c>
      <c r="F402" s="15" t="s">
        <v>52</v>
      </c>
      <c r="G402" s="15" t="s">
        <v>61</v>
      </c>
      <c r="H402" s="15" t="s">
        <v>45</v>
      </c>
      <c r="I402">
        <v>20</v>
      </c>
      <c r="J402">
        <v>40</v>
      </c>
      <c r="K402">
        <v>40</v>
      </c>
      <c r="L402">
        <v>60</v>
      </c>
      <c r="M402">
        <v>32</v>
      </c>
      <c r="N402">
        <v>813</v>
      </c>
      <c r="O402">
        <v>47</v>
      </c>
      <c r="P402">
        <v>8</v>
      </c>
      <c r="Q402">
        <v>28</v>
      </c>
      <c r="R402">
        <v>79</v>
      </c>
      <c r="S402">
        <v>1.3166666666666667</v>
      </c>
      <c r="T402">
        <v>0.7</v>
      </c>
      <c r="U402">
        <v>1.6</v>
      </c>
    </row>
    <row r="403" spans="1:21" x14ac:dyDescent="0.35">
      <c r="A403">
        <v>262</v>
      </c>
      <c r="B403" s="16">
        <v>40238</v>
      </c>
      <c r="C403" s="15" t="s">
        <v>37</v>
      </c>
      <c r="D403" s="15" t="s">
        <v>58</v>
      </c>
      <c r="E403" s="15" t="s">
        <v>39</v>
      </c>
      <c r="F403" s="15" t="s">
        <v>40</v>
      </c>
      <c r="G403" s="15" t="s">
        <v>62</v>
      </c>
      <c r="H403" s="15" t="s">
        <v>42</v>
      </c>
      <c r="I403">
        <v>50</v>
      </c>
      <c r="J403">
        <v>70</v>
      </c>
      <c r="K403">
        <v>30</v>
      </c>
      <c r="L403">
        <v>120</v>
      </c>
      <c r="M403">
        <v>54</v>
      </c>
      <c r="N403">
        <v>301</v>
      </c>
      <c r="O403">
        <v>66</v>
      </c>
      <c r="P403">
        <v>20</v>
      </c>
      <c r="Q403">
        <v>13</v>
      </c>
      <c r="R403">
        <v>120</v>
      </c>
      <c r="S403">
        <v>1</v>
      </c>
      <c r="T403">
        <v>0.43333333333333335</v>
      </c>
      <c r="U403">
        <v>1.08</v>
      </c>
    </row>
    <row r="404" spans="1:21" x14ac:dyDescent="0.35">
      <c r="A404">
        <v>262</v>
      </c>
      <c r="B404" s="16">
        <v>40238</v>
      </c>
      <c r="C404" s="15" t="s">
        <v>37</v>
      </c>
      <c r="D404" s="15" t="s">
        <v>58</v>
      </c>
      <c r="E404" s="15" t="s">
        <v>43</v>
      </c>
      <c r="F404" s="15" t="s">
        <v>40</v>
      </c>
      <c r="G404" s="15" t="s">
        <v>62</v>
      </c>
      <c r="H404" s="15" t="s">
        <v>42</v>
      </c>
      <c r="I404">
        <v>100</v>
      </c>
      <c r="J404">
        <v>130</v>
      </c>
      <c r="K404">
        <v>30</v>
      </c>
      <c r="L404">
        <v>230</v>
      </c>
      <c r="M404">
        <v>95</v>
      </c>
      <c r="N404">
        <v>532</v>
      </c>
      <c r="O404">
        <v>132</v>
      </c>
      <c r="P404">
        <v>86</v>
      </c>
      <c r="Q404">
        <v>17</v>
      </c>
      <c r="R404">
        <v>227</v>
      </c>
      <c r="S404">
        <v>0.9869565217391304</v>
      </c>
      <c r="T404">
        <v>0.56666666666666665</v>
      </c>
      <c r="U404">
        <v>0.95</v>
      </c>
    </row>
    <row r="405" spans="1:21" x14ac:dyDescent="0.35">
      <c r="A405">
        <v>414</v>
      </c>
      <c r="B405" s="16">
        <v>40238</v>
      </c>
      <c r="C405" s="15" t="s">
        <v>37</v>
      </c>
      <c r="D405" s="15" t="s">
        <v>58</v>
      </c>
      <c r="E405" s="15" t="s">
        <v>44</v>
      </c>
      <c r="F405" s="15" t="s">
        <v>40</v>
      </c>
      <c r="G405" s="15" t="s">
        <v>62</v>
      </c>
      <c r="H405" s="15" t="s">
        <v>45</v>
      </c>
      <c r="I405">
        <v>80</v>
      </c>
      <c r="J405">
        <v>110</v>
      </c>
      <c r="K405">
        <v>70</v>
      </c>
      <c r="L405">
        <v>190</v>
      </c>
      <c r="M405">
        <v>80</v>
      </c>
      <c r="N405">
        <v>415</v>
      </c>
      <c r="O405">
        <v>108</v>
      </c>
      <c r="P405">
        <v>26</v>
      </c>
      <c r="Q405">
        <v>55</v>
      </c>
      <c r="R405">
        <v>188</v>
      </c>
      <c r="S405">
        <v>0.98947368421052628</v>
      </c>
      <c r="T405">
        <v>0.7857142857142857</v>
      </c>
      <c r="U405">
        <v>1</v>
      </c>
    </row>
    <row r="406" spans="1:21" x14ac:dyDescent="0.35">
      <c r="A406">
        <v>414</v>
      </c>
      <c r="B406" s="16">
        <v>40238</v>
      </c>
      <c r="C406" s="15" t="s">
        <v>37</v>
      </c>
      <c r="D406" s="15" t="s">
        <v>58</v>
      </c>
      <c r="E406" s="15" t="s">
        <v>55</v>
      </c>
      <c r="F406" s="15" t="s">
        <v>47</v>
      </c>
      <c r="G406" s="15" t="s">
        <v>62</v>
      </c>
      <c r="H406" s="15" t="s">
        <v>42</v>
      </c>
      <c r="I406">
        <v>40</v>
      </c>
      <c r="J406">
        <v>70</v>
      </c>
      <c r="K406">
        <v>40</v>
      </c>
      <c r="L406">
        <v>110</v>
      </c>
      <c r="M406">
        <v>52</v>
      </c>
      <c r="N406">
        <v>376</v>
      </c>
      <c r="O406">
        <v>77</v>
      </c>
      <c r="P406">
        <v>16</v>
      </c>
      <c r="Q406">
        <v>38</v>
      </c>
      <c r="R406">
        <v>129</v>
      </c>
      <c r="S406">
        <v>1.1727272727272726</v>
      </c>
      <c r="T406">
        <v>0.95</v>
      </c>
      <c r="U406">
        <v>1.3</v>
      </c>
    </row>
    <row r="407" spans="1:21" x14ac:dyDescent="0.35">
      <c r="A407">
        <v>920</v>
      </c>
      <c r="B407" s="16">
        <v>40238</v>
      </c>
      <c r="C407" s="15" t="s">
        <v>37</v>
      </c>
      <c r="D407" s="15" t="s">
        <v>58</v>
      </c>
      <c r="E407" s="15" t="s">
        <v>56</v>
      </c>
      <c r="F407" s="15" t="s">
        <v>47</v>
      </c>
      <c r="G407" s="15" t="s">
        <v>62</v>
      </c>
      <c r="H407" s="15" t="s">
        <v>42</v>
      </c>
      <c r="I407">
        <v>50</v>
      </c>
      <c r="J407">
        <v>80</v>
      </c>
      <c r="K407">
        <v>10</v>
      </c>
      <c r="L407">
        <v>130</v>
      </c>
      <c r="M407">
        <v>63</v>
      </c>
      <c r="N407">
        <v>506</v>
      </c>
      <c r="O407">
        <v>87</v>
      </c>
      <c r="P407">
        <v>57</v>
      </c>
      <c r="Q407">
        <v>1</v>
      </c>
      <c r="R407">
        <v>150</v>
      </c>
      <c r="S407">
        <v>1.1538461538461537</v>
      </c>
      <c r="T407">
        <v>0.1</v>
      </c>
      <c r="U407">
        <v>1.26</v>
      </c>
    </row>
    <row r="408" spans="1:21" x14ac:dyDescent="0.35">
      <c r="A408">
        <v>715</v>
      </c>
      <c r="B408" s="16">
        <v>40238</v>
      </c>
      <c r="C408" s="15" t="s">
        <v>37</v>
      </c>
      <c r="D408" s="15" t="s">
        <v>58</v>
      </c>
      <c r="E408" s="15" t="s">
        <v>50</v>
      </c>
      <c r="F408" s="15" t="s">
        <v>49</v>
      </c>
      <c r="G408" s="15" t="s">
        <v>62</v>
      </c>
      <c r="H408" s="15" t="s">
        <v>45</v>
      </c>
      <c r="I408">
        <v>50</v>
      </c>
      <c r="J408">
        <v>80</v>
      </c>
      <c r="K408">
        <v>60</v>
      </c>
      <c r="L408">
        <v>130</v>
      </c>
      <c r="M408">
        <v>49</v>
      </c>
      <c r="N408">
        <v>611</v>
      </c>
      <c r="O408">
        <v>63</v>
      </c>
      <c r="P408">
        <v>16</v>
      </c>
      <c r="Q408">
        <v>34</v>
      </c>
      <c r="R408">
        <v>112</v>
      </c>
      <c r="S408">
        <v>0.86153846153846159</v>
      </c>
      <c r="T408">
        <v>0.56666666666666665</v>
      </c>
      <c r="U408">
        <v>0.98</v>
      </c>
    </row>
    <row r="409" spans="1:21" x14ac:dyDescent="0.35">
      <c r="A409">
        <v>715</v>
      </c>
      <c r="B409" s="16">
        <v>40238</v>
      </c>
      <c r="C409" s="15" t="s">
        <v>37</v>
      </c>
      <c r="D409" s="15" t="s">
        <v>58</v>
      </c>
      <c r="E409" s="15" t="s">
        <v>48</v>
      </c>
      <c r="F409" s="15" t="s">
        <v>49</v>
      </c>
      <c r="G409" s="15" t="s">
        <v>62</v>
      </c>
      <c r="H409" s="15" t="s">
        <v>42</v>
      </c>
      <c r="I409">
        <v>80</v>
      </c>
      <c r="J409">
        <v>100</v>
      </c>
      <c r="K409">
        <v>60</v>
      </c>
      <c r="L409">
        <v>180</v>
      </c>
      <c r="M409">
        <v>71</v>
      </c>
      <c r="N409">
        <v>950</v>
      </c>
      <c r="O409">
        <v>84</v>
      </c>
      <c r="P409">
        <v>22</v>
      </c>
      <c r="Q409">
        <v>41</v>
      </c>
      <c r="R409">
        <v>155</v>
      </c>
      <c r="S409">
        <v>0.86111111111111116</v>
      </c>
      <c r="T409">
        <v>0.68333333333333335</v>
      </c>
      <c r="U409">
        <v>0.88749999999999996</v>
      </c>
    </row>
    <row r="410" spans="1:21" x14ac:dyDescent="0.35">
      <c r="A410">
        <v>262</v>
      </c>
      <c r="B410" s="16">
        <v>40238</v>
      </c>
      <c r="C410" s="15" t="s">
        <v>37</v>
      </c>
      <c r="D410" s="15" t="s">
        <v>58</v>
      </c>
      <c r="E410" s="15" t="s">
        <v>51</v>
      </c>
      <c r="F410" s="15" t="s">
        <v>52</v>
      </c>
      <c r="G410" s="15" t="s">
        <v>62</v>
      </c>
      <c r="H410" s="15" t="s">
        <v>45</v>
      </c>
      <c r="I410">
        <v>50</v>
      </c>
      <c r="J410">
        <v>90</v>
      </c>
      <c r="K410">
        <v>70</v>
      </c>
      <c r="L410">
        <v>140</v>
      </c>
      <c r="M410">
        <v>62</v>
      </c>
      <c r="N410">
        <v>346</v>
      </c>
      <c r="O410">
        <v>105</v>
      </c>
      <c r="P410">
        <v>19</v>
      </c>
      <c r="Q410">
        <v>63</v>
      </c>
      <c r="R410">
        <v>167</v>
      </c>
      <c r="S410">
        <v>1.1928571428571428</v>
      </c>
      <c r="T410">
        <v>0.9</v>
      </c>
      <c r="U410">
        <v>1.24</v>
      </c>
    </row>
    <row r="411" spans="1:21" x14ac:dyDescent="0.35">
      <c r="A411">
        <v>715</v>
      </c>
      <c r="B411" s="16">
        <v>40238</v>
      </c>
      <c r="C411" s="15" t="s">
        <v>37</v>
      </c>
      <c r="D411" s="15" t="s">
        <v>58</v>
      </c>
      <c r="E411" s="15" t="s">
        <v>53</v>
      </c>
      <c r="F411" s="15" t="s">
        <v>52</v>
      </c>
      <c r="G411" s="15" t="s">
        <v>62</v>
      </c>
      <c r="H411" s="15" t="s">
        <v>45</v>
      </c>
      <c r="I411">
        <v>40</v>
      </c>
      <c r="J411">
        <v>60</v>
      </c>
      <c r="K411">
        <v>50</v>
      </c>
      <c r="L411">
        <v>100</v>
      </c>
      <c r="M411">
        <v>49</v>
      </c>
      <c r="N411">
        <v>767</v>
      </c>
      <c r="O411">
        <v>72</v>
      </c>
      <c r="P411">
        <v>13</v>
      </c>
      <c r="Q411">
        <v>47</v>
      </c>
      <c r="R411">
        <v>121</v>
      </c>
      <c r="S411">
        <v>1.21</v>
      </c>
      <c r="T411">
        <v>0.94</v>
      </c>
      <c r="U411">
        <v>1.2250000000000001</v>
      </c>
    </row>
    <row r="412" spans="1:21" x14ac:dyDescent="0.35">
      <c r="A412">
        <v>959</v>
      </c>
      <c r="B412" s="16">
        <v>40238</v>
      </c>
      <c r="C412" s="15" t="s">
        <v>63</v>
      </c>
      <c r="D412" s="15" t="s">
        <v>58</v>
      </c>
      <c r="E412" s="15" t="s">
        <v>55</v>
      </c>
      <c r="F412" s="15" t="s">
        <v>47</v>
      </c>
      <c r="G412" s="15" t="s">
        <v>64</v>
      </c>
      <c r="H412" s="15" t="s">
        <v>42</v>
      </c>
      <c r="I412">
        <v>50</v>
      </c>
      <c r="J412">
        <v>80</v>
      </c>
      <c r="K412">
        <v>60</v>
      </c>
      <c r="L412">
        <v>130</v>
      </c>
      <c r="M412">
        <v>49</v>
      </c>
      <c r="N412">
        <v>809</v>
      </c>
      <c r="O412">
        <v>72</v>
      </c>
      <c r="P412">
        <v>13</v>
      </c>
      <c r="Q412">
        <v>47</v>
      </c>
      <c r="R412">
        <v>121</v>
      </c>
      <c r="S412">
        <v>0.93076923076923079</v>
      </c>
      <c r="T412">
        <v>0.78333333333333333</v>
      </c>
      <c r="U412">
        <v>0.98</v>
      </c>
    </row>
    <row r="413" spans="1:21" x14ac:dyDescent="0.35">
      <c r="A413">
        <v>860</v>
      </c>
      <c r="B413" s="16">
        <v>40238</v>
      </c>
      <c r="C413" s="15" t="s">
        <v>63</v>
      </c>
      <c r="D413" s="15" t="s">
        <v>58</v>
      </c>
      <c r="E413" s="15" t="s">
        <v>46</v>
      </c>
      <c r="F413" s="15" t="s">
        <v>47</v>
      </c>
      <c r="G413" s="15" t="s">
        <v>64</v>
      </c>
      <c r="H413" s="15" t="s">
        <v>42</v>
      </c>
      <c r="I413">
        <v>20</v>
      </c>
      <c r="J413">
        <v>40</v>
      </c>
      <c r="K413">
        <v>30</v>
      </c>
      <c r="L413">
        <v>60</v>
      </c>
      <c r="M413">
        <v>25</v>
      </c>
      <c r="N413">
        <v>769</v>
      </c>
      <c r="O413">
        <v>37</v>
      </c>
      <c r="P413">
        <v>7</v>
      </c>
      <c r="Q413">
        <v>18</v>
      </c>
      <c r="R413">
        <v>62</v>
      </c>
      <c r="S413">
        <v>1.0333333333333334</v>
      </c>
      <c r="T413">
        <v>0.6</v>
      </c>
      <c r="U413">
        <v>1.25</v>
      </c>
    </row>
    <row r="414" spans="1:21" x14ac:dyDescent="0.35">
      <c r="A414">
        <v>860</v>
      </c>
      <c r="B414" s="16">
        <v>40238</v>
      </c>
      <c r="C414" s="15" t="s">
        <v>63</v>
      </c>
      <c r="D414" s="15" t="s">
        <v>58</v>
      </c>
      <c r="E414" s="15" t="s">
        <v>50</v>
      </c>
      <c r="F414" s="15" t="s">
        <v>49</v>
      </c>
      <c r="G414" s="15" t="s">
        <v>64</v>
      </c>
      <c r="H414" s="15" t="s">
        <v>45</v>
      </c>
      <c r="I414">
        <v>50</v>
      </c>
      <c r="J414">
        <v>70</v>
      </c>
      <c r="K414">
        <v>40</v>
      </c>
      <c r="L414">
        <v>120</v>
      </c>
      <c r="M414">
        <v>53</v>
      </c>
      <c r="N414">
        <v>299</v>
      </c>
      <c r="O414">
        <v>71</v>
      </c>
      <c r="P414">
        <v>17</v>
      </c>
      <c r="Q414">
        <v>26</v>
      </c>
      <c r="R414">
        <v>124</v>
      </c>
      <c r="S414">
        <v>1.0333333333333334</v>
      </c>
      <c r="T414">
        <v>0.65</v>
      </c>
      <c r="U414">
        <v>1.06</v>
      </c>
    </row>
    <row r="415" spans="1:21" x14ac:dyDescent="0.35">
      <c r="A415">
        <v>860</v>
      </c>
      <c r="B415" s="16">
        <v>40238</v>
      </c>
      <c r="C415" s="15" t="s">
        <v>63</v>
      </c>
      <c r="D415" s="15" t="s">
        <v>58</v>
      </c>
      <c r="E415" s="15" t="s">
        <v>48</v>
      </c>
      <c r="F415" s="15" t="s">
        <v>49</v>
      </c>
      <c r="G415" s="15" t="s">
        <v>64</v>
      </c>
      <c r="H415" s="15" t="s">
        <v>42</v>
      </c>
      <c r="I415">
        <v>60</v>
      </c>
      <c r="J415">
        <v>80</v>
      </c>
      <c r="K415">
        <v>10</v>
      </c>
      <c r="L415">
        <v>140</v>
      </c>
      <c r="M415">
        <v>63</v>
      </c>
      <c r="N415">
        <v>506</v>
      </c>
      <c r="O415">
        <v>87</v>
      </c>
      <c r="P415">
        <v>57</v>
      </c>
      <c r="Q415">
        <v>0</v>
      </c>
      <c r="R415">
        <v>150</v>
      </c>
      <c r="S415">
        <v>1.0714285714285714</v>
      </c>
      <c r="T415">
        <v>0</v>
      </c>
      <c r="U415">
        <v>1.05</v>
      </c>
    </row>
    <row r="416" spans="1:21" x14ac:dyDescent="0.35">
      <c r="A416">
        <v>475</v>
      </c>
      <c r="B416" s="16">
        <v>40238</v>
      </c>
      <c r="C416" s="15" t="s">
        <v>63</v>
      </c>
      <c r="D416" s="15" t="s">
        <v>58</v>
      </c>
      <c r="E416" s="15" t="s">
        <v>43</v>
      </c>
      <c r="F416" s="15" t="s">
        <v>40</v>
      </c>
      <c r="G416" s="15" t="s">
        <v>64</v>
      </c>
      <c r="H416" s="15" t="s">
        <v>42</v>
      </c>
      <c r="I416">
        <v>110</v>
      </c>
      <c r="J416">
        <v>180</v>
      </c>
      <c r="K416">
        <v>130</v>
      </c>
      <c r="L416">
        <v>290</v>
      </c>
      <c r="M416">
        <v>123</v>
      </c>
      <c r="N416">
        <v>932</v>
      </c>
      <c r="O416">
        <v>186</v>
      </c>
      <c r="P416">
        <v>40</v>
      </c>
      <c r="Q416">
        <v>114</v>
      </c>
      <c r="R416">
        <v>309</v>
      </c>
      <c r="S416">
        <v>1.0655172413793104</v>
      </c>
      <c r="T416">
        <v>0.87692307692307692</v>
      </c>
      <c r="U416">
        <v>1.1181818181818182</v>
      </c>
    </row>
    <row r="417" spans="1:21" x14ac:dyDescent="0.35">
      <c r="A417">
        <v>203</v>
      </c>
      <c r="B417" s="16">
        <v>40238</v>
      </c>
      <c r="C417" s="15" t="s">
        <v>63</v>
      </c>
      <c r="D417" s="15" t="s">
        <v>58</v>
      </c>
      <c r="E417" s="15" t="s">
        <v>53</v>
      </c>
      <c r="F417" s="15" t="s">
        <v>52</v>
      </c>
      <c r="G417" s="15" t="s">
        <v>64</v>
      </c>
      <c r="H417" s="15" t="s">
        <v>45</v>
      </c>
      <c r="I417">
        <v>60</v>
      </c>
      <c r="J417">
        <v>80</v>
      </c>
      <c r="K417">
        <v>40</v>
      </c>
      <c r="L417">
        <v>140</v>
      </c>
      <c r="M417">
        <v>85</v>
      </c>
      <c r="N417">
        <v>476</v>
      </c>
      <c r="O417">
        <v>104</v>
      </c>
      <c r="P417">
        <v>32</v>
      </c>
      <c r="Q417">
        <v>39</v>
      </c>
      <c r="R417">
        <v>189</v>
      </c>
      <c r="S417">
        <v>1.35</v>
      </c>
      <c r="T417">
        <v>0.97499999999999998</v>
      </c>
      <c r="U417">
        <v>1.4166666666666667</v>
      </c>
    </row>
    <row r="418" spans="1:21" x14ac:dyDescent="0.35">
      <c r="A418">
        <v>203</v>
      </c>
      <c r="B418" s="16">
        <v>40238</v>
      </c>
      <c r="C418" s="15" t="s">
        <v>63</v>
      </c>
      <c r="D418" s="15" t="s">
        <v>58</v>
      </c>
      <c r="E418" s="15" t="s">
        <v>54</v>
      </c>
      <c r="F418" s="15" t="s">
        <v>52</v>
      </c>
      <c r="G418" s="15" t="s">
        <v>64</v>
      </c>
      <c r="H418" s="15" t="s">
        <v>45</v>
      </c>
      <c r="I418">
        <v>50</v>
      </c>
      <c r="J418">
        <v>70</v>
      </c>
      <c r="K418">
        <v>50</v>
      </c>
      <c r="L418">
        <v>120</v>
      </c>
      <c r="M418">
        <v>74</v>
      </c>
      <c r="N418">
        <v>949</v>
      </c>
      <c r="O418">
        <v>89</v>
      </c>
      <c r="P418">
        <v>22</v>
      </c>
      <c r="Q418">
        <v>46</v>
      </c>
      <c r="R418">
        <v>163</v>
      </c>
      <c r="S418">
        <v>1.3583333333333334</v>
      </c>
      <c r="T418">
        <v>0.92</v>
      </c>
      <c r="U418">
        <v>1.48</v>
      </c>
    </row>
    <row r="419" spans="1:21" x14ac:dyDescent="0.35">
      <c r="A419">
        <v>863</v>
      </c>
      <c r="B419" s="16">
        <v>40238</v>
      </c>
      <c r="C419" s="15" t="s">
        <v>63</v>
      </c>
      <c r="D419" s="15" t="s">
        <v>38</v>
      </c>
      <c r="E419" s="15" t="s">
        <v>55</v>
      </c>
      <c r="F419" s="15" t="s">
        <v>47</v>
      </c>
      <c r="G419" s="15" t="s">
        <v>65</v>
      </c>
      <c r="H419" s="15" t="s">
        <v>42</v>
      </c>
      <c r="I419">
        <v>30</v>
      </c>
      <c r="J419">
        <v>50</v>
      </c>
      <c r="K419">
        <v>40</v>
      </c>
      <c r="L419">
        <v>80</v>
      </c>
      <c r="M419">
        <v>33</v>
      </c>
      <c r="N419">
        <v>813</v>
      </c>
      <c r="O419">
        <v>48</v>
      </c>
      <c r="P419">
        <v>9</v>
      </c>
      <c r="Q419">
        <v>27</v>
      </c>
      <c r="R419">
        <v>81</v>
      </c>
      <c r="S419">
        <v>1.0125</v>
      </c>
      <c r="T419">
        <v>0.67500000000000004</v>
      </c>
      <c r="U419">
        <v>1.1000000000000001</v>
      </c>
    </row>
    <row r="420" spans="1:21" x14ac:dyDescent="0.35">
      <c r="A420">
        <v>813</v>
      </c>
      <c r="B420" s="16">
        <v>40238</v>
      </c>
      <c r="C420" s="15" t="s">
        <v>63</v>
      </c>
      <c r="D420" s="15" t="s">
        <v>38</v>
      </c>
      <c r="E420" s="15" t="s">
        <v>46</v>
      </c>
      <c r="F420" s="15" t="s">
        <v>47</v>
      </c>
      <c r="G420" s="15" t="s">
        <v>65</v>
      </c>
      <c r="H420" s="15" t="s">
        <v>42</v>
      </c>
      <c r="I420">
        <v>50</v>
      </c>
      <c r="J420">
        <v>80</v>
      </c>
      <c r="K420">
        <v>60</v>
      </c>
      <c r="L420">
        <v>130</v>
      </c>
      <c r="M420">
        <v>49</v>
      </c>
      <c r="N420">
        <v>767</v>
      </c>
      <c r="O420">
        <v>72</v>
      </c>
      <c r="P420">
        <v>13</v>
      </c>
      <c r="Q420">
        <v>47</v>
      </c>
      <c r="R420">
        <v>121</v>
      </c>
      <c r="S420">
        <v>0.93076923076923079</v>
      </c>
      <c r="T420">
        <v>0.78333333333333333</v>
      </c>
      <c r="U420">
        <v>0.98</v>
      </c>
    </row>
    <row r="421" spans="1:21" x14ac:dyDescent="0.35">
      <c r="A421">
        <v>941</v>
      </c>
      <c r="B421" s="16">
        <v>40238</v>
      </c>
      <c r="C421" s="15" t="s">
        <v>63</v>
      </c>
      <c r="D421" s="15" t="s">
        <v>38</v>
      </c>
      <c r="E421" s="15" t="s">
        <v>50</v>
      </c>
      <c r="F421" s="15" t="s">
        <v>49</v>
      </c>
      <c r="G421" s="15" t="s">
        <v>65</v>
      </c>
      <c r="H421" s="15" t="s">
        <v>45</v>
      </c>
      <c r="I421">
        <v>70</v>
      </c>
      <c r="J421">
        <v>110</v>
      </c>
      <c r="K421">
        <v>70</v>
      </c>
      <c r="L421">
        <v>180</v>
      </c>
      <c r="M421">
        <v>80</v>
      </c>
      <c r="N421">
        <v>415</v>
      </c>
      <c r="O421">
        <v>108</v>
      </c>
      <c r="P421">
        <v>26</v>
      </c>
      <c r="Q421">
        <v>54</v>
      </c>
      <c r="R421">
        <v>188</v>
      </c>
      <c r="S421">
        <v>1.0444444444444445</v>
      </c>
      <c r="T421">
        <v>0.77142857142857146</v>
      </c>
      <c r="U421">
        <v>1.1428571428571428</v>
      </c>
    </row>
    <row r="422" spans="1:21" x14ac:dyDescent="0.35">
      <c r="A422">
        <v>941</v>
      </c>
      <c r="B422" s="16">
        <v>40238</v>
      </c>
      <c r="C422" s="15" t="s">
        <v>63</v>
      </c>
      <c r="D422" s="15" t="s">
        <v>38</v>
      </c>
      <c r="E422" s="15" t="s">
        <v>48</v>
      </c>
      <c r="F422" s="15" t="s">
        <v>49</v>
      </c>
      <c r="G422" s="15" t="s">
        <v>65</v>
      </c>
      <c r="H422" s="15" t="s">
        <v>42</v>
      </c>
      <c r="I422">
        <v>90</v>
      </c>
      <c r="J422">
        <v>130</v>
      </c>
      <c r="K422">
        <v>30</v>
      </c>
      <c r="L422">
        <v>220</v>
      </c>
      <c r="M422">
        <v>95</v>
      </c>
      <c r="N422">
        <v>532</v>
      </c>
      <c r="O422">
        <v>132</v>
      </c>
      <c r="P422">
        <v>86</v>
      </c>
      <c r="Q422">
        <v>17</v>
      </c>
      <c r="R422">
        <v>227</v>
      </c>
      <c r="S422">
        <v>1.0318181818181817</v>
      </c>
      <c r="T422">
        <v>0.56666666666666665</v>
      </c>
      <c r="U422">
        <v>1.0555555555555556</v>
      </c>
    </row>
    <row r="423" spans="1:21" x14ac:dyDescent="0.35">
      <c r="A423">
        <v>321</v>
      </c>
      <c r="B423" s="16">
        <v>40238</v>
      </c>
      <c r="C423" s="15" t="s">
        <v>63</v>
      </c>
      <c r="D423" s="15" t="s">
        <v>38</v>
      </c>
      <c r="E423" s="15" t="s">
        <v>44</v>
      </c>
      <c r="F423" s="15" t="s">
        <v>40</v>
      </c>
      <c r="G423" s="15" t="s">
        <v>65</v>
      </c>
      <c r="H423" s="15" t="s">
        <v>45</v>
      </c>
      <c r="I423">
        <v>80</v>
      </c>
      <c r="J423">
        <v>120</v>
      </c>
      <c r="K423">
        <v>80</v>
      </c>
      <c r="L423">
        <v>200</v>
      </c>
      <c r="M423">
        <v>89</v>
      </c>
      <c r="N423">
        <v>481</v>
      </c>
      <c r="O423">
        <v>125</v>
      </c>
      <c r="P423">
        <v>27</v>
      </c>
      <c r="Q423">
        <v>74</v>
      </c>
      <c r="R423">
        <v>214</v>
      </c>
      <c r="S423">
        <v>1.07</v>
      </c>
      <c r="T423">
        <v>0.92500000000000004</v>
      </c>
      <c r="U423">
        <v>1.1125</v>
      </c>
    </row>
    <row r="424" spans="1:21" x14ac:dyDescent="0.35">
      <c r="A424">
        <v>561</v>
      </c>
      <c r="B424" s="16">
        <v>40238</v>
      </c>
      <c r="C424" s="15" t="s">
        <v>63</v>
      </c>
      <c r="D424" s="15" t="s">
        <v>38</v>
      </c>
      <c r="E424" s="15" t="s">
        <v>43</v>
      </c>
      <c r="F424" s="15" t="s">
        <v>40</v>
      </c>
      <c r="G424" s="15" t="s">
        <v>65</v>
      </c>
      <c r="H424" s="15" t="s">
        <v>42</v>
      </c>
      <c r="I424">
        <v>80</v>
      </c>
      <c r="J424">
        <v>110</v>
      </c>
      <c r="K424">
        <v>70</v>
      </c>
      <c r="L424">
        <v>190</v>
      </c>
      <c r="M424">
        <v>84</v>
      </c>
      <c r="N424">
        <v>632</v>
      </c>
      <c r="O424">
        <v>126</v>
      </c>
      <c r="P424">
        <v>27</v>
      </c>
      <c r="Q424">
        <v>67</v>
      </c>
      <c r="R424">
        <v>210</v>
      </c>
      <c r="S424">
        <v>1.1052631578947369</v>
      </c>
      <c r="T424">
        <v>0.95714285714285718</v>
      </c>
      <c r="U424">
        <v>1.05</v>
      </c>
    </row>
    <row r="425" spans="1:21" x14ac:dyDescent="0.35">
      <c r="A425">
        <v>863</v>
      </c>
      <c r="B425" s="16">
        <v>40238</v>
      </c>
      <c r="C425" s="15" t="s">
        <v>63</v>
      </c>
      <c r="D425" s="15" t="s">
        <v>38</v>
      </c>
      <c r="E425" s="15" t="s">
        <v>51</v>
      </c>
      <c r="F425" s="15" t="s">
        <v>52</v>
      </c>
      <c r="G425" s="15" t="s">
        <v>65</v>
      </c>
      <c r="H425" s="15" t="s">
        <v>45</v>
      </c>
      <c r="I425">
        <v>30</v>
      </c>
      <c r="J425">
        <v>50</v>
      </c>
      <c r="K425">
        <v>30</v>
      </c>
      <c r="L425">
        <v>80</v>
      </c>
      <c r="M425">
        <v>49</v>
      </c>
      <c r="N425">
        <v>611</v>
      </c>
      <c r="O425">
        <v>63</v>
      </c>
      <c r="P425">
        <v>16</v>
      </c>
      <c r="Q425">
        <v>35</v>
      </c>
      <c r="R425">
        <v>112</v>
      </c>
      <c r="S425">
        <v>1.4</v>
      </c>
      <c r="T425">
        <v>1.1666666666666667</v>
      </c>
      <c r="U425">
        <v>1.6333333333333333</v>
      </c>
    </row>
    <row r="426" spans="1:21" x14ac:dyDescent="0.35">
      <c r="A426">
        <v>772</v>
      </c>
      <c r="B426" s="16">
        <v>40238</v>
      </c>
      <c r="C426" s="15" t="s">
        <v>63</v>
      </c>
      <c r="D426" s="15" t="s">
        <v>38</v>
      </c>
      <c r="E426" s="15" t="s">
        <v>53</v>
      </c>
      <c r="F426" s="15" t="s">
        <v>52</v>
      </c>
      <c r="G426" s="15" t="s">
        <v>65</v>
      </c>
      <c r="H426" s="15" t="s">
        <v>45</v>
      </c>
      <c r="I426">
        <v>40</v>
      </c>
      <c r="J426">
        <v>50</v>
      </c>
      <c r="K426">
        <v>20</v>
      </c>
      <c r="L426">
        <v>90</v>
      </c>
      <c r="M426">
        <v>54</v>
      </c>
      <c r="N426">
        <v>301</v>
      </c>
      <c r="O426">
        <v>66</v>
      </c>
      <c r="P426">
        <v>20</v>
      </c>
      <c r="Q426">
        <v>12</v>
      </c>
      <c r="R426">
        <v>120</v>
      </c>
      <c r="S426">
        <v>1.3333333333333333</v>
      </c>
      <c r="T426">
        <v>0.6</v>
      </c>
      <c r="U426">
        <v>1.35</v>
      </c>
    </row>
    <row r="427" spans="1:21" x14ac:dyDescent="0.35">
      <c r="A427">
        <v>813</v>
      </c>
      <c r="B427" s="16">
        <v>40238</v>
      </c>
      <c r="C427" s="15" t="s">
        <v>63</v>
      </c>
      <c r="D427" s="15" t="s">
        <v>38</v>
      </c>
      <c r="E427" s="15" t="s">
        <v>54</v>
      </c>
      <c r="F427" s="15" t="s">
        <v>52</v>
      </c>
      <c r="G427" s="15" t="s">
        <v>65</v>
      </c>
      <c r="H427" s="15" t="s">
        <v>45</v>
      </c>
      <c r="I427">
        <v>50</v>
      </c>
      <c r="J427">
        <v>70</v>
      </c>
      <c r="K427">
        <v>50</v>
      </c>
      <c r="L427">
        <v>120</v>
      </c>
      <c r="M427">
        <v>71</v>
      </c>
      <c r="N427">
        <v>950</v>
      </c>
      <c r="O427">
        <v>84</v>
      </c>
      <c r="P427">
        <v>22</v>
      </c>
      <c r="Q427">
        <v>40</v>
      </c>
      <c r="R427">
        <v>155</v>
      </c>
      <c r="S427">
        <v>1.2916666666666667</v>
      </c>
      <c r="T427">
        <v>0.8</v>
      </c>
      <c r="U427">
        <v>1.42</v>
      </c>
    </row>
    <row r="428" spans="1:21" x14ac:dyDescent="0.35">
      <c r="A428">
        <v>978</v>
      </c>
      <c r="B428" s="16">
        <v>40238</v>
      </c>
      <c r="C428" s="15" t="s">
        <v>63</v>
      </c>
      <c r="D428" s="15" t="s">
        <v>38</v>
      </c>
      <c r="E428" s="15" t="s">
        <v>55</v>
      </c>
      <c r="F428" s="15" t="s">
        <v>47</v>
      </c>
      <c r="G428" s="15" t="s">
        <v>66</v>
      </c>
      <c r="H428" s="15" t="s">
        <v>42</v>
      </c>
      <c r="I428">
        <v>30</v>
      </c>
      <c r="J428">
        <v>50</v>
      </c>
      <c r="K428">
        <v>40</v>
      </c>
      <c r="L428">
        <v>80</v>
      </c>
      <c r="M428">
        <v>32</v>
      </c>
      <c r="N428">
        <v>813</v>
      </c>
      <c r="O428">
        <v>47</v>
      </c>
      <c r="P428">
        <v>8</v>
      </c>
      <c r="Q428">
        <v>28</v>
      </c>
      <c r="R428">
        <v>79</v>
      </c>
      <c r="S428">
        <v>0.98750000000000004</v>
      </c>
      <c r="T428">
        <v>0.7</v>
      </c>
      <c r="U428">
        <v>1.0666666666666667</v>
      </c>
    </row>
    <row r="429" spans="1:21" x14ac:dyDescent="0.35">
      <c r="A429">
        <v>857</v>
      </c>
      <c r="B429" s="16">
        <v>40238</v>
      </c>
      <c r="C429" s="15" t="s">
        <v>63</v>
      </c>
      <c r="D429" s="15" t="s">
        <v>38</v>
      </c>
      <c r="E429" s="15" t="s">
        <v>46</v>
      </c>
      <c r="F429" s="15" t="s">
        <v>47</v>
      </c>
      <c r="G429" s="15" t="s">
        <v>66</v>
      </c>
      <c r="H429" s="15" t="s">
        <v>42</v>
      </c>
      <c r="I429">
        <v>20</v>
      </c>
      <c r="J429">
        <v>30</v>
      </c>
      <c r="K429">
        <v>20</v>
      </c>
      <c r="L429">
        <v>50</v>
      </c>
      <c r="M429">
        <v>21</v>
      </c>
      <c r="N429">
        <v>449</v>
      </c>
      <c r="O429">
        <v>32</v>
      </c>
      <c r="P429">
        <v>5</v>
      </c>
      <c r="Q429">
        <v>15</v>
      </c>
      <c r="R429">
        <v>53</v>
      </c>
      <c r="S429">
        <v>1.06</v>
      </c>
      <c r="T429">
        <v>0.75</v>
      </c>
      <c r="U429">
        <v>1.05</v>
      </c>
    </row>
    <row r="430" spans="1:21" x14ac:dyDescent="0.35">
      <c r="A430">
        <v>508</v>
      </c>
      <c r="B430" s="16">
        <v>40238</v>
      </c>
      <c r="C430" s="15" t="s">
        <v>63</v>
      </c>
      <c r="D430" s="15" t="s">
        <v>38</v>
      </c>
      <c r="E430" s="15" t="s">
        <v>67</v>
      </c>
      <c r="F430" s="15" t="s">
        <v>49</v>
      </c>
      <c r="G430" s="15" t="s">
        <v>66</v>
      </c>
      <c r="H430" s="15" t="s">
        <v>42</v>
      </c>
      <c r="I430">
        <v>150</v>
      </c>
      <c r="J430">
        <v>160</v>
      </c>
      <c r="K430">
        <v>100</v>
      </c>
      <c r="L430">
        <v>310</v>
      </c>
      <c r="M430">
        <v>162</v>
      </c>
      <c r="N430">
        <v>1059</v>
      </c>
      <c r="O430">
        <v>163</v>
      </c>
      <c r="P430">
        <v>45</v>
      </c>
      <c r="Q430">
        <v>94</v>
      </c>
      <c r="R430">
        <v>325</v>
      </c>
      <c r="S430">
        <v>1.0483870967741935</v>
      </c>
      <c r="T430">
        <v>0.94</v>
      </c>
      <c r="U430">
        <v>1.08</v>
      </c>
    </row>
    <row r="431" spans="1:21" x14ac:dyDescent="0.35">
      <c r="A431">
        <v>508</v>
      </c>
      <c r="B431" s="16">
        <v>40238</v>
      </c>
      <c r="C431" s="15" t="s">
        <v>63</v>
      </c>
      <c r="D431" s="15" t="s">
        <v>38</v>
      </c>
      <c r="E431" s="15" t="s">
        <v>48</v>
      </c>
      <c r="F431" s="15" t="s">
        <v>49</v>
      </c>
      <c r="G431" s="15" t="s">
        <v>66</v>
      </c>
      <c r="H431" s="15" t="s">
        <v>42</v>
      </c>
      <c r="I431">
        <v>40</v>
      </c>
      <c r="J431">
        <v>80</v>
      </c>
      <c r="K431">
        <v>20</v>
      </c>
      <c r="L431">
        <v>120</v>
      </c>
      <c r="M431">
        <v>52</v>
      </c>
      <c r="N431">
        <v>446</v>
      </c>
      <c r="O431">
        <v>73</v>
      </c>
      <c r="P431">
        <v>47</v>
      </c>
      <c r="Q431">
        <v>-4</v>
      </c>
      <c r="R431">
        <v>125</v>
      </c>
      <c r="S431">
        <v>1.0416666666666667</v>
      </c>
      <c r="T431">
        <v>-0.2</v>
      </c>
      <c r="U431">
        <v>1.3</v>
      </c>
    </row>
    <row r="432" spans="1:21" x14ac:dyDescent="0.35">
      <c r="A432">
        <v>978</v>
      </c>
      <c r="B432" s="16">
        <v>40238</v>
      </c>
      <c r="C432" s="15" t="s">
        <v>63</v>
      </c>
      <c r="D432" s="15" t="s">
        <v>38</v>
      </c>
      <c r="E432" s="15" t="s">
        <v>43</v>
      </c>
      <c r="F432" s="15" t="s">
        <v>40</v>
      </c>
      <c r="G432" s="15" t="s">
        <v>66</v>
      </c>
      <c r="H432" s="15" t="s">
        <v>42</v>
      </c>
      <c r="I432">
        <v>60</v>
      </c>
      <c r="J432">
        <v>400</v>
      </c>
      <c r="K432">
        <v>360</v>
      </c>
      <c r="L432">
        <v>460</v>
      </c>
      <c r="M432">
        <v>72</v>
      </c>
      <c r="N432">
        <v>-54</v>
      </c>
      <c r="O432">
        <v>420</v>
      </c>
      <c r="P432">
        <v>23</v>
      </c>
      <c r="Q432">
        <v>366</v>
      </c>
      <c r="R432">
        <v>492</v>
      </c>
      <c r="S432">
        <v>1.0695652173913044</v>
      </c>
      <c r="T432">
        <v>1.0166666666666666</v>
      </c>
      <c r="U432">
        <v>1.2</v>
      </c>
    </row>
    <row r="433" spans="1:21" x14ac:dyDescent="0.35">
      <c r="A433">
        <v>508</v>
      </c>
      <c r="B433" s="16">
        <v>40238</v>
      </c>
      <c r="C433" s="15" t="s">
        <v>63</v>
      </c>
      <c r="D433" s="15" t="s">
        <v>38</v>
      </c>
      <c r="E433" s="15" t="s">
        <v>53</v>
      </c>
      <c r="F433" s="15" t="s">
        <v>52</v>
      </c>
      <c r="G433" s="15" t="s">
        <v>66</v>
      </c>
      <c r="H433" s="15" t="s">
        <v>45</v>
      </c>
      <c r="I433">
        <v>40</v>
      </c>
      <c r="J433">
        <v>60</v>
      </c>
      <c r="K433">
        <v>30</v>
      </c>
      <c r="L433">
        <v>100</v>
      </c>
      <c r="M433">
        <v>58</v>
      </c>
      <c r="N433">
        <v>325</v>
      </c>
      <c r="O433">
        <v>71</v>
      </c>
      <c r="P433">
        <v>22</v>
      </c>
      <c r="Q433">
        <v>16</v>
      </c>
      <c r="R433">
        <v>129</v>
      </c>
      <c r="S433">
        <v>1.29</v>
      </c>
      <c r="T433">
        <v>0.53333333333333333</v>
      </c>
      <c r="U433">
        <v>1.45</v>
      </c>
    </row>
    <row r="434" spans="1:21" x14ac:dyDescent="0.35">
      <c r="A434">
        <v>603</v>
      </c>
      <c r="B434" s="16">
        <v>40238</v>
      </c>
      <c r="C434" s="15" t="s">
        <v>63</v>
      </c>
      <c r="D434" s="15" t="s">
        <v>58</v>
      </c>
      <c r="E434" s="15" t="s">
        <v>55</v>
      </c>
      <c r="F434" s="15" t="s">
        <v>47</v>
      </c>
      <c r="G434" s="15" t="s">
        <v>68</v>
      </c>
      <c r="H434" s="15" t="s">
        <v>42</v>
      </c>
      <c r="I434">
        <v>10</v>
      </c>
      <c r="J434">
        <v>30</v>
      </c>
      <c r="K434">
        <v>20</v>
      </c>
      <c r="L434">
        <v>40</v>
      </c>
      <c r="M434">
        <v>18</v>
      </c>
      <c r="N434">
        <v>816</v>
      </c>
      <c r="O434">
        <v>27</v>
      </c>
      <c r="P434">
        <v>5</v>
      </c>
      <c r="Q434">
        <v>11</v>
      </c>
      <c r="R434">
        <v>45</v>
      </c>
      <c r="S434">
        <v>1.125</v>
      </c>
      <c r="T434">
        <v>0.55000000000000004</v>
      </c>
      <c r="U434">
        <v>1.8</v>
      </c>
    </row>
    <row r="435" spans="1:21" x14ac:dyDescent="0.35">
      <c r="A435">
        <v>603</v>
      </c>
      <c r="B435" s="16">
        <v>40238</v>
      </c>
      <c r="C435" s="15" t="s">
        <v>63</v>
      </c>
      <c r="D435" s="15" t="s">
        <v>58</v>
      </c>
      <c r="E435" s="15" t="s">
        <v>46</v>
      </c>
      <c r="F435" s="15" t="s">
        <v>47</v>
      </c>
      <c r="G435" s="15" t="s">
        <v>68</v>
      </c>
      <c r="H435" s="15" t="s">
        <v>42</v>
      </c>
      <c r="I435">
        <v>0</v>
      </c>
      <c r="J435">
        <v>40</v>
      </c>
      <c r="K435">
        <v>30</v>
      </c>
      <c r="L435">
        <v>40</v>
      </c>
      <c r="M435">
        <v>0</v>
      </c>
      <c r="N435">
        <v>731</v>
      </c>
      <c r="O435">
        <v>43</v>
      </c>
      <c r="P435">
        <v>0</v>
      </c>
      <c r="Q435">
        <v>32</v>
      </c>
      <c r="R435">
        <v>43</v>
      </c>
      <c r="S435">
        <v>1.075</v>
      </c>
      <c r="T435">
        <v>1.0666666666666667</v>
      </c>
    </row>
    <row r="436" spans="1:21" x14ac:dyDescent="0.35">
      <c r="A436">
        <v>603</v>
      </c>
      <c r="B436" s="16">
        <v>40238</v>
      </c>
      <c r="C436" s="15" t="s">
        <v>63</v>
      </c>
      <c r="D436" s="15" t="s">
        <v>58</v>
      </c>
      <c r="E436" s="15" t="s">
        <v>67</v>
      </c>
      <c r="F436" s="15" t="s">
        <v>49</v>
      </c>
      <c r="G436" s="15" t="s">
        <v>68</v>
      </c>
      <c r="H436" s="15" t="s">
        <v>42</v>
      </c>
      <c r="I436">
        <v>30</v>
      </c>
      <c r="J436">
        <v>40</v>
      </c>
      <c r="K436">
        <v>0</v>
      </c>
      <c r="L436">
        <v>70</v>
      </c>
      <c r="M436">
        <v>33</v>
      </c>
      <c r="N436">
        <v>162</v>
      </c>
      <c r="O436">
        <v>42</v>
      </c>
      <c r="P436">
        <v>12</v>
      </c>
      <c r="Q436">
        <v>-4</v>
      </c>
      <c r="R436">
        <v>75</v>
      </c>
      <c r="S436">
        <v>1.0714285714285714</v>
      </c>
      <c r="U436">
        <v>1.1000000000000001</v>
      </c>
    </row>
    <row r="437" spans="1:21" x14ac:dyDescent="0.35">
      <c r="A437">
        <v>603</v>
      </c>
      <c r="B437" s="16">
        <v>40238</v>
      </c>
      <c r="C437" s="15" t="s">
        <v>63</v>
      </c>
      <c r="D437" s="15" t="s">
        <v>58</v>
      </c>
      <c r="E437" s="15" t="s">
        <v>48</v>
      </c>
      <c r="F437" s="15" t="s">
        <v>49</v>
      </c>
      <c r="G437" s="15" t="s">
        <v>68</v>
      </c>
      <c r="H437" s="15" t="s">
        <v>42</v>
      </c>
      <c r="I437">
        <v>40</v>
      </c>
      <c r="J437">
        <v>60</v>
      </c>
      <c r="K437">
        <v>10</v>
      </c>
      <c r="L437">
        <v>100</v>
      </c>
      <c r="M437">
        <v>44</v>
      </c>
      <c r="N437">
        <v>251</v>
      </c>
      <c r="O437">
        <v>63</v>
      </c>
      <c r="P437">
        <v>40</v>
      </c>
      <c r="Q437">
        <v>-7</v>
      </c>
      <c r="R437">
        <v>107</v>
      </c>
      <c r="S437">
        <v>1.07</v>
      </c>
      <c r="T437">
        <v>-0.7</v>
      </c>
      <c r="U437">
        <v>1.1000000000000001</v>
      </c>
    </row>
    <row r="438" spans="1:21" x14ac:dyDescent="0.35">
      <c r="A438">
        <v>603</v>
      </c>
      <c r="B438" s="16">
        <v>40238</v>
      </c>
      <c r="C438" s="15" t="s">
        <v>63</v>
      </c>
      <c r="D438" s="15" t="s">
        <v>58</v>
      </c>
      <c r="E438" s="15" t="s">
        <v>39</v>
      </c>
      <c r="F438" s="15" t="s">
        <v>40</v>
      </c>
      <c r="G438" s="15" t="s">
        <v>68</v>
      </c>
      <c r="H438" s="15" t="s">
        <v>42</v>
      </c>
      <c r="I438">
        <v>40</v>
      </c>
      <c r="J438">
        <v>60</v>
      </c>
      <c r="K438">
        <v>40</v>
      </c>
      <c r="L438">
        <v>100</v>
      </c>
      <c r="M438">
        <v>43</v>
      </c>
      <c r="N438">
        <v>231</v>
      </c>
      <c r="O438">
        <v>64</v>
      </c>
      <c r="P438">
        <v>13</v>
      </c>
      <c r="Q438">
        <v>29</v>
      </c>
      <c r="R438">
        <v>107</v>
      </c>
      <c r="S438">
        <v>1.07</v>
      </c>
      <c r="T438">
        <v>0.72499999999999998</v>
      </c>
      <c r="U438">
        <v>1.075</v>
      </c>
    </row>
    <row r="439" spans="1:21" x14ac:dyDescent="0.35">
      <c r="A439">
        <v>603</v>
      </c>
      <c r="B439" s="16">
        <v>40238</v>
      </c>
      <c r="C439" s="15" t="s">
        <v>63</v>
      </c>
      <c r="D439" s="15" t="s">
        <v>58</v>
      </c>
      <c r="E439" s="15" t="s">
        <v>43</v>
      </c>
      <c r="F439" s="15" t="s">
        <v>40</v>
      </c>
      <c r="G439" s="15" t="s">
        <v>68</v>
      </c>
      <c r="H439" s="15" t="s">
        <v>42</v>
      </c>
      <c r="I439">
        <v>40</v>
      </c>
      <c r="J439">
        <v>70</v>
      </c>
      <c r="K439">
        <v>40</v>
      </c>
      <c r="L439">
        <v>110</v>
      </c>
      <c r="M439">
        <v>47</v>
      </c>
      <c r="N439">
        <v>361</v>
      </c>
      <c r="O439">
        <v>72</v>
      </c>
      <c r="P439">
        <v>15</v>
      </c>
      <c r="Q439">
        <v>26</v>
      </c>
      <c r="R439">
        <v>119</v>
      </c>
      <c r="S439">
        <v>1.0818181818181818</v>
      </c>
      <c r="T439">
        <v>0.65</v>
      </c>
      <c r="U439">
        <v>1.175</v>
      </c>
    </row>
    <row r="440" spans="1:21" x14ac:dyDescent="0.35">
      <c r="A440">
        <v>603</v>
      </c>
      <c r="B440" s="16">
        <v>40238</v>
      </c>
      <c r="C440" s="15" t="s">
        <v>63</v>
      </c>
      <c r="D440" s="15" t="s">
        <v>58</v>
      </c>
      <c r="E440" s="15" t="s">
        <v>53</v>
      </c>
      <c r="F440" s="15" t="s">
        <v>52</v>
      </c>
      <c r="G440" s="15" t="s">
        <v>68</v>
      </c>
      <c r="H440" s="15" t="s">
        <v>45</v>
      </c>
      <c r="I440">
        <v>20</v>
      </c>
      <c r="J440">
        <v>30</v>
      </c>
      <c r="K440">
        <v>0</v>
      </c>
      <c r="L440">
        <v>50</v>
      </c>
      <c r="M440">
        <v>33</v>
      </c>
      <c r="N440">
        <v>190</v>
      </c>
      <c r="O440">
        <v>42</v>
      </c>
      <c r="P440">
        <v>12</v>
      </c>
      <c r="Q440">
        <v>-3</v>
      </c>
      <c r="R440">
        <v>75</v>
      </c>
      <c r="S440">
        <v>1.5</v>
      </c>
      <c r="U440">
        <v>1.65</v>
      </c>
    </row>
    <row r="441" spans="1:21" x14ac:dyDescent="0.35">
      <c r="A441">
        <v>716</v>
      </c>
      <c r="B441" s="16">
        <v>40238</v>
      </c>
      <c r="C441" s="15" t="s">
        <v>63</v>
      </c>
      <c r="D441" s="15" t="s">
        <v>38</v>
      </c>
      <c r="E441" s="15" t="s">
        <v>55</v>
      </c>
      <c r="F441" s="15" t="s">
        <v>47</v>
      </c>
      <c r="G441" s="15" t="s">
        <v>69</v>
      </c>
      <c r="H441" s="15" t="s">
        <v>42</v>
      </c>
      <c r="I441">
        <v>100</v>
      </c>
      <c r="J441">
        <v>150</v>
      </c>
      <c r="K441">
        <v>120</v>
      </c>
      <c r="L441">
        <v>250</v>
      </c>
      <c r="M441">
        <v>95</v>
      </c>
      <c r="N441">
        <v>799</v>
      </c>
      <c r="O441">
        <v>139</v>
      </c>
      <c r="P441">
        <v>26</v>
      </c>
      <c r="Q441">
        <v>102</v>
      </c>
      <c r="R441">
        <v>234</v>
      </c>
      <c r="S441">
        <v>0.93600000000000005</v>
      </c>
      <c r="T441">
        <v>0.85</v>
      </c>
      <c r="U441">
        <v>0.95</v>
      </c>
    </row>
    <row r="442" spans="1:21" x14ac:dyDescent="0.35">
      <c r="A442">
        <v>315</v>
      </c>
      <c r="B442" s="16">
        <v>40238</v>
      </c>
      <c r="C442" s="15" t="s">
        <v>63</v>
      </c>
      <c r="D442" s="15" t="s">
        <v>38</v>
      </c>
      <c r="E442" s="15" t="s">
        <v>56</v>
      </c>
      <c r="F442" s="15" t="s">
        <v>47</v>
      </c>
      <c r="G442" s="15" t="s">
        <v>69</v>
      </c>
      <c r="H442" s="15" t="s">
        <v>42</v>
      </c>
      <c r="I442">
        <v>90</v>
      </c>
      <c r="J442">
        <v>140</v>
      </c>
      <c r="K442">
        <v>110</v>
      </c>
      <c r="L442">
        <v>230</v>
      </c>
      <c r="M442">
        <v>87</v>
      </c>
      <c r="N442">
        <v>756</v>
      </c>
      <c r="O442">
        <v>126</v>
      </c>
      <c r="P442">
        <v>24</v>
      </c>
      <c r="Q442">
        <v>91</v>
      </c>
      <c r="R442">
        <v>213</v>
      </c>
      <c r="S442">
        <v>0.92608695652173911</v>
      </c>
      <c r="T442">
        <v>0.82727272727272727</v>
      </c>
      <c r="U442">
        <v>0.96666666666666667</v>
      </c>
    </row>
    <row r="443" spans="1:21" x14ac:dyDescent="0.35">
      <c r="A443">
        <v>518</v>
      </c>
      <c r="B443" s="16">
        <v>40238</v>
      </c>
      <c r="C443" s="15" t="s">
        <v>63</v>
      </c>
      <c r="D443" s="15" t="s">
        <v>38</v>
      </c>
      <c r="E443" s="15" t="s">
        <v>46</v>
      </c>
      <c r="F443" s="15" t="s">
        <v>47</v>
      </c>
      <c r="G443" s="15" t="s">
        <v>69</v>
      </c>
      <c r="H443" s="15" t="s">
        <v>42</v>
      </c>
      <c r="I443">
        <v>80</v>
      </c>
      <c r="J443">
        <v>130</v>
      </c>
      <c r="K443">
        <v>100</v>
      </c>
      <c r="L443">
        <v>210</v>
      </c>
      <c r="M443">
        <v>81</v>
      </c>
      <c r="N443">
        <v>441</v>
      </c>
      <c r="O443">
        <v>117</v>
      </c>
      <c r="P443">
        <v>22</v>
      </c>
      <c r="Q443">
        <v>83</v>
      </c>
      <c r="R443">
        <v>198</v>
      </c>
      <c r="S443">
        <v>0.94285714285714284</v>
      </c>
      <c r="T443">
        <v>0.83</v>
      </c>
      <c r="U443">
        <v>1.0125</v>
      </c>
    </row>
    <row r="444" spans="1:21" x14ac:dyDescent="0.35">
      <c r="A444">
        <v>607</v>
      </c>
      <c r="B444" s="16">
        <v>40238</v>
      </c>
      <c r="C444" s="15" t="s">
        <v>63</v>
      </c>
      <c r="D444" s="15" t="s">
        <v>38</v>
      </c>
      <c r="E444" s="15" t="s">
        <v>48</v>
      </c>
      <c r="F444" s="15" t="s">
        <v>49</v>
      </c>
      <c r="G444" s="15" t="s">
        <v>69</v>
      </c>
      <c r="H444" s="15" t="s">
        <v>42</v>
      </c>
      <c r="I444">
        <v>120</v>
      </c>
      <c r="J444">
        <v>-60</v>
      </c>
      <c r="K444">
        <v>-190</v>
      </c>
      <c r="L444">
        <v>60</v>
      </c>
      <c r="M444">
        <v>125</v>
      </c>
      <c r="N444">
        <v>1118</v>
      </c>
      <c r="O444">
        <v>-62</v>
      </c>
      <c r="P444">
        <v>113</v>
      </c>
      <c r="Q444">
        <v>-208</v>
      </c>
      <c r="R444">
        <v>63</v>
      </c>
      <c r="S444">
        <v>1.05</v>
      </c>
      <c r="T444">
        <v>1.0947368421052632</v>
      </c>
      <c r="U444">
        <v>1.0416666666666667</v>
      </c>
    </row>
    <row r="445" spans="1:21" x14ac:dyDescent="0.35">
      <c r="A445">
        <v>718</v>
      </c>
      <c r="B445" s="16">
        <v>40238</v>
      </c>
      <c r="C445" s="15" t="s">
        <v>63</v>
      </c>
      <c r="D445" s="15" t="s">
        <v>38</v>
      </c>
      <c r="E445" s="15" t="s">
        <v>67</v>
      </c>
      <c r="F445" s="15" t="s">
        <v>49</v>
      </c>
      <c r="G445" s="15" t="s">
        <v>69</v>
      </c>
      <c r="H445" s="15" t="s">
        <v>42</v>
      </c>
      <c r="I445">
        <v>220</v>
      </c>
      <c r="J445">
        <v>290</v>
      </c>
      <c r="K445">
        <v>210</v>
      </c>
      <c r="L445">
        <v>510</v>
      </c>
      <c r="M445">
        <v>239</v>
      </c>
      <c r="N445">
        <v>1260</v>
      </c>
      <c r="O445">
        <v>284</v>
      </c>
      <c r="P445">
        <v>66</v>
      </c>
      <c r="Q445">
        <v>194</v>
      </c>
      <c r="R445">
        <v>523</v>
      </c>
      <c r="S445">
        <v>1.0254901960784313</v>
      </c>
      <c r="T445">
        <v>0.92380952380952386</v>
      </c>
      <c r="U445">
        <v>1.0863636363636364</v>
      </c>
    </row>
    <row r="446" spans="1:21" x14ac:dyDescent="0.35">
      <c r="A446">
        <v>718</v>
      </c>
      <c r="B446" s="16">
        <v>40238</v>
      </c>
      <c r="C446" s="15" t="s">
        <v>63</v>
      </c>
      <c r="D446" s="15" t="s">
        <v>38</v>
      </c>
      <c r="E446" s="15" t="s">
        <v>43</v>
      </c>
      <c r="F446" s="15" t="s">
        <v>40</v>
      </c>
      <c r="G446" s="15" t="s">
        <v>69</v>
      </c>
      <c r="H446" s="15" t="s">
        <v>42</v>
      </c>
      <c r="I446">
        <v>250</v>
      </c>
      <c r="J446">
        <v>390</v>
      </c>
      <c r="K446">
        <v>270</v>
      </c>
      <c r="L446">
        <v>640</v>
      </c>
      <c r="M446">
        <v>270</v>
      </c>
      <c r="N446">
        <v>2041</v>
      </c>
      <c r="O446">
        <v>405</v>
      </c>
      <c r="P446">
        <v>94</v>
      </c>
      <c r="Q446">
        <v>259</v>
      </c>
      <c r="R446">
        <v>675</v>
      </c>
      <c r="S446">
        <v>1.0546875</v>
      </c>
      <c r="T446">
        <v>0.95925925925925926</v>
      </c>
      <c r="U446">
        <v>1.08</v>
      </c>
    </row>
    <row r="447" spans="1:21" x14ac:dyDescent="0.35">
      <c r="A447">
        <v>516</v>
      </c>
      <c r="B447" s="16">
        <v>40238</v>
      </c>
      <c r="C447" s="15" t="s">
        <v>63</v>
      </c>
      <c r="D447" s="15" t="s">
        <v>38</v>
      </c>
      <c r="E447" s="15" t="s">
        <v>53</v>
      </c>
      <c r="F447" s="15" t="s">
        <v>52</v>
      </c>
      <c r="G447" s="15" t="s">
        <v>69</v>
      </c>
      <c r="H447" s="15" t="s">
        <v>45</v>
      </c>
      <c r="I447">
        <v>180</v>
      </c>
      <c r="J447">
        <v>220</v>
      </c>
      <c r="K447">
        <v>130</v>
      </c>
      <c r="L447">
        <v>400</v>
      </c>
      <c r="M447">
        <v>245</v>
      </c>
      <c r="N447">
        <v>1471</v>
      </c>
      <c r="O447">
        <v>268</v>
      </c>
      <c r="P447">
        <v>93</v>
      </c>
      <c r="Q447">
        <v>141</v>
      </c>
      <c r="R447">
        <v>513</v>
      </c>
      <c r="S447">
        <v>1.2825</v>
      </c>
      <c r="T447">
        <v>1.0846153846153845</v>
      </c>
      <c r="U447">
        <v>1.3611111111111112</v>
      </c>
    </row>
    <row r="448" spans="1:21" x14ac:dyDescent="0.35">
      <c r="A448">
        <v>914</v>
      </c>
      <c r="B448" s="16">
        <v>40238</v>
      </c>
      <c r="C448" s="15" t="s">
        <v>63</v>
      </c>
      <c r="D448" s="15" t="s">
        <v>38</v>
      </c>
      <c r="E448" s="15" t="s">
        <v>54</v>
      </c>
      <c r="F448" s="15" t="s">
        <v>52</v>
      </c>
      <c r="G448" s="15" t="s">
        <v>69</v>
      </c>
      <c r="H448" s="15" t="s">
        <v>45</v>
      </c>
      <c r="I448">
        <v>160</v>
      </c>
      <c r="J448">
        <v>-20</v>
      </c>
      <c r="K448">
        <v>-80</v>
      </c>
      <c r="L448">
        <v>140</v>
      </c>
      <c r="M448">
        <v>214</v>
      </c>
      <c r="N448">
        <v>1480</v>
      </c>
      <c r="O448">
        <v>-32</v>
      </c>
      <c r="P448">
        <v>66</v>
      </c>
      <c r="Q448">
        <v>-119</v>
      </c>
      <c r="R448">
        <v>182</v>
      </c>
      <c r="S448">
        <v>1.3</v>
      </c>
      <c r="T448">
        <v>1.4875</v>
      </c>
      <c r="U448">
        <v>1.3374999999999999</v>
      </c>
    </row>
    <row r="449" spans="1:21" x14ac:dyDescent="0.35">
      <c r="A449">
        <v>318</v>
      </c>
      <c r="B449" s="16">
        <v>40238</v>
      </c>
      <c r="C449" s="15" t="s">
        <v>70</v>
      </c>
      <c r="D449" s="15" t="s">
        <v>58</v>
      </c>
      <c r="E449" s="15" t="s">
        <v>72</v>
      </c>
      <c r="F449" s="15" t="s">
        <v>49</v>
      </c>
      <c r="G449" s="15" t="s">
        <v>71</v>
      </c>
      <c r="H449" s="15" t="s">
        <v>42</v>
      </c>
      <c r="I449">
        <v>50</v>
      </c>
      <c r="J449">
        <v>70</v>
      </c>
      <c r="K449">
        <v>0</v>
      </c>
      <c r="L449">
        <v>120</v>
      </c>
      <c r="M449">
        <v>63</v>
      </c>
      <c r="N449">
        <v>187</v>
      </c>
      <c r="O449">
        <v>87</v>
      </c>
      <c r="P449">
        <v>57</v>
      </c>
      <c r="Q449">
        <v>1</v>
      </c>
      <c r="R449">
        <v>150</v>
      </c>
      <c r="S449">
        <v>1.25</v>
      </c>
      <c r="U449">
        <v>1.26</v>
      </c>
    </row>
    <row r="450" spans="1:21" x14ac:dyDescent="0.35">
      <c r="A450">
        <v>318</v>
      </c>
      <c r="B450" s="16">
        <v>40238</v>
      </c>
      <c r="C450" s="15" t="s">
        <v>70</v>
      </c>
      <c r="D450" s="15" t="s">
        <v>58</v>
      </c>
      <c r="E450" s="15" t="s">
        <v>48</v>
      </c>
      <c r="F450" s="15" t="s">
        <v>49</v>
      </c>
      <c r="G450" s="15" t="s">
        <v>71</v>
      </c>
      <c r="H450" s="15" t="s">
        <v>42</v>
      </c>
      <c r="I450">
        <v>50</v>
      </c>
      <c r="J450">
        <v>90</v>
      </c>
      <c r="K450">
        <v>70</v>
      </c>
      <c r="L450">
        <v>140</v>
      </c>
      <c r="M450">
        <v>62</v>
      </c>
      <c r="N450">
        <v>346</v>
      </c>
      <c r="O450">
        <v>105</v>
      </c>
      <c r="P450">
        <v>19</v>
      </c>
      <c r="Q450">
        <v>63</v>
      </c>
      <c r="R450">
        <v>167</v>
      </c>
      <c r="S450">
        <v>1.1928571428571428</v>
      </c>
      <c r="T450">
        <v>0.9</v>
      </c>
      <c r="U450">
        <v>1.24</v>
      </c>
    </row>
    <row r="451" spans="1:21" x14ac:dyDescent="0.35">
      <c r="A451">
        <v>504</v>
      </c>
      <c r="B451" s="16">
        <v>40238</v>
      </c>
      <c r="C451" s="15" t="s">
        <v>70</v>
      </c>
      <c r="D451" s="15" t="s">
        <v>58</v>
      </c>
      <c r="E451" s="15" t="s">
        <v>50</v>
      </c>
      <c r="F451" s="15" t="s">
        <v>49</v>
      </c>
      <c r="G451" s="15" t="s">
        <v>71</v>
      </c>
      <c r="H451" s="15" t="s">
        <v>45</v>
      </c>
      <c r="I451">
        <v>40</v>
      </c>
      <c r="J451">
        <v>70</v>
      </c>
      <c r="K451">
        <v>50</v>
      </c>
      <c r="L451">
        <v>110</v>
      </c>
      <c r="M451">
        <v>52</v>
      </c>
      <c r="N451">
        <v>376</v>
      </c>
      <c r="O451">
        <v>77</v>
      </c>
      <c r="P451">
        <v>16</v>
      </c>
      <c r="Q451">
        <v>38</v>
      </c>
      <c r="R451">
        <v>129</v>
      </c>
      <c r="S451">
        <v>1.1727272727272726</v>
      </c>
      <c r="T451">
        <v>0.76</v>
      </c>
      <c r="U451">
        <v>1.3</v>
      </c>
    </row>
    <row r="452" spans="1:21" x14ac:dyDescent="0.35">
      <c r="A452">
        <v>337</v>
      </c>
      <c r="B452" s="16">
        <v>40238</v>
      </c>
      <c r="C452" s="15" t="s">
        <v>70</v>
      </c>
      <c r="D452" s="15" t="s">
        <v>58</v>
      </c>
      <c r="E452" s="15" t="s">
        <v>51</v>
      </c>
      <c r="F452" s="15" t="s">
        <v>52</v>
      </c>
      <c r="G452" s="15" t="s">
        <v>71</v>
      </c>
      <c r="H452" s="15" t="s">
        <v>45</v>
      </c>
      <c r="I452">
        <v>40</v>
      </c>
      <c r="J452">
        <v>60</v>
      </c>
      <c r="K452">
        <v>40</v>
      </c>
      <c r="L452">
        <v>100</v>
      </c>
      <c r="M452">
        <v>48</v>
      </c>
      <c r="N452">
        <v>611</v>
      </c>
      <c r="O452">
        <v>62</v>
      </c>
      <c r="P452">
        <v>15</v>
      </c>
      <c r="Q452">
        <v>34</v>
      </c>
      <c r="R452">
        <v>110</v>
      </c>
      <c r="S452">
        <v>1.1000000000000001</v>
      </c>
      <c r="T452">
        <v>0.85</v>
      </c>
      <c r="U452">
        <v>1.2</v>
      </c>
    </row>
    <row r="453" spans="1:21" x14ac:dyDescent="0.35">
      <c r="A453">
        <v>318</v>
      </c>
      <c r="B453" s="16">
        <v>40238</v>
      </c>
      <c r="C453" s="15" t="s">
        <v>70</v>
      </c>
      <c r="D453" s="15" t="s">
        <v>58</v>
      </c>
      <c r="E453" s="15" t="s">
        <v>53</v>
      </c>
      <c r="F453" s="15" t="s">
        <v>52</v>
      </c>
      <c r="G453" s="15" t="s">
        <v>71</v>
      </c>
      <c r="H453" s="15" t="s">
        <v>45</v>
      </c>
      <c r="I453">
        <v>80</v>
      </c>
      <c r="J453">
        <v>100</v>
      </c>
      <c r="K453">
        <v>40</v>
      </c>
      <c r="L453">
        <v>180</v>
      </c>
      <c r="M453">
        <v>85</v>
      </c>
      <c r="N453">
        <v>476</v>
      </c>
      <c r="O453">
        <v>104</v>
      </c>
      <c r="P453">
        <v>32</v>
      </c>
      <c r="Q453">
        <v>39</v>
      </c>
      <c r="R453">
        <v>189</v>
      </c>
      <c r="S453">
        <v>1.05</v>
      </c>
      <c r="T453">
        <v>0.97499999999999998</v>
      </c>
      <c r="U453">
        <v>1.0625</v>
      </c>
    </row>
    <row r="454" spans="1:21" x14ac:dyDescent="0.35">
      <c r="A454">
        <v>318</v>
      </c>
      <c r="B454" s="16">
        <v>40238</v>
      </c>
      <c r="C454" s="15" t="s">
        <v>70</v>
      </c>
      <c r="D454" s="15" t="s">
        <v>58</v>
      </c>
      <c r="E454" s="15" t="s">
        <v>44</v>
      </c>
      <c r="F454" s="15" t="s">
        <v>40</v>
      </c>
      <c r="G454" s="15" t="s">
        <v>71</v>
      </c>
      <c r="H454" s="15" t="s">
        <v>45</v>
      </c>
      <c r="I454">
        <v>60</v>
      </c>
      <c r="J454">
        <v>90</v>
      </c>
      <c r="K454">
        <v>70</v>
      </c>
      <c r="L454">
        <v>150</v>
      </c>
      <c r="M454">
        <v>49</v>
      </c>
      <c r="N454">
        <v>767</v>
      </c>
      <c r="O454">
        <v>72</v>
      </c>
      <c r="P454">
        <v>13</v>
      </c>
      <c r="Q454">
        <v>47</v>
      </c>
      <c r="R454">
        <v>121</v>
      </c>
      <c r="S454">
        <v>0.80666666666666664</v>
      </c>
      <c r="T454">
        <v>0.67142857142857137</v>
      </c>
      <c r="U454">
        <v>0.81666666666666665</v>
      </c>
    </row>
    <row r="455" spans="1:21" x14ac:dyDescent="0.35">
      <c r="A455">
        <v>225</v>
      </c>
      <c r="B455" s="16">
        <v>40238</v>
      </c>
      <c r="C455" s="15" t="s">
        <v>70</v>
      </c>
      <c r="D455" s="15" t="s">
        <v>58</v>
      </c>
      <c r="E455" s="15" t="s">
        <v>43</v>
      </c>
      <c r="F455" s="15" t="s">
        <v>40</v>
      </c>
      <c r="G455" s="15" t="s">
        <v>71</v>
      </c>
      <c r="H455" s="15" t="s">
        <v>42</v>
      </c>
      <c r="I455">
        <v>40</v>
      </c>
      <c r="J455">
        <v>60</v>
      </c>
      <c r="K455">
        <v>50</v>
      </c>
      <c r="L455">
        <v>100</v>
      </c>
      <c r="M455">
        <v>33</v>
      </c>
      <c r="N455">
        <v>768</v>
      </c>
      <c r="O455">
        <v>49</v>
      </c>
      <c r="P455">
        <v>9</v>
      </c>
      <c r="Q455">
        <v>29</v>
      </c>
      <c r="R455">
        <v>82</v>
      </c>
      <c r="S455">
        <v>0.82</v>
      </c>
      <c r="T455">
        <v>0.57999999999999996</v>
      </c>
      <c r="U455">
        <v>0.82499999999999996</v>
      </c>
    </row>
    <row r="456" spans="1:21" x14ac:dyDescent="0.35">
      <c r="A456">
        <v>505</v>
      </c>
      <c r="B456" s="16">
        <v>40238</v>
      </c>
      <c r="C456" s="15" t="s">
        <v>70</v>
      </c>
      <c r="D456" s="15" t="s">
        <v>58</v>
      </c>
      <c r="E456" s="15" t="s">
        <v>72</v>
      </c>
      <c r="F456" s="15" t="s">
        <v>49</v>
      </c>
      <c r="G456" s="15" t="s">
        <v>73</v>
      </c>
      <c r="H456" s="15" t="s">
        <v>42</v>
      </c>
      <c r="I456">
        <v>20</v>
      </c>
      <c r="J456">
        <v>40</v>
      </c>
      <c r="K456">
        <v>10</v>
      </c>
      <c r="L456">
        <v>60</v>
      </c>
      <c r="M456">
        <v>33</v>
      </c>
      <c r="N456">
        <v>36</v>
      </c>
      <c r="O456">
        <v>42</v>
      </c>
      <c r="P456">
        <v>12</v>
      </c>
      <c r="Q456">
        <v>-3</v>
      </c>
      <c r="R456">
        <v>75</v>
      </c>
      <c r="S456">
        <v>1.25</v>
      </c>
      <c r="T456">
        <v>-0.3</v>
      </c>
      <c r="U456">
        <v>1.65</v>
      </c>
    </row>
    <row r="457" spans="1:21" x14ac:dyDescent="0.35">
      <c r="A457">
        <v>505</v>
      </c>
      <c r="B457" s="16">
        <v>40238</v>
      </c>
      <c r="C457" s="15" t="s">
        <v>70</v>
      </c>
      <c r="D457" s="15" t="s">
        <v>58</v>
      </c>
      <c r="E457" s="15" t="s">
        <v>48</v>
      </c>
      <c r="F457" s="15" t="s">
        <v>49</v>
      </c>
      <c r="G457" s="15" t="s">
        <v>73</v>
      </c>
      <c r="H457" s="15" t="s">
        <v>42</v>
      </c>
      <c r="I457">
        <v>30</v>
      </c>
      <c r="J457">
        <v>60</v>
      </c>
      <c r="K457">
        <v>10</v>
      </c>
      <c r="L457">
        <v>90</v>
      </c>
      <c r="M457">
        <v>44</v>
      </c>
      <c r="N457">
        <v>251</v>
      </c>
      <c r="O457">
        <v>63</v>
      </c>
      <c r="P457">
        <v>40</v>
      </c>
      <c r="Q457">
        <v>-7</v>
      </c>
      <c r="R457">
        <v>107</v>
      </c>
      <c r="S457">
        <v>1.1888888888888889</v>
      </c>
      <c r="T457">
        <v>-0.7</v>
      </c>
      <c r="U457">
        <v>1.4666666666666666</v>
      </c>
    </row>
    <row r="458" spans="1:21" x14ac:dyDescent="0.35">
      <c r="A458">
        <v>505</v>
      </c>
      <c r="B458" s="16">
        <v>40238</v>
      </c>
      <c r="C458" s="15" t="s">
        <v>70</v>
      </c>
      <c r="D458" s="15" t="s">
        <v>58</v>
      </c>
      <c r="E458" s="15" t="s">
        <v>50</v>
      </c>
      <c r="F458" s="15" t="s">
        <v>49</v>
      </c>
      <c r="G458" s="15" t="s">
        <v>73</v>
      </c>
      <c r="H458" s="15" t="s">
        <v>45</v>
      </c>
      <c r="I458">
        <v>30</v>
      </c>
      <c r="J458">
        <v>40</v>
      </c>
      <c r="K458">
        <v>10</v>
      </c>
      <c r="L458">
        <v>70</v>
      </c>
      <c r="M458">
        <v>36</v>
      </c>
      <c r="N458">
        <v>187</v>
      </c>
      <c r="O458">
        <v>49</v>
      </c>
      <c r="P458">
        <v>11</v>
      </c>
      <c r="Q458">
        <v>11</v>
      </c>
      <c r="R458">
        <v>85</v>
      </c>
      <c r="S458">
        <v>1.2142857142857142</v>
      </c>
      <c r="T458">
        <v>1.1000000000000001</v>
      </c>
      <c r="U458">
        <v>1.2</v>
      </c>
    </row>
    <row r="459" spans="1:21" x14ac:dyDescent="0.35">
      <c r="A459">
        <v>505</v>
      </c>
      <c r="B459" s="16">
        <v>40238</v>
      </c>
      <c r="C459" s="15" t="s">
        <v>70</v>
      </c>
      <c r="D459" s="15" t="s">
        <v>58</v>
      </c>
      <c r="E459" s="15" t="s">
        <v>51</v>
      </c>
      <c r="F459" s="15" t="s">
        <v>52</v>
      </c>
      <c r="G459" s="15" t="s">
        <v>73</v>
      </c>
      <c r="H459" s="15" t="s">
        <v>45</v>
      </c>
      <c r="I459">
        <v>10</v>
      </c>
      <c r="J459">
        <v>30</v>
      </c>
      <c r="K459">
        <v>20</v>
      </c>
      <c r="L459">
        <v>40</v>
      </c>
      <c r="M459">
        <v>18</v>
      </c>
      <c r="N459">
        <v>816</v>
      </c>
      <c r="O459">
        <v>27</v>
      </c>
      <c r="P459">
        <v>5</v>
      </c>
      <c r="Q459">
        <v>10</v>
      </c>
      <c r="R459">
        <v>45</v>
      </c>
      <c r="S459">
        <v>1.125</v>
      </c>
      <c r="T459">
        <v>0.5</v>
      </c>
      <c r="U459">
        <v>1.8</v>
      </c>
    </row>
    <row r="460" spans="1:21" x14ac:dyDescent="0.35">
      <c r="A460">
        <v>505</v>
      </c>
      <c r="B460" s="16">
        <v>40238</v>
      </c>
      <c r="C460" s="15" t="s">
        <v>70</v>
      </c>
      <c r="D460" s="15" t="s">
        <v>58</v>
      </c>
      <c r="E460" s="15" t="s">
        <v>53</v>
      </c>
      <c r="F460" s="15" t="s">
        <v>52</v>
      </c>
      <c r="G460" s="15" t="s">
        <v>73</v>
      </c>
      <c r="H460" s="15" t="s">
        <v>45</v>
      </c>
      <c r="I460">
        <v>20</v>
      </c>
      <c r="J460">
        <v>40</v>
      </c>
      <c r="K460">
        <v>20</v>
      </c>
      <c r="L460">
        <v>60</v>
      </c>
      <c r="M460">
        <v>28</v>
      </c>
      <c r="N460">
        <v>958</v>
      </c>
      <c r="O460">
        <v>35</v>
      </c>
      <c r="P460">
        <v>8</v>
      </c>
      <c r="Q460">
        <v>5</v>
      </c>
      <c r="R460">
        <v>63</v>
      </c>
      <c r="S460">
        <v>1.05</v>
      </c>
      <c r="T460">
        <v>0.25</v>
      </c>
      <c r="U460">
        <v>1.4</v>
      </c>
    </row>
    <row r="461" spans="1:21" x14ac:dyDescent="0.35">
      <c r="A461">
        <v>505</v>
      </c>
      <c r="B461" s="16">
        <v>40238</v>
      </c>
      <c r="C461" s="15" t="s">
        <v>70</v>
      </c>
      <c r="D461" s="15" t="s">
        <v>58</v>
      </c>
      <c r="E461" s="15" t="s">
        <v>44</v>
      </c>
      <c r="F461" s="15" t="s">
        <v>40</v>
      </c>
      <c r="G461" s="15" t="s">
        <v>73</v>
      </c>
      <c r="H461" s="15" t="s">
        <v>45</v>
      </c>
      <c r="I461">
        <v>110</v>
      </c>
      <c r="J461">
        <v>20</v>
      </c>
      <c r="K461">
        <v>-20</v>
      </c>
      <c r="L461">
        <v>130</v>
      </c>
      <c r="M461">
        <v>88</v>
      </c>
      <c r="N461">
        <v>715</v>
      </c>
      <c r="O461">
        <v>18</v>
      </c>
      <c r="P461">
        <v>27</v>
      </c>
      <c r="Q461">
        <v>-33</v>
      </c>
      <c r="R461">
        <v>106</v>
      </c>
      <c r="S461">
        <v>0.81538461538461537</v>
      </c>
      <c r="T461">
        <v>1.65</v>
      </c>
      <c r="U461">
        <v>0.8</v>
      </c>
    </row>
    <row r="462" spans="1:21" x14ac:dyDescent="0.35">
      <c r="A462">
        <v>505</v>
      </c>
      <c r="B462" s="16">
        <v>40238</v>
      </c>
      <c r="C462" s="15" t="s">
        <v>70</v>
      </c>
      <c r="D462" s="15" t="s">
        <v>58</v>
      </c>
      <c r="E462" s="15" t="s">
        <v>43</v>
      </c>
      <c r="F462" s="15" t="s">
        <v>40</v>
      </c>
      <c r="G462" s="15" t="s">
        <v>73</v>
      </c>
      <c r="H462" s="15" t="s">
        <v>42</v>
      </c>
      <c r="I462">
        <v>50</v>
      </c>
      <c r="J462">
        <v>90</v>
      </c>
      <c r="K462">
        <v>50</v>
      </c>
      <c r="L462">
        <v>140</v>
      </c>
      <c r="M462">
        <v>47</v>
      </c>
      <c r="N462">
        <v>361</v>
      </c>
      <c r="O462">
        <v>72</v>
      </c>
      <c r="P462">
        <v>15</v>
      </c>
      <c r="Q462">
        <v>26</v>
      </c>
      <c r="R462">
        <v>119</v>
      </c>
      <c r="S462">
        <v>0.85</v>
      </c>
      <c r="T462">
        <v>0.52</v>
      </c>
      <c r="U462">
        <v>0.94</v>
      </c>
    </row>
    <row r="463" spans="1:21" x14ac:dyDescent="0.35">
      <c r="A463">
        <v>405</v>
      </c>
      <c r="B463" s="16">
        <v>40238</v>
      </c>
      <c r="C463" s="15" t="s">
        <v>70</v>
      </c>
      <c r="D463" s="15" t="s">
        <v>58</v>
      </c>
      <c r="E463" s="15" t="s">
        <v>72</v>
      </c>
      <c r="F463" s="15" t="s">
        <v>49</v>
      </c>
      <c r="G463" s="15" t="s">
        <v>74</v>
      </c>
      <c r="H463" s="15" t="s">
        <v>42</v>
      </c>
      <c r="I463">
        <v>70</v>
      </c>
      <c r="J463">
        <v>110</v>
      </c>
      <c r="K463">
        <v>80</v>
      </c>
      <c r="L463">
        <v>180</v>
      </c>
      <c r="M463">
        <v>89</v>
      </c>
      <c r="N463">
        <v>94</v>
      </c>
      <c r="O463">
        <v>125</v>
      </c>
      <c r="P463">
        <v>27</v>
      </c>
      <c r="Q463">
        <v>74</v>
      </c>
      <c r="R463">
        <v>214</v>
      </c>
      <c r="S463">
        <v>1.1888888888888889</v>
      </c>
      <c r="T463">
        <v>0.92500000000000004</v>
      </c>
      <c r="U463">
        <v>1.2714285714285714</v>
      </c>
    </row>
    <row r="464" spans="1:21" x14ac:dyDescent="0.35">
      <c r="A464">
        <v>918</v>
      </c>
      <c r="B464" s="16">
        <v>40238</v>
      </c>
      <c r="C464" s="15" t="s">
        <v>70</v>
      </c>
      <c r="D464" s="15" t="s">
        <v>58</v>
      </c>
      <c r="E464" s="15" t="s">
        <v>48</v>
      </c>
      <c r="F464" s="15" t="s">
        <v>49</v>
      </c>
      <c r="G464" s="15" t="s">
        <v>74</v>
      </c>
      <c r="H464" s="15" t="s">
        <v>42</v>
      </c>
      <c r="I464">
        <v>10</v>
      </c>
      <c r="J464">
        <v>30</v>
      </c>
      <c r="K464">
        <v>30</v>
      </c>
      <c r="L464">
        <v>40</v>
      </c>
      <c r="M464">
        <v>21</v>
      </c>
      <c r="N464">
        <v>449</v>
      </c>
      <c r="O464">
        <v>32</v>
      </c>
      <c r="P464">
        <v>5</v>
      </c>
      <c r="Q464">
        <v>15</v>
      </c>
      <c r="R464">
        <v>53</v>
      </c>
      <c r="S464">
        <v>1.325</v>
      </c>
      <c r="T464">
        <v>0.5</v>
      </c>
      <c r="U464">
        <v>2.1</v>
      </c>
    </row>
    <row r="465" spans="1:21" x14ac:dyDescent="0.35">
      <c r="A465">
        <v>580</v>
      </c>
      <c r="B465" s="16">
        <v>40238</v>
      </c>
      <c r="C465" s="15" t="s">
        <v>70</v>
      </c>
      <c r="D465" s="15" t="s">
        <v>58</v>
      </c>
      <c r="E465" s="15" t="s">
        <v>50</v>
      </c>
      <c r="F465" s="15" t="s">
        <v>49</v>
      </c>
      <c r="G465" s="15" t="s">
        <v>74</v>
      </c>
      <c r="H465" s="15" t="s">
        <v>45</v>
      </c>
      <c r="I465">
        <v>70</v>
      </c>
      <c r="J465">
        <v>110</v>
      </c>
      <c r="K465">
        <v>70</v>
      </c>
      <c r="L465">
        <v>180</v>
      </c>
      <c r="M465">
        <v>84</v>
      </c>
      <c r="N465">
        <v>632</v>
      </c>
      <c r="O465">
        <v>126</v>
      </c>
      <c r="P465">
        <v>27</v>
      </c>
      <c r="Q465">
        <v>68</v>
      </c>
      <c r="R465">
        <v>210</v>
      </c>
      <c r="S465">
        <v>1.1666666666666667</v>
      </c>
      <c r="T465">
        <v>0.97142857142857142</v>
      </c>
      <c r="U465">
        <v>1.2</v>
      </c>
    </row>
    <row r="466" spans="1:21" x14ac:dyDescent="0.35">
      <c r="A466">
        <v>580</v>
      </c>
      <c r="B466" s="16">
        <v>40238</v>
      </c>
      <c r="C466" s="15" t="s">
        <v>70</v>
      </c>
      <c r="D466" s="15" t="s">
        <v>58</v>
      </c>
      <c r="E466" s="15" t="s">
        <v>51</v>
      </c>
      <c r="F466" s="15" t="s">
        <v>52</v>
      </c>
      <c r="G466" s="15" t="s">
        <v>74</v>
      </c>
      <c r="H466" s="15" t="s">
        <v>45</v>
      </c>
      <c r="I466">
        <v>50</v>
      </c>
      <c r="J466">
        <v>60</v>
      </c>
      <c r="K466">
        <v>20</v>
      </c>
      <c r="L466">
        <v>110</v>
      </c>
      <c r="M466">
        <v>54</v>
      </c>
      <c r="N466">
        <v>301</v>
      </c>
      <c r="O466">
        <v>66</v>
      </c>
      <c r="P466">
        <v>20</v>
      </c>
      <c r="Q466">
        <v>13</v>
      </c>
      <c r="R466">
        <v>120</v>
      </c>
      <c r="S466">
        <v>1.0909090909090908</v>
      </c>
      <c r="T466">
        <v>0.65</v>
      </c>
      <c r="U466">
        <v>1.08</v>
      </c>
    </row>
    <row r="467" spans="1:21" x14ac:dyDescent="0.35">
      <c r="A467">
        <v>405</v>
      </c>
      <c r="B467" s="16">
        <v>40238</v>
      </c>
      <c r="C467" s="15" t="s">
        <v>70</v>
      </c>
      <c r="D467" s="15" t="s">
        <v>58</v>
      </c>
      <c r="E467" s="15" t="s">
        <v>53</v>
      </c>
      <c r="F467" s="15" t="s">
        <v>52</v>
      </c>
      <c r="G467" s="15" t="s">
        <v>74</v>
      </c>
      <c r="H467" s="15" t="s">
        <v>45</v>
      </c>
      <c r="I467">
        <v>90</v>
      </c>
      <c r="J467">
        <v>130</v>
      </c>
      <c r="K467">
        <v>30</v>
      </c>
      <c r="L467">
        <v>220</v>
      </c>
      <c r="M467">
        <v>95</v>
      </c>
      <c r="N467">
        <v>532</v>
      </c>
      <c r="O467">
        <v>132</v>
      </c>
      <c r="P467">
        <v>86</v>
      </c>
      <c r="Q467">
        <v>17</v>
      </c>
      <c r="R467">
        <v>227</v>
      </c>
      <c r="S467">
        <v>1.0318181818181817</v>
      </c>
      <c r="T467">
        <v>0.56666666666666665</v>
      </c>
      <c r="U467">
        <v>1.0555555555555556</v>
      </c>
    </row>
    <row r="468" spans="1:21" x14ac:dyDescent="0.35">
      <c r="A468">
        <v>405</v>
      </c>
      <c r="B468" s="16">
        <v>40238</v>
      </c>
      <c r="C468" s="15" t="s">
        <v>70</v>
      </c>
      <c r="D468" s="15" t="s">
        <v>58</v>
      </c>
      <c r="E468" s="15" t="s">
        <v>44</v>
      </c>
      <c r="F468" s="15" t="s">
        <v>40</v>
      </c>
      <c r="G468" s="15" t="s">
        <v>74</v>
      </c>
      <c r="H468" s="15" t="s">
        <v>45</v>
      </c>
      <c r="I468">
        <v>40</v>
      </c>
      <c r="J468">
        <v>50</v>
      </c>
      <c r="K468">
        <v>40</v>
      </c>
      <c r="L468">
        <v>90</v>
      </c>
      <c r="M468">
        <v>32</v>
      </c>
      <c r="N468">
        <v>813</v>
      </c>
      <c r="O468">
        <v>47</v>
      </c>
      <c r="P468">
        <v>8</v>
      </c>
      <c r="Q468">
        <v>27</v>
      </c>
      <c r="R468">
        <v>79</v>
      </c>
      <c r="S468">
        <v>0.87777777777777777</v>
      </c>
      <c r="T468">
        <v>0.67500000000000004</v>
      </c>
      <c r="U468">
        <v>0.8</v>
      </c>
    </row>
    <row r="469" spans="1:21" x14ac:dyDescent="0.35">
      <c r="A469">
        <v>918</v>
      </c>
      <c r="B469" s="16">
        <v>40238</v>
      </c>
      <c r="C469" s="15" t="s">
        <v>70</v>
      </c>
      <c r="D469" s="15" t="s">
        <v>58</v>
      </c>
      <c r="E469" s="15" t="s">
        <v>43</v>
      </c>
      <c r="F469" s="15" t="s">
        <v>40</v>
      </c>
      <c r="G469" s="15" t="s">
        <v>74</v>
      </c>
      <c r="H469" s="15" t="s">
        <v>42</v>
      </c>
      <c r="I469">
        <v>50</v>
      </c>
      <c r="J469">
        <v>70</v>
      </c>
      <c r="K469">
        <v>50</v>
      </c>
      <c r="L469">
        <v>120</v>
      </c>
      <c r="M469">
        <v>43</v>
      </c>
      <c r="N469">
        <v>613</v>
      </c>
      <c r="O469">
        <v>55</v>
      </c>
      <c r="P469">
        <v>14</v>
      </c>
      <c r="Q469">
        <v>29</v>
      </c>
      <c r="R469">
        <v>98</v>
      </c>
      <c r="S469">
        <v>0.81666666666666665</v>
      </c>
      <c r="T469">
        <v>0.57999999999999996</v>
      </c>
      <c r="U469">
        <v>0.86</v>
      </c>
    </row>
    <row r="470" spans="1:21" x14ac:dyDescent="0.35">
      <c r="A470">
        <v>325</v>
      </c>
      <c r="B470" s="16">
        <v>40238</v>
      </c>
      <c r="C470" s="15" t="s">
        <v>70</v>
      </c>
      <c r="D470" s="15" t="s">
        <v>38</v>
      </c>
      <c r="E470" s="15" t="s">
        <v>72</v>
      </c>
      <c r="F470" s="15" t="s">
        <v>49</v>
      </c>
      <c r="G470" s="15" t="s">
        <v>75</v>
      </c>
      <c r="H470" s="15" t="s">
        <v>42</v>
      </c>
      <c r="I470">
        <v>60</v>
      </c>
      <c r="J470">
        <v>90</v>
      </c>
      <c r="K470">
        <v>50</v>
      </c>
      <c r="L470">
        <v>150</v>
      </c>
      <c r="M470">
        <v>72</v>
      </c>
      <c r="N470">
        <v>189</v>
      </c>
      <c r="O470">
        <v>108</v>
      </c>
      <c r="P470">
        <v>23</v>
      </c>
      <c r="Q470">
        <v>54</v>
      </c>
      <c r="R470">
        <v>180</v>
      </c>
      <c r="S470">
        <v>1.2</v>
      </c>
      <c r="T470">
        <v>1.08</v>
      </c>
      <c r="U470">
        <v>1.2</v>
      </c>
    </row>
    <row r="471" spans="1:21" x14ac:dyDescent="0.35">
      <c r="A471">
        <v>936</v>
      </c>
      <c r="B471" s="16">
        <v>40238</v>
      </c>
      <c r="C471" s="15" t="s">
        <v>70</v>
      </c>
      <c r="D471" s="15" t="s">
        <v>38</v>
      </c>
      <c r="E471" s="15" t="s">
        <v>48</v>
      </c>
      <c r="F471" s="15" t="s">
        <v>49</v>
      </c>
      <c r="G471" s="15" t="s">
        <v>75</v>
      </c>
      <c r="H471" s="15" t="s">
        <v>42</v>
      </c>
      <c r="I471">
        <v>70</v>
      </c>
      <c r="J471">
        <v>110</v>
      </c>
      <c r="K471">
        <v>90</v>
      </c>
      <c r="L471">
        <v>180</v>
      </c>
      <c r="M471">
        <v>87</v>
      </c>
      <c r="N471">
        <v>756</v>
      </c>
      <c r="O471">
        <v>126</v>
      </c>
      <c r="P471">
        <v>24</v>
      </c>
      <c r="Q471">
        <v>91</v>
      </c>
      <c r="R471">
        <v>213</v>
      </c>
      <c r="S471">
        <v>1.1833333333333333</v>
      </c>
      <c r="T471">
        <v>1.0111111111111111</v>
      </c>
      <c r="U471">
        <v>1.2428571428571429</v>
      </c>
    </row>
    <row r="472" spans="1:21" x14ac:dyDescent="0.35">
      <c r="A472">
        <v>972</v>
      </c>
      <c r="B472" s="16">
        <v>40238</v>
      </c>
      <c r="C472" s="15" t="s">
        <v>70</v>
      </c>
      <c r="D472" s="15" t="s">
        <v>38</v>
      </c>
      <c r="E472" s="15" t="s">
        <v>50</v>
      </c>
      <c r="F472" s="15" t="s">
        <v>49</v>
      </c>
      <c r="G472" s="15" t="s">
        <v>75</v>
      </c>
      <c r="H472" s="15" t="s">
        <v>45</v>
      </c>
      <c r="I472">
        <v>60</v>
      </c>
      <c r="J472">
        <v>110</v>
      </c>
      <c r="K472">
        <v>90</v>
      </c>
      <c r="L472">
        <v>170</v>
      </c>
      <c r="M472">
        <v>81</v>
      </c>
      <c r="N472">
        <v>441</v>
      </c>
      <c r="O472">
        <v>117</v>
      </c>
      <c r="P472">
        <v>22</v>
      </c>
      <c r="Q472">
        <v>84</v>
      </c>
      <c r="R472">
        <v>198</v>
      </c>
      <c r="S472">
        <v>1.1647058823529413</v>
      </c>
      <c r="T472">
        <v>0.93333333333333335</v>
      </c>
      <c r="U472">
        <v>1.35</v>
      </c>
    </row>
    <row r="473" spans="1:21" x14ac:dyDescent="0.35">
      <c r="A473">
        <v>214</v>
      </c>
      <c r="B473" s="16">
        <v>40238</v>
      </c>
      <c r="C473" s="15" t="s">
        <v>70</v>
      </c>
      <c r="D473" s="15" t="s">
        <v>38</v>
      </c>
      <c r="E473" s="15" t="s">
        <v>51</v>
      </c>
      <c r="F473" s="15" t="s">
        <v>52</v>
      </c>
      <c r="G473" s="15" t="s">
        <v>75</v>
      </c>
      <c r="H473" s="15" t="s">
        <v>45</v>
      </c>
      <c r="I473">
        <v>50</v>
      </c>
      <c r="J473">
        <v>80</v>
      </c>
      <c r="K473">
        <v>50</v>
      </c>
      <c r="L473">
        <v>130</v>
      </c>
      <c r="M473">
        <v>57</v>
      </c>
      <c r="N473">
        <v>323</v>
      </c>
      <c r="O473">
        <v>77</v>
      </c>
      <c r="P473">
        <v>18</v>
      </c>
      <c r="Q473">
        <v>31</v>
      </c>
      <c r="R473">
        <v>134</v>
      </c>
      <c r="S473">
        <v>1.0307692307692307</v>
      </c>
      <c r="T473">
        <v>0.62</v>
      </c>
      <c r="U473">
        <v>1.1399999999999999</v>
      </c>
    </row>
    <row r="474" spans="1:21" x14ac:dyDescent="0.35">
      <c r="A474">
        <v>281</v>
      </c>
      <c r="B474" s="16">
        <v>40238</v>
      </c>
      <c r="C474" s="15" t="s">
        <v>70</v>
      </c>
      <c r="D474" s="15" t="s">
        <v>38</v>
      </c>
      <c r="E474" s="15" t="s">
        <v>53</v>
      </c>
      <c r="F474" s="15" t="s">
        <v>52</v>
      </c>
      <c r="G474" s="15" t="s">
        <v>75</v>
      </c>
      <c r="H474" s="15" t="s">
        <v>45</v>
      </c>
      <c r="I474">
        <v>40</v>
      </c>
      <c r="J474">
        <v>70</v>
      </c>
      <c r="K474">
        <v>40</v>
      </c>
      <c r="L474">
        <v>110</v>
      </c>
      <c r="M474">
        <v>49</v>
      </c>
      <c r="N474">
        <v>351</v>
      </c>
      <c r="O474">
        <v>72</v>
      </c>
      <c r="P474">
        <v>15</v>
      </c>
      <c r="Q474">
        <v>35</v>
      </c>
      <c r="R474">
        <v>121</v>
      </c>
      <c r="S474">
        <v>1.1000000000000001</v>
      </c>
      <c r="T474">
        <v>0.875</v>
      </c>
      <c r="U474">
        <v>1.2250000000000001</v>
      </c>
    </row>
    <row r="475" spans="1:21" x14ac:dyDescent="0.35">
      <c r="A475">
        <v>214</v>
      </c>
      <c r="B475" s="16">
        <v>40238</v>
      </c>
      <c r="C475" s="15" t="s">
        <v>70</v>
      </c>
      <c r="D475" s="15" t="s">
        <v>38</v>
      </c>
      <c r="E475" s="15" t="s">
        <v>44</v>
      </c>
      <c r="F475" s="15" t="s">
        <v>40</v>
      </c>
      <c r="G475" s="15" t="s">
        <v>75</v>
      </c>
      <c r="H475" s="15" t="s">
        <v>45</v>
      </c>
      <c r="I475">
        <v>100</v>
      </c>
      <c r="J475">
        <v>140</v>
      </c>
      <c r="K475">
        <v>110</v>
      </c>
      <c r="L475">
        <v>240</v>
      </c>
      <c r="M475">
        <v>84</v>
      </c>
      <c r="N475">
        <v>603</v>
      </c>
      <c r="O475">
        <v>109</v>
      </c>
      <c r="P475">
        <v>27</v>
      </c>
      <c r="Q475">
        <v>70</v>
      </c>
      <c r="R475">
        <v>193</v>
      </c>
      <c r="S475">
        <v>0.8041666666666667</v>
      </c>
      <c r="T475">
        <v>0.63636363636363635</v>
      </c>
      <c r="U475">
        <v>0.84</v>
      </c>
    </row>
    <row r="476" spans="1:21" x14ac:dyDescent="0.35">
      <c r="A476">
        <v>940</v>
      </c>
      <c r="B476" s="16">
        <v>40238</v>
      </c>
      <c r="C476" s="15" t="s">
        <v>70</v>
      </c>
      <c r="D476" s="15" t="s">
        <v>38</v>
      </c>
      <c r="E476" s="15" t="s">
        <v>43</v>
      </c>
      <c r="F476" s="15" t="s">
        <v>40</v>
      </c>
      <c r="G476" s="15" t="s">
        <v>75</v>
      </c>
      <c r="H476" s="15" t="s">
        <v>42</v>
      </c>
      <c r="I476">
        <v>260</v>
      </c>
      <c r="J476">
        <v>320</v>
      </c>
      <c r="K476">
        <v>240</v>
      </c>
      <c r="L476">
        <v>580</v>
      </c>
      <c r="M476">
        <v>214</v>
      </c>
      <c r="N476">
        <v>923</v>
      </c>
      <c r="O476">
        <v>253</v>
      </c>
      <c r="P476">
        <v>66</v>
      </c>
      <c r="Q476">
        <v>166</v>
      </c>
      <c r="R476">
        <v>467</v>
      </c>
      <c r="S476">
        <v>0.80517241379310345</v>
      </c>
      <c r="T476">
        <v>0.69166666666666665</v>
      </c>
      <c r="U476">
        <v>0.82307692307692304</v>
      </c>
    </row>
    <row r="477" spans="1:21" x14ac:dyDescent="0.35">
      <c r="A477">
        <v>435</v>
      </c>
      <c r="B477" s="16">
        <v>40238</v>
      </c>
      <c r="C477" s="15" t="s">
        <v>76</v>
      </c>
      <c r="D477" s="15" t="s">
        <v>58</v>
      </c>
      <c r="E477" s="15" t="s">
        <v>72</v>
      </c>
      <c r="F477" s="15" t="s">
        <v>49</v>
      </c>
      <c r="G477" s="15" t="s">
        <v>77</v>
      </c>
      <c r="H477" s="15" t="s">
        <v>42</v>
      </c>
      <c r="I477">
        <v>40</v>
      </c>
      <c r="J477">
        <v>70</v>
      </c>
      <c r="K477">
        <v>50</v>
      </c>
      <c r="L477">
        <v>110</v>
      </c>
      <c r="M477">
        <v>48</v>
      </c>
      <c r="N477">
        <v>766</v>
      </c>
      <c r="O477">
        <v>70</v>
      </c>
      <c r="P477">
        <v>13</v>
      </c>
      <c r="Q477">
        <v>45</v>
      </c>
      <c r="R477">
        <v>118</v>
      </c>
      <c r="S477">
        <v>1.0727272727272728</v>
      </c>
      <c r="T477">
        <v>0.9</v>
      </c>
      <c r="U477">
        <v>1.2</v>
      </c>
    </row>
    <row r="478" spans="1:21" x14ac:dyDescent="0.35">
      <c r="A478">
        <v>801</v>
      </c>
      <c r="B478" s="16">
        <v>40238</v>
      </c>
      <c r="C478" s="15" t="s">
        <v>76</v>
      </c>
      <c r="D478" s="15" t="s">
        <v>58</v>
      </c>
      <c r="E478" s="15" t="s">
        <v>48</v>
      </c>
      <c r="F478" s="15" t="s">
        <v>49</v>
      </c>
      <c r="G478" s="15" t="s">
        <v>77</v>
      </c>
      <c r="H478" s="15" t="s">
        <v>42</v>
      </c>
      <c r="I478">
        <v>40</v>
      </c>
      <c r="J478">
        <v>60</v>
      </c>
      <c r="K478">
        <v>40</v>
      </c>
      <c r="L478">
        <v>100</v>
      </c>
      <c r="M478">
        <v>48</v>
      </c>
      <c r="N478">
        <v>611</v>
      </c>
      <c r="O478">
        <v>62</v>
      </c>
      <c r="P478">
        <v>15</v>
      </c>
      <c r="Q478">
        <v>34</v>
      </c>
      <c r="R478">
        <v>110</v>
      </c>
      <c r="S478">
        <v>1.1000000000000001</v>
      </c>
      <c r="T478">
        <v>0.85</v>
      </c>
      <c r="U478">
        <v>1.2</v>
      </c>
    </row>
    <row r="479" spans="1:21" x14ac:dyDescent="0.35">
      <c r="A479">
        <v>435</v>
      </c>
      <c r="B479" s="16">
        <v>40238</v>
      </c>
      <c r="C479" s="15" t="s">
        <v>76</v>
      </c>
      <c r="D479" s="15" t="s">
        <v>58</v>
      </c>
      <c r="E479" s="15" t="s">
        <v>50</v>
      </c>
      <c r="F479" s="15" t="s">
        <v>49</v>
      </c>
      <c r="G479" s="15" t="s">
        <v>77</v>
      </c>
      <c r="H479" s="15" t="s">
        <v>45</v>
      </c>
      <c r="I479">
        <v>40</v>
      </c>
      <c r="J479">
        <v>70</v>
      </c>
      <c r="K479">
        <v>50</v>
      </c>
      <c r="L479">
        <v>110</v>
      </c>
      <c r="M479">
        <v>49</v>
      </c>
      <c r="N479">
        <v>809</v>
      </c>
      <c r="O479">
        <v>72</v>
      </c>
      <c r="P479">
        <v>13</v>
      </c>
      <c r="Q479">
        <v>47</v>
      </c>
      <c r="R479">
        <v>121</v>
      </c>
      <c r="S479">
        <v>1.1000000000000001</v>
      </c>
      <c r="T479">
        <v>0.94</v>
      </c>
      <c r="U479">
        <v>1.2250000000000001</v>
      </c>
    </row>
    <row r="480" spans="1:21" x14ac:dyDescent="0.35">
      <c r="A480">
        <v>435</v>
      </c>
      <c r="B480" s="16">
        <v>40238</v>
      </c>
      <c r="C480" s="15" t="s">
        <v>76</v>
      </c>
      <c r="D480" s="15" t="s">
        <v>58</v>
      </c>
      <c r="E480" s="15" t="s">
        <v>44</v>
      </c>
      <c r="F480" s="15" t="s">
        <v>40</v>
      </c>
      <c r="G480" s="15" t="s">
        <v>77</v>
      </c>
      <c r="H480" s="15" t="s">
        <v>45</v>
      </c>
      <c r="I480">
        <v>100</v>
      </c>
      <c r="J480">
        <v>130</v>
      </c>
      <c r="K480">
        <v>70</v>
      </c>
      <c r="L480">
        <v>230</v>
      </c>
      <c r="M480">
        <v>85</v>
      </c>
      <c r="N480">
        <v>476</v>
      </c>
      <c r="O480">
        <v>104</v>
      </c>
      <c r="P480">
        <v>32</v>
      </c>
      <c r="Q480">
        <v>38</v>
      </c>
      <c r="R480">
        <v>189</v>
      </c>
      <c r="S480">
        <v>0.82173913043478264</v>
      </c>
      <c r="T480">
        <v>0.54285714285714282</v>
      </c>
      <c r="U480">
        <v>0.85</v>
      </c>
    </row>
    <row r="481" spans="1:21" x14ac:dyDescent="0.35">
      <c r="A481">
        <v>435</v>
      </c>
      <c r="B481" s="16">
        <v>40238</v>
      </c>
      <c r="C481" s="15" t="s">
        <v>76</v>
      </c>
      <c r="D481" s="15" t="s">
        <v>58</v>
      </c>
      <c r="E481" s="15" t="s">
        <v>51</v>
      </c>
      <c r="F481" s="15" t="s">
        <v>52</v>
      </c>
      <c r="G481" s="15" t="s">
        <v>77</v>
      </c>
      <c r="H481" s="15" t="s">
        <v>45</v>
      </c>
      <c r="I481">
        <v>30</v>
      </c>
      <c r="J481">
        <v>60</v>
      </c>
      <c r="K481">
        <v>40</v>
      </c>
      <c r="L481">
        <v>90</v>
      </c>
      <c r="M481">
        <v>43</v>
      </c>
      <c r="N481">
        <v>231</v>
      </c>
      <c r="O481">
        <v>64</v>
      </c>
      <c r="P481">
        <v>13</v>
      </c>
      <c r="Q481">
        <v>28</v>
      </c>
      <c r="R481">
        <v>107</v>
      </c>
      <c r="S481">
        <v>1.1888888888888889</v>
      </c>
      <c r="T481">
        <v>0.7</v>
      </c>
      <c r="U481">
        <v>1.4333333333333333</v>
      </c>
    </row>
    <row r="482" spans="1:21" x14ac:dyDescent="0.35">
      <c r="A482">
        <v>435</v>
      </c>
      <c r="B482" s="16">
        <v>40238</v>
      </c>
      <c r="C482" s="15" t="s">
        <v>76</v>
      </c>
      <c r="D482" s="15" t="s">
        <v>58</v>
      </c>
      <c r="E482" s="15" t="s">
        <v>53</v>
      </c>
      <c r="F482" s="15" t="s">
        <v>52</v>
      </c>
      <c r="G482" s="15" t="s">
        <v>77</v>
      </c>
      <c r="H482" s="15" t="s">
        <v>45</v>
      </c>
      <c r="I482">
        <v>40</v>
      </c>
      <c r="J482">
        <v>60</v>
      </c>
      <c r="K482">
        <v>30</v>
      </c>
      <c r="L482">
        <v>100</v>
      </c>
      <c r="M482">
        <v>47</v>
      </c>
      <c r="N482">
        <v>361</v>
      </c>
      <c r="O482">
        <v>72</v>
      </c>
      <c r="P482">
        <v>15</v>
      </c>
      <c r="Q482">
        <v>26</v>
      </c>
      <c r="R482">
        <v>119</v>
      </c>
      <c r="S482">
        <v>1.19</v>
      </c>
      <c r="T482">
        <v>0.8666666666666667</v>
      </c>
      <c r="U482">
        <v>1.175</v>
      </c>
    </row>
    <row r="483" spans="1:21" x14ac:dyDescent="0.35">
      <c r="A483">
        <v>801</v>
      </c>
      <c r="B483" s="16">
        <v>40238</v>
      </c>
      <c r="C483" s="15" t="s">
        <v>76</v>
      </c>
      <c r="D483" s="15" t="s">
        <v>58</v>
      </c>
      <c r="E483" s="15" t="s">
        <v>54</v>
      </c>
      <c r="F483" s="15" t="s">
        <v>52</v>
      </c>
      <c r="G483" s="15" t="s">
        <v>77</v>
      </c>
      <c r="H483" s="15" t="s">
        <v>45</v>
      </c>
      <c r="I483">
        <v>70</v>
      </c>
      <c r="J483">
        <v>20</v>
      </c>
      <c r="K483">
        <v>-20</v>
      </c>
      <c r="L483">
        <v>90</v>
      </c>
      <c r="M483">
        <v>88</v>
      </c>
      <c r="N483">
        <v>715</v>
      </c>
      <c r="O483">
        <v>18</v>
      </c>
      <c r="P483">
        <v>27</v>
      </c>
      <c r="Q483">
        <v>-32</v>
      </c>
      <c r="R483">
        <v>106</v>
      </c>
      <c r="S483">
        <v>1.1777777777777778</v>
      </c>
      <c r="T483">
        <v>1.6</v>
      </c>
      <c r="U483">
        <v>1.2571428571428571</v>
      </c>
    </row>
    <row r="484" spans="1:21" x14ac:dyDescent="0.35">
      <c r="A484">
        <v>801</v>
      </c>
      <c r="B484" s="16">
        <v>40238</v>
      </c>
      <c r="C484" s="15" t="s">
        <v>76</v>
      </c>
      <c r="D484" s="15" t="s">
        <v>58</v>
      </c>
      <c r="E484" s="15" t="s">
        <v>55</v>
      </c>
      <c r="F484" s="15" t="s">
        <v>47</v>
      </c>
      <c r="G484" s="15" t="s">
        <v>77</v>
      </c>
      <c r="H484" s="15" t="s">
        <v>42</v>
      </c>
      <c r="I484">
        <v>20</v>
      </c>
      <c r="J484">
        <v>50</v>
      </c>
      <c r="K484">
        <v>10</v>
      </c>
      <c r="L484">
        <v>70</v>
      </c>
      <c r="M484">
        <v>44</v>
      </c>
      <c r="N484">
        <v>251</v>
      </c>
      <c r="O484">
        <v>63</v>
      </c>
      <c r="P484">
        <v>40</v>
      </c>
      <c r="Q484">
        <v>-7</v>
      </c>
      <c r="R484">
        <v>107</v>
      </c>
      <c r="S484">
        <v>1.5285714285714285</v>
      </c>
      <c r="T484">
        <v>-0.7</v>
      </c>
      <c r="U484">
        <v>2.2000000000000002</v>
      </c>
    </row>
    <row r="485" spans="1:21" x14ac:dyDescent="0.35">
      <c r="A485">
        <v>435</v>
      </c>
      <c r="B485" s="16">
        <v>40238</v>
      </c>
      <c r="C485" s="15" t="s">
        <v>76</v>
      </c>
      <c r="D485" s="15" t="s">
        <v>58</v>
      </c>
      <c r="E485" s="15" t="s">
        <v>56</v>
      </c>
      <c r="F485" s="15" t="s">
        <v>47</v>
      </c>
      <c r="G485" s="15" t="s">
        <v>77</v>
      </c>
      <c r="H485" s="15" t="s">
        <v>42</v>
      </c>
      <c r="I485">
        <v>20</v>
      </c>
      <c r="J485">
        <v>30</v>
      </c>
      <c r="K485">
        <v>10</v>
      </c>
      <c r="L485">
        <v>50</v>
      </c>
      <c r="M485">
        <v>36</v>
      </c>
      <c r="N485">
        <v>187</v>
      </c>
      <c r="O485">
        <v>49</v>
      </c>
      <c r="P485">
        <v>11</v>
      </c>
      <c r="Q485">
        <v>10</v>
      </c>
      <c r="R485">
        <v>85</v>
      </c>
      <c r="S485">
        <v>1.7</v>
      </c>
      <c r="T485">
        <v>1</v>
      </c>
      <c r="U485">
        <v>1.8</v>
      </c>
    </row>
    <row r="486" spans="1:21" x14ac:dyDescent="0.35">
      <c r="A486">
        <v>435</v>
      </c>
      <c r="B486" s="16">
        <v>40238</v>
      </c>
      <c r="C486" s="15" t="s">
        <v>76</v>
      </c>
      <c r="D486" s="15" t="s">
        <v>58</v>
      </c>
      <c r="E486" s="15" t="s">
        <v>46</v>
      </c>
      <c r="F486" s="15" t="s">
        <v>47</v>
      </c>
      <c r="G486" s="15" t="s">
        <v>77</v>
      </c>
      <c r="H486" s="15" t="s">
        <v>42</v>
      </c>
      <c r="I486">
        <v>20</v>
      </c>
      <c r="J486">
        <v>30</v>
      </c>
      <c r="K486">
        <v>10</v>
      </c>
      <c r="L486">
        <v>50</v>
      </c>
      <c r="M486">
        <v>33</v>
      </c>
      <c r="N486">
        <v>162</v>
      </c>
      <c r="O486">
        <v>42</v>
      </c>
      <c r="P486">
        <v>12</v>
      </c>
      <c r="Q486">
        <v>-4</v>
      </c>
      <c r="R486">
        <v>75</v>
      </c>
      <c r="S486">
        <v>1.5</v>
      </c>
      <c r="T486">
        <v>-0.4</v>
      </c>
      <c r="U486">
        <v>1.65</v>
      </c>
    </row>
    <row r="487" spans="1:21" x14ac:dyDescent="0.35">
      <c r="A487">
        <v>435</v>
      </c>
      <c r="B487" s="16">
        <v>40238</v>
      </c>
      <c r="C487" s="15" t="s">
        <v>76</v>
      </c>
      <c r="D487" s="15" t="s">
        <v>58</v>
      </c>
      <c r="E487" s="15" t="s">
        <v>39</v>
      </c>
      <c r="F487" s="15" t="s">
        <v>40</v>
      </c>
      <c r="G487" s="15" t="s">
        <v>77</v>
      </c>
      <c r="H487" s="15" t="s">
        <v>42</v>
      </c>
      <c r="I487">
        <v>90</v>
      </c>
      <c r="J487">
        <v>110</v>
      </c>
      <c r="K487">
        <v>70</v>
      </c>
      <c r="L487">
        <v>200</v>
      </c>
      <c r="M487">
        <v>74</v>
      </c>
      <c r="N487">
        <v>949</v>
      </c>
      <c r="O487">
        <v>89</v>
      </c>
      <c r="P487">
        <v>22</v>
      </c>
      <c r="Q487">
        <v>45</v>
      </c>
      <c r="R487">
        <v>163</v>
      </c>
      <c r="S487">
        <v>0.81499999999999995</v>
      </c>
      <c r="T487">
        <v>0.6428571428571429</v>
      </c>
      <c r="U487">
        <v>0.82222222222222219</v>
      </c>
    </row>
    <row r="488" spans="1:21" x14ac:dyDescent="0.35">
      <c r="A488">
        <v>801</v>
      </c>
      <c r="B488" s="16">
        <v>40238</v>
      </c>
      <c r="C488" s="15" t="s">
        <v>76</v>
      </c>
      <c r="D488" s="15" t="s">
        <v>58</v>
      </c>
      <c r="E488" s="15" t="s">
        <v>43</v>
      </c>
      <c r="F488" s="15" t="s">
        <v>40</v>
      </c>
      <c r="G488" s="15" t="s">
        <v>77</v>
      </c>
      <c r="H488" s="15" t="s">
        <v>42</v>
      </c>
      <c r="I488">
        <v>60</v>
      </c>
      <c r="J488">
        <v>90</v>
      </c>
      <c r="K488">
        <v>60</v>
      </c>
      <c r="L488">
        <v>150</v>
      </c>
      <c r="M488">
        <v>53</v>
      </c>
      <c r="N488">
        <v>299</v>
      </c>
      <c r="O488">
        <v>71</v>
      </c>
      <c r="P488">
        <v>17</v>
      </c>
      <c r="Q488">
        <v>26</v>
      </c>
      <c r="R488">
        <v>124</v>
      </c>
      <c r="S488">
        <v>0.82666666666666666</v>
      </c>
      <c r="T488">
        <v>0.43333333333333335</v>
      </c>
      <c r="U488">
        <v>0.8833333333333333</v>
      </c>
    </row>
    <row r="489" spans="1:21" x14ac:dyDescent="0.35">
      <c r="A489">
        <v>760</v>
      </c>
      <c r="B489" s="16">
        <v>40238</v>
      </c>
      <c r="C489" s="15" t="s">
        <v>76</v>
      </c>
      <c r="D489" s="15" t="s">
        <v>38</v>
      </c>
      <c r="E489" s="15" t="s">
        <v>72</v>
      </c>
      <c r="F489" s="15" t="s">
        <v>49</v>
      </c>
      <c r="G489" s="15" t="s">
        <v>78</v>
      </c>
      <c r="H489" s="15" t="s">
        <v>42</v>
      </c>
      <c r="I489">
        <v>220</v>
      </c>
      <c r="J489">
        <v>230</v>
      </c>
      <c r="K489">
        <v>150</v>
      </c>
      <c r="L489">
        <v>450</v>
      </c>
      <c r="M489">
        <v>239</v>
      </c>
      <c r="N489">
        <v>1417</v>
      </c>
      <c r="O489">
        <v>239</v>
      </c>
      <c r="P489">
        <v>66</v>
      </c>
      <c r="Q489">
        <v>149</v>
      </c>
      <c r="R489">
        <v>478</v>
      </c>
      <c r="S489">
        <v>1.0622222222222222</v>
      </c>
      <c r="T489">
        <v>0.99333333333333329</v>
      </c>
      <c r="U489">
        <v>1.0863636363636364</v>
      </c>
    </row>
    <row r="490" spans="1:21" x14ac:dyDescent="0.35">
      <c r="A490">
        <v>323</v>
      </c>
      <c r="B490" s="16">
        <v>40238</v>
      </c>
      <c r="C490" s="15" t="s">
        <v>76</v>
      </c>
      <c r="D490" s="15" t="s">
        <v>38</v>
      </c>
      <c r="E490" s="15" t="s">
        <v>48</v>
      </c>
      <c r="F490" s="15" t="s">
        <v>49</v>
      </c>
      <c r="G490" s="15" t="s">
        <v>78</v>
      </c>
      <c r="H490" s="15" t="s">
        <v>42</v>
      </c>
      <c r="I490">
        <v>120</v>
      </c>
      <c r="J490">
        <v>160</v>
      </c>
      <c r="K490">
        <v>30</v>
      </c>
      <c r="L490">
        <v>280</v>
      </c>
      <c r="M490">
        <v>125</v>
      </c>
      <c r="N490">
        <v>700</v>
      </c>
      <c r="O490">
        <v>173</v>
      </c>
      <c r="P490">
        <v>113</v>
      </c>
      <c r="Q490">
        <v>27</v>
      </c>
      <c r="R490">
        <v>298</v>
      </c>
      <c r="S490">
        <v>1.0642857142857143</v>
      </c>
      <c r="T490">
        <v>0.9</v>
      </c>
      <c r="U490">
        <v>1.0416666666666667</v>
      </c>
    </row>
    <row r="491" spans="1:21" x14ac:dyDescent="0.35">
      <c r="A491">
        <v>916</v>
      </c>
      <c r="B491" s="16">
        <v>40238</v>
      </c>
      <c r="C491" s="15" t="s">
        <v>76</v>
      </c>
      <c r="D491" s="15" t="s">
        <v>38</v>
      </c>
      <c r="E491" s="15" t="s">
        <v>50</v>
      </c>
      <c r="F491" s="15" t="s">
        <v>49</v>
      </c>
      <c r="G491" s="15" t="s">
        <v>78</v>
      </c>
      <c r="H491" s="15" t="s">
        <v>45</v>
      </c>
      <c r="I491">
        <v>230</v>
      </c>
      <c r="J491">
        <v>310</v>
      </c>
      <c r="K491">
        <v>210</v>
      </c>
      <c r="L491">
        <v>540</v>
      </c>
      <c r="M491">
        <v>243</v>
      </c>
      <c r="N491">
        <v>1260</v>
      </c>
      <c r="O491">
        <v>324</v>
      </c>
      <c r="P491">
        <v>80</v>
      </c>
      <c r="Q491">
        <v>211</v>
      </c>
      <c r="R491">
        <v>567</v>
      </c>
      <c r="S491">
        <v>1.05</v>
      </c>
      <c r="T491">
        <v>1.0047619047619047</v>
      </c>
      <c r="U491">
        <v>1.0565217391304347</v>
      </c>
    </row>
    <row r="492" spans="1:21" x14ac:dyDescent="0.35">
      <c r="A492">
        <v>650</v>
      </c>
      <c r="B492" s="16">
        <v>40238</v>
      </c>
      <c r="C492" s="15" t="s">
        <v>76</v>
      </c>
      <c r="D492" s="15" t="s">
        <v>38</v>
      </c>
      <c r="E492" s="15" t="s">
        <v>44</v>
      </c>
      <c r="F492" s="15" t="s">
        <v>40</v>
      </c>
      <c r="G492" s="15" t="s">
        <v>78</v>
      </c>
      <c r="H492" s="15" t="s">
        <v>45</v>
      </c>
      <c r="I492">
        <v>190</v>
      </c>
      <c r="J492">
        <v>-40</v>
      </c>
      <c r="K492">
        <v>-120</v>
      </c>
      <c r="L492">
        <v>150</v>
      </c>
      <c r="M492">
        <v>154</v>
      </c>
      <c r="N492">
        <v>1288</v>
      </c>
      <c r="O492">
        <v>-27</v>
      </c>
      <c r="P492">
        <v>50</v>
      </c>
      <c r="Q492">
        <v>-121</v>
      </c>
      <c r="R492">
        <v>127</v>
      </c>
      <c r="S492">
        <v>0.84666666666666668</v>
      </c>
      <c r="T492">
        <v>1.0083333333333333</v>
      </c>
      <c r="U492">
        <v>0.81052631578947365</v>
      </c>
    </row>
    <row r="493" spans="1:21" x14ac:dyDescent="0.35">
      <c r="A493">
        <v>562</v>
      </c>
      <c r="B493" s="16">
        <v>40238</v>
      </c>
      <c r="C493" s="15" t="s">
        <v>76</v>
      </c>
      <c r="D493" s="15" t="s">
        <v>38</v>
      </c>
      <c r="E493" s="15" t="s">
        <v>51</v>
      </c>
      <c r="F493" s="15" t="s">
        <v>52</v>
      </c>
      <c r="G493" s="15" t="s">
        <v>78</v>
      </c>
      <c r="H493" s="15" t="s">
        <v>45</v>
      </c>
      <c r="I493">
        <v>80</v>
      </c>
      <c r="J493">
        <v>120</v>
      </c>
      <c r="K493">
        <v>100</v>
      </c>
      <c r="L493">
        <v>200</v>
      </c>
      <c r="M493">
        <v>95</v>
      </c>
      <c r="N493">
        <v>799</v>
      </c>
      <c r="O493">
        <v>139</v>
      </c>
      <c r="P493">
        <v>26</v>
      </c>
      <c r="Q493">
        <v>101</v>
      </c>
      <c r="R493">
        <v>234</v>
      </c>
      <c r="S493">
        <v>1.17</v>
      </c>
      <c r="T493">
        <v>1.01</v>
      </c>
      <c r="U493">
        <v>1.1875</v>
      </c>
    </row>
    <row r="494" spans="1:21" x14ac:dyDescent="0.35">
      <c r="A494">
        <v>213</v>
      </c>
      <c r="B494" s="16">
        <v>40238</v>
      </c>
      <c r="C494" s="15" t="s">
        <v>76</v>
      </c>
      <c r="D494" s="15" t="s">
        <v>38</v>
      </c>
      <c r="E494" s="15" t="s">
        <v>53</v>
      </c>
      <c r="F494" s="15" t="s">
        <v>52</v>
      </c>
      <c r="G494" s="15" t="s">
        <v>78</v>
      </c>
      <c r="H494" s="15" t="s">
        <v>45</v>
      </c>
      <c r="I494">
        <v>180</v>
      </c>
      <c r="J494">
        <v>230</v>
      </c>
      <c r="K494">
        <v>170</v>
      </c>
      <c r="L494">
        <v>410</v>
      </c>
      <c r="M494">
        <v>214</v>
      </c>
      <c r="N494">
        <v>923</v>
      </c>
      <c r="O494">
        <v>253</v>
      </c>
      <c r="P494">
        <v>66</v>
      </c>
      <c r="Q494">
        <v>165</v>
      </c>
      <c r="R494">
        <v>467</v>
      </c>
      <c r="S494">
        <v>1.1390243902439023</v>
      </c>
      <c r="T494">
        <v>0.97058823529411764</v>
      </c>
      <c r="U494">
        <v>1.1888888888888889</v>
      </c>
    </row>
    <row r="495" spans="1:21" x14ac:dyDescent="0.35">
      <c r="A495">
        <v>562</v>
      </c>
      <c r="B495" s="16">
        <v>40238</v>
      </c>
      <c r="C495" s="15" t="s">
        <v>76</v>
      </c>
      <c r="D495" s="15" t="s">
        <v>38</v>
      </c>
      <c r="E495" s="15" t="s">
        <v>54</v>
      </c>
      <c r="F495" s="15" t="s">
        <v>52</v>
      </c>
      <c r="G495" s="15" t="s">
        <v>78</v>
      </c>
      <c r="H495" s="15" t="s">
        <v>45</v>
      </c>
      <c r="I495">
        <v>70</v>
      </c>
      <c r="J495">
        <v>90</v>
      </c>
      <c r="K495">
        <v>60</v>
      </c>
      <c r="L495">
        <v>160</v>
      </c>
      <c r="M495">
        <v>84</v>
      </c>
      <c r="N495">
        <v>603</v>
      </c>
      <c r="O495">
        <v>109</v>
      </c>
      <c r="P495">
        <v>27</v>
      </c>
      <c r="Q495">
        <v>69</v>
      </c>
      <c r="R495">
        <v>193</v>
      </c>
      <c r="S495">
        <v>1.20625</v>
      </c>
      <c r="T495">
        <v>1.1499999999999999</v>
      </c>
      <c r="U495">
        <v>1.2</v>
      </c>
    </row>
    <row r="496" spans="1:21" x14ac:dyDescent="0.35">
      <c r="A496">
        <v>415</v>
      </c>
      <c r="B496" s="16">
        <v>40238</v>
      </c>
      <c r="C496" s="15" t="s">
        <v>76</v>
      </c>
      <c r="D496" s="15" t="s">
        <v>38</v>
      </c>
      <c r="E496" s="15" t="s">
        <v>55</v>
      </c>
      <c r="F496" s="15" t="s">
        <v>47</v>
      </c>
      <c r="G496" s="15" t="s">
        <v>78</v>
      </c>
      <c r="H496" s="15" t="s">
        <v>42</v>
      </c>
      <c r="I496">
        <v>50</v>
      </c>
      <c r="J496">
        <v>90</v>
      </c>
      <c r="K496">
        <v>80</v>
      </c>
      <c r="L496">
        <v>140</v>
      </c>
      <c r="M496">
        <v>87</v>
      </c>
      <c r="N496">
        <v>756</v>
      </c>
      <c r="O496">
        <v>126</v>
      </c>
      <c r="P496">
        <v>24</v>
      </c>
      <c r="Q496">
        <v>91</v>
      </c>
      <c r="R496">
        <v>213</v>
      </c>
      <c r="S496">
        <v>1.5214285714285714</v>
      </c>
      <c r="T496">
        <v>1.1375</v>
      </c>
      <c r="U496">
        <v>1.74</v>
      </c>
    </row>
    <row r="497" spans="1:21" x14ac:dyDescent="0.35">
      <c r="A497">
        <v>951</v>
      </c>
      <c r="B497" s="16">
        <v>40238</v>
      </c>
      <c r="C497" s="15" t="s">
        <v>76</v>
      </c>
      <c r="D497" s="15" t="s">
        <v>38</v>
      </c>
      <c r="E497" s="15" t="s">
        <v>56</v>
      </c>
      <c r="F497" s="15" t="s">
        <v>47</v>
      </c>
      <c r="G497" s="15" t="s">
        <v>78</v>
      </c>
      <c r="H497" s="15" t="s">
        <v>42</v>
      </c>
      <c r="I497">
        <v>50</v>
      </c>
      <c r="J497">
        <v>80</v>
      </c>
      <c r="K497">
        <v>70</v>
      </c>
      <c r="L497">
        <v>130</v>
      </c>
      <c r="M497">
        <v>81</v>
      </c>
      <c r="N497">
        <v>441</v>
      </c>
      <c r="O497">
        <v>117</v>
      </c>
      <c r="P497">
        <v>22</v>
      </c>
      <c r="Q497">
        <v>84</v>
      </c>
      <c r="R497">
        <v>198</v>
      </c>
      <c r="S497">
        <v>1.523076923076923</v>
      </c>
      <c r="T497">
        <v>1.2</v>
      </c>
      <c r="U497">
        <v>1.62</v>
      </c>
    </row>
    <row r="498" spans="1:21" x14ac:dyDescent="0.35">
      <c r="A498">
        <v>415</v>
      </c>
      <c r="B498" s="16">
        <v>40238</v>
      </c>
      <c r="C498" s="15" t="s">
        <v>76</v>
      </c>
      <c r="D498" s="15" t="s">
        <v>38</v>
      </c>
      <c r="E498" s="15" t="s">
        <v>46</v>
      </c>
      <c r="F498" s="15" t="s">
        <v>47</v>
      </c>
      <c r="G498" s="15" t="s">
        <v>78</v>
      </c>
      <c r="H498" s="15" t="s">
        <v>42</v>
      </c>
      <c r="I498">
        <v>40</v>
      </c>
      <c r="J498">
        <v>80</v>
      </c>
      <c r="K498">
        <v>50</v>
      </c>
      <c r="L498">
        <v>120</v>
      </c>
      <c r="M498">
        <v>72</v>
      </c>
      <c r="N498">
        <v>541</v>
      </c>
      <c r="O498">
        <v>108</v>
      </c>
      <c r="P498">
        <v>23</v>
      </c>
      <c r="Q498">
        <v>54</v>
      </c>
      <c r="R498">
        <v>180</v>
      </c>
      <c r="S498">
        <v>1.5</v>
      </c>
      <c r="T498">
        <v>1.08</v>
      </c>
      <c r="U498">
        <v>1.8</v>
      </c>
    </row>
    <row r="499" spans="1:21" x14ac:dyDescent="0.35">
      <c r="A499">
        <v>925</v>
      </c>
      <c r="B499" s="16">
        <v>40238</v>
      </c>
      <c r="C499" s="15" t="s">
        <v>76</v>
      </c>
      <c r="D499" s="15" t="s">
        <v>38</v>
      </c>
      <c r="E499" s="15" t="s">
        <v>39</v>
      </c>
      <c r="F499" s="15" t="s">
        <v>40</v>
      </c>
      <c r="G499" s="15" t="s">
        <v>78</v>
      </c>
      <c r="H499" s="15" t="s">
        <v>42</v>
      </c>
      <c r="I499">
        <v>130</v>
      </c>
      <c r="J499">
        <v>20</v>
      </c>
      <c r="K499">
        <v>-30</v>
      </c>
      <c r="L499">
        <v>150</v>
      </c>
      <c r="M499">
        <v>109</v>
      </c>
      <c r="N499">
        <v>796</v>
      </c>
      <c r="O499">
        <v>16</v>
      </c>
      <c r="P499">
        <v>34</v>
      </c>
      <c r="Q499">
        <v>-41</v>
      </c>
      <c r="R499">
        <v>125</v>
      </c>
      <c r="S499">
        <v>0.83333333333333337</v>
      </c>
      <c r="T499">
        <v>1.3666666666666667</v>
      </c>
      <c r="U499">
        <v>0.83846153846153848</v>
      </c>
    </row>
    <row r="500" spans="1:21" x14ac:dyDescent="0.35">
      <c r="A500">
        <v>707</v>
      </c>
      <c r="B500" s="16">
        <v>40238</v>
      </c>
      <c r="C500" s="15" t="s">
        <v>76</v>
      </c>
      <c r="D500" s="15" t="s">
        <v>38</v>
      </c>
      <c r="E500" s="15" t="s">
        <v>43</v>
      </c>
      <c r="F500" s="15" t="s">
        <v>40</v>
      </c>
      <c r="G500" s="15" t="s">
        <v>78</v>
      </c>
      <c r="H500" s="15" t="s">
        <v>42</v>
      </c>
      <c r="I500">
        <v>340</v>
      </c>
      <c r="J500">
        <v>500</v>
      </c>
      <c r="K500">
        <v>370</v>
      </c>
      <c r="L500">
        <v>840</v>
      </c>
      <c r="M500">
        <v>270</v>
      </c>
      <c r="N500">
        <v>2041</v>
      </c>
      <c r="O500">
        <v>405</v>
      </c>
      <c r="P500">
        <v>94</v>
      </c>
      <c r="Q500">
        <v>259</v>
      </c>
      <c r="R500">
        <v>675</v>
      </c>
      <c r="S500">
        <v>0.8035714285714286</v>
      </c>
      <c r="T500">
        <v>0.7</v>
      </c>
      <c r="U500">
        <v>0.79411764705882348</v>
      </c>
    </row>
    <row r="501" spans="1:21" x14ac:dyDescent="0.35">
      <c r="A501">
        <v>775</v>
      </c>
      <c r="B501" s="16">
        <v>40238</v>
      </c>
      <c r="C501" s="15" t="s">
        <v>76</v>
      </c>
      <c r="D501" s="15" t="s">
        <v>58</v>
      </c>
      <c r="E501" s="15" t="s">
        <v>72</v>
      </c>
      <c r="F501" s="15" t="s">
        <v>49</v>
      </c>
      <c r="G501" s="15" t="s">
        <v>79</v>
      </c>
      <c r="H501" s="15" t="s">
        <v>42</v>
      </c>
      <c r="I501">
        <v>0</v>
      </c>
      <c r="J501">
        <v>40</v>
      </c>
      <c r="K501">
        <v>30</v>
      </c>
      <c r="L501">
        <v>40</v>
      </c>
      <c r="M501">
        <v>0</v>
      </c>
      <c r="N501">
        <v>731</v>
      </c>
      <c r="O501">
        <v>43</v>
      </c>
      <c r="P501">
        <v>0</v>
      </c>
      <c r="Q501">
        <v>31</v>
      </c>
      <c r="R501">
        <v>43</v>
      </c>
      <c r="S501">
        <v>1.075</v>
      </c>
      <c r="T501">
        <v>1.0333333333333334</v>
      </c>
    </row>
    <row r="502" spans="1:21" x14ac:dyDescent="0.35">
      <c r="A502">
        <v>775</v>
      </c>
      <c r="B502" s="16">
        <v>40238</v>
      </c>
      <c r="C502" s="15" t="s">
        <v>76</v>
      </c>
      <c r="D502" s="15" t="s">
        <v>58</v>
      </c>
      <c r="E502" s="15" t="s">
        <v>48</v>
      </c>
      <c r="F502" s="15" t="s">
        <v>49</v>
      </c>
      <c r="G502" s="15" t="s">
        <v>79</v>
      </c>
      <c r="H502" s="15" t="s">
        <v>42</v>
      </c>
      <c r="I502">
        <v>10</v>
      </c>
      <c r="J502">
        <v>30</v>
      </c>
      <c r="K502">
        <v>20</v>
      </c>
      <c r="L502">
        <v>40</v>
      </c>
      <c r="M502">
        <v>18</v>
      </c>
      <c r="N502">
        <v>816</v>
      </c>
      <c r="O502">
        <v>27</v>
      </c>
      <c r="P502">
        <v>5</v>
      </c>
      <c r="Q502">
        <v>10</v>
      </c>
      <c r="R502">
        <v>45</v>
      </c>
      <c r="S502">
        <v>1.125</v>
      </c>
      <c r="T502">
        <v>0.5</v>
      </c>
      <c r="U502">
        <v>1.8</v>
      </c>
    </row>
    <row r="503" spans="1:21" x14ac:dyDescent="0.35">
      <c r="A503">
        <v>775</v>
      </c>
      <c r="B503" s="16">
        <v>40238</v>
      </c>
      <c r="C503" s="15" t="s">
        <v>76</v>
      </c>
      <c r="D503" s="15" t="s">
        <v>58</v>
      </c>
      <c r="E503" s="15" t="s">
        <v>50</v>
      </c>
      <c r="F503" s="15" t="s">
        <v>49</v>
      </c>
      <c r="G503" s="15" t="s">
        <v>79</v>
      </c>
      <c r="H503" s="15" t="s">
        <v>45</v>
      </c>
      <c r="I503">
        <v>10</v>
      </c>
      <c r="J503">
        <v>20</v>
      </c>
      <c r="K503">
        <v>10</v>
      </c>
      <c r="L503">
        <v>30</v>
      </c>
      <c r="M503">
        <v>16</v>
      </c>
      <c r="N503">
        <v>772</v>
      </c>
      <c r="O503">
        <v>25</v>
      </c>
      <c r="P503">
        <v>4</v>
      </c>
      <c r="Q503">
        <v>10</v>
      </c>
      <c r="R503">
        <v>41</v>
      </c>
      <c r="S503">
        <v>1.3666666666666667</v>
      </c>
      <c r="T503">
        <v>1</v>
      </c>
      <c r="U503">
        <v>1.6</v>
      </c>
    </row>
    <row r="504" spans="1:21" x14ac:dyDescent="0.35">
      <c r="A504">
        <v>702</v>
      </c>
      <c r="B504" s="16">
        <v>40238</v>
      </c>
      <c r="C504" s="15" t="s">
        <v>76</v>
      </c>
      <c r="D504" s="15" t="s">
        <v>58</v>
      </c>
      <c r="E504" s="15" t="s">
        <v>44</v>
      </c>
      <c r="F504" s="15" t="s">
        <v>40</v>
      </c>
      <c r="G504" s="15" t="s">
        <v>79</v>
      </c>
      <c r="H504" s="15" t="s">
        <v>45</v>
      </c>
      <c r="I504">
        <v>30</v>
      </c>
      <c r="J504">
        <v>40</v>
      </c>
      <c r="K504">
        <v>20</v>
      </c>
      <c r="L504">
        <v>70</v>
      </c>
      <c r="M504">
        <v>28</v>
      </c>
      <c r="N504">
        <v>958</v>
      </c>
      <c r="O504">
        <v>35</v>
      </c>
      <c r="P504">
        <v>8</v>
      </c>
      <c r="Q504">
        <v>6</v>
      </c>
      <c r="R504">
        <v>63</v>
      </c>
      <c r="S504">
        <v>0.9</v>
      </c>
      <c r="T504">
        <v>0.3</v>
      </c>
      <c r="U504">
        <v>0.93333333333333335</v>
      </c>
    </row>
    <row r="505" spans="1:21" x14ac:dyDescent="0.35">
      <c r="A505">
        <v>775</v>
      </c>
      <c r="B505" s="16">
        <v>40238</v>
      </c>
      <c r="C505" s="15" t="s">
        <v>76</v>
      </c>
      <c r="D505" s="15" t="s">
        <v>58</v>
      </c>
      <c r="E505" s="15" t="s">
        <v>51</v>
      </c>
      <c r="F505" s="15" t="s">
        <v>52</v>
      </c>
      <c r="G505" s="15" t="s">
        <v>79</v>
      </c>
      <c r="H505" s="15" t="s">
        <v>45</v>
      </c>
      <c r="I505">
        <v>100</v>
      </c>
      <c r="J505">
        <v>160</v>
      </c>
      <c r="K505">
        <v>50</v>
      </c>
      <c r="L505">
        <v>260</v>
      </c>
      <c r="M505">
        <v>125</v>
      </c>
      <c r="N505">
        <v>700</v>
      </c>
      <c r="O505">
        <v>173</v>
      </c>
      <c r="P505">
        <v>113</v>
      </c>
      <c r="Q505">
        <v>27</v>
      </c>
      <c r="R505">
        <v>298</v>
      </c>
      <c r="S505">
        <v>1.1461538461538461</v>
      </c>
      <c r="T505">
        <v>0.54</v>
      </c>
      <c r="U505">
        <v>1.25</v>
      </c>
    </row>
    <row r="506" spans="1:21" x14ac:dyDescent="0.35">
      <c r="A506">
        <v>702</v>
      </c>
      <c r="B506" s="16">
        <v>40238</v>
      </c>
      <c r="C506" s="15" t="s">
        <v>76</v>
      </c>
      <c r="D506" s="15" t="s">
        <v>58</v>
      </c>
      <c r="E506" s="15" t="s">
        <v>53</v>
      </c>
      <c r="F506" s="15" t="s">
        <v>52</v>
      </c>
      <c r="G506" s="15" t="s">
        <v>79</v>
      </c>
      <c r="H506" s="15" t="s">
        <v>45</v>
      </c>
      <c r="I506">
        <v>130</v>
      </c>
      <c r="J506">
        <v>190</v>
      </c>
      <c r="K506">
        <v>120</v>
      </c>
      <c r="L506">
        <v>320</v>
      </c>
      <c r="M506">
        <v>154</v>
      </c>
      <c r="N506">
        <v>829</v>
      </c>
      <c r="O506">
        <v>213</v>
      </c>
      <c r="P506">
        <v>50</v>
      </c>
      <c r="Q506">
        <v>119</v>
      </c>
      <c r="R506">
        <v>367</v>
      </c>
      <c r="S506">
        <v>1.1468750000000001</v>
      </c>
      <c r="T506">
        <v>0.9916666666666667</v>
      </c>
      <c r="U506">
        <v>1.1846153846153846</v>
      </c>
    </row>
    <row r="507" spans="1:21" x14ac:dyDescent="0.35">
      <c r="A507">
        <v>702</v>
      </c>
      <c r="B507" s="16">
        <v>40238</v>
      </c>
      <c r="C507" s="15" t="s">
        <v>76</v>
      </c>
      <c r="D507" s="15" t="s">
        <v>58</v>
      </c>
      <c r="E507" s="15" t="s">
        <v>54</v>
      </c>
      <c r="F507" s="15" t="s">
        <v>52</v>
      </c>
      <c r="G507" s="15" t="s">
        <v>79</v>
      </c>
      <c r="H507" s="15" t="s">
        <v>45</v>
      </c>
      <c r="I507">
        <v>90</v>
      </c>
      <c r="J507">
        <v>140</v>
      </c>
      <c r="K507">
        <v>110</v>
      </c>
      <c r="L507">
        <v>230</v>
      </c>
      <c r="M507">
        <v>109</v>
      </c>
      <c r="N507">
        <v>585</v>
      </c>
      <c r="O507">
        <v>158</v>
      </c>
      <c r="P507">
        <v>34</v>
      </c>
      <c r="Q507">
        <v>102</v>
      </c>
      <c r="R507">
        <v>267</v>
      </c>
      <c r="S507">
        <v>1.1608695652173913</v>
      </c>
      <c r="T507">
        <v>0.92727272727272725</v>
      </c>
      <c r="U507">
        <v>1.211111111111111</v>
      </c>
    </row>
    <row r="508" spans="1:21" x14ac:dyDescent="0.35">
      <c r="A508">
        <v>702</v>
      </c>
      <c r="B508" s="16">
        <v>40238</v>
      </c>
      <c r="C508" s="15" t="s">
        <v>76</v>
      </c>
      <c r="D508" s="15" t="s">
        <v>58</v>
      </c>
      <c r="E508" s="15" t="s">
        <v>55</v>
      </c>
      <c r="F508" s="15" t="s">
        <v>47</v>
      </c>
      <c r="G508" s="15" t="s">
        <v>79</v>
      </c>
      <c r="H508" s="15" t="s">
        <v>42</v>
      </c>
      <c r="I508">
        <v>160</v>
      </c>
      <c r="J508">
        <v>220</v>
      </c>
      <c r="K508">
        <v>150</v>
      </c>
      <c r="L508">
        <v>380</v>
      </c>
      <c r="M508">
        <v>243</v>
      </c>
      <c r="N508">
        <v>1260</v>
      </c>
      <c r="O508">
        <v>324</v>
      </c>
      <c r="P508">
        <v>80</v>
      </c>
      <c r="Q508">
        <v>212</v>
      </c>
      <c r="R508">
        <v>567</v>
      </c>
      <c r="S508">
        <v>1.4921052631578948</v>
      </c>
      <c r="T508">
        <v>1.4133333333333333</v>
      </c>
      <c r="U508">
        <v>1.51875</v>
      </c>
    </row>
    <row r="509" spans="1:21" x14ac:dyDescent="0.35">
      <c r="A509">
        <v>702</v>
      </c>
      <c r="B509" s="16">
        <v>40238</v>
      </c>
      <c r="C509" s="15" t="s">
        <v>76</v>
      </c>
      <c r="D509" s="15" t="s">
        <v>58</v>
      </c>
      <c r="E509" s="15" t="s">
        <v>56</v>
      </c>
      <c r="F509" s="15" t="s">
        <v>47</v>
      </c>
      <c r="G509" s="15" t="s">
        <v>79</v>
      </c>
      <c r="H509" s="15" t="s">
        <v>42</v>
      </c>
      <c r="I509">
        <v>150</v>
      </c>
      <c r="J509">
        <v>170</v>
      </c>
      <c r="K509">
        <v>110</v>
      </c>
      <c r="L509">
        <v>320</v>
      </c>
      <c r="M509">
        <v>239</v>
      </c>
      <c r="N509">
        <v>1417</v>
      </c>
      <c r="O509">
        <v>239</v>
      </c>
      <c r="P509">
        <v>66</v>
      </c>
      <c r="Q509">
        <v>148</v>
      </c>
      <c r="R509">
        <v>478</v>
      </c>
      <c r="S509">
        <v>1.4937499999999999</v>
      </c>
      <c r="T509">
        <v>1.3454545454545455</v>
      </c>
      <c r="U509">
        <v>1.5933333333333333</v>
      </c>
    </row>
    <row r="510" spans="1:21" x14ac:dyDescent="0.35">
      <c r="A510">
        <v>775</v>
      </c>
      <c r="B510" s="16">
        <v>40238</v>
      </c>
      <c r="C510" s="15" t="s">
        <v>76</v>
      </c>
      <c r="D510" s="15" t="s">
        <v>58</v>
      </c>
      <c r="E510" s="15" t="s">
        <v>46</v>
      </c>
      <c r="F510" s="15" t="s">
        <v>47</v>
      </c>
      <c r="G510" s="15" t="s">
        <v>79</v>
      </c>
      <c r="H510" s="15" t="s">
        <v>42</v>
      </c>
      <c r="I510">
        <v>160</v>
      </c>
      <c r="J510">
        <v>-160</v>
      </c>
      <c r="K510">
        <v>-240</v>
      </c>
      <c r="L510">
        <v>0</v>
      </c>
      <c r="M510">
        <v>245</v>
      </c>
      <c r="N510">
        <v>2449</v>
      </c>
      <c r="O510">
        <v>-245</v>
      </c>
      <c r="P510">
        <v>93</v>
      </c>
      <c r="Q510">
        <v>-340</v>
      </c>
      <c r="R510">
        <v>32</v>
      </c>
      <c r="T510">
        <v>1.4166666666666667</v>
      </c>
      <c r="U510">
        <v>1.53125</v>
      </c>
    </row>
    <row r="511" spans="1:21" x14ac:dyDescent="0.35">
      <c r="A511">
        <v>702</v>
      </c>
      <c r="B511" s="16">
        <v>40238</v>
      </c>
      <c r="C511" s="15" t="s">
        <v>76</v>
      </c>
      <c r="D511" s="15" t="s">
        <v>58</v>
      </c>
      <c r="E511" s="15" t="s">
        <v>43</v>
      </c>
      <c r="F511" s="15" t="s">
        <v>40</v>
      </c>
      <c r="G511" s="15" t="s">
        <v>79</v>
      </c>
      <c r="H511" s="15" t="s">
        <v>42</v>
      </c>
      <c r="I511">
        <v>40</v>
      </c>
      <c r="J511">
        <v>50</v>
      </c>
      <c r="K511">
        <v>10</v>
      </c>
      <c r="L511">
        <v>90</v>
      </c>
      <c r="M511">
        <v>33</v>
      </c>
      <c r="N511">
        <v>190</v>
      </c>
      <c r="O511">
        <v>42</v>
      </c>
      <c r="P511">
        <v>12</v>
      </c>
      <c r="Q511">
        <v>-4</v>
      </c>
      <c r="R511">
        <v>75</v>
      </c>
      <c r="S511">
        <v>0.83333333333333337</v>
      </c>
      <c r="T511">
        <v>-0.4</v>
      </c>
      <c r="U511">
        <v>0.82499999999999996</v>
      </c>
    </row>
    <row r="512" spans="1:21" x14ac:dyDescent="0.35">
      <c r="A512">
        <v>541</v>
      </c>
      <c r="B512" s="16">
        <v>40238</v>
      </c>
      <c r="C512" s="15" t="s">
        <v>76</v>
      </c>
      <c r="D512" s="15" t="s">
        <v>58</v>
      </c>
      <c r="E512" s="15" t="s">
        <v>72</v>
      </c>
      <c r="F512" s="15" t="s">
        <v>49</v>
      </c>
      <c r="G512" s="15" t="s">
        <v>80</v>
      </c>
      <c r="H512" s="15" t="s">
        <v>42</v>
      </c>
      <c r="I512">
        <v>50</v>
      </c>
      <c r="J512">
        <v>70</v>
      </c>
      <c r="K512">
        <v>20</v>
      </c>
      <c r="L512">
        <v>120</v>
      </c>
      <c r="M512">
        <v>58</v>
      </c>
      <c r="N512">
        <v>325</v>
      </c>
      <c r="O512">
        <v>71</v>
      </c>
      <c r="P512">
        <v>22</v>
      </c>
      <c r="Q512">
        <v>15</v>
      </c>
      <c r="R512">
        <v>129</v>
      </c>
      <c r="S512">
        <v>1.075</v>
      </c>
      <c r="T512">
        <v>0.75</v>
      </c>
      <c r="U512">
        <v>1.1599999999999999</v>
      </c>
    </row>
    <row r="513" spans="1:21" x14ac:dyDescent="0.35">
      <c r="A513">
        <v>971</v>
      </c>
      <c r="B513" s="16">
        <v>40238</v>
      </c>
      <c r="C513" s="15" t="s">
        <v>76</v>
      </c>
      <c r="D513" s="15" t="s">
        <v>58</v>
      </c>
      <c r="E513" s="15" t="s">
        <v>48</v>
      </c>
      <c r="F513" s="15" t="s">
        <v>49</v>
      </c>
      <c r="G513" s="15" t="s">
        <v>80</v>
      </c>
      <c r="H513" s="15" t="s">
        <v>42</v>
      </c>
      <c r="I513">
        <v>50</v>
      </c>
      <c r="J513">
        <v>70</v>
      </c>
      <c r="K513">
        <v>40</v>
      </c>
      <c r="L513">
        <v>120</v>
      </c>
      <c r="M513">
        <v>57</v>
      </c>
      <c r="N513">
        <v>323</v>
      </c>
      <c r="O513">
        <v>77</v>
      </c>
      <c r="P513">
        <v>18</v>
      </c>
      <c r="Q513">
        <v>32</v>
      </c>
      <c r="R513">
        <v>134</v>
      </c>
      <c r="S513">
        <v>1.1166666666666667</v>
      </c>
      <c r="T513">
        <v>0.8</v>
      </c>
      <c r="U513">
        <v>1.1399999999999999</v>
      </c>
    </row>
    <row r="514" spans="1:21" x14ac:dyDescent="0.35">
      <c r="A514">
        <v>971</v>
      </c>
      <c r="B514" s="16">
        <v>40238</v>
      </c>
      <c r="C514" s="15" t="s">
        <v>76</v>
      </c>
      <c r="D514" s="15" t="s">
        <v>58</v>
      </c>
      <c r="E514" s="15" t="s">
        <v>50</v>
      </c>
      <c r="F514" s="15" t="s">
        <v>49</v>
      </c>
      <c r="G514" s="15" t="s">
        <v>80</v>
      </c>
      <c r="H514" s="15" t="s">
        <v>45</v>
      </c>
      <c r="I514">
        <v>150</v>
      </c>
      <c r="J514">
        <v>160</v>
      </c>
      <c r="K514">
        <v>100</v>
      </c>
      <c r="L514">
        <v>310</v>
      </c>
      <c r="M514">
        <v>162</v>
      </c>
      <c r="N514">
        <v>1059</v>
      </c>
      <c r="O514">
        <v>163</v>
      </c>
      <c r="P514">
        <v>45</v>
      </c>
      <c r="Q514">
        <v>94</v>
      </c>
      <c r="R514">
        <v>325</v>
      </c>
      <c r="S514">
        <v>1.0483870967741935</v>
      </c>
      <c r="T514">
        <v>0.94</v>
      </c>
      <c r="U514">
        <v>1.08</v>
      </c>
    </row>
    <row r="515" spans="1:21" x14ac:dyDescent="0.35">
      <c r="A515">
        <v>503</v>
      </c>
      <c r="B515" s="16">
        <v>40238</v>
      </c>
      <c r="C515" s="15" t="s">
        <v>76</v>
      </c>
      <c r="D515" s="15" t="s">
        <v>58</v>
      </c>
      <c r="E515" s="15" t="s">
        <v>44</v>
      </c>
      <c r="F515" s="15" t="s">
        <v>40</v>
      </c>
      <c r="G515" s="15" t="s">
        <v>80</v>
      </c>
      <c r="H515" s="15" t="s">
        <v>45</v>
      </c>
      <c r="I515">
        <v>60</v>
      </c>
      <c r="J515">
        <v>90</v>
      </c>
      <c r="K515">
        <v>60</v>
      </c>
      <c r="L515">
        <v>150</v>
      </c>
      <c r="M515">
        <v>49</v>
      </c>
      <c r="N515">
        <v>351</v>
      </c>
      <c r="O515">
        <v>72</v>
      </c>
      <c r="P515">
        <v>15</v>
      </c>
      <c r="Q515">
        <v>34</v>
      </c>
      <c r="R515">
        <v>121</v>
      </c>
      <c r="S515">
        <v>0.80666666666666664</v>
      </c>
      <c r="T515">
        <v>0.56666666666666665</v>
      </c>
      <c r="U515">
        <v>0.81666666666666665</v>
      </c>
    </row>
    <row r="516" spans="1:21" x14ac:dyDescent="0.35">
      <c r="A516">
        <v>541</v>
      </c>
      <c r="B516" s="16">
        <v>40238</v>
      </c>
      <c r="C516" s="15" t="s">
        <v>76</v>
      </c>
      <c r="D516" s="15" t="s">
        <v>58</v>
      </c>
      <c r="E516" s="15" t="s">
        <v>51</v>
      </c>
      <c r="F516" s="15" t="s">
        <v>52</v>
      </c>
      <c r="G516" s="15" t="s">
        <v>80</v>
      </c>
      <c r="H516" s="15" t="s">
        <v>45</v>
      </c>
      <c r="I516">
        <v>30</v>
      </c>
      <c r="J516">
        <v>50</v>
      </c>
      <c r="K516">
        <v>50</v>
      </c>
      <c r="L516">
        <v>80</v>
      </c>
      <c r="M516">
        <v>37</v>
      </c>
      <c r="N516">
        <v>768</v>
      </c>
      <c r="O516">
        <v>55</v>
      </c>
      <c r="P516">
        <v>10</v>
      </c>
      <c r="Q516">
        <v>33</v>
      </c>
      <c r="R516">
        <v>92</v>
      </c>
      <c r="S516">
        <v>1.1499999999999999</v>
      </c>
      <c r="T516">
        <v>0.66</v>
      </c>
      <c r="U516">
        <v>1.2333333333333334</v>
      </c>
    </row>
    <row r="517" spans="1:21" x14ac:dyDescent="0.35">
      <c r="A517">
        <v>971</v>
      </c>
      <c r="B517" s="16">
        <v>40238</v>
      </c>
      <c r="C517" s="15" t="s">
        <v>76</v>
      </c>
      <c r="D517" s="15" t="s">
        <v>58</v>
      </c>
      <c r="E517" s="15" t="s">
        <v>53</v>
      </c>
      <c r="F517" s="15" t="s">
        <v>52</v>
      </c>
      <c r="G517" s="15" t="s">
        <v>80</v>
      </c>
      <c r="H517" s="15" t="s">
        <v>45</v>
      </c>
      <c r="I517">
        <v>30</v>
      </c>
      <c r="J517">
        <v>50</v>
      </c>
      <c r="K517">
        <v>30</v>
      </c>
      <c r="L517">
        <v>80</v>
      </c>
      <c r="M517">
        <v>43</v>
      </c>
      <c r="N517">
        <v>613</v>
      </c>
      <c r="O517">
        <v>55</v>
      </c>
      <c r="P517">
        <v>14</v>
      </c>
      <c r="Q517">
        <v>29</v>
      </c>
      <c r="R517">
        <v>98</v>
      </c>
      <c r="S517">
        <v>1.2250000000000001</v>
      </c>
      <c r="T517">
        <v>0.96666666666666667</v>
      </c>
      <c r="U517">
        <v>1.4333333333333333</v>
      </c>
    </row>
    <row r="518" spans="1:21" x14ac:dyDescent="0.35">
      <c r="A518">
        <v>971</v>
      </c>
      <c r="B518" s="16">
        <v>40238</v>
      </c>
      <c r="C518" s="15" t="s">
        <v>76</v>
      </c>
      <c r="D518" s="15" t="s">
        <v>58</v>
      </c>
      <c r="E518" s="15" t="s">
        <v>55</v>
      </c>
      <c r="F518" s="15" t="s">
        <v>47</v>
      </c>
      <c r="G518" s="15" t="s">
        <v>80</v>
      </c>
      <c r="H518" s="15" t="s">
        <v>42</v>
      </c>
      <c r="I518">
        <v>10</v>
      </c>
      <c r="J518">
        <v>20</v>
      </c>
      <c r="K518">
        <v>20</v>
      </c>
      <c r="L518">
        <v>30</v>
      </c>
      <c r="M518">
        <v>21</v>
      </c>
      <c r="N518">
        <v>449</v>
      </c>
      <c r="O518">
        <v>32</v>
      </c>
      <c r="P518">
        <v>5</v>
      </c>
      <c r="Q518">
        <v>16</v>
      </c>
      <c r="R518">
        <v>53</v>
      </c>
      <c r="S518">
        <v>1.7666666666666666</v>
      </c>
      <c r="T518">
        <v>0.8</v>
      </c>
      <c r="U518">
        <v>2.1</v>
      </c>
    </row>
    <row r="519" spans="1:21" x14ac:dyDescent="0.35">
      <c r="A519">
        <v>503</v>
      </c>
      <c r="B519" s="16">
        <v>40238</v>
      </c>
      <c r="C519" s="15" t="s">
        <v>76</v>
      </c>
      <c r="D519" s="15" t="s">
        <v>58</v>
      </c>
      <c r="E519" s="15" t="s">
        <v>56</v>
      </c>
      <c r="F519" s="15" t="s">
        <v>47</v>
      </c>
      <c r="G519" s="15" t="s">
        <v>80</v>
      </c>
      <c r="H519" s="15" t="s">
        <v>42</v>
      </c>
      <c r="I519">
        <v>50</v>
      </c>
      <c r="J519">
        <v>90</v>
      </c>
      <c r="K519">
        <v>60</v>
      </c>
      <c r="L519">
        <v>140</v>
      </c>
      <c r="M519">
        <v>84</v>
      </c>
      <c r="N519">
        <v>632</v>
      </c>
      <c r="O519">
        <v>126</v>
      </c>
      <c r="P519">
        <v>27</v>
      </c>
      <c r="Q519">
        <v>68</v>
      </c>
      <c r="R519">
        <v>210</v>
      </c>
      <c r="S519">
        <v>1.5</v>
      </c>
      <c r="T519">
        <v>1.1333333333333333</v>
      </c>
      <c r="U519">
        <v>1.68</v>
      </c>
    </row>
    <row r="520" spans="1:21" x14ac:dyDescent="0.35">
      <c r="A520">
        <v>541</v>
      </c>
      <c r="B520" s="16">
        <v>40238</v>
      </c>
      <c r="C520" s="15" t="s">
        <v>76</v>
      </c>
      <c r="D520" s="15" t="s">
        <v>58</v>
      </c>
      <c r="E520" s="15" t="s">
        <v>46</v>
      </c>
      <c r="F520" s="15" t="s">
        <v>47</v>
      </c>
      <c r="G520" s="15" t="s">
        <v>80</v>
      </c>
      <c r="H520" s="15" t="s">
        <v>42</v>
      </c>
      <c r="I520">
        <v>50</v>
      </c>
      <c r="J520">
        <v>90</v>
      </c>
      <c r="K520">
        <v>60</v>
      </c>
      <c r="L520">
        <v>140</v>
      </c>
      <c r="M520">
        <v>89</v>
      </c>
      <c r="N520">
        <v>481</v>
      </c>
      <c r="O520">
        <v>125</v>
      </c>
      <c r="P520">
        <v>27</v>
      </c>
      <c r="Q520">
        <v>74</v>
      </c>
      <c r="R520">
        <v>214</v>
      </c>
      <c r="S520">
        <v>1.5285714285714285</v>
      </c>
      <c r="T520">
        <v>1.2333333333333334</v>
      </c>
      <c r="U520">
        <v>1.78</v>
      </c>
    </row>
    <row r="521" spans="1:21" x14ac:dyDescent="0.35">
      <c r="A521">
        <v>503</v>
      </c>
      <c r="B521" s="16">
        <v>40238</v>
      </c>
      <c r="C521" s="15" t="s">
        <v>76</v>
      </c>
      <c r="D521" s="15" t="s">
        <v>58</v>
      </c>
      <c r="E521" s="15" t="s">
        <v>39</v>
      </c>
      <c r="F521" s="15" t="s">
        <v>40</v>
      </c>
      <c r="G521" s="15" t="s">
        <v>80</v>
      </c>
      <c r="H521" s="15" t="s">
        <v>42</v>
      </c>
      <c r="I521">
        <v>60</v>
      </c>
      <c r="J521">
        <v>90</v>
      </c>
      <c r="K521">
        <v>30</v>
      </c>
      <c r="L521">
        <v>150</v>
      </c>
      <c r="M521">
        <v>52</v>
      </c>
      <c r="N521">
        <v>421</v>
      </c>
      <c r="O521">
        <v>73</v>
      </c>
      <c r="P521">
        <v>47</v>
      </c>
      <c r="Q521">
        <v>-3</v>
      </c>
      <c r="R521">
        <v>125</v>
      </c>
      <c r="S521">
        <v>0.83333333333333337</v>
      </c>
      <c r="T521">
        <v>-0.1</v>
      </c>
      <c r="U521">
        <v>0.8666666666666667</v>
      </c>
    </row>
    <row r="522" spans="1:21" x14ac:dyDescent="0.35">
      <c r="A522">
        <v>503</v>
      </c>
      <c r="B522" s="16">
        <v>40238</v>
      </c>
      <c r="C522" s="15" t="s">
        <v>76</v>
      </c>
      <c r="D522" s="15" t="s">
        <v>58</v>
      </c>
      <c r="E522" s="15" t="s">
        <v>43</v>
      </c>
      <c r="F522" s="15" t="s">
        <v>40</v>
      </c>
      <c r="G522" s="15" t="s">
        <v>80</v>
      </c>
      <c r="H522" s="15" t="s">
        <v>42</v>
      </c>
      <c r="I522">
        <v>70</v>
      </c>
      <c r="J522">
        <v>110</v>
      </c>
      <c r="K522">
        <v>60</v>
      </c>
      <c r="L522">
        <v>180</v>
      </c>
      <c r="M522">
        <v>62</v>
      </c>
      <c r="N522">
        <v>385</v>
      </c>
      <c r="O522">
        <v>87</v>
      </c>
      <c r="P522">
        <v>20</v>
      </c>
      <c r="Q522">
        <v>24</v>
      </c>
      <c r="R522">
        <v>149</v>
      </c>
      <c r="S522">
        <v>0.82777777777777772</v>
      </c>
      <c r="T522">
        <v>0.4</v>
      </c>
      <c r="U522">
        <v>0.88571428571428568</v>
      </c>
    </row>
    <row r="523" spans="1:21" x14ac:dyDescent="0.35">
      <c r="A523">
        <v>253</v>
      </c>
      <c r="B523" s="16">
        <v>40238</v>
      </c>
      <c r="C523" s="15" t="s">
        <v>76</v>
      </c>
      <c r="D523" s="15" t="s">
        <v>58</v>
      </c>
      <c r="E523" s="15" t="s">
        <v>72</v>
      </c>
      <c r="F523" s="15" t="s">
        <v>49</v>
      </c>
      <c r="G523" s="15" t="s">
        <v>81</v>
      </c>
      <c r="H523" s="15" t="s">
        <v>42</v>
      </c>
      <c r="I523">
        <v>40</v>
      </c>
      <c r="J523">
        <v>60</v>
      </c>
      <c r="K523">
        <v>40</v>
      </c>
      <c r="L523">
        <v>100</v>
      </c>
      <c r="M523">
        <v>49</v>
      </c>
      <c r="N523">
        <v>611</v>
      </c>
      <c r="O523">
        <v>63</v>
      </c>
      <c r="P523">
        <v>16</v>
      </c>
      <c r="Q523">
        <v>35</v>
      </c>
      <c r="R523">
        <v>112</v>
      </c>
      <c r="S523">
        <v>1.1200000000000001</v>
      </c>
      <c r="T523">
        <v>0.875</v>
      </c>
      <c r="U523">
        <v>1.2250000000000001</v>
      </c>
    </row>
    <row r="524" spans="1:21" x14ac:dyDescent="0.35">
      <c r="A524">
        <v>253</v>
      </c>
      <c r="B524" s="16">
        <v>40238</v>
      </c>
      <c r="C524" s="15" t="s">
        <v>76</v>
      </c>
      <c r="D524" s="15" t="s">
        <v>58</v>
      </c>
      <c r="E524" s="15" t="s">
        <v>48</v>
      </c>
      <c r="F524" s="15" t="s">
        <v>49</v>
      </c>
      <c r="G524" s="15" t="s">
        <v>81</v>
      </c>
      <c r="H524" s="15" t="s">
        <v>42</v>
      </c>
      <c r="I524">
        <v>50</v>
      </c>
      <c r="J524">
        <v>60</v>
      </c>
      <c r="K524">
        <v>20</v>
      </c>
      <c r="L524">
        <v>110</v>
      </c>
      <c r="M524">
        <v>54</v>
      </c>
      <c r="N524">
        <v>301</v>
      </c>
      <c r="O524">
        <v>66</v>
      </c>
      <c r="P524">
        <v>20</v>
      </c>
      <c r="Q524">
        <v>12</v>
      </c>
      <c r="R524">
        <v>120</v>
      </c>
      <c r="S524">
        <v>1.0909090909090908</v>
      </c>
      <c r="T524">
        <v>0.6</v>
      </c>
      <c r="U524">
        <v>1.08</v>
      </c>
    </row>
    <row r="525" spans="1:21" x14ac:dyDescent="0.35">
      <c r="A525">
        <v>425</v>
      </c>
      <c r="B525" s="16">
        <v>40238</v>
      </c>
      <c r="C525" s="15" t="s">
        <v>76</v>
      </c>
      <c r="D525" s="15" t="s">
        <v>58</v>
      </c>
      <c r="E525" s="15" t="s">
        <v>50</v>
      </c>
      <c r="F525" s="15" t="s">
        <v>49</v>
      </c>
      <c r="G525" s="15" t="s">
        <v>81</v>
      </c>
      <c r="H525" s="15" t="s">
        <v>45</v>
      </c>
      <c r="I525">
        <v>60</v>
      </c>
      <c r="J525">
        <v>80</v>
      </c>
      <c r="K525">
        <v>50</v>
      </c>
      <c r="L525">
        <v>140</v>
      </c>
      <c r="M525">
        <v>71</v>
      </c>
      <c r="N525">
        <v>950</v>
      </c>
      <c r="O525">
        <v>84</v>
      </c>
      <c r="P525">
        <v>22</v>
      </c>
      <c r="Q525">
        <v>40</v>
      </c>
      <c r="R525">
        <v>155</v>
      </c>
      <c r="S525">
        <v>1.1071428571428572</v>
      </c>
      <c r="T525">
        <v>0.8</v>
      </c>
      <c r="U525">
        <v>1.1833333333333333</v>
      </c>
    </row>
    <row r="526" spans="1:21" x14ac:dyDescent="0.35">
      <c r="A526">
        <v>206</v>
      </c>
      <c r="B526" s="16">
        <v>40238</v>
      </c>
      <c r="C526" s="15" t="s">
        <v>76</v>
      </c>
      <c r="D526" s="15" t="s">
        <v>58</v>
      </c>
      <c r="E526" s="15" t="s">
        <v>44</v>
      </c>
      <c r="F526" s="15" t="s">
        <v>40</v>
      </c>
      <c r="G526" s="15" t="s">
        <v>81</v>
      </c>
      <c r="H526" s="15" t="s">
        <v>45</v>
      </c>
      <c r="I526">
        <v>110</v>
      </c>
      <c r="J526">
        <v>170</v>
      </c>
      <c r="K526">
        <v>70</v>
      </c>
      <c r="L526">
        <v>280</v>
      </c>
      <c r="M526">
        <v>95</v>
      </c>
      <c r="N526">
        <v>532</v>
      </c>
      <c r="O526">
        <v>132</v>
      </c>
      <c r="P526">
        <v>86</v>
      </c>
      <c r="Q526">
        <v>16</v>
      </c>
      <c r="R526">
        <v>227</v>
      </c>
      <c r="S526">
        <v>0.81071428571428572</v>
      </c>
      <c r="T526">
        <v>0.22857142857142856</v>
      </c>
      <c r="U526">
        <v>0.86363636363636365</v>
      </c>
    </row>
    <row r="527" spans="1:21" x14ac:dyDescent="0.35">
      <c r="A527">
        <v>206</v>
      </c>
      <c r="B527" s="16">
        <v>40238</v>
      </c>
      <c r="C527" s="15" t="s">
        <v>76</v>
      </c>
      <c r="D527" s="15" t="s">
        <v>58</v>
      </c>
      <c r="E527" s="15" t="s">
        <v>51</v>
      </c>
      <c r="F527" s="15" t="s">
        <v>52</v>
      </c>
      <c r="G527" s="15" t="s">
        <v>81</v>
      </c>
      <c r="H527" s="15" t="s">
        <v>45</v>
      </c>
      <c r="I527">
        <v>100</v>
      </c>
      <c r="J527">
        <v>170</v>
      </c>
      <c r="K527">
        <v>120</v>
      </c>
      <c r="L527">
        <v>270</v>
      </c>
      <c r="M527">
        <v>123</v>
      </c>
      <c r="N527">
        <v>932</v>
      </c>
      <c r="O527">
        <v>186</v>
      </c>
      <c r="P527">
        <v>40</v>
      </c>
      <c r="Q527">
        <v>115</v>
      </c>
      <c r="R527">
        <v>309</v>
      </c>
      <c r="S527">
        <v>1.1444444444444444</v>
      </c>
      <c r="T527">
        <v>0.95833333333333337</v>
      </c>
      <c r="U527">
        <v>1.23</v>
      </c>
    </row>
    <row r="528" spans="1:21" x14ac:dyDescent="0.35">
      <c r="A528">
        <v>360</v>
      </c>
      <c r="B528" s="16">
        <v>40238</v>
      </c>
      <c r="C528" s="15" t="s">
        <v>76</v>
      </c>
      <c r="D528" s="15" t="s">
        <v>58</v>
      </c>
      <c r="E528" s="15" t="s">
        <v>53</v>
      </c>
      <c r="F528" s="15" t="s">
        <v>52</v>
      </c>
      <c r="G528" s="15" t="s">
        <v>81</v>
      </c>
      <c r="H528" s="15" t="s">
        <v>45</v>
      </c>
      <c r="I528">
        <v>20</v>
      </c>
      <c r="J528">
        <v>50</v>
      </c>
      <c r="K528">
        <v>50</v>
      </c>
      <c r="L528">
        <v>70</v>
      </c>
      <c r="M528">
        <v>33</v>
      </c>
      <c r="N528">
        <v>768</v>
      </c>
      <c r="O528">
        <v>49</v>
      </c>
      <c r="P528">
        <v>9</v>
      </c>
      <c r="Q528">
        <v>29</v>
      </c>
      <c r="R528">
        <v>82</v>
      </c>
      <c r="S528">
        <v>1.1714285714285715</v>
      </c>
      <c r="T528">
        <v>0.57999999999999996</v>
      </c>
      <c r="U528">
        <v>1.65</v>
      </c>
    </row>
    <row r="529" spans="1:21" x14ac:dyDescent="0.35">
      <c r="A529">
        <v>206</v>
      </c>
      <c r="B529" s="16">
        <v>40238</v>
      </c>
      <c r="C529" s="15" t="s">
        <v>76</v>
      </c>
      <c r="D529" s="15" t="s">
        <v>58</v>
      </c>
      <c r="E529" s="15" t="s">
        <v>55</v>
      </c>
      <c r="F529" s="15" t="s">
        <v>47</v>
      </c>
      <c r="G529" s="15" t="s">
        <v>81</v>
      </c>
      <c r="H529" s="15" t="s">
        <v>42</v>
      </c>
      <c r="I529">
        <v>40</v>
      </c>
      <c r="J529">
        <v>70</v>
      </c>
      <c r="K529">
        <v>40</v>
      </c>
      <c r="L529">
        <v>110</v>
      </c>
      <c r="M529">
        <v>62</v>
      </c>
      <c r="N529">
        <v>346</v>
      </c>
      <c r="O529">
        <v>105</v>
      </c>
      <c r="P529">
        <v>19</v>
      </c>
      <c r="Q529">
        <v>62</v>
      </c>
      <c r="R529">
        <v>167</v>
      </c>
      <c r="S529">
        <v>1.5181818181818181</v>
      </c>
      <c r="T529">
        <v>1.55</v>
      </c>
      <c r="U529">
        <v>1.55</v>
      </c>
    </row>
    <row r="530" spans="1:21" x14ac:dyDescent="0.35">
      <c r="A530">
        <v>253</v>
      </c>
      <c r="B530" s="16">
        <v>40238</v>
      </c>
      <c r="C530" s="15" t="s">
        <v>76</v>
      </c>
      <c r="D530" s="15" t="s">
        <v>58</v>
      </c>
      <c r="E530" s="15" t="s">
        <v>56</v>
      </c>
      <c r="F530" s="15" t="s">
        <v>47</v>
      </c>
      <c r="G530" s="15" t="s">
        <v>81</v>
      </c>
      <c r="H530" s="15" t="s">
        <v>42</v>
      </c>
      <c r="I530">
        <v>30</v>
      </c>
      <c r="J530">
        <v>50</v>
      </c>
      <c r="K530">
        <v>30</v>
      </c>
      <c r="L530">
        <v>80</v>
      </c>
      <c r="M530">
        <v>52</v>
      </c>
      <c r="N530">
        <v>376</v>
      </c>
      <c r="O530">
        <v>77</v>
      </c>
      <c r="P530">
        <v>16</v>
      </c>
      <c r="Q530">
        <v>38</v>
      </c>
      <c r="R530">
        <v>129</v>
      </c>
      <c r="S530">
        <v>1.6125</v>
      </c>
      <c r="T530">
        <v>1.2666666666666666</v>
      </c>
      <c r="U530">
        <v>1.7333333333333334</v>
      </c>
    </row>
    <row r="531" spans="1:21" x14ac:dyDescent="0.35">
      <c r="A531">
        <v>206</v>
      </c>
      <c r="B531" s="16">
        <v>40238</v>
      </c>
      <c r="C531" s="15" t="s">
        <v>76</v>
      </c>
      <c r="D531" s="15" t="s">
        <v>58</v>
      </c>
      <c r="E531" s="15" t="s">
        <v>46</v>
      </c>
      <c r="F531" s="15" t="s">
        <v>47</v>
      </c>
      <c r="G531" s="15" t="s">
        <v>81</v>
      </c>
      <c r="H531" s="15" t="s">
        <v>42</v>
      </c>
      <c r="I531">
        <v>40</v>
      </c>
      <c r="J531">
        <v>60</v>
      </c>
      <c r="K531">
        <v>10</v>
      </c>
      <c r="L531">
        <v>100</v>
      </c>
      <c r="M531">
        <v>63</v>
      </c>
      <c r="N531">
        <v>506</v>
      </c>
      <c r="O531">
        <v>87</v>
      </c>
      <c r="P531">
        <v>57</v>
      </c>
      <c r="Q531">
        <v>0</v>
      </c>
      <c r="R531">
        <v>150</v>
      </c>
      <c r="S531">
        <v>1.5</v>
      </c>
      <c r="T531">
        <v>0</v>
      </c>
      <c r="U531">
        <v>1.575</v>
      </c>
    </row>
    <row r="532" spans="1:21" x14ac:dyDescent="0.35">
      <c r="A532">
        <v>206</v>
      </c>
      <c r="B532" s="16">
        <v>40238</v>
      </c>
      <c r="C532" s="15" t="s">
        <v>76</v>
      </c>
      <c r="D532" s="15" t="s">
        <v>58</v>
      </c>
      <c r="E532" s="15" t="s">
        <v>43</v>
      </c>
      <c r="F532" s="15" t="s">
        <v>40</v>
      </c>
      <c r="G532" s="15" t="s">
        <v>81</v>
      </c>
      <c r="H532" s="15" t="s">
        <v>42</v>
      </c>
      <c r="I532">
        <v>70</v>
      </c>
      <c r="J532">
        <v>110</v>
      </c>
      <c r="K532">
        <v>80</v>
      </c>
      <c r="L532">
        <v>180</v>
      </c>
      <c r="M532">
        <v>61</v>
      </c>
      <c r="N532">
        <v>325</v>
      </c>
      <c r="O532">
        <v>89</v>
      </c>
      <c r="P532">
        <v>19</v>
      </c>
      <c r="Q532">
        <v>48</v>
      </c>
      <c r="R532">
        <v>150</v>
      </c>
      <c r="S532">
        <v>0.83333333333333337</v>
      </c>
      <c r="T532">
        <v>0.6</v>
      </c>
      <c r="U532">
        <v>0.87142857142857144</v>
      </c>
    </row>
    <row r="533" spans="1:21" x14ac:dyDescent="0.35">
      <c r="A533">
        <v>720</v>
      </c>
      <c r="B533" s="16">
        <v>40269</v>
      </c>
      <c r="C533" s="15" t="s">
        <v>37</v>
      </c>
      <c r="D533" s="15" t="s">
        <v>38</v>
      </c>
      <c r="E533" s="15" t="s">
        <v>39</v>
      </c>
      <c r="F533" s="15" t="s">
        <v>40</v>
      </c>
      <c r="G533" s="15" t="s">
        <v>41</v>
      </c>
      <c r="H533" s="15" t="s">
        <v>42</v>
      </c>
      <c r="I533">
        <v>90</v>
      </c>
      <c r="J533">
        <v>140</v>
      </c>
      <c r="K533">
        <v>110</v>
      </c>
      <c r="L533">
        <v>230</v>
      </c>
      <c r="M533">
        <v>91</v>
      </c>
      <c r="N533">
        <v>777</v>
      </c>
      <c r="O533">
        <v>132</v>
      </c>
      <c r="P533">
        <v>25</v>
      </c>
      <c r="Q533">
        <v>96</v>
      </c>
      <c r="R533">
        <v>223</v>
      </c>
      <c r="S533">
        <v>0.9695652173913043</v>
      </c>
      <c r="T533">
        <v>0.87272727272727268</v>
      </c>
      <c r="U533">
        <v>1.0111111111111111</v>
      </c>
    </row>
    <row r="534" spans="1:21" x14ac:dyDescent="0.35">
      <c r="A534">
        <v>970</v>
      </c>
      <c r="B534" s="16">
        <v>40269</v>
      </c>
      <c r="C534" s="15" t="s">
        <v>37</v>
      </c>
      <c r="D534" s="15" t="s">
        <v>38</v>
      </c>
      <c r="E534" s="15" t="s">
        <v>43</v>
      </c>
      <c r="F534" s="15" t="s">
        <v>40</v>
      </c>
      <c r="G534" s="15" t="s">
        <v>41</v>
      </c>
      <c r="H534" s="15" t="s">
        <v>42</v>
      </c>
      <c r="I534">
        <v>80</v>
      </c>
      <c r="J534">
        <v>100</v>
      </c>
      <c r="K534">
        <v>70</v>
      </c>
      <c r="L534">
        <v>180</v>
      </c>
      <c r="M534">
        <v>78</v>
      </c>
      <c r="N534">
        <v>593</v>
      </c>
      <c r="O534">
        <v>100</v>
      </c>
      <c r="P534">
        <v>25</v>
      </c>
      <c r="Q534">
        <v>63</v>
      </c>
      <c r="R534">
        <v>178</v>
      </c>
      <c r="S534">
        <v>0.98888888888888893</v>
      </c>
      <c r="T534">
        <v>0.9</v>
      </c>
      <c r="U534">
        <v>0.97499999999999998</v>
      </c>
    </row>
    <row r="535" spans="1:21" x14ac:dyDescent="0.35">
      <c r="A535">
        <v>303</v>
      </c>
      <c r="B535" s="16">
        <v>40269</v>
      </c>
      <c r="C535" s="15" t="s">
        <v>37</v>
      </c>
      <c r="D535" s="15" t="s">
        <v>38</v>
      </c>
      <c r="E535" s="15" t="s">
        <v>55</v>
      </c>
      <c r="F535" s="15" t="s">
        <v>47</v>
      </c>
      <c r="G535" s="15" t="s">
        <v>41</v>
      </c>
      <c r="H535" s="15" t="s">
        <v>42</v>
      </c>
      <c r="I535">
        <v>40</v>
      </c>
      <c r="J535">
        <v>60</v>
      </c>
      <c r="K535">
        <v>20</v>
      </c>
      <c r="L535">
        <v>100</v>
      </c>
      <c r="M535">
        <v>54</v>
      </c>
      <c r="N535">
        <v>337</v>
      </c>
      <c r="O535">
        <v>67</v>
      </c>
      <c r="P535">
        <v>20</v>
      </c>
      <c r="Q535">
        <v>13</v>
      </c>
      <c r="R535">
        <v>121</v>
      </c>
      <c r="S535">
        <v>1.21</v>
      </c>
      <c r="T535">
        <v>0.65</v>
      </c>
      <c r="U535">
        <v>1.35</v>
      </c>
    </row>
    <row r="536" spans="1:21" x14ac:dyDescent="0.35">
      <c r="A536">
        <v>719</v>
      </c>
      <c r="B536" s="16">
        <v>40269</v>
      </c>
      <c r="C536" s="15" t="s">
        <v>37</v>
      </c>
      <c r="D536" s="15" t="s">
        <v>38</v>
      </c>
      <c r="E536" s="15" t="s">
        <v>56</v>
      </c>
      <c r="F536" s="15" t="s">
        <v>47</v>
      </c>
      <c r="G536" s="15" t="s">
        <v>41</v>
      </c>
      <c r="H536" s="15" t="s">
        <v>42</v>
      </c>
      <c r="I536">
        <v>50</v>
      </c>
      <c r="J536">
        <v>70</v>
      </c>
      <c r="K536">
        <v>40</v>
      </c>
      <c r="L536">
        <v>120</v>
      </c>
      <c r="M536">
        <v>63</v>
      </c>
      <c r="N536">
        <v>965</v>
      </c>
      <c r="O536">
        <v>75</v>
      </c>
      <c r="P536">
        <v>19</v>
      </c>
      <c r="Q536">
        <v>34</v>
      </c>
      <c r="R536">
        <v>138</v>
      </c>
      <c r="S536">
        <v>1.1499999999999999</v>
      </c>
      <c r="T536">
        <v>0.85</v>
      </c>
      <c r="U536">
        <v>1.26</v>
      </c>
    </row>
    <row r="537" spans="1:21" x14ac:dyDescent="0.35">
      <c r="A537">
        <v>303</v>
      </c>
      <c r="B537" s="16">
        <v>40269</v>
      </c>
      <c r="C537" s="15" t="s">
        <v>37</v>
      </c>
      <c r="D537" s="15" t="s">
        <v>38</v>
      </c>
      <c r="E537" s="15" t="s">
        <v>46</v>
      </c>
      <c r="F537" s="15" t="s">
        <v>47</v>
      </c>
      <c r="G537" s="15" t="s">
        <v>41</v>
      </c>
      <c r="H537" s="15" t="s">
        <v>42</v>
      </c>
      <c r="I537">
        <v>30</v>
      </c>
      <c r="J537">
        <v>60</v>
      </c>
      <c r="K537">
        <v>40</v>
      </c>
      <c r="L537">
        <v>90</v>
      </c>
      <c r="M537">
        <v>46</v>
      </c>
      <c r="N537">
        <v>608</v>
      </c>
      <c r="O537">
        <v>60</v>
      </c>
      <c r="P537">
        <v>15</v>
      </c>
      <c r="Q537">
        <v>32</v>
      </c>
      <c r="R537">
        <v>106</v>
      </c>
      <c r="S537">
        <v>1.1777777777777778</v>
      </c>
      <c r="T537">
        <v>0.8</v>
      </c>
      <c r="U537">
        <v>1.5333333333333334</v>
      </c>
    </row>
    <row r="538" spans="1:21" x14ac:dyDescent="0.35">
      <c r="A538">
        <v>720</v>
      </c>
      <c r="B538" s="16">
        <v>40269</v>
      </c>
      <c r="C538" s="15" t="s">
        <v>37</v>
      </c>
      <c r="D538" s="15" t="s">
        <v>38</v>
      </c>
      <c r="E538" s="15" t="s">
        <v>48</v>
      </c>
      <c r="F538" s="15" t="s">
        <v>49</v>
      </c>
      <c r="G538" s="15" t="s">
        <v>41</v>
      </c>
      <c r="H538" s="15" t="s">
        <v>42</v>
      </c>
      <c r="I538">
        <v>90</v>
      </c>
      <c r="J538">
        <v>140</v>
      </c>
      <c r="K538">
        <v>110</v>
      </c>
      <c r="L538">
        <v>230</v>
      </c>
      <c r="M538">
        <v>81</v>
      </c>
      <c r="N538">
        <v>460</v>
      </c>
      <c r="O538">
        <v>117</v>
      </c>
      <c r="P538">
        <v>22</v>
      </c>
      <c r="Q538">
        <v>84</v>
      </c>
      <c r="R538">
        <v>198</v>
      </c>
      <c r="S538">
        <v>0.86086956521739133</v>
      </c>
      <c r="T538">
        <v>0.76363636363636367</v>
      </c>
      <c r="U538">
        <v>0.9</v>
      </c>
    </row>
    <row r="539" spans="1:21" x14ac:dyDescent="0.35">
      <c r="A539">
        <v>719</v>
      </c>
      <c r="B539" s="16">
        <v>40269</v>
      </c>
      <c r="C539" s="15" t="s">
        <v>37</v>
      </c>
      <c r="D539" s="15" t="s">
        <v>38</v>
      </c>
      <c r="E539" s="15" t="s">
        <v>50</v>
      </c>
      <c r="F539" s="15" t="s">
        <v>49</v>
      </c>
      <c r="G539" s="15" t="s">
        <v>41</v>
      </c>
      <c r="H539" s="15" t="s">
        <v>45</v>
      </c>
      <c r="I539">
        <v>70</v>
      </c>
      <c r="J539">
        <v>130</v>
      </c>
      <c r="K539">
        <v>80</v>
      </c>
      <c r="L539">
        <v>200</v>
      </c>
      <c r="M539">
        <v>68</v>
      </c>
      <c r="N539">
        <v>559</v>
      </c>
      <c r="O539">
        <v>102</v>
      </c>
      <c r="P539">
        <v>22</v>
      </c>
      <c r="Q539">
        <v>48</v>
      </c>
      <c r="R539">
        <v>170</v>
      </c>
      <c r="S539">
        <v>0.85</v>
      </c>
      <c r="T539">
        <v>0.6</v>
      </c>
      <c r="U539">
        <v>0.97142857142857142</v>
      </c>
    </row>
    <row r="540" spans="1:21" x14ac:dyDescent="0.35">
      <c r="A540">
        <v>303</v>
      </c>
      <c r="B540" s="16">
        <v>40269</v>
      </c>
      <c r="C540" s="15" t="s">
        <v>37</v>
      </c>
      <c r="D540" s="15" t="s">
        <v>38</v>
      </c>
      <c r="E540" s="15" t="s">
        <v>44</v>
      </c>
      <c r="F540" s="15" t="s">
        <v>40</v>
      </c>
      <c r="G540" s="15" t="s">
        <v>41</v>
      </c>
      <c r="H540" s="15" t="s">
        <v>45</v>
      </c>
      <c r="I540">
        <v>100</v>
      </c>
      <c r="J540">
        <v>150</v>
      </c>
      <c r="K540">
        <v>120</v>
      </c>
      <c r="L540">
        <v>250</v>
      </c>
      <c r="M540">
        <v>100</v>
      </c>
      <c r="N540">
        <v>822</v>
      </c>
      <c r="O540">
        <v>145</v>
      </c>
      <c r="P540">
        <v>28</v>
      </c>
      <c r="Q540">
        <v>105</v>
      </c>
      <c r="R540">
        <v>245</v>
      </c>
      <c r="S540">
        <v>0.98</v>
      </c>
      <c r="T540">
        <v>0.875</v>
      </c>
      <c r="U540">
        <v>1</v>
      </c>
    </row>
    <row r="541" spans="1:21" x14ac:dyDescent="0.35">
      <c r="A541">
        <v>303</v>
      </c>
      <c r="B541" s="16">
        <v>40269</v>
      </c>
      <c r="C541" s="15" t="s">
        <v>37</v>
      </c>
      <c r="D541" s="15" t="s">
        <v>38</v>
      </c>
      <c r="E541" s="15" t="s">
        <v>51</v>
      </c>
      <c r="F541" s="15" t="s">
        <v>52</v>
      </c>
      <c r="G541" s="15" t="s">
        <v>41</v>
      </c>
      <c r="H541" s="15" t="s">
        <v>45</v>
      </c>
      <c r="I541">
        <v>130</v>
      </c>
      <c r="J541">
        <v>150</v>
      </c>
      <c r="K541">
        <v>100</v>
      </c>
      <c r="L541">
        <v>280</v>
      </c>
      <c r="M541">
        <v>162</v>
      </c>
      <c r="N541">
        <v>1091</v>
      </c>
      <c r="O541">
        <v>163</v>
      </c>
      <c r="P541">
        <v>45</v>
      </c>
      <c r="Q541">
        <v>94</v>
      </c>
      <c r="R541">
        <v>325</v>
      </c>
      <c r="S541">
        <v>1.1607142857142858</v>
      </c>
      <c r="T541">
        <v>0.94</v>
      </c>
      <c r="U541">
        <v>1.2461538461538462</v>
      </c>
    </row>
    <row r="542" spans="1:21" x14ac:dyDescent="0.35">
      <c r="A542">
        <v>719</v>
      </c>
      <c r="B542" s="16">
        <v>40269</v>
      </c>
      <c r="C542" s="15" t="s">
        <v>37</v>
      </c>
      <c r="D542" s="15" t="s">
        <v>38</v>
      </c>
      <c r="E542" s="15" t="s">
        <v>53</v>
      </c>
      <c r="F542" s="15" t="s">
        <v>52</v>
      </c>
      <c r="G542" s="15" t="s">
        <v>41</v>
      </c>
      <c r="H542" s="15" t="s">
        <v>45</v>
      </c>
      <c r="I542">
        <v>40</v>
      </c>
      <c r="J542">
        <v>70</v>
      </c>
      <c r="K542">
        <v>20</v>
      </c>
      <c r="L542">
        <v>110</v>
      </c>
      <c r="M542">
        <v>52</v>
      </c>
      <c r="N542">
        <v>433</v>
      </c>
      <c r="O542">
        <v>73</v>
      </c>
      <c r="P542">
        <v>47</v>
      </c>
      <c r="Q542">
        <v>-4</v>
      </c>
      <c r="R542">
        <v>125</v>
      </c>
      <c r="S542">
        <v>1.1363636363636365</v>
      </c>
      <c r="T542">
        <v>-0.2</v>
      </c>
      <c r="U542">
        <v>1.3</v>
      </c>
    </row>
    <row r="543" spans="1:21" x14ac:dyDescent="0.35">
      <c r="A543">
        <v>719</v>
      </c>
      <c r="B543" s="16">
        <v>40269</v>
      </c>
      <c r="C543" s="15" t="s">
        <v>37</v>
      </c>
      <c r="D543" s="15" t="s">
        <v>38</v>
      </c>
      <c r="E543" s="15" t="s">
        <v>54</v>
      </c>
      <c r="F543" s="15" t="s">
        <v>52</v>
      </c>
      <c r="G543" s="15" t="s">
        <v>41</v>
      </c>
      <c r="H543" s="15" t="s">
        <v>45</v>
      </c>
      <c r="I543">
        <v>40</v>
      </c>
      <c r="J543">
        <v>70</v>
      </c>
      <c r="K543">
        <v>40</v>
      </c>
      <c r="L543">
        <v>110</v>
      </c>
      <c r="M543">
        <v>55</v>
      </c>
      <c r="N543">
        <v>336</v>
      </c>
      <c r="O543">
        <v>74</v>
      </c>
      <c r="P543">
        <v>18</v>
      </c>
      <c r="Q543">
        <v>29</v>
      </c>
      <c r="R543">
        <v>129</v>
      </c>
      <c r="S543">
        <v>1.1727272727272726</v>
      </c>
      <c r="T543">
        <v>0.72499999999999998</v>
      </c>
      <c r="U543">
        <v>1.375</v>
      </c>
    </row>
    <row r="544" spans="1:21" x14ac:dyDescent="0.35">
      <c r="A544">
        <v>217</v>
      </c>
      <c r="B544" s="16">
        <v>40269</v>
      </c>
      <c r="C544" s="15" t="s">
        <v>37</v>
      </c>
      <c r="D544" s="15" t="s">
        <v>38</v>
      </c>
      <c r="E544" s="15" t="s">
        <v>43</v>
      </c>
      <c r="F544" s="15" t="s">
        <v>40</v>
      </c>
      <c r="G544" s="15" t="s">
        <v>57</v>
      </c>
      <c r="H544" s="15" t="s">
        <v>42</v>
      </c>
      <c r="I544">
        <v>200</v>
      </c>
      <c r="J544">
        <v>270</v>
      </c>
      <c r="K544">
        <v>170</v>
      </c>
      <c r="L544">
        <v>470</v>
      </c>
      <c r="M544">
        <v>191</v>
      </c>
      <c r="N544">
        <v>865</v>
      </c>
      <c r="O544">
        <v>265</v>
      </c>
      <c r="P544">
        <v>63</v>
      </c>
      <c r="Q544">
        <v>156</v>
      </c>
      <c r="R544">
        <v>456</v>
      </c>
      <c r="S544">
        <v>0.97021276595744677</v>
      </c>
      <c r="T544">
        <v>0.91764705882352937</v>
      </c>
      <c r="U544">
        <v>0.95499999999999996</v>
      </c>
    </row>
    <row r="545" spans="1:21" x14ac:dyDescent="0.35">
      <c r="A545">
        <v>815</v>
      </c>
      <c r="B545" s="16">
        <v>40269</v>
      </c>
      <c r="C545" s="15" t="s">
        <v>37</v>
      </c>
      <c r="D545" s="15" t="s">
        <v>38</v>
      </c>
      <c r="E545" s="15" t="s">
        <v>55</v>
      </c>
      <c r="F545" s="15" t="s">
        <v>47</v>
      </c>
      <c r="G545" s="15" t="s">
        <v>57</v>
      </c>
      <c r="H545" s="15" t="s">
        <v>42</v>
      </c>
      <c r="I545">
        <v>60</v>
      </c>
      <c r="J545">
        <v>110</v>
      </c>
      <c r="K545">
        <v>80</v>
      </c>
      <c r="L545">
        <v>170</v>
      </c>
      <c r="M545">
        <v>81</v>
      </c>
      <c r="N545">
        <v>460</v>
      </c>
      <c r="O545">
        <v>117</v>
      </c>
      <c r="P545">
        <v>22</v>
      </c>
      <c r="Q545">
        <v>83</v>
      </c>
      <c r="R545">
        <v>198</v>
      </c>
      <c r="S545">
        <v>1.1647058823529413</v>
      </c>
      <c r="T545">
        <v>1.0375000000000001</v>
      </c>
      <c r="U545">
        <v>1.35</v>
      </c>
    </row>
    <row r="546" spans="1:21" x14ac:dyDescent="0.35">
      <c r="A546">
        <v>630</v>
      </c>
      <c r="B546" s="16">
        <v>40269</v>
      </c>
      <c r="C546" s="15" t="s">
        <v>37</v>
      </c>
      <c r="D546" s="15" t="s">
        <v>38</v>
      </c>
      <c r="E546" s="15" t="s">
        <v>56</v>
      </c>
      <c r="F546" s="15" t="s">
        <v>47</v>
      </c>
      <c r="G546" s="15" t="s">
        <v>57</v>
      </c>
      <c r="H546" s="15" t="s">
        <v>42</v>
      </c>
      <c r="I546">
        <v>50</v>
      </c>
      <c r="J546">
        <v>90</v>
      </c>
      <c r="K546">
        <v>40</v>
      </c>
      <c r="L546">
        <v>140</v>
      </c>
      <c r="M546">
        <v>68</v>
      </c>
      <c r="N546">
        <v>559</v>
      </c>
      <c r="O546">
        <v>102</v>
      </c>
      <c r="P546">
        <v>22</v>
      </c>
      <c r="Q546">
        <v>49</v>
      </c>
      <c r="R546">
        <v>170</v>
      </c>
      <c r="S546">
        <v>1.2142857142857142</v>
      </c>
      <c r="T546">
        <v>1.2250000000000001</v>
      </c>
      <c r="U546">
        <v>1.36</v>
      </c>
    </row>
    <row r="547" spans="1:21" x14ac:dyDescent="0.35">
      <c r="A547">
        <v>217</v>
      </c>
      <c r="B547" s="16">
        <v>40269</v>
      </c>
      <c r="C547" s="15" t="s">
        <v>37</v>
      </c>
      <c r="D547" s="15" t="s">
        <v>38</v>
      </c>
      <c r="E547" s="15" t="s">
        <v>48</v>
      </c>
      <c r="F547" s="15" t="s">
        <v>49</v>
      </c>
      <c r="G547" s="15" t="s">
        <v>57</v>
      </c>
      <c r="H547" s="15" t="s">
        <v>42</v>
      </c>
      <c r="I547">
        <v>290</v>
      </c>
      <c r="J547">
        <v>400</v>
      </c>
      <c r="K547">
        <v>280</v>
      </c>
      <c r="L547">
        <v>690</v>
      </c>
      <c r="M547">
        <v>252</v>
      </c>
      <c r="N547">
        <v>1316</v>
      </c>
      <c r="O547">
        <v>335</v>
      </c>
      <c r="P547">
        <v>83</v>
      </c>
      <c r="Q547">
        <v>220</v>
      </c>
      <c r="R547">
        <v>587</v>
      </c>
      <c r="S547">
        <v>0.85072463768115947</v>
      </c>
      <c r="T547">
        <v>0.7857142857142857</v>
      </c>
      <c r="U547">
        <v>0.86896551724137927</v>
      </c>
    </row>
    <row r="548" spans="1:21" x14ac:dyDescent="0.35">
      <c r="A548">
        <v>217</v>
      </c>
      <c r="B548" s="16">
        <v>40269</v>
      </c>
      <c r="C548" s="15" t="s">
        <v>37</v>
      </c>
      <c r="D548" s="15" t="s">
        <v>38</v>
      </c>
      <c r="E548" s="15" t="s">
        <v>50</v>
      </c>
      <c r="F548" s="15" t="s">
        <v>49</v>
      </c>
      <c r="G548" s="15" t="s">
        <v>57</v>
      </c>
      <c r="H548" s="15" t="s">
        <v>45</v>
      </c>
      <c r="I548">
        <v>270</v>
      </c>
      <c r="J548">
        <v>290</v>
      </c>
      <c r="K548">
        <v>200</v>
      </c>
      <c r="L548">
        <v>560</v>
      </c>
      <c r="M548">
        <v>239</v>
      </c>
      <c r="N548">
        <v>1464</v>
      </c>
      <c r="O548">
        <v>239</v>
      </c>
      <c r="P548">
        <v>66</v>
      </c>
      <c r="Q548">
        <v>149</v>
      </c>
      <c r="R548">
        <v>478</v>
      </c>
      <c r="S548">
        <v>0.85357142857142854</v>
      </c>
      <c r="T548">
        <v>0.745</v>
      </c>
      <c r="U548">
        <v>0.88518518518518519</v>
      </c>
    </row>
    <row r="549" spans="1:21" x14ac:dyDescent="0.35">
      <c r="A549">
        <v>309</v>
      </c>
      <c r="B549" s="16">
        <v>40269</v>
      </c>
      <c r="C549" s="15" t="s">
        <v>37</v>
      </c>
      <c r="D549" s="15" t="s">
        <v>38</v>
      </c>
      <c r="E549" s="15" t="s">
        <v>44</v>
      </c>
      <c r="F549" s="15" t="s">
        <v>40</v>
      </c>
      <c r="G549" s="15" t="s">
        <v>57</v>
      </c>
      <c r="H549" s="15" t="s">
        <v>45</v>
      </c>
      <c r="I549">
        <v>130</v>
      </c>
      <c r="J549">
        <v>180</v>
      </c>
      <c r="K549">
        <v>130</v>
      </c>
      <c r="L549">
        <v>310</v>
      </c>
      <c r="M549">
        <v>123</v>
      </c>
      <c r="N549">
        <v>611</v>
      </c>
      <c r="O549">
        <v>178</v>
      </c>
      <c r="P549">
        <v>39</v>
      </c>
      <c r="Q549">
        <v>116</v>
      </c>
      <c r="R549">
        <v>301</v>
      </c>
      <c r="S549">
        <v>0.97096774193548385</v>
      </c>
      <c r="T549">
        <v>0.89230769230769236</v>
      </c>
      <c r="U549">
        <v>0.94615384615384612</v>
      </c>
    </row>
    <row r="550" spans="1:21" x14ac:dyDescent="0.35">
      <c r="A550">
        <v>224</v>
      </c>
      <c r="B550" s="16">
        <v>40269</v>
      </c>
      <c r="C550" s="15" t="s">
        <v>37</v>
      </c>
      <c r="D550" s="15" t="s">
        <v>38</v>
      </c>
      <c r="E550" s="15" t="s">
        <v>51</v>
      </c>
      <c r="F550" s="15" t="s">
        <v>52</v>
      </c>
      <c r="G550" s="15" t="s">
        <v>57</v>
      </c>
      <c r="H550" s="15" t="s">
        <v>45</v>
      </c>
      <c r="I550">
        <v>70</v>
      </c>
      <c r="J550">
        <v>120</v>
      </c>
      <c r="K550">
        <v>100</v>
      </c>
      <c r="L550">
        <v>190</v>
      </c>
      <c r="M550">
        <v>91</v>
      </c>
      <c r="N550">
        <v>777</v>
      </c>
      <c r="O550">
        <v>132</v>
      </c>
      <c r="P550">
        <v>25</v>
      </c>
      <c r="Q550">
        <v>95</v>
      </c>
      <c r="R550">
        <v>223</v>
      </c>
      <c r="S550">
        <v>1.1736842105263159</v>
      </c>
      <c r="T550">
        <v>0.95</v>
      </c>
      <c r="U550">
        <v>1.3</v>
      </c>
    </row>
    <row r="551" spans="1:21" x14ac:dyDescent="0.35">
      <c r="A551">
        <v>224</v>
      </c>
      <c r="B551" s="16">
        <v>40269</v>
      </c>
      <c r="C551" s="15" t="s">
        <v>37</v>
      </c>
      <c r="D551" s="15" t="s">
        <v>38</v>
      </c>
      <c r="E551" s="15" t="s">
        <v>53</v>
      </c>
      <c r="F551" s="15" t="s">
        <v>52</v>
      </c>
      <c r="G551" s="15" t="s">
        <v>57</v>
      </c>
      <c r="H551" s="15" t="s">
        <v>45</v>
      </c>
      <c r="I551">
        <v>60</v>
      </c>
      <c r="J551">
        <v>90</v>
      </c>
      <c r="K551">
        <v>60</v>
      </c>
      <c r="L551">
        <v>150</v>
      </c>
      <c r="M551">
        <v>78</v>
      </c>
      <c r="N551">
        <v>593</v>
      </c>
      <c r="O551">
        <v>100</v>
      </c>
      <c r="P551">
        <v>25</v>
      </c>
      <c r="Q551">
        <v>62</v>
      </c>
      <c r="R551">
        <v>178</v>
      </c>
      <c r="S551">
        <v>1.1866666666666668</v>
      </c>
      <c r="T551">
        <v>1.0333333333333334</v>
      </c>
      <c r="U551">
        <v>1.3</v>
      </c>
    </row>
    <row r="552" spans="1:21" x14ac:dyDescent="0.35">
      <c r="A552">
        <v>618</v>
      </c>
      <c r="B552" s="16">
        <v>40269</v>
      </c>
      <c r="C552" s="15" t="s">
        <v>37</v>
      </c>
      <c r="D552" s="15" t="s">
        <v>38</v>
      </c>
      <c r="E552" s="15" t="s">
        <v>54</v>
      </c>
      <c r="F552" s="15" t="s">
        <v>52</v>
      </c>
      <c r="G552" s="15" t="s">
        <v>57</v>
      </c>
      <c r="H552" s="15" t="s">
        <v>45</v>
      </c>
      <c r="I552">
        <v>80</v>
      </c>
      <c r="J552">
        <v>130</v>
      </c>
      <c r="K552">
        <v>110</v>
      </c>
      <c r="L552">
        <v>210</v>
      </c>
      <c r="M552">
        <v>100</v>
      </c>
      <c r="N552">
        <v>822</v>
      </c>
      <c r="O552">
        <v>145</v>
      </c>
      <c r="P552">
        <v>28</v>
      </c>
      <c r="Q552">
        <v>106</v>
      </c>
      <c r="R552">
        <v>245</v>
      </c>
      <c r="S552">
        <v>1.1666666666666667</v>
      </c>
      <c r="T552">
        <v>0.96363636363636362</v>
      </c>
      <c r="U552">
        <v>1.25</v>
      </c>
    </row>
    <row r="553" spans="1:21" x14ac:dyDescent="0.35">
      <c r="A553">
        <v>515</v>
      </c>
      <c r="B553" s="16">
        <v>40269</v>
      </c>
      <c r="C553" s="15" t="s">
        <v>37</v>
      </c>
      <c r="D553" s="15" t="s">
        <v>58</v>
      </c>
      <c r="E553" s="15" t="s">
        <v>39</v>
      </c>
      <c r="F553" s="15" t="s">
        <v>40</v>
      </c>
      <c r="G553" s="15" t="s">
        <v>59</v>
      </c>
      <c r="H553" s="15" t="s">
        <v>42</v>
      </c>
      <c r="I553">
        <v>20</v>
      </c>
      <c r="J553">
        <v>20</v>
      </c>
      <c r="K553">
        <v>10</v>
      </c>
      <c r="L553">
        <v>40</v>
      </c>
      <c r="M553">
        <v>19</v>
      </c>
      <c r="N553">
        <v>820</v>
      </c>
      <c r="O553">
        <v>28</v>
      </c>
      <c r="P553">
        <v>5</v>
      </c>
      <c r="Q553">
        <v>11</v>
      </c>
      <c r="R553">
        <v>47</v>
      </c>
      <c r="S553">
        <v>1.175</v>
      </c>
      <c r="T553">
        <v>1.1000000000000001</v>
      </c>
      <c r="U553">
        <v>0.95</v>
      </c>
    </row>
    <row r="554" spans="1:21" x14ac:dyDescent="0.35">
      <c r="A554">
        <v>319</v>
      </c>
      <c r="B554" s="16">
        <v>40269</v>
      </c>
      <c r="C554" s="15" t="s">
        <v>37</v>
      </c>
      <c r="D554" s="15" t="s">
        <v>58</v>
      </c>
      <c r="E554" s="15" t="s">
        <v>55</v>
      </c>
      <c r="F554" s="15" t="s">
        <v>47</v>
      </c>
      <c r="G554" s="15" t="s">
        <v>59</v>
      </c>
      <c r="H554" s="15" t="s">
        <v>42</v>
      </c>
      <c r="I554">
        <v>200</v>
      </c>
      <c r="J554">
        <v>220</v>
      </c>
      <c r="K554">
        <v>140</v>
      </c>
      <c r="L554">
        <v>420</v>
      </c>
      <c r="M554">
        <v>239</v>
      </c>
      <c r="N554">
        <v>1464</v>
      </c>
      <c r="O554">
        <v>239</v>
      </c>
      <c r="P554">
        <v>66</v>
      </c>
      <c r="Q554">
        <v>148</v>
      </c>
      <c r="R554">
        <v>478</v>
      </c>
      <c r="S554">
        <v>1.138095238095238</v>
      </c>
      <c r="T554">
        <v>1.0571428571428572</v>
      </c>
      <c r="U554">
        <v>1.1950000000000001</v>
      </c>
    </row>
    <row r="555" spans="1:21" x14ac:dyDescent="0.35">
      <c r="A555">
        <v>515</v>
      </c>
      <c r="B555" s="16">
        <v>40269</v>
      </c>
      <c r="C555" s="15" t="s">
        <v>37</v>
      </c>
      <c r="D555" s="15" t="s">
        <v>58</v>
      </c>
      <c r="E555" s="15" t="s">
        <v>56</v>
      </c>
      <c r="F555" s="15" t="s">
        <v>47</v>
      </c>
      <c r="G555" s="15" t="s">
        <v>59</v>
      </c>
      <c r="H555" s="15" t="s">
        <v>42</v>
      </c>
      <c r="I555">
        <v>220</v>
      </c>
      <c r="J555">
        <v>280</v>
      </c>
      <c r="K555">
        <v>160</v>
      </c>
      <c r="L555">
        <v>500</v>
      </c>
      <c r="M555">
        <v>260</v>
      </c>
      <c r="N555">
        <v>1423</v>
      </c>
      <c r="O555">
        <v>318</v>
      </c>
      <c r="P555">
        <v>98</v>
      </c>
      <c r="Q555">
        <v>186</v>
      </c>
      <c r="R555">
        <v>578</v>
      </c>
      <c r="S555">
        <v>1.1559999999999999</v>
      </c>
      <c r="T555">
        <v>1.1625000000000001</v>
      </c>
      <c r="U555">
        <v>1.1818181818181819</v>
      </c>
    </row>
    <row r="556" spans="1:21" x14ac:dyDescent="0.35">
      <c r="A556">
        <v>563</v>
      </c>
      <c r="B556" s="16">
        <v>40269</v>
      </c>
      <c r="C556" s="15" t="s">
        <v>37</v>
      </c>
      <c r="D556" s="15" t="s">
        <v>58</v>
      </c>
      <c r="E556" s="15" t="s">
        <v>48</v>
      </c>
      <c r="F556" s="15" t="s">
        <v>49</v>
      </c>
      <c r="G556" s="15" t="s">
        <v>59</v>
      </c>
      <c r="H556" s="15" t="s">
        <v>42</v>
      </c>
      <c r="I556">
        <v>10</v>
      </c>
      <c r="J556">
        <v>40</v>
      </c>
      <c r="K556">
        <v>30</v>
      </c>
      <c r="L556">
        <v>50</v>
      </c>
      <c r="M556">
        <v>17</v>
      </c>
      <c r="N556">
        <v>776</v>
      </c>
      <c r="O556">
        <v>26</v>
      </c>
      <c r="P556">
        <v>4</v>
      </c>
      <c r="Q556">
        <v>10</v>
      </c>
      <c r="R556">
        <v>43</v>
      </c>
      <c r="S556">
        <v>0.86</v>
      </c>
      <c r="T556">
        <v>0.33333333333333331</v>
      </c>
      <c r="U556">
        <v>1.7</v>
      </c>
    </row>
    <row r="557" spans="1:21" x14ac:dyDescent="0.35">
      <c r="A557">
        <v>712</v>
      </c>
      <c r="B557" s="16">
        <v>40269</v>
      </c>
      <c r="C557" s="15" t="s">
        <v>37</v>
      </c>
      <c r="D557" s="15" t="s">
        <v>58</v>
      </c>
      <c r="E557" s="15" t="s">
        <v>50</v>
      </c>
      <c r="F557" s="15" t="s">
        <v>49</v>
      </c>
      <c r="G557" s="15" t="s">
        <v>59</v>
      </c>
      <c r="H557" s="15" t="s">
        <v>45</v>
      </c>
      <c r="I557">
        <v>0</v>
      </c>
      <c r="J557">
        <v>50</v>
      </c>
      <c r="K557">
        <v>40</v>
      </c>
      <c r="L557">
        <v>50</v>
      </c>
      <c r="M557">
        <v>0</v>
      </c>
      <c r="N557">
        <v>688</v>
      </c>
      <c r="O557">
        <v>43</v>
      </c>
      <c r="P557">
        <v>0</v>
      </c>
      <c r="Q557">
        <v>32</v>
      </c>
      <c r="R557">
        <v>43</v>
      </c>
      <c r="S557">
        <v>0.86</v>
      </c>
      <c r="T557">
        <v>0.8</v>
      </c>
    </row>
    <row r="558" spans="1:21" x14ac:dyDescent="0.35">
      <c r="A558">
        <v>515</v>
      </c>
      <c r="B558" s="16">
        <v>40269</v>
      </c>
      <c r="C558" s="15" t="s">
        <v>37</v>
      </c>
      <c r="D558" s="15" t="s">
        <v>58</v>
      </c>
      <c r="E558" s="15" t="s">
        <v>43</v>
      </c>
      <c r="F558" s="15" t="s">
        <v>40</v>
      </c>
      <c r="G558" s="15" t="s">
        <v>59</v>
      </c>
      <c r="H558" s="15" t="s">
        <v>42</v>
      </c>
      <c r="I558">
        <v>20</v>
      </c>
      <c r="J558">
        <v>40</v>
      </c>
      <c r="K558">
        <v>20</v>
      </c>
      <c r="L558">
        <v>60</v>
      </c>
      <c r="M558">
        <v>28</v>
      </c>
      <c r="N558">
        <v>964</v>
      </c>
      <c r="O558">
        <v>33</v>
      </c>
      <c r="P558">
        <v>8</v>
      </c>
      <c r="Q558">
        <v>3</v>
      </c>
      <c r="R558">
        <v>61</v>
      </c>
      <c r="S558">
        <v>1.0166666666666666</v>
      </c>
      <c r="T558">
        <v>0.15</v>
      </c>
      <c r="U558">
        <v>1.4</v>
      </c>
    </row>
    <row r="559" spans="1:21" x14ac:dyDescent="0.35">
      <c r="A559">
        <v>319</v>
      </c>
      <c r="B559" s="16">
        <v>40269</v>
      </c>
      <c r="C559" s="15" t="s">
        <v>37</v>
      </c>
      <c r="D559" s="15" t="s">
        <v>58</v>
      </c>
      <c r="E559" s="15" t="s">
        <v>44</v>
      </c>
      <c r="F559" s="15" t="s">
        <v>40</v>
      </c>
      <c r="G559" s="15" t="s">
        <v>59</v>
      </c>
      <c r="H559" s="15" t="s">
        <v>45</v>
      </c>
      <c r="I559">
        <v>20</v>
      </c>
      <c r="J559">
        <v>30</v>
      </c>
      <c r="K559">
        <v>20</v>
      </c>
      <c r="L559">
        <v>50</v>
      </c>
      <c r="M559">
        <v>21</v>
      </c>
      <c r="N559">
        <v>614</v>
      </c>
      <c r="O559">
        <v>28</v>
      </c>
      <c r="P559">
        <v>6</v>
      </c>
      <c r="Q559">
        <v>9</v>
      </c>
      <c r="R559">
        <v>49</v>
      </c>
      <c r="S559">
        <v>0.98</v>
      </c>
      <c r="T559">
        <v>0.45</v>
      </c>
      <c r="U559">
        <v>1.05</v>
      </c>
    </row>
    <row r="560" spans="1:21" x14ac:dyDescent="0.35">
      <c r="A560">
        <v>563</v>
      </c>
      <c r="B560" s="16">
        <v>40269</v>
      </c>
      <c r="C560" s="15" t="s">
        <v>37</v>
      </c>
      <c r="D560" s="15" t="s">
        <v>58</v>
      </c>
      <c r="E560" s="15" t="s">
        <v>51</v>
      </c>
      <c r="F560" s="15" t="s">
        <v>52</v>
      </c>
      <c r="G560" s="15" t="s">
        <v>59</v>
      </c>
      <c r="H560" s="15" t="s">
        <v>45</v>
      </c>
      <c r="I560">
        <v>210</v>
      </c>
      <c r="J560">
        <v>300</v>
      </c>
      <c r="K560">
        <v>210</v>
      </c>
      <c r="L560">
        <v>510</v>
      </c>
      <c r="M560">
        <v>252</v>
      </c>
      <c r="N560">
        <v>1316</v>
      </c>
      <c r="O560">
        <v>335</v>
      </c>
      <c r="P560">
        <v>83</v>
      </c>
      <c r="Q560">
        <v>220</v>
      </c>
      <c r="R560">
        <v>587</v>
      </c>
      <c r="S560">
        <v>1.1509803921568627</v>
      </c>
      <c r="T560">
        <v>1.0476190476190477</v>
      </c>
      <c r="U560">
        <v>1.2</v>
      </c>
    </row>
    <row r="561" spans="1:21" x14ac:dyDescent="0.35">
      <c r="A561">
        <v>319</v>
      </c>
      <c r="B561" s="16">
        <v>40269</v>
      </c>
      <c r="C561" s="15" t="s">
        <v>37</v>
      </c>
      <c r="D561" s="15" t="s">
        <v>58</v>
      </c>
      <c r="E561" s="15" t="s">
        <v>53</v>
      </c>
      <c r="F561" s="15" t="s">
        <v>52</v>
      </c>
      <c r="G561" s="15" t="s">
        <v>59</v>
      </c>
      <c r="H561" s="15" t="s">
        <v>45</v>
      </c>
      <c r="I561">
        <v>100</v>
      </c>
      <c r="J561">
        <v>160</v>
      </c>
      <c r="K561">
        <v>120</v>
      </c>
      <c r="L561">
        <v>260</v>
      </c>
      <c r="M561">
        <v>123</v>
      </c>
      <c r="N561">
        <v>611</v>
      </c>
      <c r="O561">
        <v>178</v>
      </c>
      <c r="P561">
        <v>39</v>
      </c>
      <c r="Q561">
        <v>115</v>
      </c>
      <c r="R561">
        <v>301</v>
      </c>
      <c r="S561">
        <v>1.1576923076923078</v>
      </c>
      <c r="T561">
        <v>0.95833333333333337</v>
      </c>
      <c r="U561">
        <v>1.23</v>
      </c>
    </row>
    <row r="562" spans="1:21" x14ac:dyDescent="0.35">
      <c r="A562">
        <v>636</v>
      </c>
      <c r="B562" s="16">
        <v>40269</v>
      </c>
      <c r="C562" s="15" t="s">
        <v>37</v>
      </c>
      <c r="D562" s="15" t="s">
        <v>58</v>
      </c>
      <c r="E562" s="15" t="s">
        <v>55</v>
      </c>
      <c r="F562" s="15" t="s">
        <v>47</v>
      </c>
      <c r="G562" s="15" t="s">
        <v>60</v>
      </c>
      <c r="H562" s="15" t="s">
        <v>42</v>
      </c>
      <c r="I562">
        <v>30</v>
      </c>
      <c r="J562">
        <v>40</v>
      </c>
      <c r="K562">
        <v>10</v>
      </c>
      <c r="L562">
        <v>70</v>
      </c>
      <c r="M562">
        <v>37</v>
      </c>
      <c r="N562">
        <v>195</v>
      </c>
      <c r="O562">
        <v>51</v>
      </c>
      <c r="P562">
        <v>12</v>
      </c>
      <c r="Q562">
        <v>11</v>
      </c>
      <c r="R562">
        <v>88</v>
      </c>
      <c r="S562">
        <v>1.2571428571428571</v>
      </c>
      <c r="T562">
        <v>1.1000000000000001</v>
      </c>
      <c r="U562">
        <v>1.2333333333333334</v>
      </c>
    </row>
    <row r="563" spans="1:21" x14ac:dyDescent="0.35">
      <c r="A563">
        <v>314</v>
      </c>
      <c r="B563" s="16">
        <v>40269</v>
      </c>
      <c r="C563" s="15" t="s">
        <v>37</v>
      </c>
      <c r="D563" s="15" t="s">
        <v>58</v>
      </c>
      <c r="E563" s="15" t="s">
        <v>56</v>
      </c>
      <c r="F563" s="15" t="s">
        <v>47</v>
      </c>
      <c r="G563" s="15" t="s">
        <v>60</v>
      </c>
      <c r="H563" s="15" t="s">
        <v>42</v>
      </c>
      <c r="I563">
        <v>20</v>
      </c>
      <c r="J563">
        <v>30</v>
      </c>
      <c r="K563">
        <v>-10</v>
      </c>
      <c r="L563">
        <v>50</v>
      </c>
      <c r="M563">
        <v>29</v>
      </c>
      <c r="N563">
        <v>169</v>
      </c>
      <c r="O563">
        <v>36</v>
      </c>
      <c r="P563">
        <v>11</v>
      </c>
      <c r="Q563">
        <v>-9</v>
      </c>
      <c r="R563">
        <v>65</v>
      </c>
      <c r="S563">
        <v>1.3</v>
      </c>
      <c r="T563">
        <v>0.9</v>
      </c>
      <c r="U563">
        <v>1.45</v>
      </c>
    </row>
    <row r="564" spans="1:21" x14ac:dyDescent="0.35">
      <c r="A564">
        <v>573</v>
      </c>
      <c r="B564" s="16">
        <v>40269</v>
      </c>
      <c r="C564" s="15" t="s">
        <v>37</v>
      </c>
      <c r="D564" s="15" t="s">
        <v>58</v>
      </c>
      <c r="E564" s="15" t="s">
        <v>46</v>
      </c>
      <c r="F564" s="15" t="s">
        <v>47</v>
      </c>
      <c r="G564" s="15" t="s">
        <v>60</v>
      </c>
      <c r="H564" s="15" t="s">
        <v>42</v>
      </c>
      <c r="I564">
        <v>30</v>
      </c>
      <c r="J564">
        <v>30</v>
      </c>
      <c r="K564">
        <v>-10</v>
      </c>
      <c r="L564">
        <v>60</v>
      </c>
      <c r="M564">
        <v>35</v>
      </c>
      <c r="N564">
        <v>197</v>
      </c>
      <c r="O564">
        <v>44</v>
      </c>
      <c r="P564">
        <v>13</v>
      </c>
      <c r="Q564">
        <v>-2</v>
      </c>
      <c r="R564">
        <v>79</v>
      </c>
      <c r="S564">
        <v>1.3166666666666667</v>
      </c>
      <c r="T564">
        <v>0.2</v>
      </c>
      <c r="U564">
        <v>1.1666666666666667</v>
      </c>
    </row>
    <row r="565" spans="1:21" x14ac:dyDescent="0.35">
      <c r="A565">
        <v>660</v>
      </c>
      <c r="B565" s="16">
        <v>40269</v>
      </c>
      <c r="C565" s="15" t="s">
        <v>37</v>
      </c>
      <c r="D565" s="15" t="s">
        <v>58</v>
      </c>
      <c r="E565" s="15" t="s">
        <v>48</v>
      </c>
      <c r="F565" s="15" t="s">
        <v>49</v>
      </c>
      <c r="G565" s="15" t="s">
        <v>60</v>
      </c>
      <c r="H565" s="15" t="s">
        <v>42</v>
      </c>
      <c r="I565">
        <v>50</v>
      </c>
      <c r="J565">
        <v>80</v>
      </c>
      <c r="K565">
        <v>60</v>
      </c>
      <c r="L565">
        <v>130</v>
      </c>
      <c r="M565">
        <v>47</v>
      </c>
      <c r="N565">
        <v>821</v>
      </c>
      <c r="O565">
        <v>68</v>
      </c>
      <c r="P565">
        <v>13</v>
      </c>
      <c r="Q565">
        <v>43</v>
      </c>
      <c r="R565">
        <v>115</v>
      </c>
      <c r="S565">
        <v>0.88461538461538458</v>
      </c>
      <c r="T565">
        <v>0.71666666666666667</v>
      </c>
      <c r="U565">
        <v>0.94</v>
      </c>
    </row>
    <row r="566" spans="1:21" x14ac:dyDescent="0.35">
      <c r="A566">
        <v>573</v>
      </c>
      <c r="B566" s="16">
        <v>40269</v>
      </c>
      <c r="C566" s="15" t="s">
        <v>37</v>
      </c>
      <c r="D566" s="15" t="s">
        <v>58</v>
      </c>
      <c r="E566" s="15" t="s">
        <v>50</v>
      </c>
      <c r="F566" s="15" t="s">
        <v>49</v>
      </c>
      <c r="G566" s="15" t="s">
        <v>60</v>
      </c>
      <c r="H566" s="15" t="s">
        <v>45</v>
      </c>
      <c r="I566">
        <v>50</v>
      </c>
      <c r="J566">
        <v>80</v>
      </c>
      <c r="K566">
        <v>60</v>
      </c>
      <c r="L566">
        <v>130</v>
      </c>
      <c r="M566">
        <v>45</v>
      </c>
      <c r="N566">
        <v>777</v>
      </c>
      <c r="O566">
        <v>67</v>
      </c>
      <c r="P566">
        <v>12</v>
      </c>
      <c r="Q566">
        <v>44</v>
      </c>
      <c r="R566">
        <v>112</v>
      </c>
      <c r="S566">
        <v>0.86153846153846159</v>
      </c>
      <c r="T566">
        <v>0.73333333333333328</v>
      </c>
      <c r="U566">
        <v>0.9</v>
      </c>
    </row>
    <row r="567" spans="1:21" x14ac:dyDescent="0.35">
      <c r="A567">
        <v>573</v>
      </c>
      <c r="B567" s="16">
        <v>40269</v>
      </c>
      <c r="C567" s="15" t="s">
        <v>37</v>
      </c>
      <c r="D567" s="15" t="s">
        <v>58</v>
      </c>
      <c r="E567" s="15" t="s">
        <v>43</v>
      </c>
      <c r="F567" s="15" t="s">
        <v>40</v>
      </c>
      <c r="G567" s="15" t="s">
        <v>60</v>
      </c>
      <c r="H567" s="15" t="s">
        <v>42</v>
      </c>
      <c r="I567">
        <v>80</v>
      </c>
      <c r="J567">
        <v>100</v>
      </c>
      <c r="K567">
        <v>50</v>
      </c>
      <c r="L567">
        <v>180</v>
      </c>
      <c r="M567">
        <v>80</v>
      </c>
      <c r="N567">
        <v>494</v>
      </c>
      <c r="O567">
        <v>98</v>
      </c>
      <c r="P567">
        <v>30</v>
      </c>
      <c r="Q567">
        <v>35</v>
      </c>
      <c r="R567">
        <v>178</v>
      </c>
      <c r="S567">
        <v>0.98888888888888893</v>
      </c>
      <c r="T567">
        <v>0.7</v>
      </c>
      <c r="U567">
        <v>1</v>
      </c>
    </row>
    <row r="568" spans="1:21" x14ac:dyDescent="0.35">
      <c r="A568">
        <v>660</v>
      </c>
      <c r="B568" s="16">
        <v>40269</v>
      </c>
      <c r="C568" s="15" t="s">
        <v>37</v>
      </c>
      <c r="D568" s="15" t="s">
        <v>58</v>
      </c>
      <c r="E568" s="15" t="s">
        <v>44</v>
      </c>
      <c r="F568" s="15" t="s">
        <v>40</v>
      </c>
      <c r="G568" s="15" t="s">
        <v>60</v>
      </c>
      <c r="H568" s="15" t="s">
        <v>45</v>
      </c>
      <c r="I568">
        <v>80</v>
      </c>
      <c r="J568">
        <v>90</v>
      </c>
      <c r="K568">
        <v>50</v>
      </c>
      <c r="L568">
        <v>170</v>
      </c>
      <c r="M568">
        <v>76</v>
      </c>
      <c r="N568">
        <v>965</v>
      </c>
      <c r="O568">
        <v>91</v>
      </c>
      <c r="P568">
        <v>23</v>
      </c>
      <c r="Q568">
        <v>47</v>
      </c>
      <c r="R568">
        <v>167</v>
      </c>
      <c r="S568">
        <v>0.98235294117647054</v>
      </c>
      <c r="T568">
        <v>0.94</v>
      </c>
      <c r="U568">
        <v>0.95</v>
      </c>
    </row>
    <row r="569" spans="1:21" x14ac:dyDescent="0.35">
      <c r="A569">
        <v>314</v>
      </c>
      <c r="B569" s="16">
        <v>40269</v>
      </c>
      <c r="C569" s="15" t="s">
        <v>37</v>
      </c>
      <c r="D569" s="15" t="s">
        <v>58</v>
      </c>
      <c r="E569" s="15" t="s">
        <v>51</v>
      </c>
      <c r="F569" s="15" t="s">
        <v>52</v>
      </c>
      <c r="G569" s="15" t="s">
        <v>60</v>
      </c>
      <c r="H569" s="15" t="s">
        <v>45</v>
      </c>
      <c r="I569">
        <v>30</v>
      </c>
      <c r="J569">
        <v>60</v>
      </c>
      <c r="K569">
        <v>10</v>
      </c>
      <c r="L569">
        <v>90</v>
      </c>
      <c r="M569">
        <v>44</v>
      </c>
      <c r="N569">
        <v>261</v>
      </c>
      <c r="O569">
        <v>63</v>
      </c>
      <c r="P569">
        <v>40</v>
      </c>
      <c r="Q569">
        <v>-6</v>
      </c>
      <c r="R569">
        <v>107</v>
      </c>
      <c r="S569">
        <v>1.1888888888888889</v>
      </c>
      <c r="T569">
        <v>-0.6</v>
      </c>
      <c r="U569">
        <v>1.4666666666666666</v>
      </c>
    </row>
    <row r="570" spans="1:21" x14ac:dyDescent="0.35">
      <c r="A570">
        <v>660</v>
      </c>
      <c r="B570" s="16">
        <v>40269</v>
      </c>
      <c r="C570" s="15" t="s">
        <v>37</v>
      </c>
      <c r="D570" s="15" t="s">
        <v>58</v>
      </c>
      <c r="E570" s="15" t="s">
        <v>53</v>
      </c>
      <c r="F570" s="15" t="s">
        <v>52</v>
      </c>
      <c r="G570" s="15" t="s">
        <v>60</v>
      </c>
      <c r="H570" s="15" t="s">
        <v>45</v>
      </c>
      <c r="I570">
        <v>70</v>
      </c>
      <c r="J570">
        <v>40</v>
      </c>
      <c r="K570">
        <v>10</v>
      </c>
      <c r="L570">
        <v>110</v>
      </c>
      <c r="M570">
        <v>93</v>
      </c>
      <c r="N570">
        <v>840</v>
      </c>
      <c r="O570">
        <v>40</v>
      </c>
      <c r="P570">
        <v>28</v>
      </c>
      <c r="Q570">
        <v>-12</v>
      </c>
      <c r="R570">
        <v>133</v>
      </c>
      <c r="S570">
        <v>1.209090909090909</v>
      </c>
      <c r="T570">
        <v>-1.2</v>
      </c>
      <c r="U570">
        <v>1.3285714285714285</v>
      </c>
    </row>
    <row r="571" spans="1:21" x14ac:dyDescent="0.35">
      <c r="A571">
        <v>740</v>
      </c>
      <c r="B571" s="16">
        <v>40269</v>
      </c>
      <c r="C571" s="15" t="s">
        <v>37</v>
      </c>
      <c r="D571" s="15" t="s">
        <v>38</v>
      </c>
      <c r="E571" s="15" t="s">
        <v>55</v>
      </c>
      <c r="F571" s="15" t="s">
        <v>47</v>
      </c>
      <c r="G571" s="15" t="s">
        <v>61</v>
      </c>
      <c r="H571" s="15" t="s">
        <v>42</v>
      </c>
      <c r="I571">
        <v>70</v>
      </c>
      <c r="J571">
        <v>120</v>
      </c>
      <c r="K571">
        <v>70</v>
      </c>
      <c r="L571">
        <v>190</v>
      </c>
      <c r="M571">
        <v>88</v>
      </c>
      <c r="N571">
        <v>653</v>
      </c>
      <c r="O571">
        <v>134</v>
      </c>
      <c r="P571">
        <v>29</v>
      </c>
      <c r="Q571">
        <v>73</v>
      </c>
      <c r="R571">
        <v>222</v>
      </c>
      <c r="S571">
        <v>1.168421052631579</v>
      </c>
      <c r="T571">
        <v>1.0428571428571429</v>
      </c>
      <c r="U571">
        <v>1.2571428571428571</v>
      </c>
    </row>
    <row r="572" spans="1:21" x14ac:dyDescent="0.35">
      <c r="A572">
        <v>937</v>
      </c>
      <c r="B572" s="16">
        <v>40269</v>
      </c>
      <c r="C572" s="15" t="s">
        <v>37</v>
      </c>
      <c r="D572" s="15" t="s">
        <v>38</v>
      </c>
      <c r="E572" s="15" t="s">
        <v>56</v>
      </c>
      <c r="F572" s="15" t="s">
        <v>47</v>
      </c>
      <c r="G572" s="15" t="s">
        <v>61</v>
      </c>
      <c r="H572" s="15" t="s">
        <v>42</v>
      </c>
      <c r="I572">
        <v>90</v>
      </c>
      <c r="J572">
        <v>140</v>
      </c>
      <c r="K572">
        <v>90</v>
      </c>
      <c r="L572">
        <v>230</v>
      </c>
      <c r="M572">
        <v>112</v>
      </c>
      <c r="N572">
        <v>502</v>
      </c>
      <c r="O572">
        <v>155</v>
      </c>
      <c r="P572">
        <v>34</v>
      </c>
      <c r="Q572">
        <v>97</v>
      </c>
      <c r="R572">
        <v>267</v>
      </c>
      <c r="S572">
        <v>1.1608695652173913</v>
      </c>
      <c r="T572">
        <v>1.0777777777777777</v>
      </c>
      <c r="U572">
        <v>1.2444444444444445</v>
      </c>
    </row>
    <row r="573" spans="1:21" x14ac:dyDescent="0.35">
      <c r="A573">
        <v>567</v>
      </c>
      <c r="B573" s="16">
        <v>40269</v>
      </c>
      <c r="C573" s="15" t="s">
        <v>37</v>
      </c>
      <c r="D573" s="15" t="s">
        <v>38</v>
      </c>
      <c r="E573" s="15" t="s">
        <v>48</v>
      </c>
      <c r="F573" s="15" t="s">
        <v>49</v>
      </c>
      <c r="G573" s="15" t="s">
        <v>61</v>
      </c>
      <c r="H573" s="15" t="s">
        <v>42</v>
      </c>
      <c r="I573">
        <v>180</v>
      </c>
      <c r="J573">
        <v>200</v>
      </c>
      <c r="K573">
        <v>130</v>
      </c>
      <c r="L573">
        <v>380</v>
      </c>
      <c r="M573">
        <v>162</v>
      </c>
      <c r="N573">
        <v>1091</v>
      </c>
      <c r="O573">
        <v>163</v>
      </c>
      <c r="P573">
        <v>45</v>
      </c>
      <c r="Q573">
        <v>93</v>
      </c>
      <c r="R573">
        <v>325</v>
      </c>
      <c r="S573">
        <v>0.85526315789473684</v>
      </c>
      <c r="T573">
        <v>0.7153846153846154</v>
      </c>
      <c r="U573">
        <v>0.9</v>
      </c>
    </row>
    <row r="574" spans="1:21" x14ac:dyDescent="0.35">
      <c r="A574">
        <v>419</v>
      </c>
      <c r="B574" s="16">
        <v>40269</v>
      </c>
      <c r="C574" s="15" t="s">
        <v>37</v>
      </c>
      <c r="D574" s="15" t="s">
        <v>38</v>
      </c>
      <c r="E574" s="15" t="s">
        <v>50</v>
      </c>
      <c r="F574" s="15" t="s">
        <v>49</v>
      </c>
      <c r="G574" s="15" t="s">
        <v>61</v>
      </c>
      <c r="H574" s="15" t="s">
        <v>45</v>
      </c>
      <c r="I574">
        <v>60</v>
      </c>
      <c r="J574">
        <v>80</v>
      </c>
      <c r="K574">
        <v>30</v>
      </c>
      <c r="L574">
        <v>140</v>
      </c>
      <c r="M574">
        <v>54</v>
      </c>
      <c r="N574">
        <v>337</v>
      </c>
      <c r="O574">
        <v>67</v>
      </c>
      <c r="P574">
        <v>20</v>
      </c>
      <c r="Q574">
        <v>13</v>
      </c>
      <c r="R574">
        <v>121</v>
      </c>
      <c r="S574">
        <v>0.86428571428571432</v>
      </c>
      <c r="T574">
        <v>0.43333333333333335</v>
      </c>
      <c r="U574">
        <v>0.9</v>
      </c>
    </row>
    <row r="575" spans="1:21" x14ac:dyDescent="0.35">
      <c r="A575">
        <v>740</v>
      </c>
      <c r="B575" s="16">
        <v>40269</v>
      </c>
      <c r="C575" s="15" t="s">
        <v>37</v>
      </c>
      <c r="D575" s="15" t="s">
        <v>38</v>
      </c>
      <c r="E575" s="15" t="s">
        <v>39</v>
      </c>
      <c r="F575" s="15" t="s">
        <v>40</v>
      </c>
      <c r="G575" s="15" t="s">
        <v>61</v>
      </c>
      <c r="H575" s="15" t="s">
        <v>42</v>
      </c>
      <c r="I575">
        <v>50</v>
      </c>
      <c r="J575">
        <v>80</v>
      </c>
      <c r="K575">
        <v>50</v>
      </c>
      <c r="L575">
        <v>130</v>
      </c>
      <c r="M575">
        <v>55</v>
      </c>
      <c r="N575">
        <v>336</v>
      </c>
      <c r="O575">
        <v>74</v>
      </c>
      <c r="P575">
        <v>18</v>
      </c>
      <c r="Q575">
        <v>28</v>
      </c>
      <c r="R575">
        <v>129</v>
      </c>
      <c r="S575">
        <v>0.99230769230769234</v>
      </c>
      <c r="T575">
        <v>0.56000000000000005</v>
      </c>
      <c r="U575">
        <v>1.1000000000000001</v>
      </c>
    </row>
    <row r="576" spans="1:21" x14ac:dyDescent="0.35">
      <c r="A576">
        <v>513</v>
      </c>
      <c r="B576" s="16">
        <v>40269</v>
      </c>
      <c r="C576" s="15" t="s">
        <v>37</v>
      </c>
      <c r="D576" s="15" t="s">
        <v>38</v>
      </c>
      <c r="E576" s="15" t="s">
        <v>43</v>
      </c>
      <c r="F576" s="15" t="s">
        <v>40</v>
      </c>
      <c r="G576" s="15" t="s">
        <v>61</v>
      </c>
      <c r="H576" s="15" t="s">
        <v>42</v>
      </c>
      <c r="I576">
        <v>40</v>
      </c>
      <c r="J576">
        <v>70</v>
      </c>
      <c r="K576">
        <v>40</v>
      </c>
      <c r="L576">
        <v>110</v>
      </c>
      <c r="M576">
        <v>43</v>
      </c>
      <c r="N576">
        <v>363</v>
      </c>
      <c r="O576">
        <v>64</v>
      </c>
      <c r="P576">
        <v>13</v>
      </c>
      <c r="Q576">
        <v>27</v>
      </c>
      <c r="R576">
        <v>107</v>
      </c>
      <c r="S576">
        <v>0.97272727272727277</v>
      </c>
      <c r="T576">
        <v>0.67500000000000004</v>
      </c>
      <c r="U576">
        <v>1.075</v>
      </c>
    </row>
    <row r="577" spans="1:21" x14ac:dyDescent="0.35">
      <c r="A577">
        <v>513</v>
      </c>
      <c r="B577" s="16">
        <v>40269</v>
      </c>
      <c r="C577" s="15" t="s">
        <v>37</v>
      </c>
      <c r="D577" s="15" t="s">
        <v>38</v>
      </c>
      <c r="E577" s="15" t="s">
        <v>44</v>
      </c>
      <c r="F577" s="15" t="s">
        <v>40</v>
      </c>
      <c r="G577" s="15" t="s">
        <v>61</v>
      </c>
      <c r="H577" s="15" t="s">
        <v>45</v>
      </c>
      <c r="I577">
        <v>50</v>
      </c>
      <c r="J577">
        <v>80</v>
      </c>
      <c r="K577">
        <v>20</v>
      </c>
      <c r="L577">
        <v>130</v>
      </c>
      <c r="M577">
        <v>52</v>
      </c>
      <c r="N577">
        <v>433</v>
      </c>
      <c r="O577">
        <v>73</v>
      </c>
      <c r="P577">
        <v>47</v>
      </c>
      <c r="Q577">
        <v>-3</v>
      </c>
      <c r="R577">
        <v>125</v>
      </c>
      <c r="S577">
        <v>0.96153846153846156</v>
      </c>
      <c r="T577">
        <v>-0.15</v>
      </c>
      <c r="U577">
        <v>1.04</v>
      </c>
    </row>
    <row r="578" spans="1:21" x14ac:dyDescent="0.35">
      <c r="A578">
        <v>216</v>
      </c>
      <c r="B578" s="16">
        <v>40269</v>
      </c>
      <c r="C578" s="15" t="s">
        <v>37</v>
      </c>
      <c r="D578" s="15" t="s">
        <v>38</v>
      </c>
      <c r="E578" s="15" t="s">
        <v>51</v>
      </c>
      <c r="F578" s="15" t="s">
        <v>52</v>
      </c>
      <c r="G578" s="15" t="s">
        <v>61</v>
      </c>
      <c r="H578" s="15" t="s">
        <v>45</v>
      </c>
      <c r="I578">
        <v>10</v>
      </c>
      <c r="J578">
        <v>30</v>
      </c>
      <c r="K578">
        <v>30</v>
      </c>
      <c r="L578">
        <v>40</v>
      </c>
      <c r="M578">
        <v>21</v>
      </c>
      <c r="N578">
        <v>454</v>
      </c>
      <c r="O578">
        <v>32</v>
      </c>
      <c r="P578">
        <v>5</v>
      </c>
      <c r="Q578">
        <v>16</v>
      </c>
      <c r="R578">
        <v>53</v>
      </c>
      <c r="S578">
        <v>1.325</v>
      </c>
      <c r="T578">
        <v>0.53333333333333333</v>
      </c>
      <c r="U578">
        <v>2.1</v>
      </c>
    </row>
    <row r="579" spans="1:21" x14ac:dyDescent="0.35">
      <c r="A579">
        <v>614</v>
      </c>
      <c r="B579" s="16">
        <v>40269</v>
      </c>
      <c r="C579" s="15" t="s">
        <v>37</v>
      </c>
      <c r="D579" s="15" t="s">
        <v>38</v>
      </c>
      <c r="E579" s="15" t="s">
        <v>53</v>
      </c>
      <c r="F579" s="15" t="s">
        <v>52</v>
      </c>
      <c r="G579" s="15" t="s">
        <v>61</v>
      </c>
      <c r="H579" s="15" t="s">
        <v>45</v>
      </c>
      <c r="I579">
        <v>20</v>
      </c>
      <c r="J579">
        <v>40</v>
      </c>
      <c r="K579">
        <v>40</v>
      </c>
      <c r="L579">
        <v>60</v>
      </c>
      <c r="M579">
        <v>30</v>
      </c>
      <c r="N579">
        <v>820</v>
      </c>
      <c r="O579">
        <v>45</v>
      </c>
      <c r="P579">
        <v>8</v>
      </c>
      <c r="Q579">
        <v>26</v>
      </c>
      <c r="R579">
        <v>75</v>
      </c>
      <c r="S579">
        <v>1.25</v>
      </c>
      <c r="T579">
        <v>0.65</v>
      </c>
      <c r="U579">
        <v>1.5</v>
      </c>
    </row>
    <row r="580" spans="1:21" x14ac:dyDescent="0.35">
      <c r="A580">
        <v>262</v>
      </c>
      <c r="B580" s="16">
        <v>40269</v>
      </c>
      <c r="C580" s="15" t="s">
        <v>37</v>
      </c>
      <c r="D580" s="15" t="s">
        <v>58</v>
      </c>
      <c r="E580" s="15" t="s">
        <v>55</v>
      </c>
      <c r="F580" s="15" t="s">
        <v>47</v>
      </c>
      <c r="G580" s="15" t="s">
        <v>62</v>
      </c>
      <c r="H580" s="15" t="s">
        <v>42</v>
      </c>
      <c r="I580">
        <v>30</v>
      </c>
      <c r="J580">
        <v>70</v>
      </c>
      <c r="K580">
        <v>40</v>
      </c>
      <c r="L580">
        <v>100</v>
      </c>
      <c r="M580">
        <v>46</v>
      </c>
      <c r="N580">
        <v>388</v>
      </c>
      <c r="O580">
        <v>68</v>
      </c>
      <c r="P580">
        <v>14</v>
      </c>
      <c r="Q580">
        <v>31</v>
      </c>
      <c r="R580">
        <v>114</v>
      </c>
      <c r="S580">
        <v>1.1399999999999999</v>
      </c>
      <c r="T580">
        <v>0.77500000000000002</v>
      </c>
      <c r="U580">
        <v>1.5333333333333334</v>
      </c>
    </row>
    <row r="581" spans="1:21" x14ac:dyDescent="0.35">
      <c r="A581">
        <v>414</v>
      </c>
      <c r="B581" s="16">
        <v>40269</v>
      </c>
      <c r="C581" s="15" t="s">
        <v>37</v>
      </c>
      <c r="D581" s="15" t="s">
        <v>58</v>
      </c>
      <c r="E581" s="15" t="s">
        <v>56</v>
      </c>
      <c r="F581" s="15" t="s">
        <v>47</v>
      </c>
      <c r="G581" s="15" t="s">
        <v>62</v>
      </c>
      <c r="H581" s="15" t="s">
        <v>42</v>
      </c>
      <c r="I581">
        <v>50</v>
      </c>
      <c r="J581">
        <v>80</v>
      </c>
      <c r="K581">
        <v>10</v>
      </c>
      <c r="L581">
        <v>130</v>
      </c>
      <c r="M581">
        <v>63</v>
      </c>
      <c r="N581">
        <v>521</v>
      </c>
      <c r="O581">
        <v>87</v>
      </c>
      <c r="P581">
        <v>57</v>
      </c>
      <c r="Q581">
        <v>1</v>
      </c>
      <c r="R581">
        <v>150</v>
      </c>
      <c r="S581">
        <v>1.1538461538461537</v>
      </c>
      <c r="T581">
        <v>0.1</v>
      </c>
      <c r="U581">
        <v>1.26</v>
      </c>
    </row>
    <row r="582" spans="1:21" x14ac:dyDescent="0.35">
      <c r="A582">
        <v>715</v>
      </c>
      <c r="B582" s="16">
        <v>40269</v>
      </c>
      <c r="C582" s="15" t="s">
        <v>37</v>
      </c>
      <c r="D582" s="15" t="s">
        <v>58</v>
      </c>
      <c r="E582" s="15" t="s">
        <v>48</v>
      </c>
      <c r="F582" s="15" t="s">
        <v>49</v>
      </c>
      <c r="G582" s="15" t="s">
        <v>62</v>
      </c>
      <c r="H582" s="15" t="s">
        <v>42</v>
      </c>
      <c r="I582">
        <v>80</v>
      </c>
      <c r="J582">
        <v>90</v>
      </c>
      <c r="K582">
        <v>50</v>
      </c>
      <c r="L582">
        <v>170</v>
      </c>
      <c r="M582">
        <v>69</v>
      </c>
      <c r="N582">
        <v>965</v>
      </c>
      <c r="O582">
        <v>82</v>
      </c>
      <c r="P582">
        <v>21</v>
      </c>
      <c r="Q582">
        <v>39</v>
      </c>
      <c r="R582">
        <v>151</v>
      </c>
      <c r="S582">
        <v>0.88823529411764701</v>
      </c>
      <c r="T582">
        <v>0.78</v>
      </c>
      <c r="U582">
        <v>0.86250000000000004</v>
      </c>
    </row>
    <row r="583" spans="1:21" x14ac:dyDescent="0.35">
      <c r="A583">
        <v>715</v>
      </c>
      <c r="B583" s="16">
        <v>40269</v>
      </c>
      <c r="C583" s="15" t="s">
        <v>37</v>
      </c>
      <c r="D583" s="15" t="s">
        <v>58</v>
      </c>
      <c r="E583" s="15" t="s">
        <v>50</v>
      </c>
      <c r="F583" s="15" t="s">
        <v>49</v>
      </c>
      <c r="G583" s="15" t="s">
        <v>62</v>
      </c>
      <c r="H583" s="15" t="s">
        <v>45</v>
      </c>
      <c r="I583">
        <v>50</v>
      </c>
      <c r="J583">
        <v>70</v>
      </c>
      <c r="K583">
        <v>50</v>
      </c>
      <c r="L583">
        <v>120</v>
      </c>
      <c r="M583">
        <v>45</v>
      </c>
      <c r="N583">
        <v>605</v>
      </c>
      <c r="O583">
        <v>58</v>
      </c>
      <c r="P583">
        <v>14</v>
      </c>
      <c r="Q583">
        <v>32</v>
      </c>
      <c r="R583">
        <v>103</v>
      </c>
      <c r="S583">
        <v>0.85833333333333328</v>
      </c>
      <c r="T583">
        <v>0.64</v>
      </c>
      <c r="U583">
        <v>0.9</v>
      </c>
    </row>
    <row r="584" spans="1:21" x14ac:dyDescent="0.35">
      <c r="A584">
        <v>920</v>
      </c>
      <c r="B584" s="16">
        <v>40269</v>
      </c>
      <c r="C584" s="15" t="s">
        <v>37</v>
      </c>
      <c r="D584" s="15" t="s">
        <v>58</v>
      </c>
      <c r="E584" s="15" t="s">
        <v>39</v>
      </c>
      <c r="F584" s="15" t="s">
        <v>40</v>
      </c>
      <c r="G584" s="15" t="s">
        <v>62</v>
      </c>
      <c r="H584" s="15" t="s">
        <v>42</v>
      </c>
      <c r="I584">
        <v>60</v>
      </c>
      <c r="J584">
        <v>70</v>
      </c>
      <c r="K584">
        <v>20</v>
      </c>
      <c r="L584">
        <v>130</v>
      </c>
      <c r="M584">
        <v>57</v>
      </c>
      <c r="N584">
        <v>313</v>
      </c>
      <c r="O584">
        <v>70</v>
      </c>
      <c r="P584">
        <v>21</v>
      </c>
      <c r="Q584">
        <v>16</v>
      </c>
      <c r="R584">
        <v>127</v>
      </c>
      <c r="S584">
        <v>0.97692307692307689</v>
      </c>
      <c r="T584">
        <v>0.8</v>
      </c>
      <c r="U584">
        <v>0.95</v>
      </c>
    </row>
    <row r="585" spans="1:21" x14ac:dyDescent="0.35">
      <c r="A585">
        <v>715</v>
      </c>
      <c r="B585" s="16">
        <v>40269</v>
      </c>
      <c r="C585" s="15" t="s">
        <v>37</v>
      </c>
      <c r="D585" s="15" t="s">
        <v>58</v>
      </c>
      <c r="E585" s="15" t="s">
        <v>43</v>
      </c>
      <c r="F585" s="15" t="s">
        <v>40</v>
      </c>
      <c r="G585" s="15" t="s">
        <v>62</v>
      </c>
      <c r="H585" s="15" t="s">
        <v>42</v>
      </c>
      <c r="I585">
        <v>100</v>
      </c>
      <c r="J585">
        <v>130</v>
      </c>
      <c r="K585">
        <v>30</v>
      </c>
      <c r="L585">
        <v>230</v>
      </c>
      <c r="M585">
        <v>95</v>
      </c>
      <c r="N585">
        <v>554</v>
      </c>
      <c r="O585">
        <v>132</v>
      </c>
      <c r="P585">
        <v>86</v>
      </c>
      <c r="Q585">
        <v>17</v>
      </c>
      <c r="R585">
        <v>227</v>
      </c>
      <c r="S585">
        <v>0.9869565217391304</v>
      </c>
      <c r="T585">
        <v>0.56666666666666665</v>
      </c>
      <c r="U585">
        <v>0.95</v>
      </c>
    </row>
    <row r="586" spans="1:21" x14ac:dyDescent="0.35">
      <c r="A586">
        <v>414</v>
      </c>
      <c r="B586" s="16">
        <v>40269</v>
      </c>
      <c r="C586" s="15" t="s">
        <v>37</v>
      </c>
      <c r="D586" s="15" t="s">
        <v>58</v>
      </c>
      <c r="E586" s="15" t="s">
        <v>44</v>
      </c>
      <c r="F586" s="15" t="s">
        <v>40</v>
      </c>
      <c r="G586" s="15" t="s">
        <v>62</v>
      </c>
      <c r="H586" s="15" t="s">
        <v>45</v>
      </c>
      <c r="I586">
        <v>80</v>
      </c>
      <c r="J586">
        <v>120</v>
      </c>
      <c r="K586">
        <v>80</v>
      </c>
      <c r="L586">
        <v>200</v>
      </c>
      <c r="M586">
        <v>83</v>
      </c>
      <c r="N586">
        <v>433</v>
      </c>
      <c r="O586">
        <v>112</v>
      </c>
      <c r="P586">
        <v>27</v>
      </c>
      <c r="Q586">
        <v>58</v>
      </c>
      <c r="R586">
        <v>195</v>
      </c>
      <c r="S586">
        <v>0.97499999999999998</v>
      </c>
      <c r="T586">
        <v>0.72499999999999998</v>
      </c>
      <c r="U586">
        <v>1.0375000000000001</v>
      </c>
    </row>
    <row r="587" spans="1:21" x14ac:dyDescent="0.35">
      <c r="A587">
        <v>262</v>
      </c>
      <c r="B587" s="16">
        <v>40269</v>
      </c>
      <c r="C587" s="15" t="s">
        <v>37</v>
      </c>
      <c r="D587" s="15" t="s">
        <v>58</v>
      </c>
      <c r="E587" s="15" t="s">
        <v>51</v>
      </c>
      <c r="F587" s="15" t="s">
        <v>52</v>
      </c>
      <c r="G587" s="15" t="s">
        <v>62</v>
      </c>
      <c r="H587" s="15" t="s">
        <v>45</v>
      </c>
      <c r="I587">
        <v>40</v>
      </c>
      <c r="J587">
        <v>70</v>
      </c>
      <c r="K587">
        <v>50</v>
      </c>
      <c r="L587">
        <v>110</v>
      </c>
      <c r="M587">
        <v>49</v>
      </c>
      <c r="N587">
        <v>342</v>
      </c>
      <c r="O587">
        <v>84</v>
      </c>
      <c r="P587">
        <v>15</v>
      </c>
      <c r="Q587">
        <v>46</v>
      </c>
      <c r="R587">
        <v>133</v>
      </c>
      <c r="S587">
        <v>1.209090909090909</v>
      </c>
      <c r="T587">
        <v>0.92</v>
      </c>
      <c r="U587">
        <v>1.2250000000000001</v>
      </c>
    </row>
    <row r="588" spans="1:21" x14ac:dyDescent="0.35">
      <c r="A588">
        <v>608</v>
      </c>
      <c r="B588" s="16">
        <v>40269</v>
      </c>
      <c r="C588" s="15" t="s">
        <v>37</v>
      </c>
      <c r="D588" s="15" t="s">
        <v>58</v>
      </c>
      <c r="E588" s="15" t="s">
        <v>53</v>
      </c>
      <c r="F588" s="15" t="s">
        <v>52</v>
      </c>
      <c r="G588" s="15" t="s">
        <v>62</v>
      </c>
      <c r="H588" s="15" t="s">
        <v>45</v>
      </c>
      <c r="I588">
        <v>40</v>
      </c>
      <c r="J588">
        <v>60</v>
      </c>
      <c r="K588">
        <v>50</v>
      </c>
      <c r="L588">
        <v>100</v>
      </c>
      <c r="M588">
        <v>49</v>
      </c>
      <c r="N588">
        <v>779</v>
      </c>
      <c r="O588">
        <v>72</v>
      </c>
      <c r="P588">
        <v>13</v>
      </c>
      <c r="Q588">
        <v>47</v>
      </c>
      <c r="R588">
        <v>121</v>
      </c>
      <c r="S588">
        <v>1.21</v>
      </c>
      <c r="T588">
        <v>0.94</v>
      </c>
      <c r="U588">
        <v>1.2250000000000001</v>
      </c>
    </row>
    <row r="589" spans="1:21" x14ac:dyDescent="0.35">
      <c r="A589">
        <v>203</v>
      </c>
      <c r="B589" s="16">
        <v>40269</v>
      </c>
      <c r="C589" s="15" t="s">
        <v>63</v>
      </c>
      <c r="D589" s="15" t="s">
        <v>58</v>
      </c>
      <c r="E589" s="15" t="s">
        <v>55</v>
      </c>
      <c r="F589" s="15" t="s">
        <v>47</v>
      </c>
      <c r="G589" s="15" t="s">
        <v>64</v>
      </c>
      <c r="H589" s="15" t="s">
        <v>42</v>
      </c>
      <c r="I589">
        <v>40</v>
      </c>
      <c r="J589">
        <v>80</v>
      </c>
      <c r="K589">
        <v>60</v>
      </c>
      <c r="L589">
        <v>120</v>
      </c>
      <c r="M589">
        <v>47</v>
      </c>
      <c r="N589">
        <v>821</v>
      </c>
      <c r="O589">
        <v>68</v>
      </c>
      <c r="P589">
        <v>13</v>
      </c>
      <c r="Q589">
        <v>43</v>
      </c>
      <c r="R589">
        <v>115</v>
      </c>
      <c r="S589">
        <v>0.95833333333333337</v>
      </c>
      <c r="T589">
        <v>0.71666666666666667</v>
      </c>
      <c r="U589">
        <v>1.175</v>
      </c>
    </row>
    <row r="590" spans="1:21" x14ac:dyDescent="0.35">
      <c r="A590">
        <v>475</v>
      </c>
      <c r="B590" s="16">
        <v>40269</v>
      </c>
      <c r="C590" s="15" t="s">
        <v>63</v>
      </c>
      <c r="D590" s="15" t="s">
        <v>58</v>
      </c>
      <c r="E590" s="15" t="s">
        <v>46</v>
      </c>
      <c r="F590" s="15" t="s">
        <v>47</v>
      </c>
      <c r="G590" s="15" t="s">
        <v>64</v>
      </c>
      <c r="H590" s="15" t="s">
        <v>42</v>
      </c>
      <c r="I590">
        <v>20</v>
      </c>
      <c r="J590">
        <v>40</v>
      </c>
      <c r="K590">
        <v>30</v>
      </c>
      <c r="L590">
        <v>60</v>
      </c>
      <c r="M590">
        <v>25</v>
      </c>
      <c r="N590">
        <v>775</v>
      </c>
      <c r="O590">
        <v>37</v>
      </c>
      <c r="P590">
        <v>7</v>
      </c>
      <c r="Q590">
        <v>18</v>
      </c>
      <c r="R590">
        <v>62</v>
      </c>
      <c r="S590">
        <v>1.0333333333333334</v>
      </c>
      <c r="T590">
        <v>0.6</v>
      </c>
      <c r="U590">
        <v>1.25</v>
      </c>
    </row>
    <row r="591" spans="1:21" x14ac:dyDescent="0.35">
      <c r="A591">
        <v>860</v>
      </c>
      <c r="B591" s="16">
        <v>40269</v>
      </c>
      <c r="C591" s="15" t="s">
        <v>63</v>
      </c>
      <c r="D591" s="15" t="s">
        <v>58</v>
      </c>
      <c r="E591" s="15" t="s">
        <v>48</v>
      </c>
      <c r="F591" s="15" t="s">
        <v>49</v>
      </c>
      <c r="G591" s="15" t="s">
        <v>64</v>
      </c>
      <c r="H591" s="15" t="s">
        <v>42</v>
      </c>
      <c r="I591">
        <v>60</v>
      </c>
      <c r="J591">
        <v>80</v>
      </c>
      <c r="K591">
        <v>10</v>
      </c>
      <c r="L591">
        <v>140</v>
      </c>
      <c r="M591">
        <v>63</v>
      </c>
      <c r="N591">
        <v>521</v>
      </c>
      <c r="O591">
        <v>87</v>
      </c>
      <c r="P591">
        <v>57</v>
      </c>
      <c r="Q591">
        <v>0</v>
      </c>
      <c r="R591">
        <v>150</v>
      </c>
      <c r="S591">
        <v>1.0714285714285714</v>
      </c>
      <c r="T591">
        <v>0</v>
      </c>
      <c r="U591">
        <v>1.05</v>
      </c>
    </row>
    <row r="592" spans="1:21" x14ac:dyDescent="0.35">
      <c r="A592">
        <v>475</v>
      </c>
      <c r="B592" s="16">
        <v>40269</v>
      </c>
      <c r="C592" s="15" t="s">
        <v>63</v>
      </c>
      <c r="D592" s="15" t="s">
        <v>58</v>
      </c>
      <c r="E592" s="15" t="s">
        <v>50</v>
      </c>
      <c r="F592" s="15" t="s">
        <v>49</v>
      </c>
      <c r="G592" s="15" t="s">
        <v>64</v>
      </c>
      <c r="H592" s="15" t="s">
        <v>45</v>
      </c>
      <c r="I592">
        <v>40</v>
      </c>
      <c r="J592">
        <v>70</v>
      </c>
      <c r="K592">
        <v>40</v>
      </c>
      <c r="L592">
        <v>110</v>
      </c>
      <c r="M592">
        <v>51</v>
      </c>
      <c r="N592">
        <v>311</v>
      </c>
      <c r="O592">
        <v>68</v>
      </c>
      <c r="P592">
        <v>16</v>
      </c>
      <c r="Q592">
        <v>24</v>
      </c>
      <c r="R592">
        <v>119</v>
      </c>
      <c r="S592">
        <v>1.0818181818181818</v>
      </c>
      <c r="T592">
        <v>0.6</v>
      </c>
      <c r="U592">
        <v>1.2749999999999999</v>
      </c>
    </row>
    <row r="593" spans="1:21" x14ac:dyDescent="0.35">
      <c r="A593">
        <v>203</v>
      </c>
      <c r="B593" s="16">
        <v>40269</v>
      </c>
      <c r="C593" s="15" t="s">
        <v>63</v>
      </c>
      <c r="D593" s="15" t="s">
        <v>58</v>
      </c>
      <c r="E593" s="15" t="s">
        <v>43</v>
      </c>
      <c r="F593" s="15" t="s">
        <v>40</v>
      </c>
      <c r="G593" s="15" t="s">
        <v>64</v>
      </c>
      <c r="H593" s="15" t="s">
        <v>42</v>
      </c>
      <c r="I593">
        <v>110</v>
      </c>
      <c r="J593">
        <v>160</v>
      </c>
      <c r="K593">
        <v>110</v>
      </c>
      <c r="L593">
        <v>270</v>
      </c>
      <c r="M593">
        <v>116</v>
      </c>
      <c r="N593">
        <v>962</v>
      </c>
      <c r="O593">
        <v>176</v>
      </c>
      <c r="P593">
        <v>38</v>
      </c>
      <c r="Q593">
        <v>107</v>
      </c>
      <c r="R593">
        <v>292</v>
      </c>
      <c r="S593">
        <v>1.0814814814814815</v>
      </c>
      <c r="T593">
        <v>0.97272727272727277</v>
      </c>
      <c r="U593">
        <v>1.0545454545454545</v>
      </c>
    </row>
    <row r="594" spans="1:21" x14ac:dyDescent="0.35">
      <c r="A594">
        <v>959</v>
      </c>
      <c r="B594" s="16">
        <v>40269</v>
      </c>
      <c r="C594" s="15" t="s">
        <v>63</v>
      </c>
      <c r="D594" s="15" t="s">
        <v>58</v>
      </c>
      <c r="E594" s="15" t="s">
        <v>53</v>
      </c>
      <c r="F594" s="15" t="s">
        <v>52</v>
      </c>
      <c r="G594" s="15" t="s">
        <v>64</v>
      </c>
      <c r="H594" s="15" t="s">
        <v>45</v>
      </c>
      <c r="I594">
        <v>60</v>
      </c>
      <c r="J594">
        <v>70</v>
      </c>
      <c r="K594">
        <v>30</v>
      </c>
      <c r="L594">
        <v>130</v>
      </c>
      <c r="M594">
        <v>80</v>
      </c>
      <c r="N594">
        <v>494</v>
      </c>
      <c r="O594">
        <v>98</v>
      </c>
      <c r="P594">
        <v>30</v>
      </c>
      <c r="Q594">
        <v>34</v>
      </c>
      <c r="R594">
        <v>178</v>
      </c>
      <c r="S594">
        <v>1.3692307692307693</v>
      </c>
      <c r="T594">
        <v>1.1333333333333333</v>
      </c>
      <c r="U594">
        <v>1.3333333333333333</v>
      </c>
    </row>
    <row r="595" spans="1:21" x14ac:dyDescent="0.35">
      <c r="A595">
        <v>860</v>
      </c>
      <c r="B595" s="16">
        <v>40269</v>
      </c>
      <c r="C595" s="15" t="s">
        <v>63</v>
      </c>
      <c r="D595" s="15" t="s">
        <v>58</v>
      </c>
      <c r="E595" s="15" t="s">
        <v>54</v>
      </c>
      <c r="F595" s="15" t="s">
        <v>52</v>
      </c>
      <c r="G595" s="15" t="s">
        <v>64</v>
      </c>
      <c r="H595" s="15" t="s">
        <v>45</v>
      </c>
      <c r="I595">
        <v>50</v>
      </c>
      <c r="J595">
        <v>80</v>
      </c>
      <c r="K595">
        <v>60</v>
      </c>
      <c r="L595">
        <v>130</v>
      </c>
      <c r="M595">
        <v>76</v>
      </c>
      <c r="N595">
        <v>965</v>
      </c>
      <c r="O595">
        <v>91</v>
      </c>
      <c r="P595">
        <v>23</v>
      </c>
      <c r="Q595">
        <v>46</v>
      </c>
      <c r="R595">
        <v>167</v>
      </c>
      <c r="S595">
        <v>1.2846153846153847</v>
      </c>
      <c r="T595">
        <v>0.76666666666666672</v>
      </c>
      <c r="U595">
        <v>1.52</v>
      </c>
    </row>
    <row r="596" spans="1:21" x14ac:dyDescent="0.35">
      <c r="A596">
        <v>904</v>
      </c>
      <c r="B596" s="16">
        <v>40269</v>
      </c>
      <c r="C596" s="15" t="s">
        <v>63</v>
      </c>
      <c r="D596" s="15" t="s">
        <v>38</v>
      </c>
      <c r="E596" s="15" t="s">
        <v>55</v>
      </c>
      <c r="F596" s="15" t="s">
        <v>47</v>
      </c>
      <c r="G596" s="15" t="s">
        <v>65</v>
      </c>
      <c r="H596" s="15" t="s">
        <v>42</v>
      </c>
      <c r="I596">
        <v>30</v>
      </c>
      <c r="J596">
        <v>60</v>
      </c>
      <c r="K596">
        <v>50</v>
      </c>
      <c r="L596">
        <v>90</v>
      </c>
      <c r="M596">
        <v>34</v>
      </c>
      <c r="N596">
        <v>821</v>
      </c>
      <c r="O596">
        <v>51</v>
      </c>
      <c r="P596">
        <v>9</v>
      </c>
      <c r="Q596">
        <v>30</v>
      </c>
      <c r="R596">
        <v>85</v>
      </c>
      <c r="S596">
        <v>0.94444444444444442</v>
      </c>
      <c r="T596">
        <v>0.6</v>
      </c>
      <c r="U596">
        <v>1.1333333333333333</v>
      </c>
    </row>
    <row r="597" spans="1:21" x14ac:dyDescent="0.35">
      <c r="A597">
        <v>754</v>
      </c>
      <c r="B597" s="16">
        <v>40269</v>
      </c>
      <c r="C597" s="15" t="s">
        <v>63</v>
      </c>
      <c r="D597" s="15" t="s">
        <v>38</v>
      </c>
      <c r="E597" s="15" t="s">
        <v>46</v>
      </c>
      <c r="F597" s="15" t="s">
        <v>47</v>
      </c>
      <c r="G597" s="15" t="s">
        <v>65</v>
      </c>
      <c r="H597" s="15" t="s">
        <v>42</v>
      </c>
      <c r="I597">
        <v>50</v>
      </c>
      <c r="J597">
        <v>80</v>
      </c>
      <c r="K597">
        <v>60</v>
      </c>
      <c r="L597">
        <v>130</v>
      </c>
      <c r="M597">
        <v>49</v>
      </c>
      <c r="N597">
        <v>779</v>
      </c>
      <c r="O597">
        <v>72</v>
      </c>
      <c r="P597">
        <v>13</v>
      </c>
      <c r="Q597">
        <v>47</v>
      </c>
      <c r="R597">
        <v>121</v>
      </c>
      <c r="S597">
        <v>0.93076923076923079</v>
      </c>
      <c r="T597">
        <v>0.78333333333333333</v>
      </c>
      <c r="U597">
        <v>0.98</v>
      </c>
    </row>
    <row r="598" spans="1:21" x14ac:dyDescent="0.35">
      <c r="A598">
        <v>786</v>
      </c>
      <c r="B598" s="16">
        <v>40269</v>
      </c>
      <c r="C598" s="15" t="s">
        <v>63</v>
      </c>
      <c r="D598" s="15" t="s">
        <v>38</v>
      </c>
      <c r="E598" s="15" t="s">
        <v>48</v>
      </c>
      <c r="F598" s="15" t="s">
        <v>49</v>
      </c>
      <c r="G598" s="15" t="s">
        <v>65</v>
      </c>
      <c r="H598" s="15" t="s">
        <v>42</v>
      </c>
      <c r="I598">
        <v>90</v>
      </c>
      <c r="J598">
        <v>130</v>
      </c>
      <c r="K598">
        <v>30</v>
      </c>
      <c r="L598">
        <v>220</v>
      </c>
      <c r="M598">
        <v>95</v>
      </c>
      <c r="N598">
        <v>554</v>
      </c>
      <c r="O598">
        <v>132</v>
      </c>
      <c r="P598">
        <v>86</v>
      </c>
      <c r="Q598">
        <v>17</v>
      </c>
      <c r="R598">
        <v>227</v>
      </c>
      <c r="S598">
        <v>1.0318181818181817</v>
      </c>
      <c r="T598">
        <v>0.56666666666666665</v>
      </c>
      <c r="U598">
        <v>1.0555555555555556</v>
      </c>
    </row>
    <row r="599" spans="1:21" x14ac:dyDescent="0.35">
      <c r="A599">
        <v>904</v>
      </c>
      <c r="B599" s="16">
        <v>40269</v>
      </c>
      <c r="C599" s="15" t="s">
        <v>63</v>
      </c>
      <c r="D599" s="15" t="s">
        <v>38</v>
      </c>
      <c r="E599" s="15" t="s">
        <v>50</v>
      </c>
      <c r="F599" s="15" t="s">
        <v>49</v>
      </c>
      <c r="G599" s="15" t="s">
        <v>65</v>
      </c>
      <c r="H599" s="15" t="s">
        <v>45</v>
      </c>
      <c r="I599">
        <v>70</v>
      </c>
      <c r="J599">
        <v>120</v>
      </c>
      <c r="K599">
        <v>80</v>
      </c>
      <c r="L599">
        <v>190</v>
      </c>
      <c r="M599">
        <v>83</v>
      </c>
      <c r="N599">
        <v>433</v>
      </c>
      <c r="O599">
        <v>112</v>
      </c>
      <c r="P599">
        <v>27</v>
      </c>
      <c r="Q599">
        <v>58</v>
      </c>
      <c r="R599">
        <v>195</v>
      </c>
      <c r="S599">
        <v>1.0263157894736843</v>
      </c>
      <c r="T599">
        <v>0.72499999999999998</v>
      </c>
      <c r="U599">
        <v>1.1857142857142857</v>
      </c>
    </row>
    <row r="600" spans="1:21" x14ac:dyDescent="0.35">
      <c r="A600">
        <v>305</v>
      </c>
      <c r="B600" s="16">
        <v>40269</v>
      </c>
      <c r="C600" s="15" t="s">
        <v>63</v>
      </c>
      <c r="D600" s="15" t="s">
        <v>38</v>
      </c>
      <c r="E600" s="15" t="s">
        <v>43</v>
      </c>
      <c r="F600" s="15" t="s">
        <v>40</v>
      </c>
      <c r="G600" s="15" t="s">
        <v>65</v>
      </c>
      <c r="H600" s="15" t="s">
        <v>42</v>
      </c>
      <c r="I600">
        <v>80</v>
      </c>
      <c r="J600">
        <v>130</v>
      </c>
      <c r="K600">
        <v>90</v>
      </c>
      <c r="L600">
        <v>210</v>
      </c>
      <c r="M600">
        <v>88</v>
      </c>
      <c r="N600">
        <v>653</v>
      </c>
      <c r="O600">
        <v>134</v>
      </c>
      <c r="P600">
        <v>29</v>
      </c>
      <c r="Q600">
        <v>73</v>
      </c>
      <c r="R600">
        <v>222</v>
      </c>
      <c r="S600">
        <v>1.0571428571428572</v>
      </c>
      <c r="T600">
        <v>0.81111111111111112</v>
      </c>
      <c r="U600">
        <v>1.1000000000000001</v>
      </c>
    </row>
    <row r="601" spans="1:21" x14ac:dyDescent="0.35">
      <c r="A601">
        <v>561</v>
      </c>
      <c r="B601" s="16">
        <v>40269</v>
      </c>
      <c r="C601" s="15" t="s">
        <v>63</v>
      </c>
      <c r="D601" s="15" t="s">
        <v>38</v>
      </c>
      <c r="E601" s="15" t="s">
        <v>44</v>
      </c>
      <c r="F601" s="15" t="s">
        <v>40</v>
      </c>
      <c r="G601" s="15" t="s">
        <v>65</v>
      </c>
      <c r="H601" s="15" t="s">
        <v>45</v>
      </c>
      <c r="I601">
        <v>100</v>
      </c>
      <c r="J601">
        <v>150</v>
      </c>
      <c r="K601">
        <v>100</v>
      </c>
      <c r="L601">
        <v>250</v>
      </c>
      <c r="M601">
        <v>112</v>
      </c>
      <c r="N601">
        <v>502</v>
      </c>
      <c r="O601">
        <v>155</v>
      </c>
      <c r="P601">
        <v>34</v>
      </c>
      <c r="Q601">
        <v>98</v>
      </c>
      <c r="R601">
        <v>267</v>
      </c>
      <c r="S601">
        <v>1.0680000000000001</v>
      </c>
      <c r="T601">
        <v>0.98</v>
      </c>
      <c r="U601">
        <v>1.1200000000000001</v>
      </c>
    </row>
    <row r="602" spans="1:21" x14ac:dyDescent="0.35">
      <c r="A602">
        <v>305</v>
      </c>
      <c r="B602" s="16">
        <v>40269</v>
      </c>
      <c r="C602" s="15" t="s">
        <v>63</v>
      </c>
      <c r="D602" s="15" t="s">
        <v>38</v>
      </c>
      <c r="E602" s="15" t="s">
        <v>51</v>
      </c>
      <c r="F602" s="15" t="s">
        <v>52</v>
      </c>
      <c r="G602" s="15" t="s">
        <v>65</v>
      </c>
      <c r="H602" s="15" t="s">
        <v>45</v>
      </c>
      <c r="I602">
        <v>30</v>
      </c>
      <c r="J602">
        <v>50</v>
      </c>
      <c r="K602">
        <v>30</v>
      </c>
      <c r="L602">
        <v>80</v>
      </c>
      <c r="M602">
        <v>45</v>
      </c>
      <c r="N602">
        <v>605</v>
      </c>
      <c r="O602">
        <v>58</v>
      </c>
      <c r="P602">
        <v>14</v>
      </c>
      <c r="Q602">
        <v>31</v>
      </c>
      <c r="R602">
        <v>103</v>
      </c>
      <c r="S602">
        <v>1.2875000000000001</v>
      </c>
      <c r="T602">
        <v>1.0333333333333334</v>
      </c>
      <c r="U602">
        <v>1.5</v>
      </c>
    </row>
    <row r="603" spans="1:21" x14ac:dyDescent="0.35">
      <c r="A603">
        <v>305</v>
      </c>
      <c r="B603" s="16">
        <v>40269</v>
      </c>
      <c r="C603" s="15" t="s">
        <v>63</v>
      </c>
      <c r="D603" s="15" t="s">
        <v>38</v>
      </c>
      <c r="E603" s="15" t="s">
        <v>53</v>
      </c>
      <c r="F603" s="15" t="s">
        <v>52</v>
      </c>
      <c r="G603" s="15" t="s">
        <v>65</v>
      </c>
      <c r="H603" s="15" t="s">
        <v>45</v>
      </c>
      <c r="I603">
        <v>40</v>
      </c>
      <c r="J603">
        <v>50</v>
      </c>
      <c r="K603">
        <v>20</v>
      </c>
      <c r="L603">
        <v>90</v>
      </c>
      <c r="M603">
        <v>57</v>
      </c>
      <c r="N603">
        <v>313</v>
      </c>
      <c r="O603">
        <v>70</v>
      </c>
      <c r="P603">
        <v>21</v>
      </c>
      <c r="Q603">
        <v>15</v>
      </c>
      <c r="R603">
        <v>127</v>
      </c>
      <c r="S603">
        <v>1.4111111111111112</v>
      </c>
      <c r="T603">
        <v>0.75</v>
      </c>
      <c r="U603">
        <v>1.425</v>
      </c>
    </row>
    <row r="604" spans="1:21" x14ac:dyDescent="0.35">
      <c r="A604">
        <v>754</v>
      </c>
      <c r="B604" s="16">
        <v>40269</v>
      </c>
      <c r="C604" s="15" t="s">
        <v>63</v>
      </c>
      <c r="D604" s="15" t="s">
        <v>38</v>
      </c>
      <c r="E604" s="15" t="s">
        <v>54</v>
      </c>
      <c r="F604" s="15" t="s">
        <v>52</v>
      </c>
      <c r="G604" s="15" t="s">
        <v>65</v>
      </c>
      <c r="H604" s="15" t="s">
        <v>45</v>
      </c>
      <c r="I604">
        <v>50</v>
      </c>
      <c r="J604">
        <v>60</v>
      </c>
      <c r="K604">
        <v>40</v>
      </c>
      <c r="L604">
        <v>110</v>
      </c>
      <c r="M604">
        <v>69</v>
      </c>
      <c r="N604">
        <v>965</v>
      </c>
      <c r="O604">
        <v>82</v>
      </c>
      <c r="P604">
        <v>21</v>
      </c>
      <c r="Q604">
        <v>39</v>
      </c>
      <c r="R604">
        <v>151</v>
      </c>
      <c r="S604">
        <v>1.3727272727272728</v>
      </c>
      <c r="T604">
        <v>0.97499999999999998</v>
      </c>
      <c r="U604">
        <v>1.38</v>
      </c>
    </row>
    <row r="605" spans="1:21" x14ac:dyDescent="0.35">
      <c r="A605">
        <v>781</v>
      </c>
      <c r="B605" s="16">
        <v>40269</v>
      </c>
      <c r="C605" s="15" t="s">
        <v>63</v>
      </c>
      <c r="D605" s="15" t="s">
        <v>38</v>
      </c>
      <c r="E605" s="15" t="s">
        <v>55</v>
      </c>
      <c r="F605" s="15" t="s">
        <v>47</v>
      </c>
      <c r="G605" s="15" t="s">
        <v>66</v>
      </c>
      <c r="H605" s="15" t="s">
        <v>42</v>
      </c>
      <c r="I605">
        <v>30</v>
      </c>
      <c r="J605">
        <v>50</v>
      </c>
      <c r="K605">
        <v>40</v>
      </c>
      <c r="L605">
        <v>80</v>
      </c>
      <c r="M605">
        <v>30</v>
      </c>
      <c r="N605">
        <v>820</v>
      </c>
      <c r="O605">
        <v>45</v>
      </c>
      <c r="P605">
        <v>8</v>
      </c>
      <c r="Q605">
        <v>26</v>
      </c>
      <c r="R605">
        <v>75</v>
      </c>
      <c r="S605">
        <v>0.9375</v>
      </c>
      <c r="T605">
        <v>0.65</v>
      </c>
      <c r="U605">
        <v>1</v>
      </c>
    </row>
    <row r="606" spans="1:21" x14ac:dyDescent="0.35">
      <c r="A606">
        <v>781</v>
      </c>
      <c r="B606" s="16">
        <v>40269</v>
      </c>
      <c r="C606" s="15" t="s">
        <v>63</v>
      </c>
      <c r="D606" s="15" t="s">
        <v>38</v>
      </c>
      <c r="E606" s="15" t="s">
        <v>46</v>
      </c>
      <c r="F606" s="15" t="s">
        <v>47</v>
      </c>
      <c r="G606" s="15" t="s">
        <v>66</v>
      </c>
      <c r="H606" s="15" t="s">
        <v>42</v>
      </c>
      <c r="I606">
        <v>20</v>
      </c>
      <c r="J606">
        <v>30</v>
      </c>
      <c r="K606">
        <v>20</v>
      </c>
      <c r="L606">
        <v>50</v>
      </c>
      <c r="M606">
        <v>21</v>
      </c>
      <c r="N606">
        <v>454</v>
      </c>
      <c r="O606">
        <v>32</v>
      </c>
      <c r="P606">
        <v>5</v>
      </c>
      <c r="Q606">
        <v>16</v>
      </c>
      <c r="R606">
        <v>53</v>
      </c>
      <c r="S606">
        <v>1.06</v>
      </c>
      <c r="T606">
        <v>0.8</v>
      </c>
      <c r="U606">
        <v>1.05</v>
      </c>
    </row>
    <row r="607" spans="1:21" x14ac:dyDescent="0.35">
      <c r="A607">
        <v>617</v>
      </c>
      <c r="B607" s="16">
        <v>40269</v>
      </c>
      <c r="C607" s="15" t="s">
        <v>63</v>
      </c>
      <c r="D607" s="15" t="s">
        <v>38</v>
      </c>
      <c r="E607" s="15" t="s">
        <v>48</v>
      </c>
      <c r="F607" s="15" t="s">
        <v>49</v>
      </c>
      <c r="G607" s="15" t="s">
        <v>66</v>
      </c>
      <c r="H607" s="15" t="s">
        <v>42</v>
      </c>
      <c r="I607">
        <v>40</v>
      </c>
      <c r="J607">
        <v>70</v>
      </c>
      <c r="K607">
        <v>10</v>
      </c>
      <c r="L607">
        <v>110</v>
      </c>
      <c r="M607">
        <v>52</v>
      </c>
      <c r="N607">
        <v>458</v>
      </c>
      <c r="O607">
        <v>65</v>
      </c>
      <c r="P607">
        <v>47</v>
      </c>
      <c r="Q607">
        <v>-12</v>
      </c>
      <c r="R607">
        <v>117</v>
      </c>
      <c r="S607">
        <v>1.0636363636363637</v>
      </c>
      <c r="T607">
        <v>-1.2</v>
      </c>
      <c r="U607">
        <v>1.3</v>
      </c>
    </row>
    <row r="608" spans="1:21" x14ac:dyDescent="0.35">
      <c r="A608">
        <v>351</v>
      </c>
      <c r="B608" s="16">
        <v>40269</v>
      </c>
      <c r="C608" s="15" t="s">
        <v>63</v>
      </c>
      <c r="D608" s="15" t="s">
        <v>38</v>
      </c>
      <c r="E608" s="15" t="s">
        <v>67</v>
      </c>
      <c r="F608" s="15" t="s">
        <v>49</v>
      </c>
      <c r="G608" s="15" t="s">
        <v>66</v>
      </c>
      <c r="H608" s="15" t="s">
        <v>42</v>
      </c>
      <c r="I608">
        <v>150</v>
      </c>
      <c r="J608">
        <v>160</v>
      </c>
      <c r="K608">
        <v>100</v>
      </c>
      <c r="L608">
        <v>310</v>
      </c>
      <c r="M608">
        <v>162</v>
      </c>
      <c r="N608">
        <v>1091</v>
      </c>
      <c r="O608">
        <v>163</v>
      </c>
      <c r="P608">
        <v>45</v>
      </c>
      <c r="Q608">
        <v>94</v>
      </c>
      <c r="R608">
        <v>325</v>
      </c>
      <c r="S608">
        <v>1.0483870967741935</v>
      </c>
      <c r="T608">
        <v>0.94</v>
      </c>
      <c r="U608">
        <v>1.08</v>
      </c>
    </row>
    <row r="609" spans="1:21" x14ac:dyDescent="0.35">
      <c r="A609">
        <v>774</v>
      </c>
      <c r="B609" s="16">
        <v>40269</v>
      </c>
      <c r="C609" s="15" t="s">
        <v>63</v>
      </c>
      <c r="D609" s="15" t="s">
        <v>38</v>
      </c>
      <c r="E609" s="15" t="s">
        <v>43</v>
      </c>
      <c r="F609" s="15" t="s">
        <v>40</v>
      </c>
      <c r="G609" s="15" t="s">
        <v>66</v>
      </c>
      <c r="H609" s="15" t="s">
        <v>42</v>
      </c>
      <c r="I609">
        <v>60</v>
      </c>
      <c r="J609">
        <v>430</v>
      </c>
      <c r="K609">
        <v>400</v>
      </c>
      <c r="L609">
        <v>490</v>
      </c>
      <c r="M609">
        <v>68</v>
      </c>
      <c r="N609">
        <v>-348</v>
      </c>
      <c r="O609">
        <v>451</v>
      </c>
      <c r="P609">
        <v>22</v>
      </c>
      <c r="Q609">
        <v>397</v>
      </c>
      <c r="R609">
        <v>519</v>
      </c>
      <c r="S609">
        <v>1.0591836734693878</v>
      </c>
      <c r="T609">
        <v>0.99250000000000005</v>
      </c>
      <c r="U609">
        <v>1.1333333333333333</v>
      </c>
    </row>
    <row r="610" spans="1:21" x14ac:dyDescent="0.35">
      <c r="A610">
        <v>508</v>
      </c>
      <c r="B610" s="16">
        <v>40269</v>
      </c>
      <c r="C610" s="15" t="s">
        <v>63</v>
      </c>
      <c r="D610" s="15" t="s">
        <v>38</v>
      </c>
      <c r="E610" s="15" t="s">
        <v>53</v>
      </c>
      <c r="F610" s="15" t="s">
        <v>52</v>
      </c>
      <c r="G610" s="15" t="s">
        <v>66</v>
      </c>
      <c r="H610" s="15" t="s">
        <v>45</v>
      </c>
      <c r="I610">
        <v>40</v>
      </c>
      <c r="J610">
        <v>50</v>
      </c>
      <c r="K610">
        <v>20</v>
      </c>
      <c r="L610">
        <v>90</v>
      </c>
      <c r="M610">
        <v>54</v>
      </c>
      <c r="N610">
        <v>337</v>
      </c>
      <c r="O610">
        <v>67</v>
      </c>
      <c r="P610">
        <v>20</v>
      </c>
      <c r="Q610">
        <v>13</v>
      </c>
      <c r="R610">
        <v>121</v>
      </c>
      <c r="S610">
        <v>1.3444444444444446</v>
      </c>
      <c r="T610">
        <v>0.65</v>
      </c>
      <c r="U610">
        <v>1.35</v>
      </c>
    </row>
    <row r="611" spans="1:21" x14ac:dyDescent="0.35">
      <c r="A611">
        <v>603</v>
      </c>
      <c r="B611" s="16">
        <v>40269</v>
      </c>
      <c r="C611" s="15" t="s">
        <v>63</v>
      </c>
      <c r="D611" s="15" t="s">
        <v>58</v>
      </c>
      <c r="E611" s="15" t="s">
        <v>55</v>
      </c>
      <c r="F611" s="15" t="s">
        <v>47</v>
      </c>
      <c r="G611" s="15" t="s">
        <v>68</v>
      </c>
      <c r="H611" s="15" t="s">
        <v>42</v>
      </c>
      <c r="I611">
        <v>20</v>
      </c>
      <c r="J611">
        <v>30</v>
      </c>
      <c r="K611">
        <v>20</v>
      </c>
      <c r="L611">
        <v>50</v>
      </c>
      <c r="M611">
        <v>19</v>
      </c>
      <c r="N611">
        <v>820</v>
      </c>
      <c r="O611">
        <v>28</v>
      </c>
      <c r="P611">
        <v>5</v>
      </c>
      <c r="Q611">
        <v>12</v>
      </c>
      <c r="R611">
        <v>47</v>
      </c>
      <c r="S611">
        <v>0.94</v>
      </c>
      <c r="T611">
        <v>0.6</v>
      </c>
      <c r="U611">
        <v>0.95</v>
      </c>
    </row>
    <row r="612" spans="1:21" x14ac:dyDescent="0.35">
      <c r="A612">
        <v>603</v>
      </c>
      <c r="B612" s="16">
        <v>40269</v>
      </c>
      <c r="C612" s="15" t="s">
        <v>63</v>
      </c>
      <c r="D612" s="15" t="s">
        <v>58</v>
      </c>
      <c r="E612" s="15" t="s">
        <v>46</v>
      </c>
      <c r="F612" s="15" t="s">
        <v>47</v>
      </c>
      <c r="G612" s="15" t="s">
        <v>68</v>
      </c>
      <c r="H612" s="15" t="s">
        <v>42</v>
      </c>
      <c r="I612">
        <v>0</v>
      </c>
      <c r="J612">
        <v>40</v>
      </c>
      <c r="K612">
        <v>30</v>
      </c>
      <c r="L612">
        <v>40</v>
      </c>
      <c r="M612">
        <v>0</v>
      </c>
      <c r="N612">
        <v>688</v>
      </c>
      <c r="O612">
        <v>43</v>
      </c>
      <c r="P612">
        <v>0</v>
      </c>
      <c r="Q612">
        <v>32</v>
      </c>
      <c r="R612">
        <v>43</v>
      </c>
      <c r="S612">
        <v>1.075</v>
      </c>
      <c r="T612">
        <v>1.0666666666666667</v>
      </c>
    </row>
    <row r="613" spans="1:21" x14ac:dyDescent="0.35">
      <c r="A613">
        <v>603</v>
      </c>
      <c r="B613" s="16">
        <v>40269</v>
      </c>
      <c r="C613" s="15" t="s">
        <v>63</v>
      </c>
      <c r="D613" s="15" t="s">
        <v>58</v>
      </c>
      <c r="E613" s="15" t="s">
        <v>48</v>
      </c>
      <c r="F613" s="15" t="s">
        <v>49</v>
      </c>
      <c r="G613" s="15" t="s">
        <v>68</v>
      </c>
      <c r="H613" s="15" t="s">
        <v>42</v>
      </c>
      <c r="I613">
        <v>40</v>
      </c>
      <c r="J613">
        <v>60</v>
      </c>
      <c r="K613">
        <v>10</v>
      </c>
      <c r="L613">
        <v>100</v>
      </c>
      <c r="M613">
        <v>44</v>
      </c>
      <c r="N613">
        <v>261</v>
      </c>
      <c r="O613">
        <v>63</v>
      </c>
      <c r="P613">
        <v>40</v>
      </c>
      <c r="Q613">
        <v>-6</v>
      </c>
      <c r="R613">
        <v>107</v>
      </c>
      <c r="S613">
        <v>1.07</v>
      </c>
      <c r="T613">
        <v>-0.6</v>
      </c>
      <c r="U613">
        <v>1.1000000000000001</v>
      </c>
    </row>
    <row r="614" spans="1:21" x14ac:dyDescent="0.35">
      <c r="A614">
        <v>603</v>
      </c>
      <c r="B614" s="16">
        <v>40269</v>
      </c>
      <c r="C614" s="15" t="s">
        <v>63</v>
      </c>
      <c r="D614" s="15" t="s">
        <v>58</v>
      </c>
      <c r="E614" s="15" t="s">
        <v>67</v>
      </c>
      <c r="F614" s="15" t="s">
        <v>49</v>
      </c>
      <c r="G614" s="15" t="s">
        <v>68</v>
      </c>
      <c r="H614" s="15" t="s">
        <v>42</v>
      </c>
      <c r="I614">
        <v>20</v>
      </c>
      <c r="J614">
        <v>40</v>
      </c>
      <c r="K614">
        <v>0</v>
      </c>
      <c r="L614">
        <v>60</v>
      </c>
      <c r="M614">
        <v>29</v>
      </c>
      <c r="N614">
        <v>169</v>
      </c>
      <c r="O614">
        <v>36</v>
      </c>
      <c r="P614">
        <v>11</v>
      </c>
      <c r="Q614">
        <v>-9</v>
      </c>
      <c r="R614">
        <v>65</v>
      </c>
      <c r="S614">
        <v>1.0833333333333333</v>
      </c>
      <c r="U614">
        <v>1.45</v>
      </c>
    </row>
    <row r="615" spans="1:21" x14ac:dyDescent="0.35">
      <c r="A615">
        <v>603</v>
      </c>
      <c r="B615" s="16">
        <v>40269</v>
      </c>
      <c r="C615" s="15" t="s">
        <v>63</v>
      </c>
      <c r="D615" s="15" t="s">
        <v>58</v>
      </c>
      <c r="E615" s="15" t="s">
        <v>39</v>
      </c>
      <c r="F615" s="15" t="s">
        <v>40</v>
      </c>
      <c r="G615" s="15" t="s">
        <v>68</v>
      </c>
      <c r="H615" s="15" t="s">
        <v>42</v>
      </c>
      <c r="I615">
        <v>40</v>
      </c>
      <c r="J615">
        <v>70</v>
      </c>
      <c r="K615">
        <v>40</v>
      </c>
      <c r="L615">
        <v>110</v>
      </c>
      <c r="M615">
        <v>49</v>
      </c>
      <c r="N615">
        <v>241</v>
      </c>
      <c r="O615">
        <v>72</v>
      </c>
      <c r="P615">
        <v>15</v>
      </c>
      <c r="Q615">
        <v>33</v>
      </c>
      <c r="R615">
        <v>121</v>
      </c>
      <c r="S615">
        <v>1.1000000000000001</v>
      </c>
      <c r="T615">
        <v>0.82499999999999996</v>
      </c>
      <c r="U615">
        <v>1.2250000000000001</v>
      </c>
    </row>
    <row r="616" spans="1:21" x14ac:dyDescent="0.35">
      <c r="A616">
        <v>603</v>
      </c>
      <c r="B616" s="16">
        <v>40269</v>
      </c>
      <c r="C616" s="15" t="s">
        <v>63</v>
      </c>
      <c r="D616" s="15" t="s">
        <v>58</v>
      </c>
      <c r="E616" s="15" t="s">
        <v>43</v>
      </c>
      <c r="F616" s="15" t="s">
        <v>40</v>
      </c>
      <c r="G616" s="15" t="s">
        <v>68</v>
      </c>
      <c r="H616" s="15" t="s">
        <v>42</v>
      </c>
      <c r="I616">
        <v>40</v>
      </c>
      <c r="J616">
        <v>70</v>
      </c>
      <c r="K616">
        <v>40</v>
      </c>
      <c r="L616">
        <v>110</v>
      </c>
      <c r="M616">
        <v>50</v>
      </c>
      <c r="N616">
        <v>372</v>
      </c>
      <c r="O616">
        <v>75</v>
      </c>
      <c r="P616">
        <v>16</v>
      </c>
      <c r="Q616">
        <v>27</v>
      </c>
      <c r="R616">
        <v>125</v>
      </c>
      <c r="S616">
        <v>1.1363636363636365</v>
      </c>
      <c r="T616">
        <v>0.67500000000000004</v>
      </c>
      <c r="U616">
        <v>1.25</v>
      </c>
    </row>
    <row r="617" spans="1:21" x14ac:dyDescent="0.35">
      <c r="A617">
        <v>603</v>
      </c>
      <c r="B617" s="16">
        <v>40269</v>
      </c>
      <c r="C617" s="15" t="s">
        <v>63</v>
      </c>
      <c r="D617" s="15" t="s">
        <v>58</v>
      </c>
      <c r="E617" s="15" t="s">
        <v>53</v>
      </c>
      <c r="F617" s="15" t="s">
        <v>52</v>
      </c>
      <c r="G617" s="15" t="s">
        <v>68</v>
      </c>
      <c r="H617" s="15" t="s">
        <v>45</v>
      </c>
      <c r="I617">
        <v>20</v>
      </c>
      <c r="J617">
        <v>40</v>
      </c>
      <c r="K617">
        <v>10</v>
      </c>
      <c r="L617">
        <v>60</v>
      </c>
      <c r="M617">
        <v>35</v>
      </c>
      <c r="N617">
        <v>197</v>
      </c>
      <c r="O617">
        <v>44</v>
      </c>
      <c r="P617">
        <v>13</v>
      </c>
      <c r="Q617">
        <v>-3</v>
      </c>
      <c r="R617">
        <v>79</v>
      </c>
      <c r="S617">
        <v>1.3166666666666667</v>
      </c>
      <c r="T617">
        <v>-0.3</v>
      </c>
      <c r="U617">
        <v>1.75</v>
      </c>
    </row>
    <row r="618" spans="1:21" x14ac:dyDescent="0.35">
      <c r="A618">
        <v>585</v>
      </c>
      <c r="B618" s="16">
        <v>40269</v>
      </c>
      <c r="C618" s="15" t="s">
        <v>63</v>
      </c>
      <c r="D618" s="15" t="s">
        <v>38</v>
      </c>
      <c r="E618" s="15" t="s">
        <v>55</v>
      </c>
      <c r="F618" s="15" t="s">
        <v>47</v>
      </c>
      <c r="G618" s="15" t="s">
        <v>69</v>
      </c>
      <c r="H618" s="15" t="s">
        <v>42</v>
      </c>
      <c r="I618">
        <v>100</v>
      </c>
      <c r="J618">
        <v>160</v>
      </c>
      <c r="K618">
        <v>130</v>
      </c>
      <c r="L618">
        <v>260</v>
      </c>
      <c r="M618">
        <v>100</v>
      </c>
      <c r="N618">
        <v>822</v>
      </c>
      <c r="O618">
        <v>145</v>
      </c>
      <c r="P618">
        <v>28</v>
      </c>
      <c r="Q618">
        <v>105</v>
      </c>
      <c r="R618">
        <v>245</v>
      </c>
      <c r="S618">
        <v>0.94230769230769229</v>
      </c>
      <c r="T618">
        <v>0.80769230769230771</v>
      </c>
      <c r="U618">
        <v>1</v>
      </c>
    </row>
    <row r="619" spans="1:21" x14ac:dyDescent="0.35">
      <c r="A619">
        <v>631</v>
      </c>
      <c r="B619" s="16">
        <v>40269</v>
      </c>
      <c r="C619" s="15" t="s">
        <v>63</v>
      </c>
      <c r="D619" s="15" t="s">
        <v>38</v>
      </c>
      <c r="E619" s="15" t="s">
        <v>56</v>
      </c>
      <c r="F619" s="15" t="s">
        <v>47</v>
      </c>
      <c r="G619" s="15" t="s">
        <v>69</v>
      </c>
      <c r="H619" s="15" t="s">
        <v>42</v>
      </c>
      <c r="I619">
        <v>90</v>
      </c>
      <c r="J619">
        <v>150</v>
      </c>
      <c r="K619">
        <v>120</v>
      </c>
      <c r="L619">
        <v>240</v>
      </c>
      <c r="M619">
        <v>91</v>
      </c>
      <c r="N619">
        <v>777</v>
      </c>
      <c r="O619">
        <v>132</v>
      </c>
      <c r="P619">
        <v>25</v>
      </c>
      <c r="Q619">
        <v>95</v>
      </c>
      <c r="R619">
        <v>223</v>
      </c>
      <c r="S619">
        <v>0.9291666666666667</v>
      </c>
      <c r="T619">
        <v>0.79166666666666663</v>
      </c>
      <c r="U619">
        <v>1.0111111111111111</v>
      </c>
    </row>
    <row r="620" spans="1:21" x14ac:dyDescent="0.35">
      <c r="A620">
        <v>212</v>
      </c>
      <c r="B620" s="16">
        <v>40269</v>
      </c>
      <c r="C620" s="15" t="s">
        <v>63</v>
      </c>
      <c r="D620" s="15" t="s">
        <v>38</v>
      </c>
      <c r="E620" s="15" t="s">
        <v>46</v>
      </c>
      <c r="F620" s="15" t="s">
        <v>47</v>
      </c>
      <c r="G620" s="15" t="s">
        <v>69</v>
      </c>
      <c r="H620" s="15" t="s">
        <v>42</v>
      </c>
      <c r="I620">
        <v>80</v>
      </c>
      <c r="J620">
        <v>130</v>
      </c>
      <c r="K620">
        <v>100</v>
      </c>
      <c r="L620">
        <v>210</v>
      </c>
      <c r="M620">
        <v>81</v>
      </c>
      <c r="N620">
        <v>460</v>
      </c>
      <c r="O620">
        <v>117</v>
      </c>
      <c r="P620">
        <v>22</v>
      </c>
      <c r="Q620">
        <v>83</v>
      </c>
      <c r="R620">
        <v>198</v>
      </c>
      <c r="S620">
        <v>0.94285714285714284</v>
      </c>
      <c r="T620">
        <v>0.83</v>
      </c>
      <c r="U620">
        <v>1.0125</v>
      </c>
    </row>
    <row r="621" spans="1:21" x14ac:dyDescent="0.35">
      <c r="A621">
        <v>914</v>
      </c>
      <c r="B621" s="16">
        <v>40269</v>
      </c>
      <c r="C621" s="15" t="s">
        <v>63</v>
      </c>
      <c r="D621" s="15" t="s">
        <v>38</v>
      </c>
      <c r="E621" s="15" t="s">
        <v>48</v>
      </c>
      <c r="F621" s="15" t="s">
        <v>49</v>
      </c>
      <c r="G621" s="15" t="s">
        <v>69</v>
      </c>
      <c r="H621" s="15" t="s">
        <v>42</v>
      </c>
      <c r="I621">
        <v>120</v>
      </c>
      <c r="J621">
        <v>-60</v>
      </c>
      <c r="K621">
        <v>-190</v>
      </c>
      <c r="L621">
        <v>60</v>
      </c>
      <c r="M621">
        <v>125</v>
      </c>
      <c r="N621">
        <v>1382</v>
      </c>
      <c r="O621">
        <v>-59</v>
      </c>
      <c r="P621">
        <v>113</v>
      </c>
      <c r="Q621">
        <v>-205</v>
      </c>
      <c r="R621">
        <v>66</v>
      </c>
      <c r="S621">
        <v>1.1000000000000001</v>
      </c>
      <c r="T621">
        <v>1.0789473684210527</v>
      </c>
      <c r="U621">
        <v>1.0416666666666667</v>
      </c>
    </row>
    <row r="622" spans="1:21" x14ac:dyDescent="0.35">
      <c r="A622">
        <v>516</v>
      </c>
      <c r="B622" s="16">
        <v>40269</v>
      </c>
      <c r="C622" s="15" t="s">
        <v>63</v>
      </c>
      <c r="D622" s="15" t="s">
        <v>38</v>
      </c>
      <c r="E622" s="15" t="s">
        <v>67</v>
      </c>
      <c r="F622" s="15" t="s">
        <v>49</v>
      </c>
      <c r="G622" s="15" t="s">
        <v>69</v>
      </c>
      <c r="H622" s="15" t="s">
        <v>42</v>
      </c>
      <c r="I622">
        <v>220</v>
      </c>
      <c r="J622">
        <v>330</v>
      </c>
      <c r="K622">
        <v>250</v>
      </c>
      <c r="L622">
        <v>550</v>
      </c>
      <c r="M622">
        <v>239</v>
      </c>
      <c r="N622">
        <v>1262</v>
      </c>
      <c r="O622">
        <v>325</v>
      </c>
      <c r="P622">
        <v>66</v>
      </c>
      <c r="Q622">
        <v>235</v>
      </c>
      <c r="R622">
        <v>564</v>
      </c>
      <c r="S622">
        <v>1.0254545454545454</v>
      </c>
      <c r="T622">
        <v>0.94</v>
      </c>
      <c r="U622">
        <v>1.0863636363636364</v>
      </c>
    </row>
    <row r="623" spans="1:21" x14ac:dyDescent="0.35">
      <c r="A623">
        <v>631</v>
      </c>
      <c r="B623" s="16">
        <v>40269</v>
      </c>
      <c r="C623" s="15" t="s">
        <v>63</v>
      </c>
      <c r="D623" s="15" t="s">
        <v>38</v>
      </c>
      <c r="E623" s="15" t="s">
        <v>43</v>
      </c>
      <c r="F623" s="15" t="s">
        <v>40</v>
      </c>
      <c r="G623" s="15" t="s">
        <v>69</v>
      </c>
      <c r="H623" s="15" t="s">
        <v>42</v>
      </c>
      <c r="I623">
        <v>270</v>
      </c>
      <c r="J623">
        <v>400</v>
      </c>
      <c r="K623">
        <v>280</v>
      </c>
      <c r="L623">
        <v>670</v>
      </c>
      <c r="M623">
        <v>284</v>
      </c>
      <c r="N623">
        <v>2108</v>
      </c>
      <c r="O623">
        <v>428</v>
      </c>
      <c r="P623">
        <v>99</v>
      </c>
      <c r="Q623">
        <v>276</v>
      </c>
      <c r="R623">
        <v>712</v>
      </c>
      <c r="S623">
        <v>1.0626865671641792</v>
      </c>
      <c r="T623">
        <v>0.98571428571428577</v>
      </c>
      <c r="U623">
        <v>1.0518518518518518</v>
      </c>
    </row>
    <row r="624" spans="1:21" x14ac:dyDescent="0.35">
      <c r="A624">
        <v>631</v>
      </c>
      <c r="B624" s="16">
        <v>40269</v>
      </c>
      <c r="C624" s="15" t="s">
        <v>63</v>
      </c>
      <c r="D624" s="15" t="s">
        <v>38</v>
      </c>
      <c r="E624" s="15" t="s">
        <v>53</v>
      </c>
      <c r="F624" s="15" t="s">
        <v>52</v>
      </c>
      <c r="G624" s="15" t="s">
        <v>69</v>
      </c>
      <c r="H624" s="15" t="s">
        <v>45</v>
      </c>
      <c r="I624">
        <v>190</v>
      </c>
      <c r="J624">
        <v>300</v>
      </c>
      <c r="K624">
        <v>200</v>
      </c>
      <c r="L624">
        <v>490</v>
      </c>
      <c r="M624">
        <v>260</v>
      </c>
      <c r="N624">
        <v>1558</v>
      </c>
      <c r="O624">
        <v>378</v>
      </c>
      <c r="P624">
        <v>98</v>
      </c>
      <c r="Q624">
        <v>247</v>
      </c>
      <c r="R624">
        <v>638</v>
      </c>
      <c r="S624">
        <v>1.3020408163265307</v>
      </c>
      <c r="T624">
        <v>1.2350000000000001</v>
      </c>
      <c r="U624">
        <v>1.368421052631579</v>
      </c>
    </row>
    <row r="625" spans="1:21" x14ac:dyDescent="0.35">
      <c r="A625">
        <v>718</v>
      </c>
      <c r="B625" s="16">
        <v>40269</v>
      </c>
      <c r="C625" s="15" t="s">
        <v>63</v>
      </c>
      <c r="D625" s="15" t="s">
        <v>38</v>
      </c>
      <c r="E625" s="15" t="s">
        <v>54</v>
      </c>
      <c r="F625" s="15" t="s">
        <v>52</v>
      </c>
      <c r="G625" s="15" t="s">
        <v>69</v>
      </c>
      <c r="H625" s="15" t="s">
        <v>45</v>
      </c>
      <c r="I625">
        <v>150</v>
      </c>
      <c r="J625">
        <v>-10</v>
      </c>
      <c r="K625">
        <v>-70</v>
      </c>
      <c r="L625">
        <v>140</v>
      </c>
      <c r="M625">
        <v>209</v>
      </c>
      <c r="N625">
        <v>1811</v>
      </c>
      <c r="O625">
        <v>-20</v>
      </c>
      <c r="P625">
        <v>64</v>
      </c>
      <c r="Q625">
        <v>-105</v>
      </c>
      <c r="R625">
        <v>189</v>
      </c>
      <c r="S625">
        <v>1.35</v>
      </c>
      <c r="T625">
        <v>1.5</v>
      </c>
      <c r="U625">
        <v>1.3933333333333333</v>
      </c>
    </row>
    <row r="626" spans="1:21" x14ac:dyDescent="0.35">
      <c r="A626">
        <v>985</v>
      </c>
      <c r="B626" s="16">
        <v>40269</v>
      </c>
      <c r="C626" s="15" t="s">
        <v>70</v>
      </c>
      <c r="D626" s="15" t="s">
        <v>58</v>
      </c>
      <c r="E626" s="15" t="s">
        <v>72</v>
      </c>
      <c r="F626" s="15" t="s">
        <v>49</v>
      </c>
      <c r="G626" s="15" t="s">
        <v>71</v>
      </c>
      <c r="H626" s="15" t="s">
        <v>42</v>
      </c>
      <c r="I626">
        <v>50</v>
      </c>
      <c r="J626">
        <v>70</v>
      </c>
      <c r="K626">
        <v>0</v>
      </c>
      <c r="L626">
        <v>120</v>
      </c>
      <c r="M626">
        <v>63</v>
      </c>
      <c r="N626">
        <v>37</v>
      </c>
      <c r="O626">
        <v>87</v>
      </c>
      <c r="P626">
        <v>57</v>
      </c>
      <c r="Q626">
        <v>1</v>
      </c>
      <c r="R626">
        <v>150</v>
      </c>
      <c r="S626">
        <v>1.25</v>
      </c>
      <c r="U626">
        <v>1.26</v>
      </c>
    </row>
    <row r="627" spans="1:21" x14ac:dyDescent="0.35">
      <c r="A627">
        <v>225</v>
      </c>
      <c r="B627" s="16">
        <v>40269</v>
      </c>
      <c r="C627" s="15" t="s">
        <v>70</v>
      </c>
      <c r="D627" s="15" t="s">
        <v>58</v>
      </c>
      <c r="E627" s="15" t="s">
        <v>48</v>
      </c>
      <c r="F627" s="15" t="s">
        <v>49</v>
      </c>
      <c r="G627" s="15" t="s">
        <v>71</v>
      </c>
      <c r="H627" s="15" t="s">
        <v>42</v>
      </c>
      <c r="I627">
        <v>40</v>
      </c>
      <c r="J627">
        <v>70</v>
      </c>
      <c r="K627">
        <v>50</v>
      </c>
      <c r="L627">
        <v>110</v>
      </c>
      <c r="M627">
        <v>49</v>
      </c>
      <c r="N627">
        <v>342</v>
      </c>
      <c r="O627">
        <v>84</v>
      </c>
      <c r="P627">
        <v>15</v>
      </c>
      <c r="Q627">
        <v>45</v>
      </c>
      <c r="R627">
        <v>133</v>
      </c>
      <c r="S627">
        <v>1.209090909090909</v>
      </c>
      <c r="T627">
        <v>0.9</v>
      </c>
      <c r="U627">
        <v>1.2250000000000001</v>
      </c>
    </row>
    <row r="628" spans="1:21" x14ac:dyDescent="0.35">
      <c r="A628">
        <v>225</v>
      </c>
      <c r="B628" s="16">
        <v>40269</v>
      </c>
      <c r="C628" s="15" t="s">
        <v>70</v>
      </c>
      <c r="D628" s="15" t="s">
        <v>58</v>
      </c>
      <c r="E628" s="15" t="s">
        <v>50</v>
      </c>
      <c r="F628" s="15" t="s">
        <v>49</v>
      </c>
      <c r="G628" s="15" t="s">
        <v>71</v>
      </c>
      <c r="H628" s="15" t="s">
        <v>45</v>
      </c>
      <c r="I628">
        <v>30</v>
      </c>
      <c r="J628">
        <v>60</v>
      </c>
      <c r="K628">
        <v>40</v>
      </c>
      <c r="L628">
        <v>90</v>
      </c>
      <c r="M628">
        <v>46</v>
      </c>
      <c r="N628">
        <v>388</v>
      </c>
      <c r="O628">
        <v>68</v>
      </c>
      <c r="P628">
        <v>14</v>
      </c>
      <c r="Q628">
        <v>31</v>
      </c>
      <c r="R628">
        <v>114</v>
      </c>
      <c r="S628">
        <v>1.2666666666666666</v>
      </c>
      <c r="T628">
        <v>0.77500000000000002</v>
      </c>
      <c r="U628">
        <v>1.5333333333333334</v>
      </c>
    </row>
    <row r="629" spans="1:21" x14ac:dyDescent="0.35">
      <c r="A629">
        <v>985</v>
      </c>
      <c r="B629" s="16">
        <v>40269</v>
      </c>
      <c r="C629" s="15" t="s">
        <v>70</v>
      </c>
      <c r="D629" s="15" t="s">
        <v>58</v>
      </c>
      <c r="E629" s="15" t="s">
        <v>51</v>
      </c>
      <c r="F629" s="15" t="s">
        <v>52</v>
      </c>
      <c r="G629" s="15" t="s">
        <v>71</v>
      </c>
      <c r="H629" s="15" t="s">
        <v>45</v>
      </c>
      <c r="I629">
        <v>40</v>
      </c>
      <c r="J629">
        <v>70</v>
      </c>
      <c r="K629">
        <v>50</v>
      </c>
      <c r="L629">
        <v>110</v>
      </c>
      <c r="M629">
        <v>52</v>
      </c>
      <c r="N629">
        <v>605</v>
      </c>
      <c r="O629">
        <v>67</v>
      </c>
      <c r="P629">
        <v>17</v>
      </c>
      <c r="Q629">
        <v>38</v>
      </c>
      <c r="R629">
        <v>119</v>
      </c>
      <c r="S629">
        <v>1.0818181818181818</v>
      </c>
      <c r="T629">
        <v>0.76</v>
      </c>
      <c r="U629">
        <v>1.3</v>
      </c>
    </row>
    <row r="630" spans="1:21" x14ac:dyDescent="0.35">
      <c r="A630">
        <v>337</v>
      </c>
      <c r="B630" s="16">
        <v>40269</v>
      </c>
      <c r="C630" s="15" t="s">
        <v>70</v>
      </c>
      <c r="D630" s="15" t="s">
        <v>58</v>
      </c>
      <c r="E630" s="15" t="s">
        <v>53</v>
      </c>
      <c r="F630" s="15" t="s">
        <v>52</v>
      </c>
      <c r="G630" s="15" t="s">
        <v>71</v>
      </c>
      <c r="H630" s="15" t="s">
        <v>45</v>
      </c>
      <c r="I630">
        <v>70</v>
      </c>
      <c r="J630">
        <v>100</v>
      </c>
      <c r="K630">
        <v>50</v>
      </c>
      <c r="L630">
        <v>170</v>
      </c>
      <c r="M630">
        <v>80</v>
      </c>
      <c r="N630">
        <v>494</v>
      </c>
      <c r="O630">
        <v>98</v>
      </c>
      <c r="P630">
        <v>30</v>
      </c>
      <c r="Q630">
        <v>35</v>
      </c>
      <c r="R630">
        <v>178</v>
      </c>
      <c r="S630">
        <v>1.0470588235294118</v>
      </c>
      <c r="T630">
        <v>0.7</v>
      </c>
      <c r="U630">
        <v>1.1428571428571428</v>
      </c>
    </row>
    <row r="631" spans="1:21" x14ac:dyDescent="0.35">
      <c r="A631">
        <v>504</v>
      </c>
      <c r="B631" s="16">
        <v>40269</v>
      </c>
      <c r="C631" s="15" t="s">
        <v>70</v>
      </c>
      <c r="D631" s="15" t="s">
        <v>58</v>
      </c>
      <c r="E631" s="15" t="s">
        <v>43</v>
      </c>
      <c r="F631" s="15" t="s">
        <v>40</v>
      </c>
      <c r="G631" s="15" t="s">
        <v>71</v>
      </c>
      <c r="H631" s="15" t="s">
        <v>42</v>
      </c>
      <c r="I631">
        <v>40</v>
      </c>
      <c r="J631">
        <v>60</v>
      </c>
      <c r="K631">
        <v>50</v>
      </c>
      <c r="L631">
        <v>100</v>
      </c>
      <c r="M631">
        <v>35</v>
      </c>
      <c r="N631">
        <v>776</v>
      </c>
      <c r="O631">
        <v>51</v>
      </c>
      <c r="P631">
        <v>9</v>
      </c>
      <c r="Q631">
        <v>30</v>
      </c>
      <c r="R631">
        <v>86</v>
      </c>
      <c r="S631">
        <v>0.86</v>
      </c>
      <c r="T631">
        <v>0.6</v>
      </c>
      <c r="U631">
        <v>0.875</v>
      </c>
    </row>
    <row r="632" spans="1:21" x14ac:dyDescent="0.35">
      <c r="A632">
        <v>318</v>
      </c>
      <c r="B632" s="16">
        <v>40269</v>
      </c>
      <c r="C632" s="15" t="s">
        <v>70</v>
      </c>
      <c r="D632" s="15" t="s">
        <v>58</v>
      </c>
      <c r="E632" s="15" t="s">
        <v>44</v>
      </c>
      <c r="F632" s="15" t="s">
        <v>40</v>
      </c>
      <c r="G632" s="15" t="s">
        <v>71</v>
      </c>
      <c r="H632" s="15" t="s">
        <v>45</v>
      </c>
      <c r="I632">
        <v>60</v>
      </c>
      <c r="J632">
        <v>90</v>
      </c>
      <c r="K632">
        <v>70</v>
      </c>
      <c r="L632">
        <v>150</v>
      </c>
      <c r="M632">
        <v>49</v>
      </c>
      <c r="N632">
        <v>779</v>
      </c>
      <c r="O632">
        <v>72</v>
      </c>
      <c r="P632">
        <v>13</v>
      </c>
      <c r="Q632">
        <v>48</v>
      </c>
      <c r="R632">
        <v>121</v>
      </c>
      <c r="S632">
        <v>0.80666666666666664</v>
      </c>
      <c r="T632">
        <v>0.68571428571428572</v>
      </c>
      <c r="U632">
        <v>0.81666666666666665</v>
      </c>
    </row>
    <row r="633" spans="1:21" x14ac:dyDescent="0.35">
      <c r="A633">
        <v>505</v>
      </c>
      <c r="B633" s="16">
        <v>40269</v>
      </c>
      <c r="C633" s="15" t="s">
        <v>70</v>
      </c>
      <c r="D633" s="15" t="s">
        <v>58</v>
      </c>
      <c r="E633" s="15" t="s">
        <v>72</v>
      </c>
      <c r="F633" s="15" t="s">
        <v>49</v>
      </c>
      <c r="G633" s="15" t="s">
        <v>73</v>
      </c>
      <c r="H633" s="15" t="s">
        <v>42</v>
      </c>
      <c r="I633">
        <v>20</v>
      </c>
      <c r="J633">
        <v>30</v>
      </c>
      <c r="K633">
        <v>0</v>
      </c>
      <c r="L633">
        <v>50</v>
      </c>
      <c r="M633">
        <v>29</v>
      </c>
      <c r="N633">
        <v>-39</v>
      </c>
      <c r="O633">
        <v>36</v>
      </c>
      <c r="P633">
        <v>11</v>
      </c>
      <c r="Q633">
        <v>-9</v>
      </c>
      <c r="R633">
        <v>65</v>
      </c>
      <c r="S633">
        <v>1.3</v>
      </c>
      <c r="U633">
        <v>1.45</v>
      </c>
    </row>
    <row r="634" spans="1:21" x14ac:dyDescent="0.35">
      <c r="A634">
        <v>505</v>
      </c>
      <c r="B634" s="16">
        <v>40269</v>
      </c>
      <c r="C634" s="15" t="s">
        <v>70</v>
      </c>
      <c r="D634" s="15" t="s">
        <v>58</v>
      </c>
      <c r="E634" s="15" t="s">
        <v>48</v>
      </c>
      <c r="F634" s="15" t="s">
        <v>49</v>
      </c>
      <c r="G634" s="15" t="s">
        <v>73</v>
      </c>
      <c r="H634" s="15" t="s">
        <v>42</v>
      </c>
      <c r="I634">
        <v>30</v>
      </c>
      <c r="J634">
        <v>60</v>
      </c>
      <c r="K634">
        <v>10</v>
      </c>
      <c r="L634">
        <v>90</v>
      </c>
      <c r="M634">
        <v>44</v>
      </c>
      <c r="N634">
        <v>261</v>
      </c>
      <c r="O634">
        <v>63</v>
      </c>
      <c r="P634">
        <v>40</v>
      </c>
      <c r="Q634">
        <v>-6</v>
      </c>
      <c r="R634">
        <v>107</v>
      </c>
      <c r="S634">
        <v>1.1888888888888889</v>
      </c>
      <c r="T634">
        <v>-0.6</v>
      </c>
      <c r="U634">
        <v>1.4666666666666666</v>
      </c>
    </row>
    <row r="635" spans="1:21" x14ac:dyDescent="0.35">
      <c r="A635">
        <v>505</v>
      </c>
      <c r="B635" s="16">
        <v>40269</v>
      </c>
      <c r="C635" s="15" t="s">
        <v>70</v>
      </c>
      <c r="D635" s="15" t="s">
        <v>58</v>
      </c>
      <c r="E635" s="15" t="s">
        <v>50</v>
      </c>
      <c r="F635" s="15" t="s">
        <v>49</v>
      </c>
      <c r="G635" s="15" t="s">
        <v>73</v>
      </c>
      <c r="H635" s="15" t="s">
        <v>45</v>
      </c>
      <c r="I635">
        <v>30</v>
      </c>
      <c r="J635">
        <v>40</v>
      </c>
      <c r="K635">
        <v>10</v>
      </c>
      <c r="L635">
        <v>70</v>
      </c>
      <c r="M635">
        <v>37</v>
      </c>
      <c r="N635">
        <v>195</v>
      </c>
      <c r="O635">
        <v>51</v>
      </c>
      <c r="P635">
        <v>12</v>
      </c>
      <c r="Q635">
        <v>12</v>
      </c>
      <c r="R635">
        <v>88</v>
      </c>
      <c r="S635">
        <v>1.2571428571428571</v>
      </c>
      <c r="T635">
        <v>1.2</v>
      </c>
      <c r="U635">
        <v>1.2333333333333334</v>
      </c>
    </row>
    <row r="636" spans="1:21" x14ac:dyDescent="0.35">
      <c r="A636">
        <v>505</v>
      </c>
      <c r="B636" s="16">
        <v>40269</v>
      </c>
      <c r="C636" s="15" t="s">
        <v>70</v>
      </c>
      <c r="D636" s="15" t="s">
        <v>58</v>
      </c>
      <c r="E636" s="15" t="s">
        <v>51</v>
      </c>
      <c r="F636" s="15" t="s">
        <v>52</v>
      </c>
      <c r="G636" s="15" t="s">
        <v>73</v>
      </c>
      <c r="H636" s="15" t="s">
        <v>45</v>
      </c>
      <c r="I636">
        <v>10</v>
      </c>
      <c r="J636">
        <v>30</v>
      </c>
      <c r="K636">
        <v>20</v>
      </c>
      <c r="L636">
        <v>40</v>
      </c>
      <c r="M636">
        <v>19</v>
      </c>
      <c r="N636">
        <v>820</v>
      </c>
      <c r="O636">
        <v>28</v>
      </c>
      <c r="P636">
        <v>5</v>
      </c>
      <c r="Q636">
        <v>12</v>
      </c>
      <c r="R636">
        <v>47</v>
      </c>
      <c r="S636">
        <v>1.175</v>
      </c>
      <c r="T636">
        <v>0.6</v>
      </c>
      <c r="U636">
        <v>1.9</v>
      </c>
    </row>
    <row r="637" spans="1:21" x14ac:dyDescent="0.35">
      <c r="A637">
        <v>505</v>
      </c>
      <c r="B637" s="16">
        <v>40269</v>
      </c>
      <c r="C637" s="15" t="s">
        <v>70</v>
      </c>
      <c r="D637" s="15" t="s">
        <v>58</v>
      </c>
      <c r="E637" s="15" t="s">
        <v>53</v>
      </c>
      <c r="F637" s="15" t="s">
        <v>52</v>
      </c>
      <c r="G637" s="15" t="s">
        <v>73</v>
      </c>
      <c r="H637" s="15" t="s">
        <v>45</v>
      </c>
      <c r="I637">
        <v>20</v>
      </c>
      <c r="J637">
        <v>30</v>
      </c>
      <c r="K637">
        <v>10</v>
      </c>
      <c r="L637">
        <v>50</v>
      </c>
      <c r="M637">
        <v>28</v>
      </c>
      <c r="N637">
        <v>964</v>
      </c>
      <c r="O637">
        <v>33</v>
      </c>
      <c r="P637">
        <v>8</v>
      </c>
      <c r="Q637">
        <v>3</v>
      </c>
      <c r="R637">
        <v>61</v>
      </c>
      <c r="S637">
        <v>1.22</v>
      </c>
      <c r="T637">
        <v>0.3</v>
      </c>
      <c r="U637">
        <v>1.4</v>
      </c>
    </row>
    <row r="638" spans="1:21" x14ac:dyDescent="0.35">
      <c r="A638">
        <v>505</v>
      </c>
      <c r="B638" s="16">
        <v>40269</v>
      </c>
      <c r="C638" s="15" t="s">
        <v>70</v>
      </c>
      <c r="D638" s="15" t="s">
        <v>58</v>
      </c>
      <c r="E638" s="15" t="s">
        <v>43</v>
      </c>
      <c r="F638" s="15" t="s">
        <v>40</v>
      </c>
      <c r="G638" s="15" t="s">
        <v>73</v>
      </c>
      <c r="H638" s="15" t="s">
        <v>42</v>
      </c>
      <c r="I638">
        <v>60</v>
      </c>
      <c r="J638">
        <v>90</v>
      </c>
      <c r="K638">
        <v>50</v>
      </c>
      <c r="L638">
        <v>150</v>
      </c>
      <c r="M638">
        <v>50</v>
      </c>
      <c r="N638">
        <v>372</v>
      </c>
      <c r="O638">
        <v>75</v>
      </c>
      <c r="P638">
        <v>16</v>
      </c>
      <c r="Q638">
        <v>27</v>
      </c>
      <c r="R638">
        <v>125</v>
      </c>
      <c r="S638">
        <v>0.83333333333333337</v>
      </c>
      <c r="T638">
        <v>0.54</v>
      </c>
      <c r="U638">
        <v>0.83333333333333337</v>
      </c>
    </row>
    <row r="639" spans="1:21" x14ac:dyDescent="0.35">
      <c r="A639">
        <v>505</v>
      </c>
      <c r="B639" s="16">
        <v>40269</v>
      </c>
      <c r="C639" s="15" t="s">
        <v>70</v>
      </c>
      <c r="D639" s="15" t="s">
        <v>58</v>
      </c>
      <c r="E639" s="15" t="s">
        <v>44</v>
      </c>
      <c r="F639" s="15" t="s">
        <v>40</v>
      </c>
      <c r="G639" s="15" t="s">
        <v>73</v>
      </c>
      <c r="H639" s="15" t="s">
        <v>45</v>
      </c>
      <c r="I639">
        <v>110</v>
      </c>
      <c r="J639">
        <v>50</v>
      </c>
      <c r="K639">
        <v>10</v>
      </c>
      <c r="L639">
        <v>160</v>
      </c>
      <c r="M639">
        <v>93</v>
      </c>
      <c r="N639">
        <v>840</v>
      </c>
      <c r="O639">
        <v>40</v>
      </c>
      <c r="P639">
        <v>28</v>
      </c>
      <c r="Q639">
        <v>-11</v>
      </c>
      <c r="R639">
        <v>133</v>
      </c>
      <c r="S639">
        <v>0.83125000000000004</v>
      </c>
      <c r="T639">
        <v>-1.1000000000000001</v>
      </c>
      <c r="U639">
        <v>0.84545454545454546</v>
      </c>
    </row>
    <row r="640" spans="1:21" x14ac:dyDescent="0.35">
      <c r="A640">
        <v>580</v>
      </c>
      <c r="B640" s="16">
        <v>40269</v>
      </c>
      <c r="C640" s="15" t="s">
        <v>70</v>
      </c>
      <c r="D640" s="15" t="s">
        <v>58</v>
      </c>
      <c r="E640" s="15" t="s">
        <v>50</v>
      </c>
      <c r="F640" s="15" t="s">
        <v>49</v>
      </c>
      <c r="G640" s="15" t="s">
        <v>74</v>
      </c>
      <c r="H640" s="15" t="s">
        <v>45</v>
      </c>
      <c r="I640">
        <v>70</v>
      </c>
      <c r="J640">
        <v>120</v>
      </c>
      <c r="K640">
        <v>80</v>
      </c>
      <c r="L640">
        <v>190</v>
      </c>
      <c r="M640">
        <v>88</v>
      </c>
      <c r="N640">
        <v>653</v>
      </c>
      <c r="O640">
        <v>134</v>
      </c>
      <c r="P640">
        <v>29</v>
      </c>
      <c r="Q640">
        <v>74</v>
      </c>
      <c r="R640">
        <v>222</v>
      </c>
      <c r="S640">
        <v>1.168421052631579</v>
      </c>
      <c r="T640">
        <v>0.92500000000000004</v>
      </c>
      <c r="U640">
        <v>1.2571428571428571</v>
      </c>
    </row>
    <row r="641" spans="1:21" x14ac:dyDescent="0.35">
      <c r="A641">
        <v>918</v>
      </c>
      <c r="B641" s="16">
        <v>40269</v>
      </c>
      <c r="C641" s="15" t="s">
        <v>70</v>
      </c>
      <c r="D641" s="15" t="s">
        <v>58</v>
      </c>
      <c r="E641" s="15" t="s">
        <v>72</v>
      </c>
      <c r="F641" s="15" t="s">
        <v>49</v>
      </c>
      <c r="G641" s="15" t="s">
        <v>74</v>
      </c>
      <c r="H641" s="15" t="s">
        <v>42</v>
      </c>
      <c r="I641">
        <v>90</v>
      </c>
      <c r="J641">
        <v>130</v>
      </c>
      <c r="K641">
        <v>90</v>
      </c>
      <c r="L641">
        <v>220</v>
      </c>
      <c r="M641">
        <v>112</v>
      </c>
      <c r="N641">
        <v>-120</v>
      </c>
      <c r="O641">
        <v>155</v>
      </c>
      <c r="P641">
        <v>34</v>
      </c>
      <c r="Q641">
        <v>98</v>
      </c>
      <c r="R641">
        <v>267</v>
      </c>
      <c r="S641">
        <v>1.2136363636363636</v>
      </c>
      <c r="T641">
        <v>1.0888888888888888</v>
      </c>
      <c r="U641">
        <v>1.2444444444444445</v>
      </c>
    </row>
    <row r="642" spans="1:21" x14ac:dyDescent="0.35">
      <c r="A642">
        <v>580</v>
      </c>
      <c r="B642" s="16">
        <v>40269</v>
      </c>
      <c r="C642" s="15" t="s">
        <v>70</v>
      </c>
      <c r="D642" s="15" t="s">
        <v>58</v>
      </c>
      <c r="E642" s="15" t="s">
        <v>48</v>
      </c>
      <c r="F642" s="15" t="s">
        <v>49</v>
      </c>
      <c r="G642" s="15" t="s">
        <v>74</v>
      </c>
      <c r="H642" s="15" t="s">
        <v>42</v>
      </c>
      <c r="I642">
        <v>10</v>
      </c>
      <c r="J642">
        <v>30</v>
      </c>
      <c r="K642">
        <v>30</v>
      </c>
      <c r="L642">
        <v>40</v>
      </c>
      <c r="M642">
        <v>21</v>
      </c>
      <c r="N642">
        <v>454</v>
      </c>
      <c r="O642">
        <v>32</v>
      </c>
      <c r="P642">
        <v>5</v>
      </c>
      <c r="Q642">
        <v>16</v>
      </c>
      <c r="R642">
        <v>53</v>
      </c>
      <c r="S642">
        <v>1.325</v>
      </c>
      <c r="T642">
        <v>0.53333333333333333</v>
      </c>
      <c r="U642">
        <v>2.1</v>
      </c>
    </row>
    <row r="643" spans="1:21" x14ac:dyDescent="0.35">
      <c r="A643">
        <v>580</v>
      </c>
      <c r="B643" s="16">
        <v>40269</v>
      </c>
      <c r="C643" s="15" t="s">
        <v>70</v>
      </c>
      <c r="D643" s="15" t="s">
        <v>58</v>
      </c>
      <c r="E643" s="15" t="s">
        <v>51</v>
      </c>
      <c r="F643" s="15" t="s">
        <v>52</v>
      </c>
      <c r="G643" s="15" t="s">
        <v>74</v>
      </c>
      <c r="H643" s="15" t="s">
        <v>45</v>
      </c>
      <c r="I643">
        <v>50</v>
      </c>
      <c r="J643">
        <v>70</v>
      </c>
      <c r="K643">
        <v>30</v>
      </c>
      <c r="L643">
        <v>120</v>
      </c>
      <c r="M643">
        <v>57</v>
      </c>
      <c r="N643">
        <v>313</v>
      </c>
      <c r="O643">
        <v>70</v>
      </c>
      <c r="P643">
        <v>21</v>
      </c>
      <c r="Q643">
        <v>15</v>
      </c>
      <c r="R643">
        <v>127</v>
      </c>
      <c r="S643">
        <v>1.0583333333333333</v>
      </c>
      <c r="T643">
        <v>0.5</v>
      </c>
      <c r="U643">
        <v>1.1399999999999999</v>
      </c>
    </row>
    <row r="644" spans="1:21" x14ac:dyDescent="0.35">
      <c r="A644">
        <v>405</v>
      </c>
      <c r="B644" s="16">
        <v>40269</v>
      </c>
      <c r="C644" s="15" t="s">
        <v>70</v>
      </c>
      <c r="D644" s="15" t="s">
        <v>58</v>
      </c>
      <c r="E644" s="15" t="s">
        <v>53</v>
      </c>
      <c r="F644" s="15" t="s">
        <v>52</v>
      </c>
      <c r="G644" s="15" t="s">
        <v>74</v>
      </c>
      <c r="H644" s="15" t="s">
        <v>45</v>
      </c>
      <c r="I644">
        <v>90</v>
      </c>
      <c r="J644">
        <v>130</v>
      </c>
      <c r="K644">
        <v>30</v>
      </c>
      <c r="L644">
        <v>220</v>
      </c>
      <c r="M644">
        <v>95</v>
      </c>
      <c r="N644">
        <v>554</v>
      </c>
      <c r="O644">
        <v>132</v>
      </c>
      <c r="P644">
        <v>86</v>
      </c>
      <c r="Q644">
        <v>16</v>
      </c>
      <c r="R644">
        <v>227</v>
      </c>
      <c r="S644">
        <v>1.0318181818181817</v>
      </c>
      <c r="T644">
        <v>0.53333333333333333</v>
      </c>
      <c r="U644">
        <v>1.0555555555555556</v>
      </c>
    </row>
    <row r="645" spans="1:21" x14ac:dyDescent="0.35">
      <c r="A645">
        <v>405</v>
      </c>
      <c r="B645" s="16">
        <v>40269</v>
      </c>
      <c r="C645" s="15" t="s">
        <v>70</v>
      </c>
      <c r="D645" s="15" t="s">
        <v>58</v>
      </c>
      <c r="E645" s="15" t="s">
        <v>43</v>
      </c>
      <c r="F645" s="15" t="s">
        <v>40</v>
      </c>
      <c r="G645" s="15" t="s">
        <v>74</v>
      </c>
      <c r="H645" s="15" t="s">
        <v>42</v>
      </c>
      <c r="I645">
        <v>50</v>
      </c>
      <c r="J645">
        <v>80</v>
      </c>
      <c r="K645">
        <v>60</v>
      </c>
      <c r="L645">
        <v>130</v>
      </c>
      <c r="M645">
        <v>46</v>
      </c>
      <c r="N645">
        <v>608</v>
      </c>
      <c r="O645">
        <v>60</v>
      </c>
      <c r="P645">
        <v>15</v>
      </c>
      <c r="Q645">
        <v>33</v>
      </c>
      <c r="R645">
        <v>106</v>
      </c>
      <c r="S645">
        <v>0.81538461538461537</v>
      </c>
      <c r="T645">
        <v>0.55000000000000004</v>
      </c>
      <c r="U645">
        <v>0.92</v>
      </c>
    </row>
    <row r="646" spans="1:21" x14ac:dyDescent="0.35">
      <c r="A646">
        <v>405</v>
      </c>
      <c r="B646" s="16">
        <v>40269</v>
      </c>
      <c r="C646" s="15" t="s">
        <v>70</v>
      </c>
      <c r="D646" s="15" t="s">
        <v>58</v>
      </c>
      <c r="E646" s="15" t="s">
        <v>44</v>
      </c>
      <c r="F646" s="15" t="s">
        <v>40</v>
      </c>
      <c r="G646" s="15" t="s">
        <v>74</v>
      </c>
      <c r="H646" s="15" t="s">
        <v>45</v>
      </c>
      <c r="I646">
        <v>30</v>
      </c>
      <c r="J646">
        <v>60</v>
      </c>
      <c r="K646">
        <v>50</v>
      </c>
      <c r="L646">
        <v>90</v>
      </c>
      <c r="M646">
        <v>30</v>
      </c>
      <c r="N646">
        <v>820</v>
      </c>
      <c r="O646">
        <v>45</v>
      </c>
      <c r="P646">
        <v>8</v>
      </c>
      <c r="Q646">
        <v>25</v>
      </c>
      <c r="R646">
        <v>75</v>
      </c>
      <c r="S646">
        <v>0.83333333333333337</v>
      </c>
      <c r="T646">
        <v>0.5</v>
      </c>
      <c r="U646">
        <v>1</v>
      </c>
    </row>
    <row r="647" spans="1:21" x14ac:dyDescent="0.35">
      <c r="A647">
        <v>956</v>
      </c>
      <c r="B647" s="16">
        <v>40269</v>
      </c>
      <c r="C647" s="15" t="s">
        <v>70</v>
      </c>
      <c r="D647" s="15" t="s">
        <v>38</v>
      </c>
      <c r="E647" s="15" t="s">
        <v>50</v>
      </c>
      <c r="F647" s="15" t="s">
        <v>49</v>
      </c>
      <c r="G647" s="15" t="s">
        <v>75</v>
      </c>
      <c r="H647" s="15" t="s">
        <v>45</v>
      </c>
      <c r="I647">
        <v>60</v>
      </c>
      <c r="J647">
        <v>110</v>
      </c>
      <c r="K647">
        <v>90</v>
      </c>
      <c r="L647">
        <v>170</v>
      </c>
      <c r="M647">
        <v>81</v>
      </c>
      <c r="N647">
        <v>460</v>
      </c>
      <c r="O647">
        <v>117</v>
      </c>
      <c r="P647">
        <v>22</v>
      </c>
      <c r="Q647">
        <v>84</v>
      </c>
      <c r="R647">
        <v>198</v>
      </c>
      <c r="S647">
        <v>1.1647058823529413</v>
      </c>
      <c r="T647">
        <v>0.93333333333333335</v>
      </c>
      <c r="U647">
        <v>1.35</v>
      </c>
    </row>
    <row r="648" spans="1:21" x14ac:dyDescent="0.35">
      <c r="A648">
        <v>832</v>
      </c>
      <c r="B648" s="16">
        <v>40269</v>
      </c>
      <c r="C648" s="15" t="s">
        <v>70</v>
      </c>
      <c r="D648" s="15" t="s">
        <v>38</v>
      </c>
      <c r="E648" s="15" t="s">
        <v>72</v>
      </c>
      <c r="F648" s="15" t="s">
        <v>49</v>
      </c>
      <c r="G648" s="15" t="s">
        <v>75</v>
      </c>
      <c r="H648" s="15" t="s">
        <v>42</v>
      </c>
      <c r="I648">
        <v>50</v>
      </c>
      <c r="J648">
        <v>90</v>
      </c>
      <c r="K648">
        <v>50</v>
      </c>
      <c r="L648">
        <v>140</v>
      </c>
      <c r="M648">
        <v>68</v>
      </c>
      <c r="N648">
        <v>9</v>
      </c>
      <c r="O648">
        <v>102</v>
      </c>
      <c r="P648">
        <v>22</v>
      </c>
      <c r="Q648">
        <v>48</v>
      </c>
      <c r="R648">
        <v>170</v>
      </c>
      <c r="S648">
        <v>1.2142857142857142</v>
      </c>
      <c r="T648">
        <v>0.96</v>
      </c>
      <c r="U648">
        <v>1.36</v>
      </c>
    </row>
    <row r="649" spans="1:21" x14ac:dyDescent="0.35">
      <c r="A649">
        <v>325</v>
      </c>
      <c r="B649" s="16">
        <v>40269</v>
      </c>
      <c r="C649" s="15" t="s">
        <v>70</v>
      </c>
      <c r="D649" s="15" t="s">
        <v>38</v>
      </c>
      <c r="E649" s="15" t="s">
        <v>48</v>
      </c>
      <c r="F649" s="15" t="s">
        <v>49</v>
      </c>
      <c r="G649" s="15" t="s">
        <v>75</v>
      </c>
      <c r="H649" s="15" t="s">
        <v>42</v>
      </c>
      <c r="I649">
        <v>70</v>
      </c>
      <c r="J649">
        <v>120</v>
      </c>
      <c r="K649">
        <v>100</v>
      </c>
      <c r="L649">
        <v>190</v>
      </c>
      <c r="M649">
        <v>91</v>
      </c>
      <c r="N649">
        <v>777</v>
      </c>
      <c r="O649">
        <v>132</v>
      </c>
      <c r="P649">
        <v>25</v>
      </c>
      <c r="Q649">
        <v>96</v>
      </c>
      <c r="R649">
        <v>223</v>
      </c>
      <c r="S649">
        <v>1.1736842105263159</v>
      </c>
      <c r="T649">
        <v>0.96</v>
      </c>
      <c r="U649">
        <v>1.3</v>
      </c>
    </row>
    <row r="650" spans="1:21" x14ac:dyDescent="0.35">
      <c r="A650">
        <v>817</v>
      </c>
      <c r="B650" s="16">
        <v>40269</v>
      </c>
      <c r="C650" s="15" t="s">
        <v>70</v>
      </c>
      <c r="D650" s="15" t="s">
        <v>38</v>
      </c>
      <c r="E650" s="15" t="s">
        <v>51</v>
      </c>
      <c r="F650" s="15" t="s">
        <v>52</v>
      </c>
      <c r="G650" s="15" t="s">
        <v>75</v>
      </c>
      <c r="H650" s="15" t="s">
        <v>45</v>
      </c>
      <c r="I650">
        <v>50</v>
      </c>
      <c r="J650">
        <v>70</v>
      </c>
      <c r="K650">
        <v>40</v>
      </c>
      <c r="L650">
        <v>120</v>
      </c>
      <c r="M650">
        <v>55</v>
      </c>
      <c r="N650">
        <v>336</v>
      </c>
      <c r="O650">
        <v>74</v>
      </c>
      <c r="P650">
        <v>18</v>
      </c>
      <c r="Q650">
        <v>28</v>
      </c>
      <c r="R650">
        <v>129</v>
      </c>
      <c r="S650">
        <v>1.075</v>
      </c>
      <c r="T650">
        <v>0.7</v>
      </c>
      <c r="U650">
        <v>1.1000000000000001</v>
      </c>
    </row>
    <row r="651" spans="1:21" x14ac:dyDescent="0.35">
      <c r="A651">
        <v>325</v>
      </c>
      <c r="B651" s="16">
        <v>40269</v>
      </c>
      <c r="C651" s="15" t="s">
        <v>70</v>
      </c>
      <c r="D651" s="15" t="s">
        <v>38</v>
      </c>
      <c r="E651" s="15" t="s">
        <v>53</v>
      </c>
      <c r="F651" s="15" t="s">
        <v>52</v>
      </c>
      <c r="G651" s="15" t="s">
        <v>75</v>
      </c>
      <c r="H651" s="15" t="s">
        <v>45</v>
      </c>
      <c r="I651">
        <v>40</v>
      </c>
      <c r="J651">
        <v>60</v>
      </c>
      <c r="K651">
        <v>30</v>
      </c>
      <c r="L651">
        <v>100</v>
      </c>
      <c r="M651">
        <v>43</v>
      </c>
      <c r="N651">
        <v>363</v>
      </c>
      <c r="O651">
        <v>64</v>
      </c>
      <c r="P651">
        <v>13</v>
      </c>
      <c r="Q651">
        <v>27</v>
      </c>
      <c r="R651">
        <v>107</v>
      </c>
      <c r="S651">
        <v>1.07</v>
      </c>
      <c r="T651">
        <v>0.9</v>
      </c>
      <c r="U651">
        <v>1.075</v>
      </c>
    </row>
    <row r="652" spans="1:21" x14ac:dyDescent="0.35">
      <c r="A652">
        <v>832</v>
      </c>
      <c r="B652" s="16">
        <v>40269</v>
      </c>
      <c r="C652" s="15" t="s">
        <v>70</v>
      </c>
      <c r="D652" s="15" t="s">
        <v>38</v>
      </c>
      <c r="E652" s="15" t="s">
        <v>43</v>
      </c>
      <c r="F652" s="15" t="s">
        <v>40</v>
      </c>
      <c r="G652" s="15" t="s">
        <v>75</v>
      </c>
      <c r="H652" s="15" t="s">
        <v>42</v>
      </c>
      <c r="I652">
        <v>260</v>
      </c>
      <c r="J652">
        <v>310</v>
      </c>
      <c r="K652">
        <v>230</v>
      </c>
      <c r="L652">
        <v>570</v>
      </c>
      <c r="M652">
        <v>209</v>
      </c>
      <c r="N652">
        <v>969</v>
      </c>
      <c r="O652">
        <v>247</v>
      </c>
      <c r="P652">
        <v>64</v>
      </c>
      <c r="Q652">
        <v>161</v>
      </c>
      <c r="R652">
        <v>456</v>
      </c>
      <c r="S652">
        <v>0.8</v>
      </c>
      <c r="T652">
        <v>0.7</v>
      </c>
      <c r="U652">
        <v>0.80384615384615388</v>
      </c>
    </row>
    <row r="653" spans="1:21" x14ac:dyDescent="0.35">
      <c r="A653">
        <v>903</v>
      </c>
      <c r="B653" s="16">
        <v>40269</v>
      </c>
      <c r="C653" s="15" t="s">
        <v>70</v>
      </c>
      <c r="D653" s="15" t="s">
        <v>38</v>
      </c>
      <c r="E653" s="15" t="s">
        <v>44</v>
      </c>
      <c r="F653" s="15" t="s">
        <v>40</v>
      </c>
      <c r="G653" s="15" t="s">
        <v>75</v>
      </c>
      <c r="H653" s="15" t="s">
        <v>45</v>
      </c>
      <c r="I653">
        <v>90</v>
      </c>
      <c r="J653">
        <v>130</v>
      </c>
      <c r="K653">
        <v>100</v>
      </c>
      <c r="L653">
        <v>220</v>
      </c>
      <c r="M653">
        <v>78</v>
      </c>
      <c r="N653">
        <v>593</v>
      </c>
      <c r="O653">
        <v>100</v>
      </c>
      <c r="P653">
        <v>25</v>
      </c>
      <c r="Q653">
        <v>63</v>
      </c>
      <c r="R653">
        <v>178</v>
      </c>
      <c r="S653">
        <v>0.80909090909090908</v>
      </c>
      <c r="T653">
        <v>0.63</v>
      </c>
      <c r="U653">
        <v>0.8666666666666667</v>
      </c>
    </row>
    <row r="654" spans="1:21" x14ac:dyDescent="0.35">
      <c r="A654">
        <v>801</v>
      </c>
      <c r="B654" s="16">
        <v>40269</v>
      </c>
      <c r="C654" s="15" t="s">
        <v>76</v>
      </c>
      <c r="D654" s="15" t="s">
        <v>58</v>
      </c>
      <c r="E654" s="15" t="s">
        <v>48</v>
      </c>
      <c r="F654" s="15" t="s">
        <v>49</v>
      </c>
      <c r="G654" s="15" t="s">
        <v>77</v>
      </c>
      <c r="H654" s="15" t="s">
        <v>42</v>
      </c>
      <c r="I654">
        <v>40</v>
      </c>
      <c r="J654">
        <v>70</v>
      </c>
      <c r="K654">
        <v>50</v>
      </c>
      <c r="L654">
        <v>110</v>
      </c>
      <c r="M654">
        <v>52</v>
      </c>
      <c r="N654">
        <v>605</v>
      </c>
      <c r="O654">
        <v>67</v>
      </c>
      <c r="P654">
        <v>17</v>
      </c>
      <c r="Q654">
        <v>37</v>
      </c>
      <c r="R654">
        <v>119</v>
      </c>
      <c r="S654">
        <v>1.0818181818181818</v>
      </c>
      <c r="T654">
        <v>0.74</v>
      </c>
      <c r="U654">
        <v>1.3</v>
      </c>
    </row>
    <row r="655" spans="1:21" x14ac:dyDescent="0.35">
      <c r="A655">
        <v>435</v>
      </c>
      <c r="B655" s="16">
        <v>40269</v>
      </c>
      <c r="C655" s="15" t="s">
        <v>76</v>
      </c>
      <c r="D655" s="15" t="s">
        <v>58</v>
      </c>
      <c r="E655" s="15" t="s">
        <v>50</v>
      </c>
      <c r="F655" s="15" t="s">
        <v>49</v>
      </c>
      <c r="G655" s="15" t="s">
        <v>77</v>
      </c>
      <c r="H655" s="15" t="s">
        <v>45</v>
      </c>
      <c r="I655">
        <v>40</v>
      </c>
      <c r="J655">
        <v>70</v>
      </c>
      <c r="K655">
        <v>50</v>
      </c>
      <c r="L655">
        <v>110</v>
      </c>
      <c r="M655">
        <v>47</v>
      </c>
      <c r="N655">
        <v>821</v>
      </c>
      <c r="O655">
        <v>68</v>
      </c>
      <c r="P655">
        <v>13</v>
      </c>
      <c r="Q655">
        <v>43</v>
      </c>
      <c r="R655">
        <v>115</v>
      </c>
      <c r="S655">
        <v>1.0454545454545454</v>
      </c>
      <c r="T655">
        <v>0.86</v>
      </c>
      <c r="U655">
        <v>1.175</v>
      </c>
    </row>
    <row r="656" spans="1:21" x14ac:dyDescent="0.35">
      <c r="A656">
        <v>435</v>
      </c>
      <c r="B656" s="16">
        <v>40269</v>
      </c>
      <c r="C656" s="15" t="s">
        <v>76</v>
      </c>
      <c r="D656" s="15" t="s">
        <v>58</v>
      </c>
      <c r="E656" s="15" t="s">
        <v>72</v>
      </c>
      <c r="F656" s="15" t="s">
        <v>49</v>
      </c>
      <c r="G656" s="15" t="s">
        <v>77</v>
      </c>
      <c r="H656" s="15" t="s">
        <v>42</v>
      </c>
      <c r="I656">
        <v>40</v>
      </c>
      <c r="J656">
        <v>60</v>
      </c>
      <c r="K656">
        <v>40</v>
      </c>
      <c r="L656">
        <v>100</v>
      </c>
      <c r="M656">
        <v>45</v>
      </c>
      <c r="N656">
        <v>777</v>
      </c>
      <c r="O656">
        <v>67</v>
      </c>
      <c r="P656">
        <v>12</v>
      </c>
      <c r="Q656">
        <v>43</v>
      </c>
      <c r="R656">
        <v>112</v>
      </c>
      <c r="S656">
        <v>1.1200000000000001</v>
      </c>
      <c r="T656">
        <v>1.075</v>
      </c>
      <c r="U656">
        <v>1.125</v>
      </c>
    </row>
    <row r="657" spans="1:21" x14ac:dyDescent="0.35">
      <c r="A657">
        <v>435</v>
      </c>
      <c r="B657" s="16">
        <v>40269</v>
      </c>
      <c r="C657" s="15" t="s">
        <v>76</v>
      </c>
      <c r="D657" s="15" t="s">
        <v>58</v>
      </c>
      <c r="E657" s="15" t="s">
        <v>39</v>
      </c>
      <c r="F657" s="15" t="s">
        <v>40</v>
      </c>
      <c r="G657" s="15" t="s">
        <v>77</v>
      </c>
      <c r="H657" s="15" t="s">
        <v>42</v>
      </c>
      <c r="I657">
        <v>90</v>
      </c>
      <c r="J657">
        <v>110</v>
      </c>
      <c r="K657">
        <v>70</v>
      </c>
      <c r="L657">
        <v>200</v>
      </c>
      <c r="M657">
        <v>76</v>
      </c>
      <c r="N657">
        <v>965</v>
      </c>
      <c r="O657">
        <v>91</v>
      </c>
      <c r="P657">
        <v>23</v>
      </c>
      <c r="Q657">
        <v>47</v>
      </c>
      <c r="R657">
        <v>167</v>
      </c>
      <c r="S657">
        <v>0.83499999999999996</v>
      </c>
      <c r="T657">
        <v>0.67142857142857137</v>
      </c>
      <c r="U657">
        <v>0.84444444444444444</v>
      </c>
    </row>
    <row r="658" spans="1:21" x14ac:dyDescent="0.35">
      <c r="A658">
        <v>435</v>
      </c>
      <c r="B658" s="16">
        <v>40269</v>
      </c>
      <c r="C658" s="15" t="s">
        <v>76</v>
      </c>
      <c r="D658" s="15" t="s">
        <v>58</v>
      </c>
      <c r="E658" s="15" t="s">
        <v>43</v>
      </c>
      <c r="F658" s="15" t="s">
        <v>40</v>
      </c>
      <c r="G658" s="15" t="s">
        <v>77</v>
      </c>
      <c r="H658" s="15" t="s">
        <v>42</v>
      </c>
      <c r="I658">
        <v>60</v>
      </c>
      <c r="J658">
        <v>80</v>
      </c>
      <c r="K658">
        <v>50</v>
      </c>
      <c r="L658">
        <v>140</v>
      </c>
      <c r="M658">
        <v>51</v>
      </c>
      <c r="N658">
        <v>311</v>
      </c>
      <c r="O658">
        <v>68</v>
      </c>
      <c r="P658">
        <v>16</v>
      </c>
      <c r="Q658">
        <v>25</v>
      </c>
      <c r="R658">
        <v>119</v>
      </c>
      <c r="S658">
        <v>0.85</v>
      </c>
      <c r="T658">
        <v>0.5</v>
      </c>
      <c r="U658">
        <v>0.85</v>
      </c>
    </row>
    <row r="659" spans="1:21" x14ac:dyDescent="0.35">
      <c r="A659">
        <v>435</v>
      </c>
      <c r="B659" s="16">
        <v>40269</v>
      </c>
      <c r="C659" s="15" t="s">
        <v>76</v>
      </c>
      <c r="D659" s="15" t="s">
        <v>58</v>
      </c>
      <c r="E659" s="15" t="s">
        <v>44</v>
      </c>
      <c r="F659" s="15" t="s">
        <v>40</v>
      </c>
      <c r="G659" s="15" t="s">
        <v>77</v>
      </c>
      <c r="H659" s="15" t="s">
        <v>45</v>
      </c>
      <c r="I659">
        <v>100</v>
      </c>
      <c r="J659">
        <v>120</v>
      </c>
      <c r="K659">
        <v>70</v>
      </c>
      <c r="L659">
        <v>220</v>
      </c>
      <c r="M659">
        <v>80</v>
      </c>
      <c r="N659">
        <v>494</v>
      </c>
      <c r="O659">
        <v>98</v>
      </c>
      <c r="P659">
        <v>30</v>
      </c>
      <c r="Q659">
        <v>34</v>
      </c>
      <c r="R659">
        <v>178</v>
      </c>
      <c r="S659">
        <v>0.80909090909090908</v>
      </c>
      <c r="T659">
        <v>0.48571428571428571</v>
      </c>
      <c r="U659">
        <v>0.8</v>
      </c>
    </row>
    <row r="660" spans="1:21" x14ac:dyDescent="0.35">
      <c r="A660">
        <v>435</v>
      </c>
      <c r="B660" s="16">
        <v>40269</v>
      </c>
      <c r="C660" s="15" t="s">
        <v>76</v>
      </c>
      <c r="D660" s="15" t="s">
        <v>58</v>
      </c>
      <c r="E660" s="15" t="s">
        <v>51</v>
      </c>
      <c r="F660" s="15" t="s">
        <v>52</v>
      </c>
      <c r="G660" s="15" t="s">
        <v>77</v>
      </c>
      <c r="H660" s="15" t="s">
        <v>45</v>
      </c>
      <c r="I660">
        <v>40</v>
      </c>
      <c r="J660">
        <v>60</v>
      </c>
      <c r="K660">
        <v>30</v>
      </c>
      <c r="L660">
        <v>100</v>
      </c>
      <c r="M660">
        <v>49</v>
      </c>
      <c r="N660">
        <v>241</v>
      </c>
      <c r="O660">
        <v>72</v>
      </c>
      <c r="P660">
        <v>15</v>
      </c>
      <c r="Q660">
        <v>34</v>
      </c>
      <c r="R660">
        <v>121</v>
      </c>
      <c r="S660">
        <v>1.21</v>
      </c>
      <c r="T660">
        <v>1.1333333333333333</v>
      </c>
      <c r="U660">
        <v>1.2250000000000001</v>
      </c>
    </row>
    <row r="661" spans="1:21" x14ac:dyDescent="0.35">
      <c r="A661">
        <v>435</v>
      </c>
      <c r="B661" s="16">
        <v>40269</v>
      </c>
      <c r="C661" s="15" t="s">
        <v>76</v>
      </c>
      <c r="D661" s="15" t="s">
        <v>58</v>
      </c>
      <c r="E661" s="15" t="s">
        <v>53</v>
      </c>
      <c r="F661" s="15" t="s">
        <v>52</v>
      </c>
      <c r="G661" s="15" t="s">
        <v>77</v>
      </c>
      <c r="H661" s="15" t="s">
        <v>45</v>
      </c>
      <c r="I661">
        <v>40</v>
      </c>
      <c r="J661">
        <v>70</v>
      </c>
      <c r="K661">
        <v>40</v>
      </c>
      <c r="L661">
        <v>110</v>
      </c>
      <c r="M661">
        <v>50</v>
      </c>
      <c r="N661">
        <v>372</v>
      </c>
      <c r="O661">
        <v>75</v>
      </c>
      <c r="P661">
        <v>16</v>
      </c>
      <c r="Q661">
        <v>28</v>
      </c>
      <c r="R661">
        <v>125</v>
      </c>
      <c r="S661">
        <v>1.1363636363636365</v>
      </c>
      <c r="T661">
        <v>0.7</v>
      </c>
      <c r="U661">
        <v>1.25</v>
      </c>
    </row>
    <row r="662" spans="1:21" x14ac:dyDescent="0.35">
      <c r="A662">
        <v>435</v>
      </c>
      <c r="B662" s="16">
        <v>40269</v>
      </c>
      <c r="C662" s="15" t="s">
        <v>76</v>
      </c>
      <c r="D662" s="15" t="s">
        <v>58</v>
      </c>
      <c r="E662" s="15" t="s">
        <v>54</v>
      </c>
      <c r="F662" s="15" t="s">
        <v>52</v>
      </c>
      <c r="G662" s="15" t="s">
        <v>77</v>
      </c>
      <c r="H662" s="15" t="s">
        <v>45</v>
      </c>
      <c r="I662">
        <v>70</v>
      </c>
      <c r="J662">
        <v>40</v>
      </c>
      <c r="K662">
        <v>0</v>
      </c>
      <c r="L662">
        <v>110</v>
      </c>
      <c r="M662">
        <v>93</v>
      </c>
      <c r="N662">
        <v>840</v>
      </c>
      <c r="O662">
        <v>40</v>
      </c>
      <c r="P662">
        <v>28</v>
      </c>
      <c r="Q662">
        <v>-11</v>
      </c>
      <c r="R662">
        <v>133</v>
      </c>
      <c r="S662">
        <v>1.209090909090909</v>
      </c>
      <c r="U662">
        <v>1.3285714285714285</v>
      </c>
    </row>
    <row r="663" spans="1:21" x14ac:dyDescent="0.35">
      <c r="A663">
        <v>435</v>
      </c>
      <c r="B663" s="16">
        <v>40269</v>
      </c>
      <c r="C663" s="15" t="s">
        <v>76</v>
      </c>
      <c r="D663" s="15" t="s">
        <v>58</v>
      </c>
      <c r="E663" s="15" t="s">
        <v>55</v>
      </c>
      <c r="F663" s="15" t="s">
        <v>47</v>
      </c>
      <c r="G663" s="15" t="s">
        <v>77</v>
      </c>
      <c r="H663" s="15" t="s">
        <v>42</v>
      </c>
      <c r="I663">
        <v>20</v>
      </c>
      <c r="J663">
        <v>50</v>
      </c>
      <c r="K663">
        <v>10</v>
      </c>
      <c r="L663">
        <v>70</v>
      </c>
      <c r="M663">
        <v>44</v>
      </c>
      <c r="N663">
        <v>261</v>
      </c>
      <c r="O663">
        <v>63</v>
      </c>
      <c r="P663">
        <v>40</v>
      </c>
      <c r="Q663">
        <v>-6</v>
      </c>
      <c r="R663">
        <v>107</v>
      </c>
      <c r="S663">
        <v>1.5285714285714285</v>
      </c>
      <c r="T663">
        <v>-0.6</v>
      </c>
      <c r="U663">
        <v>2.2000000000000002</v>
      </c>
    </row>
    <row r="664" spans="1:21" x14ac:dyDescent="0.35">
      <c r="A664">
        <v>435</v>
      </c>
      <c r="B664" s="16">
        <v>40269</v>
      </c>
      <c r="C664" s="15" t="s">
        <v>76</v>
      </c>
      <c r="D664" s="15" t="s">
        <v>58</v>
      </c>
      <c r="E664" s="15" t="s">
        <v>56</v>
      </c>
      <c r="F664" s="15" t="s">
        <v>47</v>
      </c>
      <c r="G664" s="15" t="s">
        <v>77</v>
      </c>
      <c r="H664" s="15" t="s">
        <v>42</v>
      </c>
      <c r="I664">
        <v>20</v>
      </c>
      <c r="J664">
        <v>30</v>
      </c>
      <c r="K664">
        <v>10</v>
      </c>
      <c r="L664">
        <v>50</v>
      </c>
      <c r="M664">
        <v>37</v>
      </c>
      <c r="N664">
        <v>195</v>
      </c>
      <c r="O664">
        <v>51</v>
      </c>
      <c r="P664">
        <v>12</v>
      </c>
      <c r="Q664">
        <v>11</v>
      </c>
      <c r="R664">
        <v>88</v>
      </c>
      <c r="S664">
        <v>1.76</v>
      </c>
      <c r="T664">
        <v>1.1000000000000001</v>
      </c>
      <c r="U664">
        <v>1.85</v>
      </c>
    </row>
    <row r="665" spans="1:21" x14ac:dyDescent="0.35">
      <c r="A665">
        <v>435</v>
      </c>
      <c r="B665" s="16">
        <v>40269</v>
      </c>
      <c r="C665" s="15" t="s">
        <v>76</v>
      </c>
      <c r="D665" s="15" t="s">
        <v>58</v>
      </c>
      <c r="E665" s="15" t="s">
        <v>46</v>
      </c>
      <c r="F665" s="15" t="s">
        <v>47</v>
      </c>
      <c r="G665" s="15" t="s">
        <v>77</v>
      </c>
      <c r="H665" s="15" t="s">
        <v>42</v>
      </c>
      <c r="I665">
        <v>10</v>
      </c>
      <c r="J665">
        <v>30</v>
      </c>
      <c r="K665">
        <v>10</v>
      </c>
      <c r="L665">
        <v>40</v>
      </c>
      <c r="M665">
        <v>29</v>
      </c>
      <c r="N665">
        <v>169</v>
      </c>
      <c r="O665">
        <v>36</v>
      </c>
      <c r="P665">
        <v>11</v>
      </c>
      <c r="Q665">
        <v>-8</v>
      </c>
      <c r="R665">
        <v>65</v>
      </c>
      <c r="S665">
        <v>1.625</v>
      </c>
      <c r="T665">
        <v>-0.8</v>
      </c>
      <c r="U665">
        <v>2.9</v>
      </c>
    </row>
    <row r="666" spans="1:21" x14ac:dyDescent="0.35">
      <c r="A666">
        <v>925</v>
      </c>
      <c r="B666" s="16">
        <v>40269</v>
      </c>
      <c r="C666" s="15" t="s">
        <v>76</v>
      </c>
      <c r="D666" s="15" t="s">
        <v>38</v>
      </c>
      <c r="E666" s="15" t="s">
        <v>72</v>
      </c>
      <c r="F666" s="15" t="s">
        <v>49</v>
      </c>
      <c r="G666" s="15" t="s">
        <v>78</v>
      </c>
      <c r="H666" s="15" t="s">
        <v>42</v>
      </c>
      <c r="I666">
        <v>220</v>
      </c>
      <c r="J666">
        <v>230</v>
      </c>
      <c r="K666">
        <v>150</v>
      </c>
      <c r="L666">
        <v>450</v>
      </c>
      <c r="M666">
        <v>239</v>
      </c>
      <c r="N666">
        <v>1464</v>
      </c>
      <c r="O666">
        <v>239</v>
      </c>
      <c r="P666">
        <v>66</v>
      </c>
      <c r="Q666">
        <v>148</v>
      </c>
      <c r="R666">
        <v>478</v>
      </c>
      <c r="S666">
        <v>1.0622222222222222</v>
      </c>
      <c r="T666">
        <v>0.98666666666666669</v>
      </c>
      <c r="U666">
        <v>1.0863636363636364</v>
      </c>
    </row>
    <row r="667" spans="1:21" x14ac:dyDescent="0.35">
      <c r="A667">
        <v>805</v>
      </c>
      <c r="B667" s="16">
        <v>40269</v>
      </c>
      <c r="C667" s="15" t="s">
        <v>76</v>
      </c>
      <c r="D667" s="15" t="s">
        <v>38</v>
      </c>
      <c r="E667" s="15" t="s">
        <v>48</v>
      </c>
      <c r="F667" s="15" t="s">
        <v>49</v>
      </c>
      <c r="G667" s="15" t="s">
        <v>78</v>
      </c>
      <c r="H667" s="15" t="s">
        <v>42</v>
      </c>
      <c r="I667">
        <v>120</v>
      </c>
      <c r="J667">
        <v>160</v>
      </c>
      <c r="K667">
        <v>30</v>
      </c>
      <c r="L667">
        <v>280</v>
      </c>
      <c r="M667">
        <v>125</v>
      </c>
      <c r="N667">
        <v>729</v>
      </c>
      <c r="O667">
        <v>173</v>
      </c>
      <c r="P667">
        <v>113</v>
      </c>
      <c r="Q667">
        <v>26</v>
      </c>
      <c r="R667">
        <v>298</v>
      </c>
      <c r="S667">
        <v>1.0642857142857143</v>
      </c>
      <c r="T667">
        <v>0.8666666666666667</v>
      </c>
      <c r="U667">
        <v>1.0416666666666667</v>
      </c>
    </row>
    <row r="668" spans="1:21" x14ac:dyDescent="0.35">
      <c r="A668">
        <v>831</v>
      </c>
      <c r="B668" s="16">
        <v>40269</v>
      </c>
      <c r="C668" s="15" t="s">
        <v>76</v>
      </c>
      <c r="D668" s="15" t="s">
        <v>38</v>
      </c>
      <c r="E668" s="15" t="s">
        <v>50</v>
      </c>
      <c r="F668" s="15" t="s">
        <v>49</v>
      </c>
      <c r="G668" s="15" t="s">
        <v>78</v>
      </c>
      <c r="H668" s="15" t="s">
        <v>45</v>
      </c>
      <c r="I668">
        <v>240</v>
      </c>
      <c r="J668">
        <v>320</v>
      </c>
      <c r="K668">
        <v>220</v>
      </c>
      <c r="L668">
        <v>560</v>
      </c>
      <c r="M668">
        <v>252</v>
      </c>
      <c r="N668">
        <v>1316</v>
      </c>
      <c r="O668">
        <v>335</v>
      </c>
      <c r="P668">
        <v>83</v>
      </c>
      <c r="Q668">
        <v>220</v>
      </c>
      <c r="R668">
        <v>587</v>
      </c>
      <c r="S668">
        <v>1.0482142857142858</v>
      </c>
      <c r="T668">
        <v>1</v>
      </c>
      <c r="U668">
        <v>1.05</v>
      </c>
    </row>
    <row r="669" spans="1:21" x14ac:dyDescent="0.35">
      <c r="A669">
        <v>818</v>
      </c>
      <c r="B669" s="16">
        <v>40269</v>
      </c>
      <c r="C669" s="15" t="s">
        <v>76</v>
      </c>
      <c r="D669" s="15" t="s">
        <v>38</v>
      </c>
      <c r="E669" s="15" t="s">
        <v>39</v>
      </c>
      <c r="F669" s="15" t="s">
        <v>40</v>
      </c>
      <c r="G669" s="15" t="s">
        <v>78</v>
      </c>
      <c r="H669" s="15" t="s">
        <v>42</v>
      </c>
      <c r="I669">
        <v>150</v>
      </c>
      <c r="J669">
        <v>-20</v>
      </c>
      <c r="K669">
        <v>-70</v>
      </c>
      <c r="L669">
        <v>130</v>
      </c>
      <c r="M669">
        <v>123</v>
      </c>
      <c r="N669">
        <v>964</v>
      </c>
      <c r="O669">
        <v>-13</v>
      </c>
      <c r="P669">
        <v>39</v>
      </c>
      <c r="Q669">
        <v>-76</v>
      </c>
      <c r="R669">
        <v>110</v>
      </c>
      <c r="S669">
        <v>0.84615384615384615</v>
      </c>
      <c r="T669">
        <v>1.0857142857142856</v>
      </c>
      <c r="U669">
        <v>0.82</v>
      </c>
    </row>
    <row r="670" spans="1:21" x14ac:dyDescent="0.35">
      <c r="A670">
        <v>209</v>
      </c>
      <c r="B670" s="16">
        <v>40269</v>
      </c>
      <c r="C670" s="15" t="s">
        <v>76</v>
      </c>
      <c r="D670" s="15" t="s">
        <v>38</v>
      </c>
      <c r="E670" s="15" t="s">
        <v>43</v>
      </c>
      <c r="F670" s="15" t="s">
        <v>40</v>
      </c>
      <c r="G670" s="15" t="s">
        <v>78</v>
      </c>
      <c r="H670" s="15" t="s">
        <v>42</v>
      </c>
      <c r="I670">
        <v>350</v>
      </c>
      <c r="J670">
        <v>540</v>
      </c>
      <c r="K670">
        <v>400</v>
      </c>
      <c r="L670">
        <v>890</v>
      </c>
      <c r="M670">
        <v>284</v>
      </c>
      <c r="N670">
        <v>2108</v>
      </c>
      <c r="O670">
        <v>428</v>
      </c>
      <c r="P670">
        <v>99</v>
      </c>
      <c r="Q670">
        <v>276</v>
      </c>
      <c r="R670">
        <v>712</v>
      </c>
      <c r="S670">
        <v>0.8</v>
      </c>
      <c r="T670">
        <v>0.69</v>
      </c>
      <c r="U670">
        <v>0.81142857142857139</v>
      </c>
    </row>
    <row r="671" spans="1:21" x14ac:dyDescent="0.35">
      <c r="A671">
        <v>916</v>
      </c>
      <c r="B671" s="16">
        <v>40269</v>
      </c>
      <c r="C671" s="15" t="s">
        <v>76</v>
      </c>
      <c r="D671" s="15" t="s">
        <v>38</v>
      </c>
      <c r="E671" s="15" t="s">
        <v>44</v>
      </c>
      <c r="F671" s="15" t="s">
        <v>40</v>
      </c>
      <c r="G671" s="15" t="s">
        <v>78</v>
      </c>
      <c r="H671" s="15" t="s">
        <v>45</v>
      </c>
      <c r="I671">
        <v>240</v>
      </c>
      <c r="J671">
        <v>-50</v>
      </c>
      <c r="K671">
        <v>-150</v>
      </c>
      <c r="L671">
        <v>190</v>
      </c>
      <c r="M671">
        <v>191</v>
      </c>
      <c r="N671">
        <v>1564</v>
      </c>
      <c r="O671">
        <v>-32</v>
      </c>
      <c r="P671">
        <v>63</v>
      </c>
      <c r="Q671">
        <v>-141</v>
      </c>
      <c r="R671">
        <v>159</v>
      </c>
      <c r="S671">
        <v>0.83684210526315794</v>
      </c>
      <c r="T671">
        <v>0.94</v>
      </c>
      <c r="U671">
        <v>0.79583333333333328</v>
      </c>
    </row>
    <row r="672" spans="1:21" x14ac:dyDescent="0.35">
      <c r="A672">
        <v>408</v>
      </c>
      <c r="B672" s="16">
        <v>40269</v>
      </c>
      <c r="C672" s="15" t="s">
        <v>76</v>
      </c>
      <c r="D672" s="15" t="s">
        <v>38</v>
      </c>
      <c r="E672" s="15" t="s">
        <v>51</v>
      </c>
      <c r="F672" s="15" t="s">
        <v>52</v>
      </c>
      <c r="G672" s="15" t="s">
        <v>78</v>
      </c>
      <c r="H672" s="15" t="s">
        <v>45</v>
      </c>
      <c r="I672">
        <v>80</v>
      </c>
      <c r="J672">
        <v>130</v>
      </c>
      <c r="K672">
        <v>110</v>
      </c>
      <c r="L672">
        <v>210</v>
      </c>
      <c r="M672">
        <v>100</v>
      </c>
      <c r="N672">
        <v>822</v>
      </c>
      <c r="O672">
        <v>145</v>
      </c>
      <c r="P672">
        <v>28</v>
      </c>
      <c r="Q672">
        <v>106</v>
      </c>
      <c r="R672">
        <v>245</v>
      </c>
      <c r="S672">
        <v>1.1666666666666667</v>
      </c>
      <c r="T672">
        <v>0.96363636363636362</v>
      </c>
      <c r="U672">
        <v>1.25</v>
      </c>
    </row>
    <row r="673" spans="1:21" x14ac:dyDescent="0.35">
      <c r="A673">
        <v>707</v>
      </c>
      <c r="B673" s="16">
        <v>40269</v>
      </c>
      <c r="C673" s="15" t="s">
        <v>76</v>
      </c>
      <c r="D673" s="15" t="s">
        <v>38</v>
      </c>
      <c r="E673" s="15" t="s">
        <v>53</v>
      </c>
      <c r="F673" s="15" t="s">
        <v>52</v>
      </c>
      <c r="G673" s="15" t="s">
        <v>78</v>
      </c>
      <c r="H673" s="15" t="s">
        <v>45</v>
      </c>
      <c r="I673">
        <v>170</v>
      </c>
      <c r="J673">
        <v>230</v>
      </c>
      <c r="K673">
        <v>170</v>
      </c>
      <c r="L673">
        <v>400</v>
      </c>
      <c r="M673">
        <v>209</v>
      </c>
      <c r="N673">
        <v>969</v>
      </c>
      <c r="O673">
        <v>247</v>
      </c>
      <c r="P673">
        <v>64</v>
      </c>
      <c r="Q673">
        <v>162</v>
      </c>
      <c r="R673">
        <v>456</v>
      </c>
      <c r="S673">
        <v>1.1399999999999999</v>
      </c>
      <c r="T673">
        <v>0.95294117647058818</v>
      </c>
      <c r="U673">
        <v>1.2294117647058824</v>
      </c>
    </row>
    <row r="674" spans="1:21" x14ac:dyDescent="0.35">
      <c r="A674">
        <v>805</v>
      </c>
      <c r="B674" s="16">
        <v>40269</v>
      </c>
      <c r="C674" s="15" t="s">
        <v>76</v>
      </c>
      <c r="D674" s="15" t="s">
        <v>38</v>
      </c>
      <c r="E674" s="15" t="s">
        <v>54</v>
      </c>
      <c r="F674" s="15" t="s">
        <v>52</v>
      </c>
      <c r="G674" s="15" t="s">
        <v>78</v>
      </c>
      <c r="H674" s="15" t="s">
        <v>45</v>
      </c>
      <c r="I674">
        <v>60</v>
      </c>
      <c r="J674">
        <v>90</v>
      </c>
      <c r="K674">
        <v>60</v>
      </c>
      <c r="L674">
        <v>150</v>
      </c>
      <c r="M674">
        <v>78</v>
      </c>
      <c r="N674">
        <v>593</v>
      </c>
      <c r="O674">
        <v>100</v>
      </c>
      <c r="P674">
        <v>25</v>
      </c>
      <c r="Q674">
        <v>62</v>
      </c>
      <c r="R674">
        <v>178</v>
      </c>
      <c r="S674">
        <v>1.1866666666666668</v>
      </c>
      <c r="T674">
        <v>1.0333333333333334</v>
      </c>
      <c r="U674">
        <v>1.3</v>
      </c>
    </row>
    <row r="675" spans="1:21" x14ac:dyDescent="0.35">
      <c r="A675">
        <v>805</v>
      </c>
      <c r="B675" s="16">
        <v>40269</v>
      </c>
      <c r="C675" s="15" t="s">
        <v>76</v>
      </c>
      <c r="D675" s="15" t="s">
        <v>38</v>
      </c>
      <c r="E675" s="15" t="s">
        <v>55</v>
      </c>
      <c r="F675" s="15" t="s">
        <v>47</v>
      </c>
      <c r="G675" s="15" t="s">
        <v>78</v>
      </c>
      <c r="H675" s="15" t="s">
        <v>42</v>
      </c>
      <c r="I675">
        <v>60</v>
      </c>
      <c r="J675">
        <v>90</v>
      </c>
      <c r="K675">
        <v>80</v>
      </c>
      <c r="L675">
        <v>150</v>
      </c>
      <c r="M675">
        <v>91</v>
      </c>
      <c r="N675">
        <v>777</v>
      </c>
      <c r="O675">
        <v>132</v>
      </c>
      <c r="P675">
        <v>25</v>
      </c>
      <c r="Q675">
        <v>96</v>
      </c>
      <c r="R675">
        <v>223</v>
      </c>
      <c r="S675">
        <v>1.4866666666666666</v>
      </c>
      <c r="T675">
        <v>1.2</v>
      </c>
      <c r="U675">
        <v>1.5166666666666666</v>
      </c>
    </row>
    <row r="676" spans="1:21" x14ac:dyDescent="0.35">
      <c r="A676">
        <v>530</v>
      </c>
      <c r="B676" s="16">
        <v>40269</v>
      </c>
      <c r="C676" s="15" t="s">
        <v>76</v>
      </c>
      <c r="D676" s="15" t="s">
        <v>38</v>
      </c>
      <c r="E676" s="15" t="s">
        <v>56</v>
      </c>
      <c r="F676" s="15" t="s">
        <v>47</v>
      </c>
      <c r="G676" s="15" t="s">
        <v>78</v>
      </c>
      <c r="H676" s="15" t="s">
        <v>42</v>
      </c>
      <c r="I676">
        <v>50</v>
      </c>
      <c r="J676">
        <v>80</v>
      </c>
      <c r="K676">
        <v>70</v>
      </c>
      <c r="L676">
        <v>130</v>
      </c>
      <c r="M676">
        <v>81</v>
      </c>
      <c r="N676">
        <v>460</v>
      </c>
      <c r="O676">
        <v>117</v>
      </c>
      <c r="P676">
        <v>22</v>
      </c>
      <c r="Q676">
        <v>83</v>
      </c>
      <c r="R676">
        <v>198</v>
      </c>
      <c r="S676">
        <v>1.523076923076923</v>
      </c>
      <c r="T676">
        <v>1.1857142857142857</v>
      </c>
      <c r="U676">
        <v>1.62</v>
      </c>
    </row>
    <row r="677" spans="1:21" x14ac:dyDescent="0.35">
      <c r="A677">
        <v>415</v>
      </c>
      <c r="B677" s="16">
        <v>40269</v>
      </c>
      <c r="C677" s="15" t="s">
        <v>76</v>
      </c>
      <c r="D677" s="15" t="s">
        <v>38</v>
      </c>
      <c r="E677" s="15" t="s">
        <v>46</v>
      </c>
      <c r="F677" s="15" t="s">
        <v>47</v>
      </c>
      <c r="G677" s="15" t="s">
        <v>78</v>
      </c>
      <c r="H677" s="15" t="s">
        <v>42</v>
      </c>
      <c r="I677">
        <v>40</v>
      </c>
      <c r="J677">
        <v>70</v>
      </c>
      <c r="K677">
        <v>40</v>
      </c>
      <c r="L677">
        <v>110</v>
      </c>
      <c r="M677">
        <v>68</v>
      </c>
      <c r="N677">
        <v>559</v>
      </c>
      <c r="O677">
        <v>102</v>
      </c>
      <c r="P677">
        <v>22</v>
      </c>
      <c r="Q677">
        <v>48</v>
      </c>
      <c r="R677">
        <v>170</v>
      </c>
      <c r="S677">
        <v>1.5454545454545454</v>
      </c>
      <c r="T677">
        <v>1.2</v>
      </c>
      <c r="U677">
        <v>1.7</v>
      </c>
    </row>
    <row r="678" spans="1:21" x14ac:dyDescent="0.35">
      <c r="A678">
        <v>775</v>
      </c>
      <c r="B678" s="16">
        <v>40269</v>
      </c>
      <c r="C678" s="15" t="s">
        <v>76</v>
      </c>
      <c r="D678" s="15" t="s">
        <v>58</v>
      </c>
      <c r="E678" s="15" t="s">
        <v>72</v>
      </c>
      <c r="F678" s="15" t="s">
        <v>49</v>
      </c>
      <c r="G678" s="15" t="s">
        <v>79</v>
      </c>
      <c r="H678" s="15" t="s">
        <v>42</v>
      </c>
      <c r="I678">
        <v>0</v>
      </c>
      <c r="J678">
        <v>40</v>
      </c>
      <c r="K678">
        <v>30</v>
      </c>
      <c r="L678">
        <v>40</v>
      </c>
      <c r="M678">
        <v>0</v>
      </c>
      <c r="N678">
        <v>688</v>
      </c>
      <c r="O678">
        <v>43</v>
      </c>
      <c r="P678">
        <v>0</v>
      </c>
      <c r="Q678">
        <v>32</v>
      </c>
      <c r="R678">
        <v>43</v>
      </c>
      <c r="S678">
        <v>1.075</v>
      </c>
      <c r="T678">
        <v>1.0666666666666667</v>
      </c>
    </row>
    <row r="679" spans="1:21" x14ac:dyDescent="0.35">
      <c r="A679">
        <v>702</v>
      </c>
      <c r="B679" s="16">
        <v>40269</v>
      </c>
      <c r="C679" s="15" t="s">
        <v>76</v>
      </c>
      <c r="D679" s="15" t="s">
        <v>58</v>
      </c>
      <c r="E679" s="15" t="s">
        <v>48</v>
      </c>
      <c r="F679" s="15" t="s">
        <v>49</v>
      </c>
      <c r="G679" s="15" t="s">
        <v>79</v>
      </c>
      <c r="H679" s="15" t="s">
        <v>42</v>
      </c>
      <c r="I679">
        <v>10</v>
      </c>
      <c r="J679">
        <v>30</v>
      </c>
      <c r="K679">
        <v>20</v>
      </c>
      <c r="L679">
        <v>40</v>
      </c>
      <c r="M679">
        <v>19</v>
      </c>
      <c r="N679">
        <v>820</v>
      </c>
      <c r="O679">
        <v>28</v>
      </c>
      <c r="P679">
        <v>5</v>
      </c>
      <c r="Q679">
        <v>11</v>
      </c>
      <c r="R679">
        <v>47</v>
      </c>
      <c r="S679">
        <v>1.175</v>
      </c>
      <c r="T679">
        <v>0.55000000000000004</v>
      </c>
      <c r="U679">
        <v>1.9</v>
      </c>
    </row>
    <row r="680" spans="1:21" x14ac:dyDescent="0.35">
      <c r="A680">
        <v>775</v>
      </c>
      <c r="B680" s="16">
        <v>40269</v>
      </c>
      <c r="C680" s="15" t="s">
        <v>76</v>
      </c>
      <c r="D680" s="15" t="s">
        <v>58</v>
      </c>
      <c r="E680" s="15" t="s">
        <v>50</v>
      </c>
      <c r="F680" s="15" t="s">
        <v>49</v>
      </c>
      <c r="G680" s="15" t="s">
        <v>79</v>
      </c>
      <c r="H680" s="15" t="s">
        <v>45</v>
      </c>
      <c r="I680">
        <v>10</v>
      </c>
      <c r="J680">
        <v>30</v>
      </c>
      <c r="K680">
        <v>20</v>
      </c>
      <c r="L680">
        <v>40</v>
      </c>
      <c r="M680">
        <v>17</v>
      </c>
      <c r="N680">
        <v>776</v>
      </c>
      <c r="O680">
        <v>26</v>
      </c>
      <c r="P680">
        <v>4</v>
      </c>
      <c r="Q680">
        <v>10</v>
      </c>
      <c r="R680">
        <v>43</v>
      </c>
      <c r="S680">
        <v>1.075</v>
      </c>
      <c r="T680">
        <v>0.5</v>
      </c>
      <c r="U680">
        <v>1.7</v>
      </c>
    </row>
    <row r="681" spans="1:21" x14ac:dyDescent="0.35">
      <c r="A681">
        <v>775</v>
      </c>
      <c r="B681" s="16">
        <v>40269</v>
      </c>
      <c r="C681" s="15" t="s">
        <v>76</v>
      </c>
      <c r="D681" s="15" t="s">
        <v>58</v>
      </c>
      <c r="E681" s="15" t="s">
        <v>43</v>
      </c>
      <c r="F681" s="15" t="s">
        <v>40</v>
      </c>
      <c r="G681" s="15" t="s">
        <v>79</v>
      </c>
      <c r="H681" s="15" t="s">
        <v>42</v>
      </c>
      <c r="I681">
        <v>40</v>
      </c>
      <c r="J681">
        <v>50</v>
      </c>
      <c r="K681">
        <v>10</v>
      </c>
      <c r="L681">
        <v>90</v>
      </c>
      <c r="M681">
        <v>35</v>
      </c>
      <c r="N681">
        <v>197</v>
      </c>
      <c r="O681">
        <v>44</v>
      </c>
      <c r="P681">
        <v>13</v>
      </c>
      <c r="Q681">
        <v>-2</v>
      </c>
      <c r="R681">
        <v>79</v>
      </c>
      <c r="S681">
        <v>0.87777777777777777</v>
      </c>
      <c r="T681">
        <v>-0.2</v>
      </c>
      <c r="U681">
        <v>0.875</v>
      </c>
    </row>
    <row r="682" spans="1:21" x14ac:dyDescent="0.35">
      <c r="A682">
        <v>775</v>
      </c>
      <c r="B682" s="16">
        <v>40269</v>
      </c>
      <c r="C682" s="15" t="s">
        <v>76</v>
      </c>
      <c r="D682" s="15" t="s">
        <v>58</v>
      </c>
      <c r="E682" s="15" t="s">
        <v>44</v>
      </c>
      <c r="F682" s="15" t="s">
        <v>40</v>
      </c>
      <c r="G682" s="15" t="s">
        <v>79</v>
      </c>
      <c r="H682" s="15" t="s">
        <v>45</v>
      </c>
      <c r="I682">
        <v>30</v>
      </c>
      <c r="J682">
        <v>40</v>
      </c>
      <c r="K682">
        <v>20</v>
      </c>
      <c r="L682">
        <v>70</v>
      </c>
      <c r="M682">
        <v>28</v>
      </c>
      <c r="N682">
        <v>964</v>
      </c>
      <c r="O682">
        <v>33</v>
      </c>
      <c r="P682">
        <v>8</v>
      </c>
      <c r="Q682">
        <v>4</v>
      </c>
      <c r="R682">
        <v>61</v>
      </c>
      <c r="S682">
        <v>0.87142857142857144</v>
      </c>
      <c r="T682">
        <v>0.2</v>
      </c>
      <c r="U682">
        <v>0.93333333333333335</v>
      </c>
    </row>
    <row r="683" spans="1:21" x14ac:dyDescent="0.35">
      <c r="A683">
        <v>775</v>
      </c>
      <c r="B683" s="16">
        <v>40269</v>
      </c>
      <c r="C683" s="15" t="s">
        <v>76</v>
      </c>
      <c r="D683" s="15" t="s">
        <v>58</v>
      </c>
      <c r="E683" s="15" t="s">
        <v>51</v>
      </c>
      <c r="F683" s="15" t="s">
        <v>52</v>
      </c>
      <c r="G683" s="15" t="s">
        <v>79</v>
      </c>
      <c r="H683" s="15" t="s">
        <v>45</v>
      </c>
      <c r="I683">
        <v>100</v>
      </c>
      <c r="J683">
        <v>160</v>
      </c>
      <c r="K683">
        <v>50</v>
      </c>
      <c r="L683">
        <v>260</v>
      </c>
      <c r="M683">
        <v>125</v>
      </c>
      <c r="N683">
        <v>729</v>
      </c>
      <c r="O683">
        <v>173</v>
      </c>
      <c r="P683">
        <v>113</v>
      </c>
      <c r="Q683">
        <v>27</v>
      </c>
      <c r="R683">
        <v>298</v>
      </c>
      <c r="S683">
        <v>1.1461538461538461</v>
      </c>
      <c r="T683">
        <v>0.54</v>
      </c>
      <c r="U683">
        <v>1.25</v>
      </c>
    </row>
    <row r="684" spans="1:21" x14ac:dyDescent="0.35">
      <c r="A684">
        <v>775</v>
      </c>
      <c r="B684" s="16">
        <v>40269</v>
      </c>
      <c r="C684" s="15" t="s">
        <v>76</v>
      </c>
      <c r="D684" s="15" t="s">
        <v>58</v>
      </c>
      <c r="E684" s="15" t="s">
        <v>53</v>
      </c>
      <c r="F684" s="15" t="s">
        <v>52</v>
      </c>
      <c r="G684" s="15" t="s">
        <v>79</v>
      </c>
      <c r="H684" s="15" t="s">
        <v>45</v>
      </c>
      <c r="I684">
        <v>160</v>
      </c>
      <c r="J684">
        <v>240</v>
      </c>
      <c r="K684">
        <v>160</v>
      </c>
      <c r="L684">
        <v>400</v>
      </c>
      <c r="M684">
        <v>191</v>
      </c>
      <c r="N684">
        <v>865</v>
      </c>
      <c r="O684">
        <v>265</v>
      </c>
      <c r="P684">
        <v>63</v>
      </c>
      <c r="Q684">
        <v>156</v>
      </c>
      <c r="R684">
        <v>456</v>
      </c>
      <c r="S684">
        <v>1.1399999999999999</v>
      </c>
      <c r="T684">
        <v>0.97499999999999998</v>
      </c>
      <c r="U684">
        <v>1.1937500000000001</v>
      </c>
    </row>
    <row r="685" spans="1:21" x14ac:dyDescent="0.35">
      <c r="A685">
        <v>702</v>
      </c>
      <c r="B685" s="16">
        <v>40269</v>
      </c>
      <c r="C685" s="15" t="s">
        <v>76</v>
      </c>
      <c r="D685" s="15" t="s">
        <v>58</v>
      </c>
      <c r="E685" s="15" t="s">
        <v>54</v>
      </c>
      <c r="F685" s="15" t="s">
        <v>52</v>
      </c>
      <c r="G685" s="15" t="s">
        <v>79</v>
      </c>
      <c r="H685" s="15" t="s">
        <v>45</v>
      </c>
      <c r="I685">
        <v>100</v>
      </c>
      <c r="J685">
        <v>160</v>
      </c>
      <c r="K685">
        <v>110</v>
      </c>
      <c r="L685">
        <v>260</v>
      </c>
      <c r="M685">
        <v>123</v>
      </c>
      <c r="N685">
        <v>611</v>
      </c>
      <c r="O685">
        <v>178</v>
      </c>
      <c r="P685">
        <v>39</v>
      </c>
      <c r="Q685">
        <v>115</v>
      </c>
      <c r="R685">
        <v>301</v>
      </c>
      <c r="S685">
        <v>1.1576923076923078</v>
      </c>
      <c r="T685">
        <v>1.0454545454545454</v>
      </c>
      <c r="U685">
        <v>1.23</v>
      </c>
    </row>
    <row r="686" spans="1:21" x14ac:dyDescent="0.35">
      <c r="A686">
        <v>702</v>
      </c>
      <c r="B686" s="16">
        <v>40269</v>
      </c>
      <c r="C686" s="15" t="s">
        <v>76</v>
      </c>
      <c r="D686" s="15" t="s">
        <v>58</v>
      </c>
      <c r="E686" s="15" t="s">
        <v>55</v>
      </c>
      <c r="F686" s="15" t="s">
        <v>47</v>
      </c>
      <c r="G686" s="15" t="s">
        <v>79</v>
      </c>
      <c r="H686" s="15" t="s">
        <v>42</v>
      </c>
      <c r="I686">
        <v>160</v>
      </c>
      <c r="J686">
        <v>230</v>
      </c>
      <c r="K686">
        <v>160</v>
      </c>
      <c r="L686">
        <v>390</v>
      </c>
      <c r="M686">
        <v>252</v>
      </c>
      <c r="N686">
        <v>1316</v>
      </c>
      <c r="O686">
        <v>335</v>
      </c>
      <c r="P686">
        <v>83</v>
      </c>
      <c r="Q686">
        <v>219</v>
      </c>
      <c r="R686">
        <v>587</v>
      </c>
      <c r="S686">
        <v>1.5051282051282051</v>
      </c>
      <c r="T686">
        <v>1.3687499999999999</v>
      </c>
      <c r="U686">
        <v>1.575</v>
      </c>
    </row>
    <row r="687" spans="1:21" x14ac:dyDescent="0.35">
      <c r="A687">
        <v>775</v>
      </c>
      <c r="B687" s="16">
        <v>40269</v>
      </c>
      <c r="C687" s="15" t="s">
        <v>76</v>
      </c>
      <c r="D687" s="15" t="s">
        <v>58</v>
      </c>
      <c r="E687" s="15" t="s">
        <v>56</v>
      </c>
      <c r="F687" s="15" t="s">
        <v>47</v>
      </c>
      <c r="G687" s="15" t="s">
        <v>79</v>
      </c>
      <c r="H687" s="15" t="s">
        <v>42</v>
      </c>
      <c r="I687">
        <v>150</v>
      </c>
      <c r="J687">
        <v>170</v>
      </c>
      <c r="K687">
        <v>110</v>
      </c>
      <c r="L687">
        <v>320</v>
      </c>
      <c r="M687">
        <v>239</v>
      </c>
      <c r="N687">
        <v>1464</v>
      </c>
      <c r="O687">
        <v>239</v>
      </c>
      <c r="P687">
        <v>66</v>
      </c>
      <c r="Q687">
        <v>149</v>
      </c>
      <c r="R687">
        <v>478</v>
      </c>
      <c r="S687">
        <v>1.4937499999999999</v>
      </c>
      <c r="T687">
        <v>1.3545454545454545</v>
      </c>
      <c r="U687">
        <v>1.5933333333333333</v>
      </c>
    </row>
    <row r="688" spans="1:21" x14ac:dyDescent="0.35">
      <c r="A688">
        <v>702</v>
      </c>
      <c r="B688" s="16">
        <v>40269</v>
      </c>
      <c r="C688" s="15" t="s">
        <v>76</v>
      </c>
      <c r="D688" s="15" t="s">
        <v>58</v>
      </c>
      <c r="E688" s="15" t="s">
        <v>46</v>
      </c>
      <c r="F688" s="15" t="s">
        <v>47</v>
      </c>
      <c r="G688" s="15" t="s">
        <v>79</v>
      </c>
      <c r="H688" s="15" t="s">
        <v>42</v>
      </c>
      <c r="I688">
        <v>170</v>
      </c>
      <c r="J688">
        <v>-170</v>
      </c>
      <c r="K688">
        <v>-250</v>
      </c>
      <c r="L688">
        <v>0</v>
      </c>
      <c r="M688">
        <v>260</v>
      </c>
      <c r="N688">
        <v>3049</v>
      </c>
      <c r="O688">
        <v>-260</v>
      </c>
      <c r="P688">
        <v>98</v>
      </c>
      <c r="Q688">
        <v>-365</v>
      </c>
      <c r="R688">
        <v>26</v>
      </c>
      <c r="T688">
        <v>1.46</v>
      </c>
      <c r="U688">
        <v>1.5294117647058822</v>
      </c>
    </row>
    <row r="689" spans="1:21" x14ac:dyDescent="0.35">
      <c r="A689">
        <v>541</v>
      </c>
      <c r="B689" s="16">
        <v>40269</v>
      </c>
      <c r="C689" s="15" t="s">
        <v>76</v>
      </c>
      <c r="D689" s="15" t="s">
        <v>58</v>
      </c>
      <c r="E689" s="15" t="s">
        <v>72</v>
      </c>
      <c r="F689" s="15" t="s">
        <v>49</v>
      </c>
      <c r="G689" s="15" t="s">
        <v>80</v>
      </c>
      <c r="H689" s="15" t="s">
        <v>42</v>
      </c>
      <c r="I689">
        <v>50</v>
      </c>
      <c r="J689">
        <v>60</v>
      </c>
      <c r="K689">
        <v>20</v>
      </c>
      <c r="L689">
        <v>110</v>
      </c>
      <c r="M689">
        <v>54</v>
      </c>
      <c r="N689">
        <v>337</v>
      </c>
      <c r="O689">
        <v>67</v>
      </c>
      <c r="P689">
        <v>20</v>
      </c>
      <c r="Q689">
        <v>13</v>
      </c>
      <c r="R689">
        <v>121</v>
      </c>
      <c r="S689">
        <v>1.1000000000000001</v>
      </c>
      <c r="T689">
        <v>0.65</v>
      </c>
      <c r="U689">
        <v>1.08</v>
      </c>
    </row>
    <row r="690" spans="1:21" x14ac:dyDescent="0.35">
      <c r="A690">
        <v>971</v>
      </c>
      <c r="B690" s="16">
        <v>40269</v>
      </c>
      <c r="C690" s="15" t="s">
        <v>76</v>
      </c>
      <c r="D690" s="15" t="s">
        <v>58</v>
      </c>
      <c r="E690" s="15" t="s">
        <v>48</v>
      </c>
      <c r="F690" s="15" t="s">
        <v>49</v>
      </c>
      <c r="G690" s="15" t="s">
        <v>80</v>
      </c>
      <c r="H690" s="15" t="s">
        <v>42</v>
      </c>
      <c r="I690">
        <v>50</v>
      </c>
      <c r="J690">
        <v>70</v>
      </c>
      <c r="K690">
        <v>40</v>
      </c>
      <c r="L690">
        <v>120</v>
      </c>
      <c r="M690">
        <v>55</v>
      </c>
      <c r="N690">
        <v>336</v>
      </c>
      <c r="O690">
        <v>74</v>
      </c>
      <c r="P690">
        <v>18</v>
      </c>
      <c r="Q690">
        <v>28</v>
      </c>
      <c r="R690">
        <v>129</v>
      </c>
      <c r="S690">
        <v>1.075</v>
      </c>
      <c r="T690">
        <v>0.7</v>
      </c>
      <c r="U690">
        <v>1.1000000000000001</v>
      </c>
    </row>
    <row r="691" spans="1:21" x14ac:dyDescent="0.35">
      <c r="A691">
        <v>503</v>
      </c>
      <c r="B691" s="16">
        <v>40269</v>
      </c>
      <c r="C691" s="15" t="s">
        <v>76</v>
      </c>
      <c r="D691" s="15" t="s">
        <v>58</v>
      </c>
      <c r="E691" s="15" t="s">
        <v>50</v>
      </c>
      <c r="F691" s="15" t="s">
        <v>49</v>
      </c>
      <c r="G691" s="15" t="s">
        <v>80</v>
      </c>
      <c r="H691" s="15" t="s">
        <v>45</v>
      </c>
      <c r="I691">
        <v>150</v>
      </c>
      <c r="J691">
        <v>160</v>
      </c>
      <c r="K691">
        <v>100</v>
      </c>
      <c r="L691">
        <v>310</v>
      </c>
      <c r="M691">
        <v>162</v>
      </c>
      <c r="N691">
        <v>1091</v>
      </c>
      <c r="O691">
        <v>163</v>
      </c>
      <c r="P691">
        <v>45</v>
      </c>
      <c r="Q691">
        <v>93</v>
      </c>
      <c r="R691">
        <v>325</v>
      </c>
      <c r="S691">
        <v>1.0483870967741935</v>
      </c>
      <c r="T691">
        <v>0.93</v>
      </c>
      <c r="U691">
        <v>1.08</v>
      </c>
    </row>
    <row r="692" spans="1:21" x14ac:dyDescent="0.35">
      <c r="A692">
        <v>971</v>
      </c>
      <c r="B692" s="16">
        <v>40269</v>
      </c>
      <c r="C692" s="15" t="s">
        <v>76</v>
      </c>
      <c r="D692" s="15" t="s">
        <v>58</v>
      </c>
      <c r="E692" s="15" t="s">
        <v>39</v>
      </c>
      <c r="F692" s="15" t="s">
        <v>40</v>
      </c>
      <c r="G692" s="15" t="s">
        <v>80</v>
      </c>
      <c r="H692" s="15" t="s">
        <v>42</v>
      </c>
      <c r="I692">
        <v>60</v>
      </c>
      <c r="J692">
        <v>90</v>
      </c>
      <c r="K692">
        <v>30</v>
      </c>
      <c r="L692">
        <v>150</v>
      </c>
      <c r="M692">
        <v>52</v>
      </c>
      <c r="N692">
        <v>433</v>
      </c>
      <c r="O692">
        <v>73</v>
      </c>
      <c r="P692">
        <v>47</v>
      </c>
      <c r="Q692">
        <v>-3</v>
      </c>
      <c r="R692">
        <v>125</v>
      </c>
      <c r="S692">
        <v>0.83333333333333337</v>
      </c>
      <c r="T692">
        <v>-0.1</v>
      </c>
      <c r="U692">
        <v>0.8666666666666667</v>
      </c>
    </row>
    <row r="693" spans="1:21" x14ac:dyDescent="0.35">
      <c r="A693">
        <v>503</v>
      </c>
      <c r="B693" s="16">
        <v>40269</v>
      </c>
      <c r="C693" s="15" t="s">
        <v>76</v>
      </c>
      <c r="D693" s="15" t="s">
        <v>58</v>
      </c>
      <c r="E693" s="15" t="s">
        <v>43</v>
      </c>
      <c r="F693" s="15" t="s">
        <v>40</v>
      </c>
      <c r="G693" s="15" t="s">
        <v>80</v>
      </c>
      <c r="H693" s="15" t="s">
        <v>42</v>
      </c>
      <c r="I693">
        <v>60</v>
      </c>
      <c r="J693">
        <v>80</v>
      </c>
      <c r="K693">
        <v>30</v>
      </c>
      <c r="L693">
        <v>140</v>
      </c>
      <c r="M693">
        <v>49</v>
      </c>
      <c r="N693">
        <v>399</v>
      </c>
      <c r="O693">
        <v>70</v>
      </c>
      <c r="P693">
        <v>16</v>
      </c>
      <c r="Q693">
        <v>8</v>
      </c>
      <c r="R693">
        <v>119</v>
      </c>
      <c r="S693">
        <v>0.85</v>
      </c>
      <c r="T693">
        <v>0.26666666666666666</v>
      </c>
      <c r="U693">
        <v>0.81666666666666665</v>
      </c>
    </row>
    <row r="694" spans="1:21" x14ac:dyDescent="0.35">
      <c r="A694">
        <v>971</v>
      </c>
      <c r="B694" s="16">
        <v>40269</v>
      </c>
      <c r="C694" s="15" t="s">
        <v>76</v>
      </c>
      <c r="D694" s="15" t="s">
        <v>58</v>
      </c>
      <c r="E694" s="15" t="s">
        <v>51</v>
      </c>
      <c r="F694" s="15" t="s">
        <v>52</v>
      </c>
      <c r="G694" s="15" t="s">
        <v>80</v>
      </c>
      <c r="H694" s="15" t="s">
        <v>45</v>
      </c>
      <c r="I694">
        <v>30</v>
      </c>
      <c r="J694">
        <v>40</v>
      </c>
      <c r="K694">
        <v>40</v>
      </c>
      <c r="L694">
        <v>70</v>
      </c>
      <c r="M694">
        <v>35</v>
      </c>
      <c r="N694">
        <v>777</v>
      </c>
      <c r="O694">
        <v>52</v>
      </c>
      <c r="P694">
        <v>9</v>
      </c>
      <c r="Q694">
        <v>31</v>
      </c>
      <c r="R694">
        <v>87</v>
      </c>
      <c r="S694">
        <v>1.2428571428571429</v>
      </c>
      <c r="T694">
        <v>0.77500000000000002</v>
      </c>
      <c r="U694">
        <v>1.1666666666666667</v>
      </c>
    </row>
    <row r="695" spans="1:21" x14ac:dyDescent="0.35">
      <c r="A695">
        <v>971</v>
      </c>
      <c r="B695" s="16">
        <v>40269</v>
      </c>
      <c r="C695" s="15" t="s">
        <v>76</v>
      </c>
      <c r="D695" s="15" t="s">
        <v>58</v>
      </c>
      <c r="E695" s="15" t="s">
        <v>53</v>
      </c>
      <c r="F695" s="15" t="s">
        <v>52</v>
      </c>
      <c r="G695" s="15" t="s">
        <v>80</v>
      </c>
      <c r="H695" s="15" t="s">
        <v>45</v>
      </c>
      <c r="I695">
        <v>30</v>
      </c>
      <c r="J695">
        <v>60</v>
      </c>
      <c r="K695">
        <v>40</v>
      </c>
      <c r="L695">
        <v>90</v>
      </c>
      <c r="M695">
        <v>46</v>
      </c>
      <c r="N695">
        <v>608</v>
      </c>
      <c r="O695">
        <v>60</v>
      </c>
      <c r="P695">
        <v>15</v>
      </c>
      <c r="Q695">
        <v>32</v>
      </c>
      <c r="R695">
        <v>106</v>
      </c>
      <c r="S695">
        <v>1.1777777777777778</v>
      </c>
      <c r="T695">
        <v>0.8</v>
      </c>
      <c r="U695">
        <v>1.5333333333333334</v>
      </c>
    </row>
    <row r="696" spans="1:21" x14ac:dyDescent="0.35">
      <c r="A696">
        <v>503</v>
      </c>
      <c r="B696" s="16">
        <v>40269</v>
      </c>
      <c r="C696" s="15" t="s">
        <v>76</v>
      </c>
      <c r="D696" s="15" t="s">
        <v>58</v>
      </c>
      <c r="E696" s="15" t="s">
        <v>55</v>
      </c>
      <c r="F696" s="15" t="s">
        <v>47</v>
      </c>
      <c r="G696" s="15" t="s">
        <v>80</v>
      </c>
      <c r="H696" s="15" t="s">
        <v>42</v>
      </c>
      <c r="I696">
        <v>10</v>
      </c>
      <c r="J696">
        <v>20</v>
      </c>
      <c r="K696">
        <v>20</v>
      </c>
      <c r="L696">
        <v>30</v>
      </c>
      <c r="M696">
        <v>21</v>
      </c>
      <c r="N696">
        <v>454</v>
      </c>
      <c r="O696">
        <v>32</v>
      </c>
      <c r="P696">
        <v>5</v>
      </c>
      <c r="Q696">
        <v>15</v>
      </c>
      <c r="R696">
        <v>53</v>
      </c>
      <c r="S696">
        <v>1.7666666666666666</v>
      </c>
      <c r="T696">
        <v>0.75</v>
      </c>
      <c r="U696">
        <v>2.1</v>
      </c>
    </row>
    <row r="697" spans="1:21" x14ac:dyDescent="0.35">
      <c r="A697">
        <v>541</v>
      </c>
      <c r="B697" s="16">
        <v>40269</v>
      </c>
      <c r="C697" s="15" t="s">
        <v>76</v>
      </c>
      <c r="D697" s="15" t="s">
        <v>58</v>
      </c>
      <c r="E697" s="15" t="s">
        <v>56</v>
      </c>
      <c r="F697" s="15" t="s">
        <v>47</v>
      </c>
      <c r="G697" s="15" t="s">
        <v>80</v>
      </c>
      <c r="H697" s="15" t="s">
        <v>42</v>
      </c>
      <c r="I697">
        <v>50</v>
      </c>
      <c r="J697">
        <v>100</v>
      </c>
      <c r="K697">
        <v>70</v>
      </c>
      <c r="L697">
        <v>150</v>
      </c>
      <c r="M697">
        <v>88</v>
      </c>
      <c r="N697">
        <v>653</v>
      </c>
      <c r="O697">
        <v>134</v>
      </c>
      <c r="P697">
        <v>29</v>
      </c>
      <c r="Q697">
        <v>73</v>
      </c>
      <c r="R697">
        <v>222</v>
      </c>
      <c r="S697">
        <v>1.48</v>
      </c>
      <c r="T697">
        <v>1.0428571428571429</v>
      </c>
      <c r="U697">
        <v>1.76</v>
      </c>
    </row>
    <row r="698" spans="1:21" x14ac:dyDescent="0.35">
      <c r="A698">
        <v>971</v>
      </c>
      <c r="B698" s="16">
        <v>40269</v>
      </c>
      <c r="C698" s="15" t="s">
        <v>76</v>
      </c>
      <c r="D698" s="15" t="s">
        <v>58</v>
      </c>
      <c r="E698" s="15" t="s">
        <v>46</v>
      </c>
      <c r="F698" s="15" t="s">
        <v>47</v>
      </c>
      <c r="G698" s="15" t="s">
        <v>80</v>
      </c>
      <c r="H698" s="15" t="s">
        <v>42</v>
      </c>
      <c r="I698">
        <v>70</v>
      </c>
      <c r="J698">
        <v>110</v>
      </c>
      <c r="K698">
        <v>70</v>
      </c>
      <c r="L698">
        <v>180</v>
      </c>
      <c r="M698">
        <v>112</v>
      </c>
      <c r="N698">
        <v>502</v>
      </c>
      <c r="O698">
        <v>155</v>
      </c>
      <c r="P698">
        <v>34</v>
      </c>
      <c r="Q698">
        <v>98</v>
      </c>
      <c r="R698">
        <v>267</v>
      </c>
      <c r="S698">
        <v>1.4833333333333334</v>
      </c>
      <c r="T698">
        <v>1.4</v>
      </c>
      <c r="U698">
        <v>1.6</v>
      </c>
    </row>
    <row r="699" spans="1:21" x14ac:dyDescent="0.35">
      <c r="A699">
        <v>503</v>
      </c>
      <c r="B699" s="16">
        <v>40269</v>
      </c>
      <c r="C699" s="15" t="s">
        <v>76</v>
      </c>
      <c r="D699" s="15" t="s">
        <v>58</v>
      </c>
      <c r="E699" s="15" t="s">
        <v>44</v>
      </c>
      <c r="F699" s="15" t="s">
        <v>40</v>
      </c>
      <c r="G699" s="15" t="s">
        <v>80</v>
      </c>
      <c r="H699" s="15" t="s">
        <v>45</v>
      </c>
      <c r="I699">
        <v>50</v>
      </c>
      <c r="J699">
        <v>80</v>
      </c>
      <c r="K699">
        <v>50</v>
      </c>
      <c r="L699">
        <v>130</v>
      </c>
      <c r="M699">
        <v>43</v>
      </c>
      <c r="N699">
        <v>363</v>
      </c>
      <c r="O699">
        <v>64</v>
      </c>
      <c r="P699">
        <v>13</v>
      </c>
      <c r="Q699">
        <v>28</v>
      </c>
      <c r="R699">
        <v>107</v>
      </c>
      <c r="S699">
        <v>0.82307692307692304</v>
      </c>
      <c r="T699">
        <v>0.56000000000000005</v>
      </c>
      <c r="U699">
        <v>0.86</v>
      </c>
    </row>
    <row r="700" spans="1:21" x14ac:dyDescent="0.35">
      <c r="A700">
        <v>206</v>
      </c>
      <c r="B700" s="16">
        <v>40269</v>
      </c>
      <c r="C700" s="15" t="s">
        <v>76</v>
      </c>
      <c r="D700" s="15" t="s">
        <v>58</v>
      </c>
      <c r="E700" s="15" t="s">
        <v>72</v>
      </c>
      <c r="F700" s="15" t="s">
        <v>49</v>
      </c>
      <c r="G700" s="15" t="s">
        <v>81</v>
      </c>
      <c r="H700" s="15" t="s">
        <v>42</v>
      </c>
      <c r="I700">
        <v>40</v>
      </c>
      <c r="J700">
        <v>50</v>
      </c>
      <c r="K700">
        <v>30</v>
      </c>
      <c r="L700">
        <v>90</v>
      </c>
      <c r="M700">
        <v>45</v>
      </c>
      <c r="N700">
        <v>605</v>
      </c>
      <c r="O700">
        <v>58</v>
      </c>
      <c r="P700">
        <v>14</v>
      </c>
      <c r="Q700">
        <v>32</v>
      </c>
      <c r="R700">
        <v>103</v>
      </c>
      <c r="S700">
        <v>1.1444444444444444</v>
      </c>
      <c r="T700">
        <v>1.0666666666666667</v>
      </c>
      <c r="U700">
        <v>1.125</v>
      </c>
    </row>
    <row r="701" spans="1:21" x14ac:dyDescent="0.35">
      <c r="A701">
        <v>253</v>
      </c>
      <c r="B701" s="16">
        <v>40269</v>
      </c>
      <c r="C701" s="15" t="s">
        <v>76</v>
      </c>
      <c r="D701" s="15" t="s">
        <v>58</v>
      </c>
      <c r="E701" s="15" t="s">
        <v>48</v>
      </c>
      <c r="F701" s="15" t="s">
        <v>49</v>
      </c>
      <c r="G701" s="15" t="s">
        <v>81</v>
      </c>
      <c r="H701" s="15" t="s">
        <v>42</v>
      </c>
      <c r="I701">
        <v>50</v>
      </c>
      <c r="J701">
        <v>70</v>
      </c>
      <c r="K701">
        <v>30</v>
      </c>
      <c r="L701">
        <v>120</v>
      </c>
      <c r="M701">
        <v>57</v>
      </c>
      <c r="N701">
        <v>313</v>
      </c>
      <c r="O701">
        <v>70</v>
      </c>
      <c r="P701">
        <v>21</v>
      </c>
      <c r="Q701">
        <v>15</v>
      </c>
      <c r="R701">
        <v>127</v>
      </c>
      <c r="S701">
        <v>1.0583333333333333</v>
      </c>
      <c r="T701">
        <v>0.5</v>
      </c>
      <c r="U701">
        <v>1.1399999999999999</v>
      </c>
    </row>
    <row r="702" spans="1:21" x14ac:dyDescent="0.35">
      <c r="A702">
        <v>206</v>
      </c>
      <c r="B702" s="16">
        <v>40269</v>
      </c>
      <c r="C702" s="15" t="s">
        <v>76</v>
      </c>
      <c r="D702" s="15" t="s">
        <v>58</v>
      </c>
      <c r="E702" s="15" t="s">
        <v>50</v>
      </c>
      <c r="F702" s="15" t="s">
        <v>49</v>
      </c>
      <c r="G702" s="15" t="s">
        <v>81</v>
      </c>
      <c r="H702" s="15" t="s">
        <v>45</v>
      </c>
      <c r="I702">
        <v>60</v>
      </c>
      <c r="J702">
        <v>80</v>
      </c>
      <c r="K702">
        <v>60</v>
      </c>
      <c r="L702">
        <v>140</v>
      </c>
      <c r="M702">
        <v>69</v>
      </c>
      <c r="N702">
        <v>965</v>
      </c>
      <c r="O702">
        <v>82</v>
      </c>
      <c r="P702">
        <v>21</v>
      </c>
      <c r="Q702">
        <v>39</v>
      </c>
      <c r="R702">
        <v>151</v>
      </c>
      <c r="S702">
        <v>1.0785714285714285</v>
      </c>
      <c r="T702">
        <v>0.65</v>
      </c>
      <c r="U702">
        <v>1.1499999999999999</v>
      </c>
    </row>
    <row r="703" spans="1:21" x14ac:dyDescent="0.35">
      <c r="A703">
        <v>509</v>
      </c>
      <c r="B703" s="16">
        <v>40269</v>
      </c>
      <c r="C703" s="15" t="s">
        <v>76</v>
      </c>
      <c r="D703" s="15" t="s">
        <v>58</v>
      </c>
      <c r="E703" s="15" t="s">
        <v>43</v>
      </c>
      <c r="F703" s="15" t="s">
        <v>40</v>
      </c>
      <c r="G703" s="15" t="s">
        <v>81</v>
      </c>
      <c r="H703" s="15" t="s">
        <v>42</v>
      </c>
      <c r="I703">
        <v>80</v>
      </c>
      <c r="J703">
        <v>130</v>
      </c>
      <c r="K703">
        <v>90</v>
      </c>
      <c r="L703">
        <v>210</v>
      </c>
      <c r="M703">
        <v>69</v>
      </c>
      <c r="N703">
        <v>340</v>
      </c>
      <c r="O703">
        <v>100</v>
      </c>
      <c r="P703">
        <v>22</v>
      </c>
      <c r="Q703">
        <v>54</v>
      </c>
      <c r="R703">
        <v>169</v>
      </c>
      <c r="S703">
        <v>0.80476190476190479</v>
      </c>
      <c r="T703">
        <v>0.6</v>
      </c>
      <c r="U703">
        <v>0.86250000000000004</v>
      </c>
    </row>
    <row r="704" spans="1:21" x14ac:dyDescent="0.35">
      <c r="A704">
        <v>253</v>
      </c>
      <c r="B704" s="16">
        <v>40269</v>
      </c>
      <c r="C704" s="15" t="s">
        <v>76</v>
      </c>
      <c r="D704" s="15" t="s">
        <v>58</v>
      </c>
      <c r="E704" s="15" t="s">
        <v>51</v>
      </c>
      <c r="F704" s="15" t="s">
        <v>52</v>
      </c>
      <c r="G704" s="15" t="s">
        <v>81</v>
      </c>
      <c r="H704" s="15" t="s">
        <v>45</v>
      </c>
      <c r="I704">
        <v>90</v>
      </c>
      <c r="J704">
        <v>160</v>
      </c>
      <c r="K704">
        <v>110</v>
      </c>
      <c r="L704">
        <v>250</v>
      </c>
      <c r="M704">
        <v>116</v>
      </c>
      <c r="N704">
        <v>962</v>
      </c>
      <c r="O704">
        <v>176</v>
      </c>
      <c r="P704">
        <v>38</v>
      </c>
      <c r="Q704">
        <v>106</v>
      </c>
      <c r="R704">
        <v>292</v>
      </c>
      <c r="S704">
        <v>1.1679999999999999</v>
      </c>
      <c r="T704">
        <v>0.96363636363636362</v>
      </c>
      <c r="U704">
        <v>1.288888888888889</v>
      </c>
    </row>
    <row r="705" spans="1:21" x14ac:dyDescent="0.35">
      <c r="A705">
        <v>509</v>
      </c>
      <c r="B705" s="16">
        <v>40269</v>
      </c>
      <c r="C705" s="15" t="s">
        <v>76</v>
      </c>
      <c r="D705" s="15" t="s">
        <v>58</v>
      </c>
      <c r="E705" s="15" t="s">
        <v>53</v>
      </c>
      <c r="F705" s="15" t="s">
        <v>52</v>
      </c>
      <c r="G705" s="15" t="s">
        <v>81</v>
      </c>
      <c r="H705" s="15" t="s">
        <v>45</v>
      </c>
      <c r="I705">
        <v>30</v>
      </c>
      <c r="J705">
        <v>40</v>
      </c>
      <c r="K705">
        <v>40</v>
      </c>
      <c r="L705">
        <v>70</v>
      </c>
      <c r="M705">
        <v>35</v>
      </c>
      <c r="N705">
        <v>776</v>
      </c>
      <c r="O705">
        <v>51</v>
      </c>
      <c r="P705">
        <v>9</v>
      </c>
      <c r="Q705">
        <v>30</v>
      </c>
      <c r="R705">
        <v>86</v>
      </c>
      <c r="S705">
        <v>1.2285714285714286</v>
      </c>
      <c r="T705">
        <v>0.75</v>
      </c>
      <c r="U705">
        <v>1.1666666666666667</v>
      </c>
    </row>
    <row r="706" spans="1:21" x14ac:dyDescent="0.35">
      <c r="A706">
        <v>253</v>
      </c>
      <c r="B706" s="16">
        <v>40269</v>
      </c>
      <c r="C706" s="15" t="s">
        <v>76</v>
      </c>
      <c r="D706" s="15" t="s">
        <v>58</v>
      </c>
      <c r="E706" s="15" t="s">
        <v>55</v>
      </c>
      <c r="F706" s="15" t="s">
        <v>47</v>
      </c>
      <c r="G706" s="15" t="s">
        <v>81</v>
      </c>
      <c r="H706" s="15" t="s">
        <v>42</v>
      </c>
      <c r="I706">
        <v>30</v>
      </c>
      <c r="J706">
        <v>60</v>
      </c>
      <c r="K706">
        <v>40</v>
      </c>
      <c r="L706">
        <v>90</v>
      </c>
      <c r="M706">
        <v>49</v>
      </c>
      <c r="N706">
        <v>342</v>
      </c>
      <c r="O706">
        <v>84</v>
      </c>
      <c r="P706">
        <v>15</v>
      </c>
      <c r="Q706">
        <v>45</v>
      </c>
      <c r="R706">
        <v>133</v>
      </c>
      <c r="S706">
        <v>1.4777777777777779</v>
      </c>
      <c r="T706">
        <v>1.125</v>
      </c>
      <c r="U706">
        <v>1.6333333333333333</v>
      </c>
    </row>
    <row r="707" spans="1:21" x14ac:dyDescent="0.35">
      <c r="A707">
        <v>253</v>
      </c>
      <c r="B707" s="16">
        <v>40269</v>
      </c>
      <c r="C707" s="15" t="s">
        <v>76</v>
      </c>
      <c r="D707" s="15" t="s">
        <v>58</v>
      </c>
      <c r="E707" s="15" t="s">
        <v>56</v>
      </c>
      <c r="F707" s="15" t="s">
        <v>47</v>
      </c>
      <c r="G707" s="15" t="s">
        <v>81</v>
      </c>
      <c r="H707" s="15" t="s">
        <v>42</v>
      </c>
      <c r="I707">
        <v>30</v>
      </c>
      <c r="J707">
        <v>40</v>
      </c>
      <c r="K707">
        <v>20</v>
      </c>
      <c r="L707">
        <v>70</v>
      </c>
      <c r="M707">
        <v>46</v>
      </c>
      <c r="N707">
        <v>388</v>
      </c>
      <c r="O707">
        <v>68</v>
      </c>
      <c r="P707">
        <v>14</v>
      </c>
      <c r="Q707">
        <v>30</v>
      </c>
      <c r="R707">
        <v>114</v>
      </c>
      <c r="S707">
        <v>1.6285714285714286</v>
      </c>
      <c r="T707">
        <v>1.5</v>
      </c>
      <c r="U707">
        <v>1.5333333333333334</v>
      </c>
    </row>
    <row r="708" spans="1:21" x14ac:dyDescent="0.35">
      <c r="A708">
        <v>253</v>
      </c>
      <c r="B708" s="16">
        <v>40269</v>
      </c>
      <c r="C708" s="15" t="s">
        <v>76</v>
      </c>
      <c r="D708" s="15" t="s">
        <v>58</v>
      </c>
      <c r="E708" s="15" t="s">
        <v>46</v>
      </c>
      <c r="F708" s="15" t="s">
        <v>47</v>
      </c>
      <c r="G708" s="15" t="s">
        <v>81</v>
      </c>
      <c r="H708" s="15" t="s">
        <v>42</v>
      </c>
      <c r="I708">
        <v>40</v>
      </c>
      <c r="J708">
        <v>60</v>
      </c>
      <c r="K708">
        <v>10</v>
      </c>
      <c r="L708">
        <v>100</v>
      </c>
      <c r="M708">
        <v>63</v>
      </c>
      <c r="N708">
        <v>521</v>
      </c>
      <c r="O708">
        <v>87</v>
      </c>
      <c r="P708">
        <v>57</v>
      </c>
      <c r="Q708">
        <v>0</v>
      </c>
      <c r="R708">
        <v>150</v>
      </c>
      <c r="S708">
        <v>1.5</v>
      </c>
      <c r="T708">
        <v>0</v>
      </c>
      <c r="U708">
        <v>1.575</v>
      </c>
    </row>
    <row r="709" spans="1:21" x14ac:dyDescent="0.35">
      <c r="A709">
        <v>206</v>
      </c>
      <c r="B709" s="16">
        <v>40269</v>
      </c>
      <c r="C709" s="15" t="s">
        <v>76</v>
      </c>
      <c r="D709" s="15" t="s">
        <v>58</v>
      </c>
      <c r="E709" s="15" t="s">
        <v>44</v>
      </c>
      <c r="F709" s="15" t="s">
        <v>40</v>
      </c>
      <c r="G709" s="15" t="s">
        <v>81</v>
      </c>
      <c r="H709" s="15" t="s">
        <v>45</v>
      </c>
      <c r="I709">
        <v>110</v>
      </c>
      <c r="J709">
        <v>170</v>
      </c>
      <c r="K709">
        <v>70</v>
      </c>
      <c r="L709">
        <v>280</v>
      </c>
      <c r="M709">
        <v>95</v>
      </c>
      <c r="N709">
        <v>554</v>
      </c>
      <c r="O709">
        <v>132</v>
      </c>
      <c r="P709">
        <v>86</v>
      </c>
      <c r="Q709">
        <v>17</v>
      </c>
      <c r="R709">
        <v>227</v>
      </c>
      <c r="S709">
        <v>0.81071428571428572</v>
      </c>
      <c r="T709">
        <v>0.24285714285714285</v>
      </c>
      <c r="U709">
        <v>0.86363636363636365</v>
      </c>
    </row>
    <row r="710" spans="1:21" x14ac:dyDescent="0.35">
      <c r="A710">
        <v>720</v>
      </c>
      <c r="B710" s="16">
        <v>40299</v>
      </c>
      <c r="C710" s="15" t="s">
        <v>37</v>
      </c>
      <c r="D710" s="15" t="s">
        <v>38</v>
      </c>
      <c r="E710" s="15" t="s">
        <v>39</v>
      </c>
      <c r="F710" s="15" t="s">
        <v>40</v>
      </c>
      <c r="G710" s="15" t="s">
        <v>41</v>
      </c>
      <c r="H710" s="15" t="s">
        <v>42</v>
      </c>
      <c r="I710">
        <v>110</v>
      </c>
      <c r="J710">
        <v>150</v>
      </c>
      <c r="K710">
        <v>120</v>
      </c>
      <c r="L710">
        <v>260</v>
      </c>
      <c r="M710">
        <v>104</v>
      </c>
      <c r="N710">
        <v>821</v>
      </c>
      <c r="O710">
        <v>152</v>
      </c>
      <c r="P710">
        <v>29</v>
      </c>
      <c r="Q710">
        <v>111</v>
      </c>
      <c r="R710">
        <v>256</v>
      </c>
      <c r="S710">
        <v>0.98461538461538467</v>
      </c>
      <c r="T710">
        <v>0.92500000000000004</v>
      </c>
      <c r="U710">
        <v>0.94545454545454544</v>
      </c>
    </row>
    <row r="711" spans="1:21" x14ac:dyDescent="0.35">
      <c r="A711">
        <v>303</v>
      </c>
      <c r="B711" s="16">
        <v>40299</v>
      </c>
      <c r="C711" s="15" t="s">
        <v>37</v>
      </c>
      <c r="D711" s="15" t="s">
        <v>38</v>
      </c>
      <c r="E711" s="15" t="s">
        <v>43</v>
      </c>
      <c r="F711" s="15" t="s">
        <v>40</v>
      </c>
      <c r="G711" s="15" t="s">
        <v>41</v>
      </c>
      <c r="H711" s="15" t="s">
        <v>42</v>
      </c>
      <c r="I711">
        <v>80</v>
      </c>
      <c r="J711">
        <v>110</v>
      </c>
      <c r="K711">
        <v>80</v>
      </c>
      <c r="L711">
        <v>190</v>
      </c>
      <c r="M711">
        <v>83</v>
      </c>
      <c r="N711">
        <v>584</v>
      </c>
      <c r="O711">
        <v>107</v>
      </c>
      <c r="P711">
        <v>27</v>
      </c>
      <c r="Q711">
        <v>68</v>
      </c>
      <c r="R711">
        <v>190</v>
      </c>
      <c r="S711">
        <v>1</v>
      </c>
      <c r="T711">
        <v>0.85</v>
      </c>
      <c r="U711">
        <v>1.0375000000000001</v>
      </c>
    </row>
    <row r="712" spans="1:21" x14ac:dyDescent="0.35">
      <c r="A712">
        <v>720</v>
      </c>
      <c r="B712" s="16">
        <v>40299</v>
      </c>
      <c r="C712" s="15" t="s">
        <v>37</v>
      </c>
      <c r="D712" s="15" t="s">
        <v>38</v>
      </c>
      <c r="E712" s="15" t="s">
        <v>55</v>
      </c>
      <c r="F712" s="15" t="s">
        <v>47</v>
      </c>
      <c r="G712" s="15" t="s">
        <v>41</v>
      </c>
      <c r="H712" s="15" t="s">
        <v>42</v>
      </c>
      <c r="I712">
        <v>40</v>
      </c>
      <c r="J712">
        <v>60</v>
      </c>
      <c r="K712">
        <v>20</v>
      </c>
      <c r="L712">
        <v>100</v>
      </c>
      <c r="M712">
        <v>53</v>
      </c>
      <c r="N712">
        <v>361</v>
      </c>
      <c r="O712">
        <v>65</v>
      </c>
      <c r="P712">
        <v>20</v>
      </c>
      <c r="Q712">
        <v>12</v>
      </c>
      <c r="R712">
        <v>118</v>
      </c>
      <c r="S712">
        <v>1.18</v>
      </c>
      <c r="T712">
        <v>0.6</v>
      </c>
      <c r="U712">
        <v>1.325</v>
      </c>
    </row>
    <row r="713" spans="1:21" x14ac:dyDescent="0.35">
      <c r="A713">
        <v>303</v>
      </c>
      <c r="B713" s="16">
        <v>40299</v>
      </c>
      <c r="C713" s="15" t="s">
        <v>37</v>
      </c>
      <c r="D713" s="15" t="s">
        <v>38</v>
      </c>
      <c r="E713" s="15" t="s">
        <v>56</v>
      </c>
      <c r="F713" s="15" t="s">
        <v>47</v>
      </c>
      <c r="G713" s="15" t="s">
        <v>41</v>
      </c>
      <c r="H713" s="15" t="s">
        <v>42</v>
      </c>
      <c r="I713">
        <v>40</v>
      </c>
      <c r="J713">
        <v>60</v>
      </c>
      <c r="K713">
        <v>30</v>
      </c>
      <c r="L713">
        <v>100</v>
      </c>
      <c r="M713">
        <v>56</v>
      </c>
      <c r="N713">
        <v>992</v>
      </c>
      <c r="O713">
        <v>66</v>
      </c>
      <c r="P713">
        <v>17</v>
      </c>
      <c r="Q713">
        <v>27</v>
      </c>
      <c r="R713">
        <v>122</v>
      </c>
      <c r="S713">
        <v>1.22</v>
      </c>
      <c r="T713">
        <v>0.9</v>
      </c>
      <c r="U713">
        <v>1.4</v>
      </c>
    </row>
    <row r="714" spans="1:21" x14ac:dyDescent="0.35">
      <c r="A714">
        <v>719</v>
      </c>
      <c r="B714" s="16">
        <v>40299</v>
      </c>
      <c r="C714" s="15" t="s">
        <v>37</v>
      </c>
      <c r="D714" s="15" t="s">
        <v>38</v>
      </c>
      <c r="E714" s="15" t="s">
        <v>46</v>
      </c>
      <c r="F714" s="15" t="s">
        <v>47</v>
      </c>
      <c r="G714" s="15" t="s">
        <v>41</v>
      </c>
      <c r="H714" s="15" t="s">
        <v>42</v>
      </c>
      <c r="I714">
        <v>30</v>
      </c>
      <c r="J714">
        <v>50</v>
      </c>
      <c r="K714">
        <v>30</v>
      </c>
      <c r="L714">
        <v>80</v>
      </c>
      <c r="M714">
        <v>43</v>
      </c>
      <c r="N714">
        <v>602</v>
      </c>
      <c r="O714">
        <v>56</v>
      </c>
      <c r="P714">
        <v>14</v>
      </c>
      <c r="Q714">
        <v>30</v>
      </c>
      <c r="R714">
        <v>99</v>
      </c>
      <c r="S714">
        <v>1.2375</v>
      </c>
      <c r="T714">
        <v>1</v>
      </c>
      <c r="U714">
        <v>1.4333333333333333</v>
      </c>
    </row>
    <row r="715" spans="1:21" x14ac:dyDescent="0.35">
      <c r="A715">
        <v>303</v>
      </c>
      <c r="B715" s="16">
        <v>40299</v>
      </c>
      <c r="C715" s="15" t="s">
        <v>37</v>
      </c>
      <c r="D715" s="15" t="s">
        <v>38</v>
      </c>
      <c r="E715" s="15" t="s">
        <v>48</v>
      </c>
      <c r="F715" s="15" t="s">
        <v>49</v>
      </c>
      <c r="G715" s="15" t="s">
        <v>41</v>
      </c>
      <c r="H715" s="15" t="s">
        <v>42</v>
      </c>
      <c r="I715">
        <v>90</v>
      </c>
      <c r="J715">
        <v>150</v>
      </c>
      <c r="K715">
        <v>120</v>
      </c>
      <c r="L715">
        <v>240</v>
      </c>
      <c r="M715">
        <v>86</v>
      </c>
      <c r="N715">
        <v>499</v>
      </c>
      <c r="O715">
        <v>124</v>
      </c>
      <c r="P715">
        <v>24</v>
      </c>
      <c r="Q715">
        <v>88</v>
      </c>
      <c r="R715">
        <v>210</v>
      </c>
      <c r="S715">
        <v>0.875</v>
      </c>
      <c r="T715">
        <v>0.73333333333333328</v>
      </c>
      <c r="U715">
        <v>0.9555555555555556</v>
      </c>
    </row>
    <row r="716" spans="1:21" x14ac:dyDescent="0.35">
      <c r="A716">
        <v>303</v>
      </c>
      <c r="B716" s="16">
        <v>40299</v>
      </c>
      <c r="C716" s="15" t="s">
        <v>37</v>
      </c>
      <c r="D716" s="15" t="s">
        <v>38</v>
      </c>
      <c r="E716" s="15" t="s">
        <v>50</v>
      </c>
      <c r="F716" s="15" t="s">
        <v>49</v>
      </c>
      <c r="G716" s="15" t="s">
        <v>41</v>
      </c>
      <c r="H716" s="15" t="s">
        <v>45</v>
      </c>
      <c r="I716">
        <v>70</v>
      </c>
      <c r="J716">
        <v>110</v>
      </c>
      <c r="K716">
        <v>60</v>
      </c>
      <c r="L716">
        <v>180</v>
      </c>
      <c r="M716">
        <v>64</v>
      </c>
      <c r="N716">
        <v>593</v>
      </c>
      <c r="O716">
        <v>96</v>
      </c>
      <c r="P716">
        <v>21</v>
      </c>
      <c r="Q716">
        <v>44</v>
      </c>
      <c r="R716">
        <v>160</v>
      </c>
      <c r="S716">
        <v>0.88888888888888884</v>
      </c>
      <c r="T716">
        <v>0.73333333333333328</v>
      </c>
      <c r="U716">
        <v>0.91428571428571426</v>
      </c>
    </row>
    <row r="717" spans="1:21" x14ac:dyDescent="0.35">
      <c r="A717">
        <v>720</v>
      </c>
      <c r="B717" s="16">
        <v>40299</v>
      </c>
      <c r="C717" s="15" t="s">
        <v>37</v>
      </c>
      <c r="D717" s="15" t="s">
        <v>38</v>
      </c>
      <c r="E717" s="15" t="s">
        <v>44</v>
      </c>
      <c r="F717" s="15" t="s">
        <v>40</v>
      </c>
      <c r="G717" s="15" t="s">
        <v>41</v>
      </c>
      <c r="H717" s="15" t="s">
        <v>45</v>
      </c>
      <c r="I717">
        <v>110</v>
      </c>
      <c r="J717">
        <v>150</v>
      </c>
      <c r="K717">
        <v>120</v>
      </c>
      <c r="L717">
        <v>260</v>
      </c>
      <c r="M717">
        <v>104</v>
      </c>
      <c r="N717">
        <v>871</v>
      </c>
      <c r="O717">
        <v>152</v>
      </c>
      <c r="P717">
        <v>29</v>
      </c>
      <c r="Q717">
        <v>112</v>
      </c>
      <c r="R717">
        <v>256</v>
      </c>
      <c r="S717">
        <v>0.98461538461538467</v>
      </c>
      <c r="T717">
        <v>0.93333333333333335</v>
      </c>
      <c r="U717">
        <v>0.94545454545454544</v>
      </c>
    </row>
    <row r="718" spans="1:21" x14ac:dyDescent="0.35">
      <c r="A718">
        <v>970</v>
      </c>
      <c r="B718" s="16">
        <v>40299</v>
      </c>
      <c r="C718" s="15" t="s">
        <v>37</v>
      </c>
      <c r="D718" s="15" t="s">
        <v>38</v>
      </c>
      <c r="E718" s="15" t="s">
        <v>51</v>
      </c>
      <c r="F718" s="15" t="s">
        <v>52</v>
      </c>
      <c r="G718" s="15" t="s">
        <v>41</v>
      </c>
      <c r="H718" s="15" t="s">
        <v>45</v>
      </c>
      <c r="I718">
        <v>120</v>
      </c>
      <c r="J718">
        <v>140</v>
      </c>
      <c r="K718">
        <v>90</v>
      </c>
      <c r="L718">
        <v>260</v>
      </c>
      <c r="M718">
        <v>149</v>
      </c>
      <c r="N718">
        <v>1156</v>
      </c>
      <c r="O718">
        <v>149</v>
      </c>
      <c r="P718">
        <v>41</v>
      </c>
      <c r="Q718">
        <v>83</v>
      </c>
      <c r="R718">
        <v>298</v>
      </c>
      <c r="S718">
        <v>1.1461538461538461</v>
      </c>
      <c r="T718">
        <v>0.92222222222222228</v>
      </c>
      <c r="U718">
        <v>1.2416666666666667</v>
      </c>
    </row>
    <row r="719" spans="1:21" x14ac:dyDescent="0.35">
      <c r="A719">
        <v>720</v>
      </c>
      <c r="B719" s="16">
        <v>40299</v>
      </c>
      <c r="C719" s="15" t="s">
        <v>37</v>
      </c>
      <c r="D719" s="15" t="s">
        <v>38</v>
      </c>
      <c r="E719" s="15" t="s">
        <v>53</v>
      </c>
      <c r="F719" s="15" t="s">
        <v>52</v>
      </c>
      <c r="G719" s="15" t="s">
        <v>41</v>
      </c>
      <c r="H719" s="15" t="s">
        <v>45</v>
      </c>
      <c r="I719">
        <v>40</v>
      </c>
      <c r="J719">
        <v>70</v>
      </c>
      <c r="K719">
        <v>10</v>
      </c>
      <c r="L719">
        <v>110</v>
      </c>
      <c r="M719">
        <v>53</v>
      </c>
      <c r="N719">
        <v>458</v>
      </c>
      <c r="O719">
        <v>75</v>
      </c>
      <c r="P719">
        <v>48</v>
      </c>
      <c r="Q719">
        <v>-3</v>
      </c>
      <c r="R719">
        <v>128</v>
      </c>
      <c r="S719">
        <v>1.1636363636363636</v>
      </c>
      <c r="T719">
        <v>-0.3</v>
      </c>
      <c r="U719">
        <v>1.325</v>
      </c>
    </row>
    <row r="720" spans="1:21" x14ac:dyDescent="0.35">
      <c r="A720">
        <v>719</v>
      </c>
      <c r="B720" s="16">
        <v>40299</v>
      </c>
      <c r="C720" s="15" t="s">
        <v>37</v>
      </c>
      <c r="D720" s="15" t="s">
        <v>38</v>
      </c>
      <c r="E720" s="15" t="s">
        <v>54</v>
      </c>
      <c r="F720" s="15" t="s">
        <v>52</v>
      </c>
      <c r="G720" s="15" t="s">
        <v>41</v>
      </c>
      <c r="H720" s="15" t="s">
        <v>45</v>
      </c>
      <c r="I720">
        <v>40</v>
      </c>
      <c r="J720">
        <v>60</v>
      </c>
      <c r="K720">
        <v>30</v>
      </c>
      <c r="L720">
        <v>100</v>
      </c>
      <c r="M720">
        <v>52</v>
      </c>
      <c r="N720">
        <v>361</v>
      </c>
      <c r="O720">
        <v>71</v>
      </c>
      <c r="P720">
        <v>17</v>
      </c>
      <c r="Q720">
        <v>26</v>
      </c>
      <c r="R720">
        <v>123</v>
      </c>
      <c r="S720">
        <v>1.23</v>
      </c>
      <c r="T720">
        <v>0.8666666666666667</v>
      </c>
      <c r="U720">
        <v>1.3</v>
      </c>
    </row>
    <row r="721" spans="1:21" x14ac:dyDescent="0.35">
      <c r="A721">
        <v>630</v>
      </c>
      <c r="B721" s="16">
        <v>40299</v>
      </c>
      <c r="C721" s="15" t="s">
        <v>37</v>
      </c>
      <c r="D721" s="15" t="s">
        <v>38</v>
      </c>
      <c r="E721" s="15" t="s">
        <v>43</v>
      </c>
      <c r="F721" s="15" t="s">
        <v>40</v>
      </c>
      <c r="G721" s="15" t="s">
        <v>57</v>
      </c>
      <c r="H721" s="15" t="s">
        <v>42</v>
      </c>
      <c r="I721">
        <v>200</v>
      </c>
      <c r="J721">
        <v>280</v>
      </c>
      <c r="K721">
        <v>180</v>
      </c>
      <c r="L721">
        <v>480</v>
      </c>
      <c r="M721">
        <v>195</v>
      </c>
      <c r="N721">
        <v>956</v>
      </c>
      <c r="O721">
        <v>270</v>
      </c>
      <c r="P721">
        <v>64</v>
      </c>
      <c r="Q721">
        <v>161</v>
      </c>
      <c r="R721">
        <v>465</v>
      </c>
      <c r="S721">
        <v>0.96875</v>
      </c>
      <c r="T721">
        <v>0.89444444444444449</v>
      </c>
      <c r="U721">
        <v>0.97499999999999998</v>
      </c>
    </row>
    <row r="722" spans="1:21" x14ac:dyDescent="0.35">
      <c r="A722">
        <v>847</v>
      </c>
      <c r="B722" s="16">
        <v>40299</v>
      </c>
      <c r="C722" s="15" t="s">
        <v>37</v>
      </c>
      <c r="D722" s="15" t="s">
        <v>38</v>
      </c>
      <c r="E722" s="15" t="s">
        <v>55</v>
      </c>
      <c r="F722" s="15" t="s">
        <v>47</v>
      </c>
      <c r="G722" s="15" t="s">
        <v>57</v>
      </c>
      <c r="H722" s="15" t="s">
        <v>42</v>
      </c>
      <c r="I722">
        <v>70</v>
      </c>
      <c r="J722">
        <v>110</v>
      </c>
      <c r="K722">
        <v>80</v>
      </c>
      <c r="L722">
        <v>180</v>
      </c>
      <c r="M722">
        <v>86</v>
      </c>
      <c r="N722">
        <v>499</v>
      </c>
      <c r="O722">
        <v>124</v>
      </c>
      <c r="P722">
        <v>24</v>
      </c>
      <c r="Q722">
        <v>88</v>
      </c>
      <c r="R722">
        <v>210</v>
      </c>
      <c r="S722">
        <v>1.1666666666666667</v>
      </c>
      <c r="T722">
        <v>1.1000000000000001</v>
      </c>
      <c r="U722">
        <v>1.2285714285714286</v>
      </c>
    </row>
    <row r="723" spans="1:21" x14ac:dyDescent="0.35">
      <c r="A723">
        <v>815</v>
      </c>
      <c r="B723" s="16">
        <v>40299</v>
      </c>
      <c r="C723" s="15" t="s">
        <v>37</v>
      </c>
      <c r="D723" s="15" t="s">
        <v>38</v>
      </c>
      <c r="E723" s="15" t="s">
        <v>56</v>
      </c>
      <c r="F723" s="15" t="s">
        <v>47</v>
      </c>
      <c r="G723" s="15" t="s">
        <v>57</v>
      </c>
      <c r="H723" s="15" t="s">
        <v>42</v>
      </c>
      <c r="I723">
        <v>50</v>
      </c>
      <c r="J723">
        <v>90</v>
      </c>
      <c r="K723">
        <v>50</v>
      </c>
      <c r="L723">
        <v>140</v>
      </c>
      <c r="M723">
        <v>64</v>
      </c>
      <c r="N723">
        <v>593</v>
      </c>
      <c r="O723">
        <v>96</v>
      </c>
      <c r="P723">
        <v>21</v>
      </c>
      <c r="Q723">
        <v>44</v>
      </c>
      <c r="R723">
        <v>160</v>
      </c>
      <c r="S723">
        <v>1.1428571428571428</v>
      </c>
      <c r="T723">
        <v>0.88</v>
      </c>
      <c r="U723">
        <v>1.28</v>
      </c>
    </row>
    <row r="724" spans="1:21" x14ac:dyDescent="0.35">
      <c r="A724">
        <v>773</v>
      </c>
      <c r="B724" s="16">
        <v>40299</v>
      </c>
      <c r="C724" s="15" t="s">
        <v>37</v>
      </c>
      <c r="D724" s="15" t="s">
        <v>38</v>
      </c>
      <c r="E724" s="15" t="s">
        <v>48</v>
      </c>
      <c r="F724" s="15" t="s">
        <v>49</v>
      </c>
      <c r="G724" s="15" t="s">
        <v>57</v>
      </c>
      <c r="H724" s="15" t="s">
        <v>42</v>
      </c>
      <c r="I724">
        <v>300</v>
      </c>
      <c r="J724">
        <v>420</v>
      </c>
      <c r="K724">
        <v>300</v>
      </c>
      <c r="L724">
        <v>720</v>
      </c>
      <c r="M724">
        <v>263</v>
      </c>
      <c r="N724">
        <v>1433</v>
      </c>
      <c r="O724">
        <v>349</v>
      </c>
      <c r="P724">
        <v>86</v>
      </c>
      <c r="Q724">
        <v>230</v>
      </c>
      <c r="R724">
        <v>612</v>
      </c>
      <c r="S724">
        <v>0.85</v>
      </c>
      <c r="T724">
        <v>0.76666666666666672</v>
      </c>
      <c r="U724">
        <v>0.87666666666666671</v>
      </c>
    </row>
    <row r="725" spans="1:21" x14ac:dyDescent="0.35">
      <c r="A725">
        <v>630</v>
      </c>
      <c r="B725" s="16">
        <v>40299</v>
      </c>
      <c r="C725" s="15" t="s">
        <v>37</v>
      </c>
      <c r="D725" s="15" t="s">
        <v>38</v>
      </c>
      <c r="E725" s="15" t="s">
        <v>50</v>
      </c>
      <c r="F725" s="15" t="s">
        <v>49</v>
      </c>
      <c r="G725" s="15" t="s">
        <v>57</v>
      </c>
      <c r="H725" s="15" t="s">
        <v>45</v>
      </c>
      <c r="I725">
        <v>300</v>
      </c>
      <c r="J725">
        <v>310</v>
      </c>
      <c r="K725">
        <v>210</v>
      </c>
      <c r="L725">
        <v>610</v>
      </c>
      <c r="M725">
        <v>260</v>
      </c>
      <c r="N725">
        <v>1559</v>
      </c>
      <c r="O725">
        <v>261</v>
      </c>
      <c r="P725">
        <v>72</v>
      </c>
      <c r="Q725">
        <v>165</v>
      </c>
      <c r="R725">
        <v>521</v>
      </c>
      <c r="S725">
        <v>0.85409836065573774</v>
      </c>
      <c r="T725">
        <v>0.7857142857142857</v>
      </c>
      <c r="U725">
        <v>0.8666666666666667</v>
      </c>
    </row>
    <row r="726" spans="1:21" x14ac:dyDescent="0.35">
      <c r="A726">
        <v>618</v>
      </c>
      <c r="B726" s="16">
        <v>40299</v>
      </c>
      <c r="C726" s="15" t="s">
        <v>37</v>
      </c>
      <c r="D726" s="15" t="s">
        <v>38</v>
      </c>
      <c r="E726" s="15" t="s">
        <v>44</v>
      </c>
      <c r="F726" s="15" t="s">
        <v>40</v>
      </c>
      <c r="G726" s="15" t="s">
        <v>57</v>
      </c>
      <c r="H726" s="15" t="s">
        <v>45</v>
      </c>
      <c r="I726">
        <v>130</v>
      </c>
      <c r="J726">
        <v>190</v>
      </c>
      <c r="K726">
        <v>140</v>
      </c>
      <c r="L726">
        <v>320</v>
      </c>
      <c r="M726">
        <v>127</v>
      </c>
      <c r="N726">
        <v>671</v>
      </c>
      <c r="O726">
        <v>185</v>
      </c>
      <c r="P726">
        <v>40</v>
      </c>
      <c r="Q726">
        <v>122</v>
      </c>
      <c r="R726">
        <v>312</v>
      </c>
      <c r="S726">
        <v>0.97499999999999998</v>
      </c>
      <c r="T726">
        <v>0.87142857142857144</v>
      </c>
      <c r="U726">
        <v>0.97692307692307689</v>
      </c>
    </row>
    <row r="727" spans="1:21" x14ac:dyDescent="0.35">
      <c r="A727">
        <v>773</v>
      </c>
      <c r="B727" s="16">
        <v>40299</v>
      </c>
      <c r="C727" s="15" t="s">
        <v>37</v>
      </c>
      <c r="D727" s="15" t="s">
        <v>38</v>
      </c>
      <c r="E727" s="15" t="s">
        <v>51</v>
      </c>
      <c r="F727" s="15" t="s">
        <v>52</v>
      </c>
      <c r="G727" s="15" t="s">
        <v>57</v>
      </c>
      <c r="H727" s="15" t="s">
        <v>45</v>
      </c>
      <c r="I727">
        <v>80</v>
      </c>
      <c r="J727">
        <v>140</v>
      </c>
      <c r="K727">
        <v>120</v>
      </c>
      <c r="L727">
        <v>220</v>
      </c>
      <c r="M727">
        <v>104</v>
      </c>
      <c r="N727">
        <v>821</v>
      </c>
      <c r="O727">
        <v>152</v>
      </c>
      <c r="P727">
        <v>29</v>
      </c>
      <c r="Q727">
        <v>112</v>
      </c>
      <c r="R727">
        <v>256</v>
      </c>
      <c r="S727">
        <v>1.1636363636363636</v>
      </c>
      <c r="T727">
        <v>0.93333333333333335</v>
      </c>
      <c r="U727">
        <v>1.3</v>
      </c>
    </row>
    <row r="728" spans="1:21" x14ac:dyDescent="0.35">
      <c r="A728">
        <v>217</v>
      </c>
      <c r="B728" s="16">
        <v>40299</v>
      </c>
      <c r="C728" s="15" t="s">
        <v>37</v>
      </c>
      <c r="D728" s="15" t="s">
        <v>38</v>
      </c>
      <c r="E728" s="15" t="s">
        <v>53</v>
      </c>
      <c r="F728" s="15" t="s">
        <v>52</v>
      </c>
      <c r="G728" s="15" t="s">
        <v>57</v>
      </c>
      <c r="H728" s="15" t="s">
        <v>45</v>
      </c>
      <c r="I728">
        <v>70</v>
      </c>
      <c r="J728">
        <v>90</v>
      </c>
      <c r="K728">
        <v>60</v>
      </c>
      <c r="L728">
        <v>160</v>
      </c>
      <c r="M728">
        <v>83</v>
      </c>
      <c r="N728">
        <v>584</v>
      </c>
      <c r="O728">
        <v>107</v>
      </c>
      <c r="P728">
        <v>27</v>
      </c>
      <c r="Q728">
        <v>68</v>
      </c>
      <c r="R728">
        <v>190</v>
      </c>
      <c r="S728">
        <v>1.1875</v>
      </c>
      <c r="T728">
        <v>1.1333333333333333</v>
      </c>
      <c r="U728">
        <v>1.1857142857142857</v>
      </c>
    </row>
    <row r="729" spans="1:21" x14ac:dyDescent="0.35">
      <c r="A729">
        <v>773</v>
      </c>
      <c r="B729" s="16">
        <v>40299</v>
      </c>
      <c r="C729" s="15" t="s">
        <v>37</v>
      </c>
      <c r="D729" s="15" t="s">
        <v>38</v>
      </c>
      <c r="E729" s="15" t="s">
        <v>54</v>
      </c>
      <c r="F729" s="15" t="s">
        <v>52</v>
      </c>
      <c r="G729" s="15" t="s">
        <v>57</v>
      </c>
      <c r="H729" s="15" t="s">
        <v>45</v>
      </c>
      <c r="I729">
        <v>80</v>
      </c>
      <c r="J729">
        <v>140</v>
      </c>
      <c r="K729">
        <v>120</v>
      </c>
      <c r="L729">
        <v>220</v>
      </c>
      <c r="M729">
        <v>104</v>
      </c>
      <c r="N729">
        <v>871</v>
      </c>
      <c r="O729">
        <v>152</v>
      </c>
      <c r="P729">
        <v>29</v>
      </c>
      <c r="Q729">
        <v>112</v>
      </c>
      <c r="R729">
        <v>256</v>
      </c>
      <c r="S729">
        <v>1.1636363636363636</v>
      </c>
      <c r="T729">
        <v>0.93333333333333335</v>
      </c>
      <c r="U729">
        <v>1.3</v>
      </c>
    </row>
    <row r="730" spans="1:21" x14ac:dyDescent="0.35">
      <c r="A730">
        <v>712</v>
      </c>
      <c r="B730" s="16">
        <v>40299</v>
      </c>
      <c r="C730" s="15" t="s">
        <v>37</v>
      </c>
      <c r="D730" s="15" t="s">
        <v>58</v>
      </c>
      <c r="E730" s="15" t="s">
        <v>39</v>
      </c>
      <c r="F730" s="15" t="s">
        <v>40</v>
      </c>
      <c r="G730" s="15" t="s">
        <v>59</v>
      </c>
      <c r="H730" s="15" t="s">
        <v>42</v>
      </c>
      <c r="I730">
        <v>20</v>
      </c>
      <c r="J730">
        <v>30</v>
      </c>
      <c r="K730">
        <v>20</v>
      </c>
      <c r="L730">
        <v>50</v>
      </c>
      <c r="M730">
        <v>20</v>
      </c>
      <c r="N730">
        <v>829</v>
      </c>
      <c r="O730">
        <v>29</v>
      </c>
      <c r="P730">
        <v>5</v>
      </c>
      <c r="Q730">
        <v>12</v>
      </c>
      <c r="R730">
        <v>49</v>
      </c>
      <c r="S730">
        <v>0.98</v>
      </c>
      <c r="T730">
        <v>0.6</v>
      </c>
      <c r="U730">
        <v>1</v>
      </c>
    </row>
    <row r="731" spans="1:21" x14ac:dyDescent="0.35">
      <c r="A731">
        <v>712</v>
      </c>
      <c r="B731" s="16">
        <v>40299</v>
      </c>
      <c r="C731" s="15" t="s">
        <v>37</v>
      </c>
      <c r="D731" s="15" t="s">
        <v>58</v>
      </c>
      <c r="E731" s="15" t="s">
        <v>55</v>
      </c>
      <c r="F731" s="15" t="s">
        <v>47</v>
      </c>
      <c r="G731" s="15" t="s">
        <v>59</v>
      </c>
      <c r="H731" s="15" t="s">
        <v>42</v>
      </c>
      <c r="I731">
        <v>220</v>
      </c>
      <c r="J731">
        <v>230</v>
      </c>
      <c r="K731">
        <v>150</v>
      </c>
      <c r="L731">
        <v>450</v>
      </c>
      <c r="M731">
        <v>260</v>
      </c>
      <c r="N731">
        <v>1559</v>
      </c>
      <c r="O731">
        <v>261</v>
      </c>
      <c r="P731">
        <v>72</v>
      </c>
      <c r="Q731">
        <v>165</v>
      </c>
      <c r="R731">
        <v>521</v>
      </c>
      <c r="S731">
        <v>1.1577777777777778</v>
      </c>
      <c r="T731">
        <v>1.1000000000000001</v>
      </c>
      <c r="U731">
        <v>1.1818181818181819</v>
      </c>
    </row>
    <row r="732" spans="1:21" x14ac:dyDescent="0.35">
      <c r="A732">
        <v>563</v>
      </c>
      <c r="B732" s="16">
        <v>40299</v>
      </c>
      <c r="C732" s="15" t="s">
        <v>37</v>
      </c>
      <c r="D732" s="15" t="s">
        <v>58</v>
      </c>
      <c r="E732" s="15" t="s">
        <v>56</v>
      </c>
      <c r="F732" s="15" t="s">
        <v>47</v>
      </c>
      <c r="G732" s="15" t="s">
        <v>59</v>
      </c>
      <c r="H732" s="15" t="s">
        <v>42</v>
      </c>
      <c r="I732">
        <v>220</v>
      </c>
      <c r="J732">
        <v>290</v>
      </c>
      <c r="K732">
        <v>170</v>
      </c>
      <c r="L732">
        <v>510</v>
      </c>
      <c r="M732">
        <v>265</v>
      </c>
      <c r="N732">
        <v>1538</v>
      </c>
      <c r="O732">
        <v>324</v>
      </c>
      <c r="P732">
        <v>100</v>
      </c>
      <c r="Q732">
        <v>190</v>
      </c>
      <c r="R732">
        <v>589</v>
      </c>
      <c r="S732">
        <v>1.1549019607843136</v>
      </c>
      <c r="T732">
        <v>1.1176470588235294</v>
      </c>
      <c r="U732">
        <v>1.2045454545454546</v>
      </c>
    </row>
    <row r="733" spans="1:21" x14ac:dyDescent="0.35">
      <c r="A733">
        <v>319</v>
      </c>
      <c r="B733" s="16">
        <v>40299</v>
      </c>
      <c r="C733" s="15" t="s">
        <v>37</v>
      </c>
      <c r="D733" s="15" t="s">
        <v>58</v>
      </c>
      <c r="E733" s="15" t="s">
        <v>48</v>
      </c>
      <c r="F733" s="15" t="s">
        <v>49</v>
      </c>
      <c r="G733" s="15" t="s">
        <v>59</v>
      </c>
      <c r="H733" s="15" t="s">
        <v>42</v>
      </c>
      <c r="I733">
        <v>20</v>
      </c>
      <c r="J733">
        <v>30</v>
      </c>
      <c r="K733">
        <v>20</v>
      </c>
      <c r="L733">
        <v>50</v>
      </c>
      <c r="M733">
        <v>20</v>
      </c>
      <c r="N733">
        <v>784</v>
      </c>
      <c r="O733">
        <v>29</v>
      </c>
      <c r="P733">
        <v>5</v>
      </c>
      <c r="Q733">
        <v>12</v>
      </c>
      <c r="R733">
        <v>49</v>
      </c>
      <c r="S733">
        <v>0.98</v>
      </c>
      <c r="T733">
        <v>0.6</v>
      </c>
      <c r="U733">
        <v>1</v>
      </c>
    </row>
    <row r="734" spans="1:21" x14ac:dyDescent="0.35">
      <c r="A734">
        <v>515</v>
      </c>
      <c r="B734" s="16">
        <v>40299</v>
      </c>
      <c r="C734" s="15" t="s">
        <v>37</v>
      </c>
      <c r="D734" s="15" t="s">
        <v>58</v>
      </c>
      <c r="E734" s="15" t="s">
        <v>50</v>
      </c>
      <c r="F734" s="15" t="s">
        <v>49</v>
      </c>
      <c r="G734" s="15" t="s">
        <v>59</v>
      </c>
      <c r="H734" s="15" t="s">
        <v>45</v>
      </c>
      <c r="I734">
        <v>0</v>
      </c>
      <c r="J734">
        <v>50</v>
      </c>
      <c r="K734">
        <v>40</v>
      </c>
      <c r="L734">
        <v>50</v>
      </c>
      <c r="M734">
        <v>0</v>
      </c>
      <c r="N734">
        <v>645</v>
      </c>
      <c r="O734">
        <v>43</v>
      </c>
      <c r="P734">
        <v>0</v>
      </c>
      <c r="Q734">
        <v>31</v>
      </c>
      <c r="R734">
        <v>43</v>
      </c>
      <c r="S734">
        <v>0.86</v>
      </c>
      <c r="T734">
        <v>0.77500000000000002</v>
      </c>
    </row>
    <row r="735" spans="1:21" x14ac:dyDescent="0.35">
      <c r="A735">
        <v>515</v>
      </c>
      <c r="B735" s="16">
        <v>40299</v>
      </c>
      <c r="C735" s="15" t="s">
        <v>37</v>
      </c>
      <c r="D735" s="15" t="s">
        <v>58</v>
      </c>
      <c r="E735" s="15" t="s">
        <v>43</v>
      </c>
      <c r="F735" s="15" t="s">
        <v>40</v>
      </c>
      <c r="G735" s="15" t="s">
        <v>59</v>
      </c>
      <c r="H735" s="15" t="s">
        <v>42</v>
      </c>
      <c r="I735">
        <v>30</v>
      </c>
      <c r="J735">
        <v>40</v>
      </c>
      <c r="K735">
        <v>20</v>
      </c>
      <c r="L735">
        <v>70</v>
      </c>
      <c r="M735">
        <v>31</v>
      </c>
      <c r="N735">
        <v>976</v>
      </c>
      <c r="O735">
        <v>37</v>
      </c>
      <c r="P735">
        <v>9</v>
      </c>
      <c r="Q735">
        <v>7</v>
      </c>
      <c r="R735">
        <v>68</v>
      </c>
      <c r="S735">
        <v>0.97142857142857142</v>
      </c>
      <c r="T735">
        <v>0.35</v>
      </c>
      <c r="U735">
        <v>1.0333333333333334</v>
      </c>
    </row>
    <row r="736" spans="1:21" x14ac:dyDescent="0.35">
      <c r="A736">
        <v>515</v>
      </c>
      <c r="B736" s="16">
        <v>40299</v>
      </c>
      <c r="C736" s="15" t="s">
        <v>37</v>
      </c>
      <c r="D736" s="15" t="s">
        <v>58</v>
      </c>
      <c r="E736" s="15" t="s">
        <v>44</v>
      </c>
      <c r="F736" s="15" t="s">
        <v>40</v>
      </c>
      <c r="G736" s="15" t="s">
        <v>59</v>
      </c>
      <c r="H736" s="15" t="s">
        <v>45</v>
      </c>
      <c r="I736">
        <v>20</v>
      </c>
      <c r="J736">
        <v>30</v>
      </c>
      <c r="K736">
        <v>20</v>
      </c>
      <c r="L736">
        <v>50</v>
      </c>
      <c r="M736">
        <v>22</v>
      </c>
      <c r="N736">
        <v>611</v>
      </c>
      <c r="O736">
        <v>30</v>
      </c>
      <c r="P736">
        <v>7</v>
      </c>
      <c r="Q736">
        <v>11</v>
      </c>
      <c r="R736">
        <v>52</v>
      </c>
      <c r="S736">
        <v>1.04</v>
      </c>
      <c r="T736">
        <v>0.55000000000000004</v>
      </c>
      <c r="U736">
        <v>1.1000000000000001</v>
      </c>
    </row>
    <row r="737" spans="1:21" x14ac:dyDescent="0.35">
      <c r="A737">
        <v>563</v>
      </c>
      <c r="B737" s="16">
        <v>40299</v>
      </c>
      <c r="C737" s="15" t="s">
        <v>37</v>
      </c>
      <c r="D737" s="15" t="s">
        <v>58</v>
      </c>
      <c r="E737" s="15" t="s">
        <v>51</v>
      </c>
      <c r="F737" s="15" t="s">
        <v>52</v>
      </c>
      <c r="G737" s="15" t="s">
        <v>59</v>
      </c>
      <c r="H737" s="15" t="s">
        <v>45</v>
      </c>
      <c r="I737">
        <v>220</v>
      </c>
      <c r="J737">
        <v>310</v>
      </c>
      <c r="K737">
        <v>220</v>
      </c>
      <c r="L737">
        <v>530</v>
      </c>
      <c r="M737">
        <v>263</v>
      </c>
      <c r="N737">
        <v>1433</v>
      </c>
      <c r="O737">
        <v>349</v>
      </c>
      <c r="P737">
        <v>86</v>
      </c>
      <c r="Q737">
        <v>231</v>
      </c>
      <c r="R737">
        <v>612</v>
      </c>
      <c r="S737">
        <v>1.1547169811320754</v>
      </c>
      <c r="T737">
        <v>1.05</v>
      </c>
      <c r="U737">
        <v>1.1954545454545455</v>
      </c>
    </row>
    <row r="738" spans="1:21" x14ac:dyDescent="0.35">
      <c r="A738">
        <v>515</v>
      </c>
      <c r="B738" s="16">
        <v>40299</v>
      </c>
      <c r="C738" s="15" t="s">
        <v>37</v>
      </c>
      <c r="D738" s="15" t="s">
        <v>58</v>
      </c>
      <c r="E738" s="15" t="s">
        <v>53</v>
      </c>
      <c r="F738" s="15" t="s">
        <v>52</v>
      </c>
      <c r="G738" s="15" t="s">
        <v>59</v>
      </c>
      <c r="H738" s="15" t="s">
        <v>45</v>
      </c>
      <c r="I738">
        <v>100</v>
      </c>
      <c r="J738">
        <v>170</v>
      </c>
      <c r="K738">
        <v>130</v>
      </c>
      <c r="L738">
        <v>270</v>
      </c>
      <c r="M738">
        <v>127</v>
      </c>
      <c r="N738">
        <v>671</v>
      </c>
      <c r="O738">
        <v>185</v>
      </c>
      <c r="P738">
        <v>40</v>
      </c>
      <c r="Q738">
        <v>122</v>
      </c>
      <c r="R738">
        <v>312</v>
      </c>
      <c r="S738">
        <v>1.1555555555555554</v>
      </c>
      <c r="T738">
        <v>0.93846153846153846</v>
      </c>
      <c r="U738">
        <v>1.27</v>
      </c>
    </row>
    <row r="739" spans="1:21" x14ac:dyDescent="0.35">
      <c r="A739">
        <v>314</v>
      </c>
      <c r="B739" s="16">
        <v>40299</v>
      </c>
      <c r="C739" s="15" t="s">
        <v>37</v>
      </c>
      <c r="D739" s="15" t="s">
        <v>58</v>
      </c>
      <c r="E739" s="15" t="s">
        <v>55</v>
      </c>
      <c r="F739" s="15" t="s">
        <v>47</v>
      </c>
      <c r="G739" s="15" t="s">
        <v>60</v>
      </c>
      <c r="H739" s="15" t="s">
        <v>42</v>
      </c>
      <c r="I739">
        <v>30</v>
      </c>
      <c r="J739">
        <v>50</v>
      </c>
      <c r="K739">
        <v>20</v>
      </c>
      <c r="L739">
        <v>80</v>
      </c>
      <c r="M739">
        <v>39</v>
      </c>
      <c r="N739">
        <v>212</v>
      </c>
      <c r="O739">
        <v>53</v>
      </c>
      <c r="P739">
        <v>12</v>
      </c>
      <c r="Q739">
        <v>14</v>
      </c>
      <c r="R739">
        <v>92</v>
      </c>
      <c r="S739">
        <v>1.1499999999999999</v>
      </c>
      <c r="T739">
        <v>0.7</v>
      </c>
      <c r="U739">
        <v>1.3</v>
      </c>
    </row>
    <row r="740" spans="1:21" x14ac:dyDescent="0.35">
      <c r="A740">
        <v>314</v>
      </c>
      <c r="B740" s="16">
        <v>40299</v>
      </c>
      <c r="C740" s="15" t="s">
        <v>37</v>
      </c>
      <c r="D740" s="15" t="s">
        <v>58</v>
      </c>
      <c r="E740" s="15" t="s">
        <v>56</v>
      </c>
      <c r="F740" s="15" t="s">
        <v>47</v>
      </c>
      <c r="G740" s="15" t="s">
        <v>60</v>
      </c>
      <c r="H740" s="15" t="s">
        <v>42</v>
      </c>
      <c r="I740">
        <v>20</v>
      </c>
      <c r="J740">
        <v>40</v>
      </c>
      <c r="K740">
        <v>0</v>
      </c>
      <c r="L740">
        <v>60</v>
      </c>
      <c r="M740">
        <v>34</v>
      </c>
      <c r="N740">
        <v>182</v>
      </c>
      <c r="O740">
        <v>42</v>
      </c>
      <c r="P740">
        <v>12</v>
      </c>
      <c r="Q740">
        <v>-4</v>
      </c>
      <c r="R740">
        <v>76</v>
      </c>
      <c r="S740">
        <v>1.2666666666666666</v>
      </c>
      <c r="U740">
        <v>1.7</v>
      </c>
    </row>
    <row r="741" spans="1:21" x14ac:dyDescent="0.35">
      <c r="A741">
        <v>573</v>
      </c>
      <c r="B741" s="16">
        <v>40299</v>
      </c>
      <c r="C741" s="15" t="s">
        <v>37</v>
      </c>
      <c r="D741" s="15" t="s">
        <v>58</v>
      </c>
      <c r="E741" s="15" t="s">
        <v>46</v>
      </c>
      <c r="F741" s="15" t="s">
        <v>47</v>
      </c>
      <c r="G741" s="15" t="s">
        <v>60</v>
      </c>
      <c r="H741" s="15" t="s">
        <v>42</v>
      </c>
      <c r="I741">
        <v>30</v>
      </c>
      <c r="J741">
        <v>40</v>
      </c>
      <c r="K741">
        <v>0</v>
      </c>
      <c r="L741">
        <v>70</v>
      </c>
      <c r="M741">
        <v>36</v>
      </c>
      <c r="N741">
        <v>212</v>
      </c>
      <c r="O741">
        <v>45</v>
      </c>
      <c r="P741">
        <v>13</v>
      </c>
      <c r="Q741">
        <v>-2</v>
      </c>
      <c r="R741">
        <v>81</v>
      </c>
      <c r="S741">
        <v>1.1571428571428573</v>
      </c>
      <c r="U741">
        <v>1.2</v>
      </c>
    </row>
    <row r="742" spans="1:21" x14ac:dyDescent="0.35">
      <c r="A742">
        <v>636</v>
      </c>
      <c r="B742" s="16">
        <v>40299</v>
      </c>
      <c r="C742" s="15" t="s">
        <v>37</v>
      </c>
      <c r="D742" s="15" t="s">
        <v>58</v>
      </c>
      <c r="E742" s="15" t="s">
        <v>48</v>
      </c>
      <c r="F742" s="15" t="s">
        <v>49</v>
      </c>
      <c r="G742" s="15" t="s">
        <v>60</v>
      </c>
      <c r="H742" s="15" t="s">
        <v>42</v>
      </c>
      <c r="I742">
        <v>50</v>
      </c>
      <c r="J742">
        <v>70</v>
      </c>
      <c r="K742">
        <v>50</v>
      </c>
      <c r="L742">
        <v>120</v>
      </c>
      <c r="M742">
        <v>44</v>
      </c>
      <c r="N742">
        <v>844</v>
      </c>
      <c r="O742">
        <v>65</v>
      </c>
      <c r="P742">
        <v>12</v>
      </c>
      <c r="Q742">
        <v>41</v>
      </c>
      <c r="R742">
        <v>109</v>
      </c>
      <c r="S742">
        <v>0.90833333333333333</v>
      </c>
      <c r="T742">
        <v>0.82</v>
      </c>
      <c r="U742">
        <v>0.88</v>
      </c>
    </row>
    <row r="743" spans="1:21" x14ac:dyDescent="0.35">
      <c r="A743">
        <v>816</v>
      </c>
      <c r="B743" s="16">
        <v>40299</v>
      </c>
      <c r="C743" s="15" t="s">
        <v>37</v>
      </c>
      <c r="D743" s="15" t="s">
        <v>58</v>
      </c>
      <c r="E743" s="15" t="s">
        <v>50</v>
      </c>
      <c r="F743" s="15" t="s">
        <v>49</v>
      </c>
      <c r="G743" s="15" t="s">
        <v>60</v>
      </c>
      <c r="H743" s="15" t="s">
        <v>45</v>
      </c>
      <c r="I743">
        <v>40</v>
      </c>
      <c r="J743">
        <v>70</v>
      </c>
      <c r="K743">
        <v>50</v>
      </c>
      <c r="L743">
        <v>110</v>
      </c>
      <c r="M743">
        <v>39</v>
      </c>
      <c r="N743">
        <v>799</v>
      </c>
      <c r="O743">
        <v>58</v>
      </c>
      <c r="P743">
        <v>10</v>
      </c>
      <c r="Q743">
        <v>36</v>
      </c>
      <c r="R743">
        <v>97</v>
      </c>
      <c r="S743">
        <v>0.88181818181818183</v>
      </c>
      <c r="T743">
        <v>0.72</v>
      </c>
      <c r="U743">
        <v>0.97499999999999998</v>
      </c>
    </row>
    <row r="744" spans="1:21" x14ac:dyDescent="0.35">
      <c r="A744">
        <v>573</v>
      </c>
      <c r="B744" s="16">
        <v>40299</v>
      </c>
      <c r="C744" s="15" t="s">
        <v>37</v>
      </c>
      <c r="D744" s="15" t="s">
        <v>58</v>
      </c>
      <c r="E744" s="15" t="s">
        <v>43</v>
      </c>
      <c r="F744" s="15" t="s">
        <v>40</v>
      </c>
      <c r="G744" s="15" t="s">
        <v>60</v>
      </c>
      <c r="H744" s="15" t="s">
        <v>42</v>
      </c>
      <c r="I744">
        <v>80</v>
      </c>
      <c r="J744">
        <v>100</v>
      </c>
      <c r="K744">
        <v>50</v>
      </c>
      <c r="L744">
        <v>180</v>
      </c>
      <c r="M744">
        <v>77</v>
      </c>
      <c r="N744">
        <v>529</v>
      </c>
      <c r="O744">
        <v>96</v>
      </c>
      <c r="P744">
        <v>29</v>
      </c>
      <c r="Q744">
        <v>33</v>
      </c>
      <c r="R744">
        <v>173</v>
      </c>
      <c r="S744">
        <v>0.96111111111111114</v>
      </c>
      <c r="T744">
        <v>0.66</v>
      </c>
      <c r="U744">
        <v>0.96250000000000002</v>
      </c>
    </row>
    <row r="745" spans="1:21" x14ac:dyDescent="0.35">
      <c r="A745">
        <v>660</v>
      </c>
      <c r="B745" s="16">
        <v>40299</v>
      </c>
      <c r="C745" s="15" t="s">
        <v>37</v>
      </c>
      <c r="D745" s="15" t="s">
        <v>58</v>
      </c>
      <c r="E745" s="15" t="s">
        <v>44</v>
      </c>
      <c r="F745" s="15" t="s">
        <v>40</v>
      </c>
      <c r="G745" s="15" t="s">
        <v>60</v>
      </c>
      <c r="H745" s="15" t="s">
        <v>45</v>
      </c>
      <c r="I745">
        <v>70</v>
      </c>
      <c r="J745">
        <v>80</v>
      </c>
      <c r="K745">
        <v>40</v>
      </c>
      <c r="L745">
        <v>150</v>
      </c>
      <c r="M745">
        <v>68</v>
      </c>
      <c r="N745">
        <v>998</v>
      </c>
      <c r="O745">
        <v>80</v>
      </c>
      <c r="P745">
        <v>21</v>
      </c>
      <c r="Q745">
        <v>38</v>
      </c>
      <c r="R745">
        <v>148</v>
      </c>
      <c r="S745">
        <v>0.98666666666666669</v>
      </c>
      <c r="T745">
        <v>0.95</v>
      </c>
      <c r="U745">
        <v>0.97142857142857142</v>
      </c>
    </row>
    <row r="746" spans="1:21" x14ac:dyDescent="0.35">
      <c r="A746">
        <v>417</v>
      </c>
      <c r="B746" s="16">
        <v>40299</v>
      </c>
      <c r="C746" s="15" t="s">
        <v>37</v>
      </c>
      <c r="D746" s="15" t="s">
        <v>58</v>
      </c>
      <c r="E746" s="15" t="s">
        <v>51</v>
      </c>
      <c r="F746" s="15" t="s">
        <v>52</v>
      </c>
      <c r="G746" s="15" t="s">
        <v>60</v>
      </c>
      <c r="H746" s="15" t="s">
        <v>45</v>
      </c>
      <c r="I746">
        <v>30</v>
      </c>
      <c r="J746">
        <v>60</v>
      </c>
      <c r="K746">
        <v>10</v>
      </c>
      <c r="L746">
        <v>90</v>
      </c>
      <c r="M746">
        <v>43</v>
      </c>
      <c r="N746">
        <v>282</v>
      </c>
      <c r="O746">
        <v>61</v>
      </c>
      <c r="P746">
        <v>39</v>
      </c>
      <c r="Q746">
        <v>-8</v>
      </c>
      <c r="R746">
        <v>104</v>
      </c>
      <c r="S746">
        <v>1.1555555555555554</v>
      </c>
      <c r="T746">
        <v>-0.8</v>
      </c>
      <c r="U746">
        <v>1.4333333333333333</v>
      </c>
    </row>
    <row r="747" spans="1:21" x14ac:dyDescent="0.35">
      <c r="A747">
        <v>660</v>
      </c>
      <c r="B747" s="16">
        <v>40299</v>
      </c>
      <c r="C747" s="15" t="s">
        <v>37</v>
      </c>
      <c r="D747" s="15" t="s">
        <v>58</v>
      </c>
      <c r="E747" s="15" t="s">
        <v>53</v>
      </c>
      <c r="F747" s="15" t="s">
        <v>52</v>
      </c>
      <c r="G747" s="15" t="s">
        <v>60</v>
      </c>
      <c r="H747" s="15" t="s">
        <v>45</v>
      </c>
      <c r="I747">
        <v>80</v>
      </c>
      <c r="J747">
        <v>30</v>
      </c>
      <c r="K747">
        <v>0</v>
      </c>
      <c r="L747">
        <v>110</v>
      </c>
      <c r="M747">
        <v>98</v>
      </c>
      <c r="N747">
        <v>973</v>
      </c>
      <c r="O747">
        <v>38</v>
      </c>
      <c r="P747">
        <v>30</v>
      </c>
      <c r="Q747">
        <v>-15</v>
      </c>
      <c r="R747">
        <v>136</v>
      </c>
      <c r="S747">
        <v>1.2363636363636363</v>
      </c>
      <c r="U747">
        <v>1.2250000000000001</v>
      </c>
    </row>
    <row r="748" spans="1:21" x14ac:dyDescent="0.35">
      <c r="A748">
        <v>234</v>
      </c>
      <c r="B748" s="16">
        <v>40299</v>
      </c>
      <c r="C748" s="15" t="s">
        <v>37</v>
      </c>
      <c r="D748" s="15" t="s">
        <v>38</v>
      </c>
      <c r="E748" s="15" t="s">
        <v>55</v>
      </c>
      <c r="F748" s="15" t="s">
        <v>47</v>
      </c>
      <c r="G748" s="15" t="s">
        <v>61</v>
      </c>
      <c r="H748" s="15" t="s">
        <v>42</v>
      </c>
      <c r="I748">
        <v>80</v>
      </c>
      <c r="J748">
        <v>120</v>
      </c>
      <c r="K748">
        <v>70</v>
      </c>
      <c r="L748">
        <v>200</v>
      </c>
      <c r="M748">
        <v>94</v>
      </c>
      <c r="N748">
        <v>697</v>
      </c>
      <c r="O748">
        <v>141</v>
      </c>
      <c r="P748">
        <v>31</v>
      </c>
      <c r="Q748">
        <v>79</v>
      </c>
      <c r="R748">
        <v>235</v>
      </c>
      <c r="S748">
        <v>1.175</v>
      </c>
      <c r="T748">
        <v>1.1285714285714286</v>
      </c>
      <c r="U748">
        <v>1.175</v>
      </c>
    </row>
    <row r="749" spans="1:21" x14ac:dyDescent="0.35">
      <c r="A749">
        <v>513</v>
      </c>
      <c r="B749" s="16">
        <v>40299</v>
      </c>
      <c r="C749" s="15" t="s">
        <v>37</v>
      </c>
      <c r="D749" s="15" t="s">
        <v>38</v>
      </c>
      <c r="E749" s="15" t="s">
        <v>56</v>
      </c>
      <c r="F749" s="15" t="s">
        <v>47</v>
      </c>
      <c r="G749" s="15" t="s">
        <v>61</v>
      </c>
      <c r="H749" s="15" t="s">
        <v>42</v>
      </c>
      <c r="I749">
        <v>90</v>
      </c>
      <c r="J749">
        <v>150</v>
      </c>
      <c r="K749">
        <v>100</v>
      </c>
      <c r="L749">
        <v>240</v>
      </c>
      <c r="M749">
        <v>114</v>
      </c>
      <c r="N749">
        <v>555</v>
      </c>
      <c r="O749">
        <v>159</v>
      </c>
      <c r="P749">
        <v>35</v>
      </c>
      <c r="Q749">
        <v>101</v>
      </c>
      <c r="R749">
        <v>273</v>
      </c>
      <c r="S749">
        <v>1.1375</v>
      </c>
      <c r="T749">
        <v>1.01</v>
      </c>
      <c r="U749">
        <v>1.2666666666666666</v>
      </c>
    </row>
    <row r="750" spans="1:21" x14ac:dyDescent="0.35">
      <c r="A750">
        <v>740</v>
      </c>
      <c r="B750" s="16">
        <v>40299</v>
      </c>
      <c r="C750" s="15" t="s">
        <v>37</v>
      </c>
      <c r="D750" s="15" t="s">
        <v>38</v>
      </c>
      <c r="E750" s="15" t="s">
        <v>48</v>
      </c>
      <c r="F750" s="15" t="s">
        <v>49</v>
      </c>
      <c r="G750" s="15" t="s">
        <v>61</v>
      </c>
      <c r="H750" s="15" t="s">
        <v>42</v>
      </c>
      <c r="I750">
        <v>170</v>
      </c>
      <c r="J750">
        <v>180</v>
      </c>
      <c r="K750">
        <v>120</v>
      </c>
      <c r="L750">
        <v>350</v>
      </c>
      <c r="M750">
        <v>149</v>
      </c>
      <c r="N750">
        <v>1156</v>
      </c>
      <c r="O750">
        <v>149</v>
      </c>
      <c r="P750">
        <v>41</v>
      </c>
      <c r="Q750">
        <v>84</v>
      </c>
      <c r="R750">
        <v>298</v>
      </c>
      <c r="S750">
        <v>0.85142857142857142</v>
      </c>
      <c r="T750">
        <v>0.7</v>
      </c>
      <c r="U750">
        <v>0.87647058823529411</v>
      </c>
    </row>
    <row r="751" spans="1:21" x14ac:dyDescent="0.35">
      <c r="A751">
        <v>740</v>
      </c>
      <c r="B751" s="16">
        <v>40299</v>
      </c>
      <c r="C751" s="15" t="s">
        <v>37</v>
      </c>
      <c r="D751" s="15" t="s">
        <v>38</v>
      </c>
      <c r="E751" s="15" t="s">
        <v>50</v>
      </c>
      <c r="F751" s="15" t="s">
        <v>49</v>
      </c>
      <c r="G751" s="15" t="s">
        <v>61</v>
      </c>
      <c r="H751" s="15" t="s">
        <v>45</v>
      </c>
      <c r="I751">
        <v>60</v>
      </c>
      <c r="J751">
        <v>70</v>
      </c>
      <c r="K751">
        <v>20</v>
      </c>
      <c r="L751">
        <v>130</v>
      </c>
      <c r="M751">
        <v>53</v>
      </c>
      <c r="N751">
        <v>361</v>
      </c>
      <c r="O751">
        <v>65</v>
      </c>
      <c r="P751">
        <v>20</v>
      </c>
      <c r="Q751">
        <v>11</v>
      </c>
      <c r="R751">
        <v>118</v>
      </c>
      <c r="S751">
        <v>0.90769230769230769</v>
      </c>
      <c r="T751">
        <v>0.55000000000000004</v>
      </c>
      <c r="U751">
        <v>0.8833333333333333</v>
      </c>
    </row>
    <row r="752" spans="1:21" x14ac:dyDescent="0.35">
      <c r="A752">
        <v>330</v>
      </c>
      <c r="B752" s="16">
        <v>40299</v>
      </c>
      <c r="C752" s="15" t="s">
        <v>37</v>
      </c>
      <c r="D752" s="15" t="s">
        <v>38</v>
      </c>
      <c r="E752" s="15" t="s">
        <v>39</v>
      </c>
      <c r="F752" s="15" t="s">
        <v>40</v>
      </c>
      <c r="G752" s="15" t="s">
        <v>61</v>
      </c>
      <c r="H752" s="15" t="s">
        <v>42</v>
      </c>
      <c r="I752">
        <v>50</v>
      </c>
      <c r="J752">
        <v>70</v>
      </c>
      <c r="K752">
        <v>40</v>
      </c>
      <c r="L752">
        <v>120</v>
      </c>
      <c r="M752">
        <v>52</v>
      </c>
      <c r="N752">
        <v>361</v>
      </c>
      <c r="O752">
        <v>71</v>
      </c>
      <c r="P752">
        <v>17</v>
      </c>
      <c r="Q752">
        <v>27</v>
      </c>
      <c r="R752">
        <v>123</v>
      </c>
      <c r="S752">
        <v>1.0249999999999999</v>
      </c>
      <c r="T752">
        <v>0.67500000000000004</v>
      </c>
      <c r="U752">
        <v>1.04</v>
      </c>
    </row>
    <row r="753" spans="1:21" x14ac:dyDescent="0.35">
      <c r="A753">
        <v>513</v>
      </c>
      <c r="B753" s="16">
        <v>40299</v>
      </c>
      <c r="C753" s="15" t="s">
        <v>37</v>
      </c>
      <c r="D753" s="15" t="s">
        <v>38</v>
      </c>
      <c r="E753" s="15" t="s">
        <v>43</v>
      </c>
      <c r="F753" s="15" t="s">
        <v>40</v>
      </c>
      <c r="G753" s="15" t="s">
        <v>61</v>
      </c>
      <c r="H753" s="15" t="s">
        <v>42</v>
      </c>
      <c r="I753">
        <v>40</v>
      </c>
      <c r="J753">
        <v>60</v>
      </c>
      <c r="K753">
        <v>30</v>
      </c>
      <c r="L753">
        <v>100</v>
      </c>
      <c r="M753">
        <v>42</v>
      </c>
      <c r="N753">
        <v>384</v>
      </c>
      <c r="O753">
        <v>61</v>
      </c>
      <c r="P753">
        <v>13</v>
      </c>
      <c r="Q753">
        <v>24</v>
      </c>
      <c r="R753">
        <v>103</v>
      </c>
      <c r="S753">
        <v>1.03</v>
      </c>
      <c r="T753">
        <v>0.8</v>
      </c>
      <c r="U753">
        <v>1.05</v>
      </c>
    </row>
    <row r="754" spans="1:21" x14ac:dyDescent="0.35">
      <c r="A754">
        <v>440</v>
      </c>
      <c r="B754" s="16">
        <v>40299</v>
      </c>
      <c r="C754" s="15" t="s">
        <v>37</v>
      </c>
      <c r="D754" s="15" t="s">
        <v>38</v>
      </c>
      <c r="E754" s="15" t="s">
        <v>44</v>
      </c>
      <c r="F754" s="15" t="s">
        <v>40</v>
      </c>
      <c r="G754" s="15" t="s">
        <v>61</v>
      </c>
      <c r="H754" s="15" t="s">
        <v>45</v>
      </c>
      <c r="I754">
        <v>50</v>
      </c>
      <c r="J754">
        <v>80</v>
      </c>
      <c r="K754">
        <v>20</v>
      </c>
      <c r="L754">
        <v>130</v>
      </c>
      <c r="M754">
        <v>53</v>
      </c>
      <c r="N754">
        <v>458</v>
      </c>
      <c r="O754">
        <v>75</v>
      </c>
      <c r="P754">
        <v>48</v>
      </c>
      <c r="Q754">
        <v>-2</v>
      </c>
      <c r="R754">
        <v>128</v>
      </c>
      <c r="S754">
        <v>0.98461538461538467</v>
      </c>
      <c r="T754">
        <v>-0.1</v>
      </c>
      <c r="U754">
        <v>1.06</v>
      </c>
    </row>
    <row r="755" spans="1:21" x14ac:dyDescent="0.35">
      <c r="A755">
        <v>419</v>
      </c>
      <c r="B755" s="16">
        <v>40299</v>
      </c>
      <c r="C755" s="15" t="s">
        <v>37</v>
      </c>
      <c r="D755" s="15" t="s">
        <v>38</v>
      </c>
      <c r="E755" s="15" t="s">
        <v>51</v>
      </c>
      <c r="F755" s="15" t="s">
        <v>52</v>
      </c>
      <c r="G755" s="15" t="s">
        <v>61</v>
      </c>
      <c r="H755" s="15" t="s">
        <v>45</v>
      </c>
      <c r="I755">
        <v>10</v>
      </c>
      <c r="J755">
        <v>30</v>
      </c>
      <c r="K755">
        <v>30</v>
      </c>
      <c r="L755">
        <v>40</v>
      </c>
      <c r="M755">
        <v>20</v>
      </c>
      <c r="N755">
        <v>464</v>
      </c>
      <c r="O755">
        <v>29</v>
      </c>
      <c r="P755">
        <v>5</v>
      </c>
      <c r="Q755">
        <v>12</v>
      </c>
      <c r="R755">
        <v>49</v>
      </c>
      <c r="S755">
        <v>1.2250000000000001</v>
      </c>
      <c r="T755">
        <v>0.4</v>
      </c>
      <c r="U755">
        <v>2</v>
      </c>
    </row>
    <row r="756" spans="1:21" x14ac:dyDescent="0.35">
      <c r="A756">
        <v>567</v>
      </c>
      <c r="B756" s="16">
        <v>40299</v>
      </c>
      <c r="C756" s="15" t="s">
        <v>37</v>
      </c>
      <c r="D756" s="15" t="s">
        <v>38</v>
      </c>
      <c r="E756" s="15" t="s">
        <v>53</v>
      </c>
      <c r="F756" s="15" t="s">
        <v>52</v>
      </c>
      <c r="G756" s="15" t="s">
        <v>61</v>
      </c>
      <c r="H756" s="15" t="s">
        <v>45</v>
      </c>
      <c r="I756">
        <v>20</v>
      </c>
      <c r="J756">
        <v>40</v>
      </c>
      <c r="K756">
        <v>40</v>
      </c>
      <c r="L756">
        <v>60</v>
      </c>
      <c r="M756">
        <v>29</v>
      </c>
      <c r="N756">
        <v>835</v>
      </c>
      <c r="O756">
        <v>42</v>
      </c>
      <c r="P756">
        <v>8</v>
      </c>
      <c r="Q756">
        <v>23</v>
      </c>
      <c r="R756">
        <v>71</v>
      </c>
      <c r="S756">
        <v>1.1833333333333333</v>
      </c>
      <c r="T756">
        <v>0.57499999999999996</v>
      </c>
      <c r="U756">
        <v>1.45</v>
      </c>
    </row>
    <row r="757" spans="1:21" x14ac:dyDescent="0.35">
      <c r="A757">
        <v>920</v>
      </c>
      <c r="B757" s="16">
        <v>40299</v>
      </c>
      <c r="C757" s="15" t="s">
        <v>37</v>
      </c>
      <c r="D757" s="15" t="s">
        <v>58</v>
      </c>
      <c r="E757" s="15" t="s">
        <v>55</v>
      </c>
      <c r="F757" s="15" t="s">
        <v>47</v>
      </c>
      <c r="G757" s="15" t="s">
        <v>62</v>
      </c>
      <c r="H757" s="15" t="s">
        <v>42</v>
      </c>
      <c r="I757">
        <v>30</v>
      </c>
      <c r="J757">
        <v>60</v>
      </c>
      <c r="K757">
        <v>30</v>
      </c>
      <c r="L757">
        <v>90</v>
      </c>
      <c r="M757">
        <v>45</v>
      </c>
      <c r="N757">
        <v>410</v>
      </c>
      <c r="O757">
        <v>65</v>
      </c>
      <c r="P757">
        <v>14</v>
      </c>
      <c r="Q757">
        <v>27</v>
      </c>
      <c r="R757">
        <v>110</v>
      </c>
      <c r="S757">
        <v>1.2222222222222223</v>
      </c>
      <c r="T757">
        <v>0.9</v>
      </c>
      <c r="U757">
        <v>1.5</v>
      </c>
    </row>
    <row r="758" spans="1:21" x14ac:dyDescent="0.35">
      <c r="A758">
        <v>262</v>
      </c>
      <c r="B758" s="16">
        <v>40299</v>
      </c>
      <c r="C758" s="15" t="s">
        <v>37</v>
      </c>
      <c r="D758" s="15" t="s">
        <v>58</v>
      </c>
      <c r="E758" s="15" t="s">
        <v>56</v>
      </c>
      <c r="F758" s="15" t="s">
        <v>47</v>
      </c>
      <c r="G758" s="15" t="s">
        <v>62</v>
      </c>
      <c r="H758" s="15" t="s">
        <v>42</v>
      </c>
      <c r="I758">
        <v>50</v>
      </c>
      <c r="J758">
        <v>80</v>
      </c>
      <c r="K758">
        <v>10</v>
      </c>
      <c r="L758">
        <v>130</v>
      </c>
      <c r="M758">
        <v>64</v>
      </c>
      <c r="N758">
        <v>551</v>
      </c>
      <c r="O758">
        <v>90</v>
      </c>
      <c r="P758">
        <v>58</v>
      </c>
      <c r="Q758">
        <v>2</v>
      </c>
      <c r="R758">
        <v>154</v>
      </c>
      <c r="S758">
        <v>1.1846153846153846</v>
      </c>
      <c r="T758">
        <v>0.2</v>
      </c>
      <c r="U758">
        <v>1.28</v>
      </c>
    </row>
    <row r="759" spans="1:21" x14ac:dyDescent="0.35">
      <c r="A759">
        <v>608</v>
      </c>
      <c r="B759" s="16">
        <v>40299</v>
      </c>
      <c r="C759" s="15" t="s">
        <v>37</v>
      </c>
      <c r="D759" s="15" t="s">
        <v>58</v>
      </c>
      <c r="E759" s="15" t="s">
        <v>48</v>
      </c>
      <c r="F759" s="15" t="s">
        <v>49</v>
      </c>
      <c r="G759" s="15" t="s">
        <v>62</v>
      </c>
      <c r="H759" s="15" t="s">
        <v>42</v>
      </c>
      <c r="I759">
        <v>90</v>
      </c>
      <c r="J759">
        <v>110</v>
      </c>
      <c r="K759">
        <v>70</v>
      </c>
      <c r="L759">
        <v>200</v>
      </c>
      <c r="M759">
        <v>78</v>
      </c>
      <c r="N759">
        <v>995</v>
      </c>
      <c r="O759">
        <v>92</v>
      </c>
      <c r="P759">
        <v>24</v>
      </c>
      <c r="Q759">
        <v>47</v>
      </c>
      <c r="R759">
        <v>170</v>
      </c>
      <c r="S759">
        <v>0.85</v>
      </c>
      <c r="T759">
        <v>0.67142857142857137</v>
      </c>
      <c r="U759">
        <v>0.8666666666666667</v>
      </c>
    </row>
    <row r="760" spans="1:21" x14ac:dyDescent="0.35">
      <c r="A760">
        <v>262</v>
      </c>
      <c r="B760" s="16">
        <v>40299</v>
      </c>
      <c r="C760" s="15" t="s">
        <v>37</v>
      </c>
      <c r="D760" s="15" t="s">
        <v>58</v>
      </c>
      <c r="E760" s="15" t="s">
        <v>50</v>
      </c>
      <c r="F760" s="15" t="s">
        <v>49</v>
      </c>
      <c r="G760" s="15" t="s">
        <v>62</v>
      </c>
      <c r="H760" s="15" t="s">
        <v>45</v>
      </c>
      <c r="I760">
        <v>50</v>
      </c>
      <c r="J760">
        <v>70</v>
      </c>
      <c r="K760">
        <v>50</v>
      </c>
      <c r="L760">
        <v>120</v>
      </c>
      <c r="M760">
        <v>48</v>
      </c>
      <c r="N760">
        <v>599</v>
      </c>
      <c r="O760">
        <v>62</v>
      </c>
      <c r="P760">
        <v>15</v>
      </c>
      <c r="Q760">
        <v>35</v>
      </c>
      <c r="R760">
        <v>110</v>
      </c>
      <c r="S760">
        <v>0.91666666666666663</v>
      </c>
      <c r="T760">
        <v>0.7</v>
      </c>
      <c r="U760">
        <v>0.96</v>
      </c>
    </row>
    <row r="761" spans="1:21" x14ac:dyDescent="0.35">
      <c r="A761">
        <v>262</v>
      </c>
      <c r="B761" s="16">
        <v>40299</v>
      </c>
      <c r="C761" s="15" t="s">
        <v>37</v>
      </c>
      <c r="D761" s="15" t="s">
        <v>58</v>
      </c>
      <c r="E761" s="15" t="s">
        <v>39</v>
      </c>
      <c r="F761" s="15" t="s">
        <v>40</v>
      </c>
      <c r="G761" s="15" t="s">
        <v>62</v>
      </c>
      <c r="H761" s="15" t="s">
        <v>42</v>
      </c>
      <c r="I761">
        <v>60</v>
      </c>
      <c r="J761">
        <v>70</v>
      </c>
      <c r="K761">
        <v>20</v>
      </c>
      <c r="L761">
        <v>130</v>
      </c>
      <c r="M761">
        <v>58</v>
      </c>
      <c r="N761">
        <v>338</v>
      </c>
      <c r="O761">
        <v>72</v>
      </c>
      <c r="P761">
        <v>22</v>
      </c>
      <c r="Q761">
        <v>17</v>
      </c>
      <c r="R761">
        <v>130</v>
      </c>
      <c r="S761">
        <v>1</v>
      </c>
      <c r="T761">
        <v>0.85</v>
      </c>
      <c r="U761">
        <v>0.96666666666666667</v>
      </c>
    </row>
    <row r="762" spans="1:21" x14ac:dyDescent="0.35">
      <c r="A762">
        <v>262</v>
      </c>
      <c r="B762" s="16">
        <v>40299</v>
      </c>
      <c r="C762" s="15" t="s">
        <v>37</v>
      </c>
      <c r="D762" s="15" t="s">
        <v>58</v>
      </c>
      <c r="E762" s="15" t="s">
        <v>43</v>
      </c>
      <c r="F762" s="15" t="s">
        <v>40</v>
      </c>
      <c r="G762" s="15" t="s">
        <v>62</v>
      </c>
      <c r="H762" s="15" t="s">
        <v>42</v>
      </c>
      <c r="I762">
        <v>90</v>
      </c>
      <c r="J762">
        <v>140</v>
      </c>
      <c r="K762">
        <v>40</v>
      </c>
      <c r="L762">
        <v>230</v>
      </c>
      <c r="M762">
        <v>92</v>
      </c>
      <c r="N762">
        <v>599</v>
      </c>
      <c r="O762">
        <v>129</v>
      </c>
      <c r="P762">
        <v>83</v>
      </c>
      <c r="Q762">
        <v>17</v>
      </c>
      <c r="R762">
        <v>221</v>
      </c>
      <c r="S762">
        <v>0.96086956521739131</v>
      </c>
      <c r="T762">
        <v>0.42499999999999999</v>
      </c>
      <c r="U762">
        <v>1.0222222222222221</v>
      </c>
    </row>
    <row r="763" spans="1:21" x14ac:dyDescent="0.35">
      <c r="A763">
        <v>715</v>
      </c>
      <c r="B763" s="16">
        <v>40299</v>
      </c>
      <c r="C763" s="15" t="s">
        <v>37</v>
      </c>
      <c r="D763" s="15" t="s">
        <v>58</v>
      </c>
      <c r="E763" s="15" t="s">
        <v>44</v>
      </c>
      <c r="F763" s="15" t="s">
        <v>40</v>
      </c>
      <c r="G763" s="15" t="s">
        <v>62</v>
      </c>
      <c r="H763" s="15" t="s">
        <v>45</v>
      </c>
      <c r="I763">
        <v>90</v>
      </c>
      <c r="J763">
        <v>120</v>
      </c>
      <c r="K763">
        <v>80</v>
      </c>
      <c r="L763">
        <v>210</v>
      </c>
      <c r="M763">
        <v>87</v>
      </c>
      <c r="N763">
        <v>472</v>
      </c>
      <c r="O763">
        <v>117</v>
      </c>
      <c r="P763">
        <v>28</v>
      </c>
      <c r="Q763">
        <v>62</v>
      </c>
      <c r="R763">
        <v>204</v>
      </c>
      <c r="S763">
        <v>0.97142857142857142</v>
      </c>
      <c r="T763">
        <v>0.77500000000000002</v>
      </c>
      <c r="U763">
        <v>0.96666666666666667</v>
      </c>
    </row>
    <row r="764" spans="1:21" x14ac:dyDescent="0.35">
      <c r="A764">
        <v>715</v>
      </c>
      <c r="B764" s="16">
        <v>40299</v>
      </c>
      <c r="C764" s="15" t="s">
        <v>37</v>
      </c>
      <c r="D764" s="15" t="s">
        <v>58</v>
      </c>
      <c r="E764" s="15" t="s">
        <v>51</v>
      </c>
      <c r="F764" s="15" t="s">
        <v>52</v>
      </c>
      <c r="G764" s="15" t="s">
        <v>62</v>
      </c>
      <c r="H764" s="15" t="s">
        <v>45</v>
      </c>
      <c r="I764">
        <v>40</v>
      </c>
      <c r="J764">
        <v>70</v>
      </c>
      <c r="K764">
        <v>50</v>
      </c>
      <c r="L764">
        <v>110</v>
      </c>
      <c r="M764">
        <v>48</v>
      </c>
      <c r="N764">
        <v>351</v>
      </c>
      <c r="O764">
        <v>82</v>
      </c>
      <c r="P764">
        <v>14</v>
      </c>
      <c r="Q764">
        <v>45</v>
      </c>
      <c r="R764">
        <v>130</v>
      </c>
      <c r="S764">
        <v>1.1818181818181819</v>
      </c>
      <c r="T764">
        <v>0.9</v>
      </c>
      <c r="U764">
        <v>1.2</v>
      </c>
    </row>
    <row r="765" spans="1:21" x14ac:dyDescent="0.35">
      <c r="A765">
        <v>262</v>
      </c>
      <c r="B765" s="16">
        <v>40299</v>
      </c>
      <c r="C765" s="15" t="s">
        <v>37</v>
      </c>
      <c r="D765" s="15" t="s">
        <v>58</v>
      </c>
      <c r="E765" s="15" t="s">
        <v>53</v>
      </c>
      <c r="F765" s="15" t="s">
        <v>52</v>
      </c>
      <c r="G765" s="15" t="s">
        <v>62</v>
      </c>
      <c r="H765" s="15" t="s">
        <v>45</v>
      </c>
      <c r="I765">
        <v>40</v>
      </c>
      <c r="J765">
        <v>70</v>
      </c>
      <c r="K765">
        <v>60</v>
      </c>
      <c r="L765">
        <v>110</v>
      </c>
      <c r="M765">
        <v>53</v>
      </c>
      <c r="N765">
        <v>803</v>
      </c>
      <c r="O765">
        <v>77</v>
      </c>
      <c r="P765">
        <v>14</v>
      </c>
      <c r="Q765">
        <v>51</v>
      </c>
      <c r="R765">
        <v>130</v>
      </c>
      <c r="S765">
        <v>1.1818181818181819</v>
      </c>
      <c r="T765">
        <v>0.85</v>
      </c>
      <c r="U765">
        <v>1.325</v>
      </c>
    </row>
    <row r="766" spans="1:21" x14ac:dyDescent="0.35">
      <c r="A766">
        <v>860</v>
      </c>
      <c r="B766" s="16">
        <v>40299</v>
      </c>
      <c r="C766" s="15" t="s">
        <v>63</v>
      </c>
      <c r="D766" s="15" t="s">
        <v>58</v>
      </c>
      <c r="E766" s="15" t="s">
        <v>55</v>
      </c>
      <c r="F766" s="15" t="s">
        <v>47</v>
      </c>
      <c r="G766" s="15" t="s">
        <v>64</v>
      </c>
      <c r="H766" s="15" t="s">
        <v>42</v>
      </c>
      <c r="I766">
        <v>40</v>
      </c>
      <c r="J766">
        <v>70</v>
      </c>
      <c r="K766">
        <v>50</v>
      </c>
      <c r="L766">
        <v>110</v>
      </c>
      <c r="M766">
        <v>44</v>
      </c>
      <c r="N766">
        <v>844</v>
      </c>
      <c r="O766">
        <v>65</v>
      </c>
      <c r="P766">
        <v>12</v>
      </c>
      <c r="Q766">
        <v>42</v>
      </c>
      <c r="R766">
        <v>109</v>
      </c>
      <c r="S766">
        <v>0.99090909090909096</v>
      </c>
      <c r="T766">
        <v>0.84</v>
      </c>
      <c r="U766">
        <v>1.1000000000000001</v>
      </c>
    </row>
    <row r="767" spans="1:21" x14ac:dyDescent="0.35">
      <c r="A767">
        <v>475</v>
      </c>
      <c r="B767" s="16">
        <v>40299</v>
      </c>
      <c r="C767" s="15" t="s">
        <v>63</v>
      </c>
      <c r="D767" s="15" t="s">
        <v>58</v>
      </c>
      <c r="E767" s="15" t="s">
        <v>46</v>
      </c>
      <c r="F767" s="15" t="s">
        <v>47</v>
      </c>
      <c r="G767" s="15" t="s">
        <v>64</v>
      </c>
      <c r="H767" s="15" t="s">
        <v>42</v>
      </c>
      <c r="I767">
        <v>20</v>
      </c>
      <c r="J767">
        <v>40</v>
      </c>
      <c r="K767">
        <v>30</v>
      </c>
      <c r="L767">
        <v>60</v>
      </c>
      <c r="M767">
        <v>23</v>
      </c>
      <c r="N767">
        <v>787</v>
      </c>
      <c r="O767">
        <v>34</v>
      </c>
      <c r="P767">
        <v>6</v>
      </c>
      <c r="Q767">
        <v>17</v>
      </c>
      <c r="R767">
        <v>57</v>
      </c>
      <c r="S767">
        <v>0.95</v>
      </c>
      <c r="T767">
        <v>0.56666666666666665</v>
      </c>
      <c r="U767">
        <v>1.1499999999999999</v>
      </c>
    </row>
    <row r="768" spans="1:21" x14ac:dyDescent="0.35">
      <c r="A768">
        <v>475</v>
      </c>
      <c r="B768" s="16">
        <v>40299</v>
      </c>
      <c r="C768" s="15" t="s">
        <v>63</v>
      </c>
      <c r="D768" s="15" t="s">
        <v>58</v>
      </c>
      <c r="E768" s="15" t="s">
        <v>48</v>
      </c>
      <c r="F768" s="15" t="s">
        <v>49</v>
      </c>
      <c r="G768" s="15" t="s">
        <v>64</v>
      </c>
      <c r="H768" s="15" t="s">
        <v>42</v>
      </c>
      <c r="I768">
        <v>60</v>
      </c>
      <c r="J768">
        <v>90</v>
      </c>
      <c r="K768">
        <v>20</v>
      </c>
      <c r="L768">
        <v>150</v>
      </c>
      <c r="M768">
        <v>64</v>
      </c>
      <c r="N768">
        <v>551</v>
      </c>
      <c r="O768">
        <v>90</v>
      </c>
      <c r="P768">
        <v>58</v>
      </c>
      <c r="Q768">
        <v>3</v>
      </c>
      <c r="R768">
        <v>154</v>
      </c>
      <c r="S768">
        <v>1.0266666666666666</v>
      </c>
      <c r="T768">
        <v>0.15</v>
      </c>
      <c r="U768">
        <v>1.0666666666666667</v>
      </c>
    </row>
    <row r="769" spans="1:21" x14ac:dyDescent="0.35">
      <c r="A769">
        <v>203</v>
      </c>
      <c r="B769" s="16">
        <v>40299</v>
      </c>
      <c r="C769" s="15" t="s">
        <v>63</v>
      </c>
      <c r="D769" s="15" t="s">
        <v>58</v>
      </c>
      <c r="E769" s="15" t="s">
        <v>50</v>
      </c>
      <c r="F769" s="15" t="s">
        <v>49</v>
      </c>
      <c r="G769" s="15" t="s">
        <v>64</v>
      </c>
      <c r="H769" s="15" t="s">
        <v>45</v>
      </c>
      <c r="I769">
        <v>40</v>
      </c>
      <c r="J769">
        <v>70</v>
      </c>
      <c r="K769">
        <v>40</v>
      </c>
      <c r="L769">
        <v>110</v>
      </c>
      <c r="M769">
        <v>48</v>
      </c>
      <c r="N769">
        <v>334</v>
      </c>
      <c r="O769">
        <v>65</v>
      </c>
      <c r="P769">
        <v>15</v>
      </c>
      <c r="Q769">
        <v>22</v>
      </c>
      <c r="R769">
        <v>113</v>
      </c>
      <c r="S769">
        <v>1.0272727272727273</v>
      </c>
      <c r="T769">
        <v>0.55000000000000004</v>
      </c>
      <c r="U769">
        <v>1.2</v>
      </c>
    </row>
    <row r="770" spans="1:21" x14ac:dyDescent="0.35">
      <c r="A770">
        <v>959</v>
      </c>
      <c r="B770" s="16">
        <v>40299</v>
      </c>
      <c r="C770" s="15" t="s">
        <v>63</v>
      </c>
      <c r="D770" s="15" t="s">
        <v>58</v>
      </c>
      <c r="E770" s="15" t="s">
        <v>43</v>
      </c>
      <c r="F770" s="15" t="s">
        <v>40</v>
      </c>
      <c r="G770" s="15" t="s">
        <v>64</v>
      </c>
      <c r="H770" s="15" t="s">
        <v>42</v>
      </c>
      <c r="I770">
        <v>100</v>
      </c>
      <c r="J770">
        <v>160</v>
      </c>
      <c r="K770">
        <v>110</v>
      </c>
      <c r="L770">
        <v>260</v>
      </c>
      <c r="M770">
        <v>110</v>
      </c>
      <c r="N770">
        <v>1020</v>
      </c>
      <c r="O770">
        <v>165</v>
      </c>
      <c r="P770">
        <v>36</v>
      </c>
      <c r="Q770">
        <v>98</v>
      </c>
      <c r="R770">
        <v>275</v>
      </c>
      <c r="S770">
        <v>1.0576923076923077</v>
      </c>
      <c r="T770">
        <v>0.89090909090909087</v>
      </c>
      <c r="U770">
        <v>1.1000000000000001</v>
      </c>
    </row>
    <row r="771" spans="1:21" x14ac:dyDescent="0.35">
      <c r="A771">
        <v>860</v>
      </c>
      <c r="B771" s="16">
        <v>40299</v>
      </c>
      <c r="C771" s="15" t="s">
        <v>63</v>
      </c>
      <c r="D771" s="15" t="s">
        <v>58</v>
      </c>
      <c r="E771" s="15" t="s">
        <v>53</v>
      </c>
      <c r="F771" s="15" t="s">
        <v>52</v>
      </c>
      <c r="G771" s="15" t="s">
        <v>64</v>
      </c>
      <c r="H771" s="15" t="s">
        <v>45</v>
      </c>
      <c r="I771">
        <v>50</v>
      </c>
      <c r="J771">
        <v>80</v>
      </c>
      <c r="K771">
        <v>40</v>
      </c>
      <c r="L771">
        <v>130</v>
      </c>
      <c r="M771">
        <v>77</v>
      </c>
      <c r="N771">
        <v>529</v>
      </c>
      <c r="O771">
        <v>96</v>
      </c>
      <c r="P771">
        <v>29</v>
      </c>
      <c r="Q771">
        <v>33</v>
      </c>
      <c r="R771">
        <v>173</v>
      </c>
      <c r="S771">
        <v>1.3307692307692307</v>
      </c>
      <c r="T771">
        <v>0.82499999999999996</v>
      </c>
      <c r="U771">
        <v>1.54</v>
      </c>
    </row>
    <row r="772" spans="1:21" x14ac:dyDescent="0.35">
      <c r="A772">
        <v>475</v>
      </c>
      <c r="B772" s="16">
        <v>40299</v>
      </c>
      <c r="C772" s="15" t="s">
        <v>63</v>
      </c>
      <c r="D772" s="15" t="s">
        <v>58</v>
      </c>
      <c r="E772" s="15" t="s">
        <v>54</v>
      </c>
      <c r="F772" s="15" t="s">
        <v>52</v>
      </c>
      <c r="G772" s="15" t="s">
        <v>64</v>
      </c>
      <c r="H772" s="15" t="s">
        <v>45</v>
      </c>
      <c r="I772">
        <v>50</v>
      </c>
      <c r="J772">
        <v>60</v>
      </c>
      <c r="K772">
        <v>40</v>
      </c>
      <c r="L772">
        <v>110</v>
      </c>
      <c r="M772">
        <v>68</v>
      </c>
      <c r="N772">
        <v>998</v>
      </c>
      <c r="O772">
        <v>80</v>
      </c>
      <c r="P772">
        <v>21</v>
      </c>
      <c r="Q772">
        <v>38</v>
      </c>
      <c r="R772">
        <v>148</v>
      </c>
      <c r="S772">
        <v>1.3454545454545455</v>
      </c>
      <c r="T772">
        <v>0.95</v>
      </c>
      <c r="U772">
        <v>1.36</v>
      </c>
    </row>
    <row r="773" spans="1:21" x14ac:dyDescent="0.35">
      <c r="A773">
        <v>352</v>
      </c>
      <c r="B773" s="16">
        <v>40299</v>
      </c>
      <c r="C773" s="15" t="s">
        <v>63</v>
      </c>
      <c r="D773" s="15" t="s">
        <v>38</v>
      </c>
      <c r="E773" s="15" t="s">
        <v>55</v>
      </c>
      <c r="F773" s="15" t="s">
        <v>47</v>
      </c>
      <c r="G773" s="15" t="s">
        <v>65</v>
      </c>
      <c r="H773" s="15" t="s">
        <v>42</v>
      </c>
      <c r="I773">
        <v>30</v>
      </c>
      <c r="J773">
        <v>60</v>
      </c>
      <c r="K773">
        <v>40</v>
      </c>
      <c r="L773">
        <v>90</v>
      </c>
      <c r="M773">
        <v>36</v>
      </c>
      <c r="N773">
        <v>838</v>
      </c>
      <c r="O773">
        <v>53</v>
      </c>
      <c r="P773">
        <v>10</v>
      </c>
      <c r="Q773">
        <v>32</v>
      </c>
      <c r="R773">
        <v>89</v>
      </c>
      <c r="S773">
        <v>0.98888888888888893</v>
      </c>
      <c r="T773">
        <v>0.8</v>
      </c>
      <c r="U773">
        <v>1.2</v>
      </c>
    </row>
    <row r="774" spans="1:21" x14ac:dyDescent="0.35">
      <c r="A774">
        <v>239</v>
      </c>
      <c r="B774" s="16">
        <v>40299</v>
      </c>
      <c r="C774" s="15" t="s">
        <v>63</v>
      </c>
      <c r="D774" s="15" t="s">
        <v>38</v>
      </c>
      <c r="E774" s="15" t="s">
        <v>46</v>
      </c>
      <c r="F774" s="15" t="s">
        <v>47</v>
      </c>
      <c r="G774" s="15" t="s">
        <v>65</v>
      </c>
      <c r="H774" s="15" t="s">
        <v>42</v>
      </c>
      <c r="I774">
        <v>50</v>
      </c>
      <c r="J774">
        <v>90</v>
      </c>
      <c r="K774">
        <v>70</v>
      </c>
      <c r="L774">
        <v>140</v>
      </c>
      <c r="M774">
        <v>53</v>
      </c>
      <c r="N774">
        <v>803</v>
      </c>
      <c r="O774">
        <v>77</v>
      </c>
      <c r="P774">
        <v>14</v>
      </c>
      <c r="Q774">
        <v>52</v>
      </c>
      <c r="R774">
        <v>130</v>
      </c>
      <c r="S774">
        <v>0.9285714285714286</v>
      </c>
      <c r="T774">
        <v>0.74285714285714288</v>
      </c>
      <c r="U774">
        <v>1.06</v>
      </c>
    </row>
    <row r="775" spans="1:21" x14ac:dyDescent="0.35">
      <c r="A775">
        <v>786</v>
      </c>
      <c r="B775" s="16">
        <v>40299</v>
      </c>
      <c r="C775" s="15" t="s">
        <v>63</v>
      </c>
      <c r="D775" s="15" t="s">
        <v>38</v>
      </c>
      <c r="E775" s="15" t="s">
        <v>48</v>
      </c>
      <c r="F775" s="15" t="s">
        <v>49</v>
      </c>
      <c r="G775" s="15" t="s">
        <v>65</v>
      </c>
      <c r="H775" s="15" t="s">
        <v>42</v>
      </c>
      <c r="I775">
        <v>80</v>
      </c>
      <c r="J775">
        <v>130</v>
      </c>
      <c r="K775">
        <v>40</v>
      </c>
      <c r="L775">
        <v>210</v>
      </c>
      <c r="M775">
        <v>92</v>
      </c>
      <c r="N775">
        <v>599</v>
      </c>
      <c r="O775">
        <v>129</v>
      </c>
      <c r="P775">
        <v>83</v>
      </c>
      <c r="Q775">
        <v>17</v>
      </c>
      <c r="R775">
        <v>221</v>
      </c>
      <c r="S775">
        <v>1.0523809523809524</v>
      </c>
      <c r="T775">
        <v>0.42499999999999999</v>
      </c>
      <c r="U775">
        <v>1.1499999999999999</v>
      </c>
    </row>
    <row r="776" spans="1:21" x14ac:dyDescent="0.35">
      <c r="A776">
        <v>863</v>
      </c>
      <c r="B776" s="16">
        <v>40299</v>
      </c>
      <c r="C776" s="15" t="s">
        <v>63</v>
      </c>
      <c r="D776" s="15" t="s">
        <v>38</v>
      </c>
      <c r="E776" s="15" t="s">
        <v>50</v>
      </c>
      <c r="F776" s="15" t="s">
        <v>49</v>
      </c>
      <c r="G776" s="15" t="s">
        <v>65</v>
      </c>
      <c r="H776" s="15" t="s">
        <v>45</v>
      </c>
      <c r="I776">
        <v>80</v>
      </c>
      <c r="J776">
        <v>110</v>
      </c>
      <c r="K776">
        <v>70</v>
      </c>
      <c r="L776">
        <v>190</v>
      </c>
      <c r="M776">
        <v>87</v>
      </c>
      <c r="N776">
        <v>472</v>
      </c>
      <c r="O776">
        <v>117</v>
      </c>
      <c r="P776">
        <v>28</v>
      </c>
      <c r="Q776">
        <v>62</v>
      </c>
      <c r="R776">
        <v>204</v>
      </c>
      <c r="S776">
        <v>1.0736842105263158</v>
      </c>
      <c r="T776">
        <v>0.88571428571428568</v>
      </c>
      <c r="U776">
        <v>1.0874999999999999</v>
      </c>
    </row>
    <row r="777" spans="1:21" x14ac:dyDescent="0.35">
      <c r="A777">
        <v>904</v>
      </c>
      <c r="B777" s="16">
        <v>40299</v>
      </c>
      <c r="C777" s="15" t="s">
        <v>63</v>
      </c>
      <c r="D777" s="15" t="s">
        <v>38</v>
      </c>
      <c r="E777" s="15" t="s">
        <v>43</v>
      </c>
      <c r="F777" s="15" t="s">
        <v>40</v>
      </c>
      <c r="G777" s="15" t="s">
        <v>65</v>
      </c>
      <c r="H777" s="15" t="s">
        <v>42</v>
      </c>
      <c r="I777">
        <v>90</v>
      </c>
      <c r="J777">
        <v>130</v>
      </c>
      <c r="K777">
        <v>90</v>
      </c>
      <c r="L777">
        <v>220</v>
      </c>
      <c r="M777">
        <v>94</v>
      </c>
      <c r="N777">
        <v>697</v>
      </c>
      <c r="O777">
        <v>141</v>
      </c>
      <c r="P777">
        <v>31</v>
      </c>
      <c r="Q777">
        <v>78</v>
      </c>
      <c r="R777">
        <v>235</v>
      </c>
      <c r="S777">
        <v>1.0681818181818181</v>
      </c>
      <c r="T777">
        <v>0.8666666666666667</v>
      </c>
      <c r="U777">
        <v>1.0444444444444445</v>
      </c>
    </row>
    <row r="778" spans="1:21" x14ac:dyDescent="0.35">
      <c r="A778">
        <v>321</v>
      </c>
      <c r="B778" s="16">
        <v>40299</v>
      </c>
      <c r="C778" s="15" t="s">
        <v>63</v>
      </c>
      <c r="D778" s="15" t="s">
        <v>38</v>
      </c>
      <c r="E778" s="15" t="s">
        <v>44</v>
      </c>
      <c r="F778" s="15" t="s">
        <v>40</v>
      </c>
      <c r="G778" s="15" t="s">
        <v>65</v>
      </c>
      <c r="H778" s="15" t="s">
        <v>45</v>
      </c>
      <c r="I778">
        <v>100</v>
      </c>
      <c r="J778">
        <v>150</v>
      </c>
      <c r="K778">
        <v>100</v>
      </c>
      <c r="L778">
        <v>250</v>
      </c>
      <c r="M778">
        <v>114</v>
      </c>
      <c r="N778">
        <v>555</v>
      </c>
      <c r="O778">
        <v>159</v>
      </c>
      <c r="P778">
        <v>35</v>
      </c>
      <c r="Q778">
        <v>100</v>
      </c>
      <c r="R778">
        <v>273</v>
      </c>
      <c r="S778">
        <v>1.0920000000000001</v>
      </c>
      <c r="T778">
        <v>1</v>
      </c>
      <c r="U778">
        <v>1.1399999999999999</v>
      </c>
    </row>
    <row r="779" spans="1:21" x14ac:dyDescent="0.35">
      <c r="A779">
        <v>941</v>
      </c>
      <c r="B779" s="16">
        <v>40299</v>
      </c>
      <c r="C779" s="15" t="s">
        <v>63</v>
      </c>
      <c r="D779" s="15" t="s">
        <v>38</v>
      </c>
      <c r="E779" s="15" t="s">
        <v>51</v>
      </c>
      <c r="F779" s="15" t="s">
        <v>52</v>
      </c>
      <c r="G779" s="15" t="s">
        <v>65</v>
      </c>
      <c r="H779" s="15" t="s">
        <v>45</v>
      </c>
      <c r="I779">
        <v>30</v>
      </c>
      <c r="J779">
        <v>50</v>
      </c>
      <c r="K779">
        <v>30</v>
      </c>
      <c r="L779">
        <v>80</v>
      </c>
      <c r="M779">
        <v>48</v>
      </c>
      <c r="N779">
        <v>599</v>
      </c>
      <c r="O779">
        <v>62</v>
      </c>
      <c r="P779">
        <v>15</v>
      </c>
      <c r="Q779">
        <v>35</v>
      </c>
      <c r="R779">
        <v>110</v>
      </c>
      <c r="S779">
        <v>1.375</v>
      </c>
      <c r="T779">
        <v>1.1666666666666667</v>
      </c>
      <c r="U779">
        <v>1.6</v>
      </c>
    </row>
    <row r="780" spans="1:21" x14ac:dyDescent="0.35">
      <c r="A780">
        <v>305</v>
      </c>
      <c r="B780" s="16">
        <v>40299</v>
      </c>
      <c r="C780" s="15" t="s">
        <v>63</v>
      </c>
      <c r="D780" s="15" t="s">
        <v>38</v>
      </c>
      <c r="E780" s="15" t="s">
        <v>53</v>
      </c>
      <c r="F780" s="15" t="s">
        <v>52</v>
      </c>
      <c r="G780" s="15" t="s">
        <v>65</v>
      </c>
      <c r="H780" s="15" t="s">
        <v>45</v>
      </c>
      <c r="I780">
        <v>40</v>
      </c>
      <c r="J780">
        <v>60</v>
      </c>
      <c r="K780">
        <v>30</v>
      </c>
      <c r="L780">
        <v>100</v>
      </c>
      <c r="M780">
        <v>58</v>
      </c>
      <c r="N780">
        <v>338</v>
      </c>
      <c r="O780">
        <v>72</v>
      </c>
      <c r="P780">
        <v>22</v>
      </c>
      <c r="Q780">
        <v>17</v>
      </c>
      <c r="R780">
        <v>130</v>
      </c>
      <c r="S780">
        <v>1.3</v>
      </c>
      <c r="T780">
        <v>0.56666666666666665</v>
      </c>
      <c r="U780">
        <v>1.45</v>
      </c>
    </row>
    <row r="781" spans="1:21" x14ac:dyDescent="0.35">
      <c r="A781">
        <v>239</v>
      </c>
      <c r="B781" s="16">
        <v>40299</v>
      </c>
      <c r="C781" s="15" t="s">
        <v>63</v>
      </c>
      <c r="D781" s="15" t="s">
        <v>38</v>
      </c>
      <c r="E781" s="15" t="s">
        <v>54</v>
      </c>
      <c r="F781" s="15" t="s">
        <v>52</v>
      </c>
      <c r="G781" s="15" t="s">
        <v>65</v>
      </c>
      <c r="H781" s="15" t="s">
        <v>45</v>
      </c>
      <c r="I781">
        <v>50</v>
      </c>
      <c r="J781">
        <v>80</v>
      </c>
      <c r="K781">
        <v>50</v>
      </c>
      <c r="L781">
        <v>130</v>
      </c>
      <c r="M781">
        <v>78</v>
      </c>
      <c r="N781">
        <v>995</v>
      </c>
      <c r="O781">
        <v>92</v>
      </c>
      <c r="P781">
        <v>24</v>
      </c>
      <c r="Q781">
        <v>47</v>
      </c>
      <c r="R781">
        <v>170</v>
      </c>
      <c r="S781">
        <v>1.3076923076923077</v>
      </c>
      <c r="T781">
        <v>0.94</v>
      </c>
      <c r="U781">
        <v>1.56</v>
      </c>
    </row>
    <row r="782" spans="1:21" x14ac:dyDescent="0.35">
      <c r="A782">
        <v>857</v>
      </c>
      <c r="B782" s="16">
        <v>40299</v>
      </c>
      <c r="C782" s="15" t="s">
        <v>63</v>
      </c>
      <c r="D782" s="15" t="s">
        <v>38</v>
      </c>
      <c r="E782" s="15" t="s">
        <v>55</v>
      </c>
      <c r="F782" s="15" t="s">
        <v>47</v>
      </c>
      <c r="G782" s="15" t="s">
        <v>66</v>
      </c>
      <c r="H782" s="15" t="s">
        <v>42</v>
      </c>
      <c r="I782">
        <v>30</v>
      </c>
      <c r="J782">
        <v>40</v>
      </c>
      <c r="K782">
        <v>30</v>
      </c>
      <c r="L782">
        <v>70</v>
      </c>
      <c r="M782">
        <v>29</v>
      </c>
      <c r="N782">
        <v>835</v>
      </c>
      <c r="O782">
        <v>42</v>
      </c>
      <c r="P782">
        <v>8</v>
      </c>
      <c r="Q782">
        <v>22</v>
      </c>
      <c r="R782">
        <v>71</v>
      </c>
      <c r="S782">
        <v>1.0142857142857142</v>
      </c>
      <c r="T782">
        <v>0.73333333333333328</v>
      </c>
      <c r="U782">
        <v>0.96666666666666667</v>
      </c>
    </row>
    <row r="783" spans="1:21" x14ac:dyDescent="0.35">
      <c r="A783">
        <v>413</v>
      </c>
      <c r="B783" s="16">
        <v>40299</v>
      </c>
      <c r="C783" s="15" t="s">
        <v>63</v>
      </c>
      <c r="D783" s="15" t="s">
        <v>38</v>
      </c>
      <c r="E783" s="15" t="s">
        <v>46</v>
      </c>
      <c r="F783" s="15" t="s">
        <v>47</v>
      </c>
      <c r="G783" s="15" t="s">
        <v>66</v>
      </c>
      <c r="H783" s="15" t="s">
        <v>42</v>
      </c>
      <c r="I783">
        <v>20</v>
      </c>
      <c r="J783">
        <v>30</v>
      </c>
      <c r="K783">
        <v>20</v>
      </c>
      <c r="L783">
        <v>50</v>
      </c>
      <c r="M783">
        <v>20</v>
      </c>
      <c r="N783">
        <v>464</v>
      </c>
      <c r="O783">
        <v>29</v>
      </c>
      <c r="P783">
        <v>5</v>
      </c>
      <c r="Q783">
        <v>12</v>
      </c>
      <c r="R783">
        <v>49</v>
      </c>
      <c r="S783">
        <v>0.98</v>
      </c>
      <c r="T783">
        <v>0.6</v>
      </c>
      <c r="U783">
        <v>1</v>
      </c>
    </row>
    <row r="784" spans="1:21" x14ac:dyDescent="0.35">
      <c r="A784">
        <v>413</v>
      </c>
      <c r="B784" s="16">
        <v>40299</v>
      </c>
      <c r="C784" s="15" t="s">
        <v>63</v>
      </c>
      <c r="D784" s="15" t="s">
        <v>38</v>
      </c>
      <c r="E784" s="15" t="s">
        <v>48</v>
      </c>
      <c r="F784" s="15" t="s">
        <v>49</v>
      </c>
      <c r="G784" s="15" t="s">
        <v>66</v>
      </c>
      <c r="H784" s="15" t="s">
        <v>42</v>
      </c>
      <c r="I784">
        <v>50</v>
      </c>
      <c r="J784">
        <v>60</v>
      </c>
      <c r="K784">
        <v>0</v>
      </c>
      <c r="L784">
        <v>110</v>
      </c>
      <c r="M784">
        <v>53</v>
      </c>
      <c r="N784">
        <v>491</v>
      </c>
      <c r="O784">
        <v>61</v>
      </c>
      <c r="P784">
        <v>48</v>
      </c>
      <c r="Q784">
        <v>-16</v>
      </c>
      <c r="R784">
        <v>114</v>
      </c>
      <c r="S784">
        <v>1.0363636363636364</v>
      </c>
      <c r="U784">
        <v>1.06</v>
      </c>
    </row>
    <row r="785" spans="1:21" x14ac:dyDescent="0.35">
      <c r="A785">
        <v>339</v>
      </c>
      <c r="B785" s="16">
        <v>40299</v>
      </c>
      <c r="C785" s="15" t="s">
        <v>63</v>
      </c>
      <c r="D785" s="15" t="s">
        <v>38</v>
      </c>
      <c r="E785" s="15" t="s">
        <v>67</v>
      </c>
      <c r="F785" s="15" t="s">
        <v>49</v>
      </c>
      <c r="G785" s="15" t="s">
        <v>66</v>
      </c>
      <c r="H785" s="15" t="s">
        <v>42</v>
      </c>
      <c r="I785">
        <v>140</v>
      </c>
      <c r="J785">
        <v>150</v>
      </c>
      <c r="K785">
        <v>100</v>
      </c>
      <c r="L785">
        <v>290</v>
      </c>
      <c r="M785">
        <v>149</v>
      </c>
      <c r="N785">
        <v>1156</v>
      </c>
      <c r="O785">
        <v>149</v>
      </c>
      <c r="P785">
        <v>41</v>
      </c>
      <c r="Q785">
        <v>84</v>
      </c>
      <c r="R785">
        <v>298</v>
      </c>
      <c r="S785">
        <v>1.0275862068965518</v>
      </c>
      <c r="T785">
        <v>0.84</v>
      </c>
      <c r="U785">
        <v>1.0642857142857143</v>
      </c>
    </row>
    <row r="786" spans="1:21" x14ac:dyDescent="0.35">
      <c r="A786">
        <v>978</v>
      </c>
      <c r="B786" s="16">
        <v>40299</v>
      </c>
      <c r="C786" s="15" t="s">
        <v>63</v>
      </c>
      <c r="D786" s="15" t="s">
        <v>38</v>
      </c>
      <c r="E786" s="15" t="s">
        <v>43</v>
      </c>
      <c r="F786" s="15" t="s">
        <v>40</v>
      </c>
      <c r="G786" s="15" t="s">
        <v>66</v>
      </c>
      <c r="H786" s="15" t="s">
        <v>42</v>
      </c>
      <c r="I786">
        <v>60</v>
      </c>
      <c r="J786">
        <v>460</v>
      </c>
      <c r="K786">
        <v>430</v>
      </c>
      <c r="L786">
        <v>520</v>
      </c>
      <c r="M786">
        <v>64</v>
      </c>
      <c r="N786">
        <v>-663</v>
      </c>
      <c r="O786">
        <v>487</v>
      </c>
      <c r="P786">
        <v>21</v>
      </c>
      <c r="Q786">
        <v>434</v>
      </c>
      <c r="R786">
        <v>551</v>
      </c>
      <c r="S786">
        <v>1.0596153846153846</v>
      </c>
      <c r="T786">
        <v>1.0093023255813953</v>
      </c>
      <c r="U786">
        <v>1.0666666666666667</v>
      </c>
    </row>
    <row r="787" spans="1:21" x14ac:dyDescent="0.35">
      <c r="A787">
        <v>857</v>
      </c>
      <c r="B787" s="16">
        <v>40299</v>
      </c>
      <c r="C787" s="15" t="s">
        <v>63</v>
      </c>
      <c r="D787" s="15" t="s">
        <v>38</v>
      </c>
      <c r="E787" s="15" t="s">
        <v>53</v>
      </c>
      <c r="F787" s="15" t="s">
        <v>52</v>
      </c>
      <c r="G787" s="15" t="s">
        <v>66</v>
      </c>
      <c r="H787" s="15" t="s">
        <v>45</v>
      </c>
      <c r="I787">
        <v>40</v>
      </c>
      <c r="J787">
        <v>50</v>
      </c>
      <c r="K787">
        <v>20</v>
      </c>
      <c r="L787">
        <v>90</v>
      </c>
      <c r="M787">
        <v>53</v>
      </c>
      <c r="N787">
        <v>361</v>
      </c>
      <c r="O787">
        <v>65</v>
      </c>
      <c r="P787">
        <v>20</v>
      </c>
      <c r="Q787">
        <v>12</v>
      </c>
      <c r="R787">
        <v>118</v>
      </c>
      <c r="S787">
        <v>1.3111111111111111</v>
      </c>
      <c r="T787">
        <v>0.6</v>
      </c>
      <c r="U787">
        <v>1.325</v>
      </c>
    </row>
    <row r="788" spans="1:21" x14ac:dyDescent="0.35">
      <c r="A788">
        <v>603</v>
      </c>
      <c r="B788" s="16">
        <v>40299</v>
      </c>
      <c r="C788" s="15" t="s">
        <v>63</v>
      </c>
      <c r="D788" s="15" t="s">
        <v>58</v>
      </c>
      <c r="E788" s="15" t="s">
        <v>55</v>
      </c>
      <c r="F788" s="15" t="s">
        <v>47</v>
      </c>
      <c r="G788" s="15" t="s">
        <v>68</v>
      </c>
      <c r="H788" s="15" t="s">
        <v>42</v>
      </c>
      <c r="I788">
        <v>20</v>
      </c>
      <c r="J788">
        <v>30</v>
      </c>
      <c r="K788">
        <v>20</v>
      </c>
      <c r="L788">
        <v>50</v>
      </c>
      <c r="M788">
        <v>20</v>
      </c>
      <c r="N788">
        <v>829</v>
      </c>
      <c r="O788">
        <v>29</v>
      </c>
      <c r="P788">
        <v>5</v>
      </c>
      <c r="Q788">
        <v>12</v>
      </c>
      <c r="R788">
        <v>49</v>
      </c>
      <c r="S788">
        <v>0.98</v>
      </c>
      <c r="T788">
        <v>0.6</v>
      </c>
      <c r="U788">
        <v>1</v>
      </c>
    </row>
    <row r="789" spans="1:21" x14ac:dyDescent="0.35">
      <c r="A789">
        <v>603</v>
      </c>
      <c r="B789" s="16">
        <v>40299</v>
      </c>
      <c r="C789" s="15" t="s">
        <v>63</v>
      </c>
      <c r="D789" s="15" t="s">
        <v>58</v>
      </c>
      <c r="E789" s="15" t="s">
        <v>46</v>
      </c>
      <c r="F789" s="15" t="s">
        <v>47</v>
      </c>
      <c r="G789" s="15" t="s">
        <v>68</v>
      </c>
      <c r="H789" s="15" t="s">
        <v>42</v>
      </c>
      <c r="I789">
        <v>0</v>
      </c>
      <c r="J789">
        <v>40</v>
      </c>
      <c r="K789">
        <v>30</v>
      </c>
      <c r="L789">
        <v>40</v>
      </c>
      <c r="M789">
        <v>0</v>
      </c>
      <c r="N789">
        <v>645</v>
      </c>
      <c r="O789">
        <v>43</v>
      </c>
      <c r="P789">
        <v>0</v>
      </c>
      <c r="Q789">
        <v>32</v>
      </c>
      <c r="R789">
        <v>43</v>
      </c>
      <c r="S789">
        <v>1.075</v>
      </c>
      <c r="T789">
        <v>1.0666666666666667</v>
      </c>
    </row>
    <row r="790" spans="1:21" x14ac:dyDescent="0.35">
      <c r="A790">
        <v>603</v>
      </c>
      <c r="B790" s="16">
        <v>40299</v>
      </c>
      <c r="C790" s="15" t="s">
        <v>63</v>
      </c>
      <c r="D790" s="15" t="s">
        <v>58</v>
      </c>
      <c r="E790" s="15" t="s">
        <v>48</v>
      </c>
      <c r="F790" s="15" t="s">
        <v>49</v>
      </c>
      <c r="G790" s="15" t="s">
        <v>68</v>
      </c>
      <c r="H790" s="15" t="s">
        <v>42</v>
      </c>
      <c r="I790">
        <v>40</v>
      </c>
      <c r="J790">
        <v>60</v>
      </c>
      <c r="K790">
        <v>10</v>
      </c>
      <c r="L790">
        <v>100</v>
      </c>
      <c r="M790">
        <v>43</v>
      </c>
      <c r="N790">
        <v>282</v>
      </c>
      <c r="O790">
        <v>61</v>
      </c>
      <c r="P790">
        <v>39</v>
      </c>
      <c r="Q790">
        <v>-7</v>
      </c>
      <c r="R790">
        <v>104</v>
      </c>
      <c r="S790">
        <v>1.04</v>
      </c>
      <c r="T790">
        <v>-0.7</v>
      </c>
      <c r="U790">
        <v>1.075</v>
      </c>
    </row>
    <row r="791" spans="1:21" x14ac:dyDescent="0.35">
      <c r="A791">
        <v>603</v>
      </c>
      <c r="B791" s="16">
        <v>40299</v>
      </c>
      <c r="C791" s="15" t="s">
        <v>63</v>
      </c>
      <c r="D791" s="15" t="s">
        <v>58</v>
      </c>
      <c r="E791" s="15" t="s">
        <v>67</v>
      </c>
      <c r="F791" s="15" t="s">
        <v>49</v>
      </c>
      <c r="G791" s="15" t="s">
        <v>68</v>
      </c>
      <c r="H791" s="15" t="s">
        <v>42</v>
      </c>
      <c r="I791">
        <v>30</v>
      </c>
      <c r="J791">
        <v>40</v>
      </c>
      <c r="K791">
        <v>0</v>
      </c>
      <c r="L791">
        <v>70</v>
      </c>
      <c r="M791">
        <v>34</v>
      </c>
      <c r="N791">
        <v>182</v>
      </c>
      <c r="O791">
        <v>42</v>
      </c>
      <c r="P791">
        <v>12</v>
      </c>
      <c r="Q791">
        <v>-3</v>
      </c>
      <c r="R791">
        <v>76</v>
      </c>
      <c r="S791">
        <v>1.0857142857142856</v>
      </c>
      <c r="U791">
        <v>1.1333333333333333</v>
      </c>
    </row>
    <row r="792" spans="1:21" x14ac:dyDescent="0.35">
      <c r="A792">
        <v>603</v>
      </c>
      <c r="B792" s="16">
        <v>40299</v>
      </c>
      <c r="C792" s="15" t="s">
        <v>63</v>
      </c>
      <c r="D792" s="15" t="s">
        <v>58</v>
      </c>
      <c r="E792" s="15" t="s">
        <v>39</v>
      </c>
      <c r="F792" s="15" t="s">
        <v>40</v>
      </c>
      <c r="G792" s="15" t="s">
        <v>68</v>
      </c>
      <c r="H792" s="15" t="s">
        <v>42</v>
      </c>
      <c r="I792">
        <v>40</v>
      </c>
      <c r="J792">
        <v>70</v>
      </c>
      <c r="K792">
        <v>40</v>
      </c>
      <c r="L792">
        <v>110</v>
      </c>
      <c r="M792">
        <v>51</v>
      </c>
      <c r="N792">
        <v>265</v>
      </c>
      <c r="O792">
        <v>74</v>
      </c>
      <c r="P792">
        <v>16</v>
      </c>
      <c r="Q792">
        <v>35</v>
      </c>
      <c r="R792">
        <v>125</v>
      </c>
      <c r="S792">
        <v>1.1363636363636365</v>
      </c>
      <c r="T792">
        <v>0.875</v>
      </c>
      <c r="U792">
        <v>1.2749999999999999</v>
      </c>
    </row>
    <row r="793" spans="1:21" x14ac:dyDescent="0.35">
      <c r="A793">
        <v>603</v>
      </c>
      <c r="B793" s="16">
        <v>40299</v>
      </c>
      <c r="C793" s="15" t="s">
        <v>63</v>
      </c>
      <c r="D793" s="15" t="s">
        <v>58</v>
      </c>
      <c r="E793" s="15" t="s">
        <v>43</v>
      </c>
      <c r="F793" s="15" t="s">
        <v>40</v>
      </c>
      <c r="G793" s="15" t="s">
        <v>68</v>
      </c>
      <c r="H793" s="15" t="s">
        <v>42</v>
      </c>
      <c r="I793">
        <v>40</v>
      </c>
      <c r="J793">
        <v>80</v>
      </c>
      <c r="K793">
        <v>50</v>
      </c>
      <c r="L793">
        <v>120</v>
      </c>
      <c r="M793">
        <v>52</v>
      </c>
      <c r="N793">
        <v>397</v>
      </c>
      <c r="O793">
        <v>80</v>
      </c>
      <c r="P793">
        <v>17</v>
      </c>
      <c r="Q793">
        <v>31</v>
      </c>
      <c r="R793">
        <v>132</v>
      </c>
      <c r="S793">
        <v>1.1000000000000001</v>
      </c>
      <c r="T793">
        <v>0.62</v>
      </c>
      <c r="U793">
        <v>1.3</v>
      </c>
    </row>
    <row r="794" spans="1:21" x14ac:dyDescent="0.35">
      <c r="A794">
        <v>603</v>
      </c>
      <c r="B794" s="16">
        <v>40299</v>
      </c>
      <c r="C794" s="15" t="s">
        <v>63</v>
      </c>
      <c r="D794" s="15" t="s">
        <v>58</v>
      </c>
      <c r="E794" s="15" t="s">
        <v>53</v>
      </c>
      <c r="F794" s="15" t="s">
        <v>52</v>
      </c>
      <c r="G794" s="15" t="s">
        <v>68</v>
      </c>
      <c r="H794" s="15" t="s">
        <v>45</v>
      </c>
      <c r="I794">
        <v>20</v>
      </c>
      <c r="J794">
        <v>40</v>
      </c>
      <c r="K794">
        <v>10</v>
      </c>
      <c r="L794">
        <v>60</v>
      </c>
      <c r="M794">
        <v>36</v>
      </c>
      <c r="N794">
        <v>212</v>
      </c>
      <c r="O794">
        <v>45</v>
      </c>
      <c r="P794">
        <v>13</v>
      </c>
      <c r="Q794">
        <v>-1</v>
      </c>
      <c r="R794">
        <v>81</v>
      </c>
      <c r="S794">
        <v>1.35</v>
      </c>
      <c r="T794">
        <v>-0.1</v>
      </c>
      <c r="U794">
        <v>1.8</v>
      </c>
    </row>
    <row r="795" spans="1:21" x14ac:dyDescent="0.35">
      <c r="A795">
        <v>518</v>
      </c>
      <c r="B795" s="16">
        <v>40299</v>
      </c>
      <c r="C795" s="15" t="s">
        <v>63</v>
      </c>
      <c r="D795" s="15" t="s">
        <v>38</v>
      </c>
      <c r="E795" s="15" t="s">
        <v>55</v>
      </c>
      <c r="F795" s="15" t="s">
        <v>47</v>
      </c>
      <c r="G795" s="15" t="s">
        <v>69</v>
      </c>
      <c r="H795" s="15" t="s">
        <v>42</v>
      </c>
      <c r="I795">
        <v>110</v>
      </c>
      <c r="J795">
        <v>160</v>
      </c>
      <c r="K795">
        <v>120</v>
      </c>
      <c r="L795">
        <v>270</v>
      </c>
      <c r="M795">
        <v>104</v>
      </c>
      <c r="N795">
        <v>871</v>
      </c>
      <c r="O795">
        <v>152</v>
      </c>
      <c r="P795">
        <v>29</v>
      </c>
      <c r="Q795">
        <v>112</v>
      </c>
      <c r="R795">
        <v>256</v>
      </c>
      <c r="S795">
        <v>0.94814814814814818</v>
      </c>
      <c r="T795">
        <v>0.93333333333333335</v>
      </c>
      <c r="U795">
        <v>0.94545454545454544</v>
      </c>
    </row>
    <row r="796" spans="1:21" x14ac:dyDescent="0.35">
      <c r="A796">
        <v>716</v>
      </c>
      <c r="B796" s="16">
        <v>40299</v>
      </c>
      <c r="C796" s="15" t="s">
        <v>63</v>
      </c>
      <c r="D796" s="15" t="s">
        <v>38</v>
      </c>
      <c r="E796" s="15" t="s">
        <v>56</v>
      </c>
      <c r="F796" s="15" t="s">
        <v>47</v>
      </c>
      <c r="G796" s="15" t="s">
        <v>69</v>
      </c>
      <c r="H796" s="15" t="s">
        <v>42</v>
      </c>
      <c r="I796">
        <v>110</v>
      </c>
      <c r="J796">
        <v>160</v>
      </c>
      <c r="K796">
        <v>120</v>
      </c>
      <c r="L796">
        <v>270</v>
      </c>
      <c r="M796">
        <v>104</v>
      </c>
      <c r="N796">
        <v>821</v>
      </c>
      <c r="O796">
        <v>152</v>
      </c>
      <c r="P796">
        <v>29</v>
      </c>
      <c r="Q796">
        <v>111</v>
      </c>
      <c r="R796">
        <v>256</v>
      </c>
      <c r="S796">
        <v>0.94814814814814818</v>
      </c>
      <c r="T796">
        <v>0.92500000000000004</v>
      </c>
      <c r="U796">
        <v>0.94545454545454544</v>
      </c>
    </row>
    <row r="797" spans="1:21" x14ac:dyDescent="0.35">
      <c r="A797">
        <v>516</v>
      </c>
      <c r="B797" s="16">
        <v>40299</v>
      </c>
      <c r="C797" s="15" t="s">
        <v>63</v>
      </c>
      <c r="D797" s="15" t="s">
        <v>38</v>
      </c>
      <c r="E797" s="15" t="s">
        <v>46</v>
      </c>
      <c r="F797" s="15" t="s">
        <v>47</v>
      </c>
      <c r="G797" s="15" t="s">
        <v>69</v>
      </c>
      <c r="H797" s="15" t="s">
        <v>42</v>
      </c>
      <c r="I797">
        <v>90</v>
      </c>
      <c r="J797">
        <v>130</v>
      </c>
      <c r="K797">
        <v>100</v>
      </c>
      <c r="L797">
        <v>220</v>
      </c>
      <c r="M797">
        <v>86</v>
      </c>
      <c r="N797">
        <v>499</v>
      </c>
      <c r="O797">
        <v>124</v>
      </c>
      <c r="P797">
        <v>24</v>
      </c>
      <c r="Q797">
        <v>89</v>
      </c>
      <c r="R797">
        <v>210</v>
      </c>
      <c r="S797">
        <v>0.95454545454545459</v>
      </c>
      <c r="T797">
        <v>0.89</v>
      </c>
      <c r="U797">
        <v>0.9555555555555556</v>
      </c>
    </row>
    <row r="798" spans="1:21" x14ac:dyDescent="0.35">
      <c r="A798">
        <v>646</v>
      </c>
      <c r="B798" s="16">
        <v>40299</v>
      </c>
      <c r="C798" s="15" t="s">
        <v>63</v>
      </c>
      <c r="D798" s="15" t="s">
        <v>38</v>
      </c>
      <c r="E798" s="15" t="s">
        <v>48</v>
      </c>
      <c r="F798" s="15" t="s">
        <v>49</v>
      </c>
      <c r="G798" s="15" t="s">
        <v>69</v>
      </c>
      <c r="H798" s="15" t="s">
        <v>42</v>
      </c>
      <c r="I798">
        <v>110</v>
      </c>
      <c r="J798">
        <v>-50</v>
      </c>
      <c r="K798">
        <v>-180</v>
      </c>
      <c r="L798">
        <v>60</v>
      </c>
      <c r="M798">
        <v>121</v>
      </c>
      <c r="N798">
        <v>1673</v>
      </c>
      <c r="O798">
        <v>-52</v>
      </c>
      <c r="P798">
        <v>109</v>
      </c>
      <c r="Q798">
        <v>-195</v>
      </c>
      <c r="R798">
        <v>69</v>
      </c>
      <c r="S798">
        <v>1.1499999999999999</v>
      </c>
      <c r="T798">
        <v>1.0833333333333333</v>
      </c>
      <c r="U798">
        <v>1.1000000000000001</v>
      </c>
    </row>
    <row r="799" spans="1:21" x14ac:dyDescent="0.35">
      <c r="A799">
        <v>212</v>
      </c>
      <c r="B799" s="16">
        <v>40299</v>
      </c>
      <c r="C799" s="15" t="s">
        <v>63</v>
      </c>
      <c r="D799" s="15" t="s">
        <v>38</v>
      </c>
      <c r="E799" s="15" t="s">
        <v>67</v>
      </c>
      <c r="F799" s="15" t="s">
        <v>49</v>
      </c>
      <c r="G799" s="15" t="s">
        <v>69</v>
      </c>
      <c r="H799" s="15" t="s">
        <v>42</v>
      </c>
      <c r="I799">
        <v>240</v>
      </c>
      <c r="J799">
        <v>290</v>
      </c>
      <c r="K799">
        <v>210</v>
      </c>
      <c r="L799">
        <v>530</v>
      </c>
      <c r="M799">
        <v>260</v>
      </c>
      <c r="N799">
        <v>1271</v>
      </c>
      <c r="O799">
        <v>283</v>
      </c>
      <c r="P799">
        <v>72</v>
      </c>
      <c r="Q799">
        <v>187</v>
      </c>
      <c r="R799">
        <v>543</v>
      </c>
      <c r="S799">
        <v>1.0245283018867926</v>
      </c>
      <c r="T799">
        <v>0.89047619047619042</v>
      </c>
      <c r="U799">
        <v>1.0833333333333333</v>
      </c>
    </row>
    <row r="800" spans="1:21" x14ac:dyDescent="0.35">
      <c r="A800">
        <v>585</v>
      </c>
      <c r="B800" s="16">
        <v>40299</v>
      </c>
      <c r="C800" s="15" t="s">
        <v>63</v>
      </c>
      <c r="D800" s="15" t="s">
        <v>38</v>
      </c>
      <c r="E800" s="15" t="s">
        <v>43</v>
      </c>
      <c r="F800" s="15" t="s">
        <v>40</v>
      </c>
      <c r="G800" s="15" t="s">
        <v>69</v>
      </c>
      <c r="H800" s="15" t="s">
        <v>42</v>
      </c>
      <c r="I800">
        <v>280</v>
      </c>
      <c r="J800">
        <v>430</v>
      </c>
      <c r="K800">
        <v>300</v>
      </c>
      <c r="L800">
        <v>710</v>
      </c>
      <c r="M800">
        <v>302</v>
      </c>
      <c r="N800">
        <v>2250</v>
      </c>
      <c r="O800">
        <v>454</v>
      </c>
      <c r="P800">
        <v>105</v>
      </c>
      <c r="Q800">
        <v>295</v>
      </c>
      <c r="R800">
        <v>756</v>
      </c>
      <c r="S800">
        <v>1.0647887323943661</v>
      </c>
      <c r="T800">
        <v>0.98333333333333328</v>
      </c>
      <c r="U800">
        <v>1.0785714285714285</v>
      </c>
    </row>
    <row r="801" spans="1:21" x14ac:dyDescent="0.35">
      <c r="A801">
        <v>315</v>
      </c>
      <c r="B801" s="16">
        <v>40299</v>
      </c>
      <c r="C801" s="15" t="s">
        <v>63</v>
      </c>
      <c r="D801" s="15" t="s">
        <v>38</v>
      </c>
      <c r="E801" s="15" t="s">
        <v>53</v>
      </c>
      <c r="F801" s="15" t="s">
        <v>52</v>
      </c>
      <c r="G801" s="15" t="s">
        <v>69</v>
      </c>
      <c r="H801" s="15" t="s">
        <v>45</v>
      </c>
      <c r="I801">
        <v>200</v>
      </c>
      <c r="J801">
        <v>300</v>
      </c>
      <c r="K801">
        <v>200</v>
      </c>
      <c r="L801">
        <v>500</v>
      </c>
      <c r="M801">
        <v>265</v>
      </c>
      <c r="N801">
        <v>1613</v>
      </c>
      <c r="O801">
        <v>386</v>
      </c>
      <c r="P801">
        <v>100</v>
      </c>
      <c r="Q801">
        <v>252</v>
      </c>
      <c r="R801">
        <v>651</v>
      </c>
      <c r="S801">
        <v>1.302</v>
      </c>
      <c r="T801">
        <v>1.26</v>
      </c>
      <c r="U801">
        <v>1.325</v>
      </c>
    </row>
    <row r="802" spans="1:21" x14ac:dyDescent="0.35">
      <c r="A802">
        <v>315</v>
      </c>
      <c r="B802" s="16">
        <v>40299</v>
      </c>
      <c r="C802" s="15" t="s">
        <v>63</v>
      </c>
      <c r="D802" s="15" t="s">
        <v>38</v>
      </c>
      <c r="E802" s="15" t="s">
        <v>54</v>
      </c>
      <c r="F802" s="15" t="s">
        <v>52</v>
      </c>
      <c r="G802" s="15" t="s">
        <v>69</v>
      </c>
      <c r="H802" s="15" t="s">
        <v>45</v>
      </c>
      <c r="I802">
        <v>170</v>
      </c>
      <c r="J802">
        <v>-20</v>
      </c>
      <c r="K802">
        <v>-90</v>
      </c>
      <c r="L802">
        <v>150</v>
      </c>
      <c r="M802">
        <v>235</v>
      </c>
      <c r="N802">
        <v>2169</v>
      </c>
      <c r="O802">
        <v>-37</v>
      </c>
      <c r="P802">
        <v>72</v>
      </c>
      <c r="Q802">
        <v>-131</v>
      </c>
      <c r="R802">
        <v>198</v>
      </c>
      <c r="S802">
        <v>1.32</v>
      </c>
      <c r="T802">
        <v>1.4555555555555555</v>
      </c>
      <c r="U802">
        <v>1.3823529411764706</v>
      </c>
    </row>
    <row r="803" spans="1:21" x14ac:dyDescent="0.35">
      <c r="A803">
        <v>318</v>
      </c>
      <c r="B803" s="16">
        <v>40299</v>
      </c>
      <c r="C803" s="15" t="s">
        <v>70</v>
      </c>
      <c r="D803" s="15" t="s">
        <v>58</v>
      </c>
      <c r="E803" s="15" t="s">
        <v>50</v>
      </c>
      <c r="F803" s="15" t="s">
        <v>49</v>
      </c>
      <c r="G803" s="15" t="s">
        <v>71</v>
      </c>
      <c r="H803" s="15" t="s">
        <v>45</v>
      </c>
      <c r="I803">
        <v>30</v>
      </c>
      <c r="J803">
        <v>60</v>
      </c>
      <c r="K803">
        <v>40</v>
      </c>
      <c r="L803">
        <v>90</v>
      </c>
      <c r="M803">
        <v>45</v>
      </c>
      <c r="N803">
        <v>410</v>
      </c>
      <c r="O803">
        <v>65</v>
      </c>
      <c r="P803">
        <v>14</v>
      </c>
      <c r="Q803">
        <v>28</v>
      </c>
      <c r="R803">
        <v>110</v>
      </c>
      <c r="S803">
        <v>1.2222222222222223</v>
      </c>
      <c r="T803">
        <v>0.7</v>
      </c>
      <c r="U803">
        <v>1.5</v>
      </c>
    </row>
    <row r="804" spans="1:21" x14ac:dyDescent="0.35">
      <c r="A804">
        <v>985</v>
      </c>
      <c r="B804" s="16">
        <v>40299</v>
      </c>
      <c r="C804" s="15" t="s">
        <v>70</v>
      </c>
      <c r="D804" s="15" t="s">
        <v>58</v>
      </c>
      <c r="E804" s="15" t="s">
        <v>72</v>
      </c>
      <c r="F804" s="15" t="s">
        <v>49</v>
      </c>
      <c r="G804" s="15" t="s">
        <v>71</v>
      </c>
      <c r="H804" s="15" t="s">
        <v>42</v>
      </c>
      <c r="I804">
        <v>50</v>
      </c>
      <c r="J804">
        <v>80</v>
      </c>
      <c r="K804">
        <v>10</v>
      </c>
      <c r="L804">
        <v>130</v>
      </c>
      <c r="M804">
        <v>64</v>
      </c>
      <c r="N804">
        <v>-113</v>
      </c>
      <c r="O804">
        <v>90</v>
      </c>
      <c r="P804">
        <v>58</v>
      </c>
      <c r="Q804">
        <v>3</v>
      </c>
      <c r="R804">
        <v>154</v>
      </c>
      <c r="S804">
        <v>1.1846153846153846</v>
      </c>
      <c r="T804">
        <v>0.3</v>
      </c>
      <c r="U804">
        <v>1.28</v>
      </c>
    </row>
    <row r="805" spans="1:21" x14ac:dyDescent="0.35">
      <c r="A805">
        <v>225</v>
      </c>
      <c r="B805" s="16">
        <v>40299</v>
      </c>
      <c r="C805" s="15" t="s">
        <v>70</v>
      </c>
      <c r="D805" s="15" t="s">
        <v>58</v>
      </c>
      <c r="E805" s="15" t="s">
        <v>48</v>
      </c>
      <c r="F805" s="15" t="s">
        <v>49</v>
      </c>
      <c r="G805" s="15" t="s">
        <v>71</v>
      </c>
      <c r="H805" s="15" t="s">
        <v>42</v>
      </c>
      <c r="I805">
        <v>40</v>
      </c>
      <c r="J805">
        <v>70</v>
      </c>
      <c r="K805">
        <v>50</v>
      </c>
      <c r="L805">
        <v>110</v>
      </c>
      <c r="M805">
        <v>48</v>
      </c>
      <c r="N805">
        <v>351</v>
      </c>
      <c r="O805">
        <v>82</v>
      </c>
      <c r="P805">
        <v>14</v>
      </c>
      <c r="Q805">
        <v>44</v>
      </c>
      <c r="R805">
        <v>130</v>
      </c>
      <c r="S805">
        <v>1.1818181818181819</v>
      </c>
      <c r="T805">
        <v>0.88</v>
      </c>
      <c r="U805">
        <v>1.2</v>
      </c>
    </row>
    <row r="806" spans="1:21" x14ac:dyDescent="0.35">
      <c r="A806">
        <v>985</v>
      </c>
      <c r="B806" s="16">
        <v>40299</v>
      </c>
      <c r="C806" s="15" t="s">
        <v>70</v>
      </c>
      <c r="D806" s="15" t="s">
        <v>58</v>
      </c>
      <c r="E806" s="15" t="s">
        <v>51</v>
      </c>
      <c r="F806" s="15" t="s">
        <v>52</v>
      </c>
      <c r="G806" s="15" t="s">
        <v>71</v>
      </c>
      <c r="H806" s="15" t="s">
        <v>45</v>
      </c>
      <c r="I806">
        <v>40</v>
      </c>
      <c r="J806">
        <v>60</v>
      </c>
      <c r="K806">
        <v>40</v>
      </c>
      <c r="L806">
        <v>100</v>
      </c>
      <c r="M806">
        <v>48</v>
      </c>
      <c r="N806">
        <v>599</v>
      </c>
      <c r="O806">
        <v>63</v>
      </c>
      <c r="P806">
        <v>15</v>
      </c>
      <c r="Q806">
        <v>35</v>
      </c>
      <c r="R806">
        <v>111</v>
      </c>
      <c r="S806">
        <v>1.1100000000000001</v>
      </c>
      <c r="T806">
        <v>0.875</v>
      </c>
      <c r="U806">
        <v>1.2</v>
      </c>
    </row>
    <row r="807" spans="1:21" x14ac:dyDescent="0.35">
      <c r="A807">
        <v>337</v>
      </c>
      <c r="B807" s="16">
        <v>40299</v>
      </c>
      <c r="C807" s="15" t="s">
        <v>70</v>
      </c>
      <c r="D807" s="15" t="s">
        <v>58</v>
      </c>
      <c r="E807" s="15" t="s">
        <v>53</v>
      </c>
      <c r="F807" s="15" t="s">
        <v>52</v>
      </c>
      <c r="G807" s="15" t="s">
        <v>71</v>
      </c>
      <c r="H807" s="15" t="s">
        <v>45</v>
      </c>
      <c r="I807">
        <v>70</v>
      </c>
      <c r="J807">
        <v>90</v>
      </c>
      <c r="K807">
        <v>40</v>
      </c>
      <c r="L807">
        <v>160</v>
      </c>
      <c r="M807">
        <v>77</v>
      </c>
      <c r="N807">
        <v>529</v>
      </c>
      <c r="O807">
        <v>96</v>
      </c>
      <c r="P807">
        <v>29</v>
      </c>
      <c r="Q807">
        <v>33</v>
      </c>
      <c r="R807">
        <v>173</v>
      </c>
      <c r="S807">
        <v>1.08125</v>
      </c>
      <c r="T807">
        <v>0.82499999999999996</v>
      </c>
      <c r="U807">
        <v>1.1000000000000001</v>
      </c>
    </row>
    <row r="808" spans="1:21" x14ac:dyDescent="0.35">
      <c r="A808">
        <v>318</v>
      </c>
      <c r="B808" s="16">
        <v>40299</v>
      </c>
      <c r="C808" s="15" t="s">
        <v>70</v>
      </c>
      <c r="D808" s="15" t="s">
        <v>58</v>
      </c>
      <c r="E808" s="15" t="s">
        <v>43</v>
      </c>
      <c r="F808" s="15" t="s">
        <v>40</v>
      </c>
      <c r="G808" s="15" t="s">
        <v>71</v>
      </c>
      <c r="H808" s="15" t="s">
        <v>42</v>
      </c>
      <c r="I808">
        <v>50</v>
      </c>
      <c r="J808">
        <v>70</v>
      </c>
      <c r="K808">
        <v>50</v>
      </c>
      <c r="L808">
        <v>120</v>
      </c>
      <c r="M808">
        <v>40</v>
      </c>
      <c r="N808">
        <v>793</v>
      </c>
      <c r="O808">
        <v>59</v>
      </c>
      <c r="P808">
        <v>11</v>
      </c>
      <c r="Q808">
        <v>36</v>
      </c>
      <c r="R808">
        <v>99</v>
      </c>
      <c r="S808">
        <v>0.82499999999999996</v>
      </c>
      <c r="T808">
        <v>0.72</v>
      </c>
      <c r="U808">
        <v>0.8</v>
      </c>
    </row>
    <row r="809" spans="1:21" x14ac:dyDescent="0.35">
      <c r="A809">
        <v>318</v>
      </c>
      <c r="B809" s="16">
        <v>40299</v>
      </c>
      <c r="C809" s="15" t="s">
        <v>70</v>
      </c>
      <c r="D809" s="15" t="s">
        <v>58</v>
      </c>
      <c r="E809" s="15" t="s">
        <v>44</v>
      </c>
      <c r="F809" s="15" t="s">
        <v>40</v>
      </c>
      <c r="G809" s="15" t="s">
        <v>71</v>
      </c>
      <c r="H809" s="15" t="s">
        <v>45</v>
      </c>
      <c r="I809">
        <v>60</v>
      </c>
      <c r="J809">
        <v>100</v>
      </c>
      <c r="K809">
        <v>80</v>
      </c>
      <c r="L809">
        <v>160</v>
      </c>
      <c r="M809">
        <v>53</v>
      </c>
      <c r="N809">
        <v>803</v>
      </c>
      <c r="O809">
        <v>77</v>
      </c>
      <c r="P809">
        <v>14</v>
      </c>
      <c r="Q809">
        <v>52</v>
      </c>
      <c r="R809">
        <v>130</v>
      </c>
      <c r="S809">
        <v>0.8125</v>
      </c>
      <c r="T809">
        <v>0.65</v>
      </c>
      <c r="U809">
        <v>0.8833333333333333</v>
      </c>
    </row>
    <row r="810" spans="1:21" x14ac:dyDescent="0.35">
      <c r="A810">
        <v>505</v>
      </c>
      <c r="B810" s="16">
        <v>40299</v>
      </c>
      <c r="C810" s="15" t="s">
        <v>70</v>
      </c>
      <c r="D810" s="15" t="s">
        <v>58</v>
      </c>
      <c r="E810" s="15" t="s">
        <v>50</v>
      </c>
      <c r="F810" s="15" t="s">
        <v>49</v>
      </c>
      <c r="G810" s="15" t="s">
        <v>73</v>
      </c>
      <c r="H810" s="15" t="s">
        <v>45</v>
      </c>
      <c r="I810">
        <v>30</v>
      </c>
      <c r="J810">
        <v>40</v>
      </c>
      <c r="K810">
        <v>10</v>
      </c>
      <c r="L810">
        <v>70</v>
      </c>
      <c r="M810">
        <v>39</v>
      </c>
      <c r="N810">
        <v>212</v>
      </c>
      <c r="O810">
        <v>53</v>
      </c>
      <c r="P810">
        <v>12</v>
      </c>
      <c r="Q810">
        <v>14</v>
      </c>
      <c r="R810">
        <v>92</v>
      </c>
      <c r="S810">
        <v>1.3142857142857143</v>
      </c>
      <c r="T810">
        <v>1.4</v>
      </c>
      <c r="U810">
        <v>1.3</v>
      </c>
    </row>
    <row r="811" spans="1:21" x14ac:dyDescent="0.35">
      <c r="A811">
        <v>505</v>
      </c>
      <c r="B811" s="16">
        <v>40299</v>
      </c>
      <c r="C811" s="15" t="s">
        <v>70</v>
      </c>
      <c r="D811" s="15" t="s">
        <v>58</v>
      </c>
      <c r="E811" s="15" t="s">
        <v>72</v>
      </c>
      <c r="F811" s="15" t="s">
        <v>49</v>
      </c>
      <c r="G811" s="15" t="s">
        <v>73</v>
      </c>
      <c r="H811" s="15" t="s">
        <v>42</v>
      </c>
      <c r="I811">
        <v>20</v>
      </c>
      <c r="J811">
        <v>40</v>
      </c>
      <c r="K811">
        <v>10</v>
      </c>
      <c r="L811">
        <v>60</v>
      </c>
      <c r="M811">
        <v>34</v>
      </c>
      <c r="N811">
        <v>-104</v>
      </c>
      <c r="O811">
        <v>42</v>
      </c>
      <c r="P811">
        <v>12</v>
      </c>
      <c r="Q811">
        <v>-4</v>
      </c>
      <c r="R811">
        <v>76</v>
      </c>
      <c r="S811">
        <v>1.2666666666666666</v>
      </c>
      <c r="T811">
        <v>-0.4</v>
      </c>
      <c r="U811">
        <v>1.7</v>
      </c>
    </row>
    <row r="812" spans="1:21" x14ac:dyDescent="0.35">
      <c r="A812">
        <v>505</v>
      </c>
      <c r="B812" s="16">
        <v>40299</v>
      </c>
      <c r="C812" s="15" t="s">
        <v>70</v>
      </c>
      <c r="D812" s="15" t="s">
        <v>58</v>
      </c>
      <c r="E812" s="15" t="s">
        <v>48</v>
      </c>
      <c r="F812" s="15" t="s">
        <v>49</v>
      </c>
      <c r="G812" s="15" t="s">
        <v>73</v>
      </c>
      <c r="H812" s="15" t="s">
        <v>42</v>
      </c>
      <c r="I812">
        <v>30</v>
      </c>
      <c r="J812">
        <v>50</v>
      </c>
      <c r="K812">
        <v>0</v>
      </c>
      <c r="L812">
        <v>80</v>
      </c>
      <c r="M812">
        <v>43</v>
      </c>
      <c r="N812">
        <v>282</v>
      </c>
      <c r="O812">
        <v>61</v>
      </c>
      <c r="P812">
        <v>39</v>
      </c>
      <c r="Q812">
        <v>-7</v>
      </c>
      <c r="R812">
        <v>104</v>
      </c>
      <c r="S812">
        <v>1.3</v>
      </c>
      <c r="U812">
        <v>1.4333333333333333</v>
      </c>
    </row>
    <row r="813" spans="1:21" x14ac:dyDescent="0.35">
      <c r="A813">
        <v>505</v>
      </c>
      <c r="B813" s="16">
        <v>40299</v>
      </c>
      <c r="C813" s="15" t="s">
        <v>70</v>
      </c>
      <c r="D813" s="15" t="s">
        <v>58</v>
      </c>
      <c r="E813" s="15" t="s">
        <v>51</v>
      </c>
      <c r="F813" s="15" t="s">
        <v>52</v>
      </c>
      <c r="G813" s="15" t="s">
        <v>73</v>
      </c>
      <c r="H813" s="15" t="s">
        <v>45</v>
      </c>
      <c r="I813">
        <v>10</v>
      </c>
      <c r="J813">
        <v>30</v>
      </c>
      <c r="K813">
        <v>20</v>
      </c>
      <c r="L813">
        <v>40</v>
      </c>
      <c r="M813">
        <v>20</v>
      </c>
      <c r="N813">
        <v>829</v>
      </c>
      <c r="O813">
        <v>29</v>
      </c>
      <c r="P813">
        <v>5</v>
      </c>
      <c r="Q813">
        <v>12</v>
      </c>
      <c r="R813">
        <v>49</v>
      </c>
      <c r="S813">
        <v>1.2250000000000001</v>
      </c>
      <c r="T813">
        <v>0.6</v>
      </c>
      <c r="U813">
        <v>2</v>
      </c>
    </row>
    <row r="814" spans="1:21" x14ac:dyDescent="0.35">
      <c r="A814">
        <v>505</v>
      </c>
      <c r="B814" s="16">
        <v>40299</v>
      </c>
      <c r="C814" s="15" t="s">
        <v>70</v>
      </c>
      <c r="D814" s="15" t="s">
        <v>58</v>
      </c>
      <c r="E814" s="15" t="s">
        <v>53</v>
      </c>
      <c r="F814" s="15" t="s">
        <v>52</v>
      </c>
      <c r="G814" s="15" t="s">
        <v>73</v>
      </c>
      <c r="H814" s="15" t="s">
        <v>45</v>
      </c>
      <c r="I814">
        <v>20</v>
      </c>
      <c r="J814">
        <v>40</v>
      </c>
      <c r="K814">
        <v>20</v>
      </c>
      <c r="L814">
        <v>60</v>
      </c>
      <c r="M814">
        <v>31</v>
      </c>
      <c r="N814">
        <v>976</v>
      </c>
      <c r="O814">
        <v>37</v>
      </c>
      <c r="P814">
        <v>9</v>
      </c>
      <c r="Q814">
        <v>7</v>
      </c>
      <c r="R814">
        <v>68</v>
      </c>
      <c r="S814">
        <v>1.1333333333333333</v>
      </c>
      <c r="T814">
        <v>0.35</v>
      </c>
      <c r="U814">
        <v>1.55</v>
      </c>
    </row>
    <row r="815" spans="1:21" x14ac:dyDescent="0.35">
      <c r="A815">
        <v>505</v>
      </c>
      <c r="B815" s="16">
        <v>40299</v>
      </c>
      <c r="C815" s="15" t="s">
        <v>70</v>
      </c>
      <c r="D815" s="15" t="s">
        <v>58</v>
      </c>
      <c r="E815" s="15" t="s">
        <v>43</v>
      </c>
      <c r="F815" s="15" t="s">
        <v>40</v>
      </c>
      <c r="G815" s="15" t="s">
        <v>73</v>
      </c>
      <c r="H815" s="15" t="s">
        <v>42</v>
      </c>
      <c r="I815">
        <v>60</v>
      </c>
      <c r="J815">
        <v>100</v>
      </c>
      <c r="K815">
        <v>60</v>
      </c>
      <c r="L815">
        <v>160</v>
      </c>
      <c r="M815">
        <v>52</v>
      </c>
      <c r="N815">
        <v>397</v>
      </c>
      <c r="O815">
        <v>80</v>
      </c>
      <c r="P815">
        <v>17</v>
      </c>
      <c r="Q815">
        <v>31</v>
      </c>
      <c r="R815">
        <v>132</v>
      </c>
      <c r="S815">
        <v>0.82499999999999996</v>
      </c>
      <c r="T815">
        <v>0.51666666666666672</v>
      </c>
      <c r="U815">
        <v>0.8666666666666667</v>
      </c>
    </row>
    <row r="816" spans="1:21" x14ac:dyDescent="0.35">
      <c r="A816">
        <v>505</v>
      </c>
      <c r="B816" s="16">
        <v>40299</v>
      </c>
      <c r="C816" s="15" t="s">
        <v>70</v>
      </c>
      <c r="D816" s="15" t="s">
        <v>58</v>
      </c>
      <c r="E816" s="15" t="s">
        <v>44</v>
      </c>
      <c r="F816" s="15" t="s">
        <v>40</v>
      </c>
      <c r="G816" s="15" t="s">
        <v>73</v>
      </c>
      <c r="H816" s="15" t="s">
        <v>45</v>
      </c>
      <c r="I816">
        <v>120</v>
      </c>
      <c r="J816">
        <v>50</v>
      </c>
      <c r="K816">
        <v>10</v>
      </c>
      <c r="L816">
        <v>170</v>
      </c>
      <c r="M816">
        <v>98</v>
      </c>
      <c r="N816">
        <v>973</v>
      </c>
      <c r="O816">
        <v>38</v>
      </c>
      <c r="P816">
        <v>30</v>
      </c>
      <c r="Q816">
        <v>-15</v>
      </c>
      <c r="R816">
        <v>136</v>
      </c>
      <c r="S816">
        <v>0.8</v>
      </c>
      <c r="T816">
        <v>-1.5</v>
      </c>
      <c r="U816">
        <v>0.81666666666666665</v>
      </c>
    </row>
    <row r="817" spans="1:21" x14ac:dyDescent="0.35">
      <c r="A817">
        <v>405</v>
      </c>
      <c r="B817" s="16">
        <v>40299</v>
      </c>
      <c r="C817" s="15" t="s">
        <v>70</v>
      </c>
      <c r="D817" s="15" t="s">
        <v>58</v>
      </c>
      <c r="E817" s="15" t="s">
        <v>50</v>
      </c>
      <c r="F817" s="15" t="s">
        <v>49</v>
      </c>
      <c r="G817" s="15" t="s">
        <v>74</v>
      </c>
      <c r="H817" s="15" t="s">
        <v>45</v>
      </c>
      <c r="I817">
        <v>80</v>
      </c>
      <c r="J817">
        <v>120</v>
      </c>
      <c r="K817">
        <v>80</v>
      </c>
      <c r="L817">
        <v>200</v>
      </c>
      <c r="M817">
        <v>94</v>
      </c>
      <c r="N817">
        <v>697</v>
      </c>
      <c r="O817">
        <v>141</v>
      </c>
      <c r="P817">
        <v>31</v>
      </c>
      <c r="Q817">
        <v>79</v>
      </c>
      <c r="R817">
        <v>235</v>
      </c>
      <c r="S817">
        <v>1.175</v>
      </c>
      <c r="T817">
        <v>0.98750000000000004</v>
      </c>
      <c r="U817">
        <v>1.175</v>
      </c>
    </row>
    <row r="818" spans="1:21" x14ac:dyDescent="0.35">
      <c r="A818">
        <v>918</v>
      </c>
      <c r="B818" s="16">
        <v>40299</v>
      </c>
      <c r="C818" s="15" t="s">
        <v>70</v>
      </c>
      <c r="D818" s="15" t="s">
        <v>58</v>
      </c>
      <c r="E818" s="15" t="s">
        <v>72</v>
      </c>
      <c r="F818" s="15" t="s">
        <v>49</v>
      </c>
      <c r="G818" s="15" t="s">
        <v>74</v>
      </c>
      <c r="H818" s="15" t="s">
        <v>42</v>
      </c>
      <c r="I818">
        <v>90</v>
      </c>
      <c r="J818">
        <v>140</v>
      </c>
      <c r="K818">
        <v>100</v>
      </c>
      <c r="L818">
        <v>230</v>
      </c>
      <c r="M818">
        <v>114</v>
      </c>
      <c r="N818">
        <v>-387</v>
      </c>
      <c r="O818">
        <v>159</v>
      </c>
      <c r="P818">
        <v>35</v>
      </c>
      <c r="Q818">
        <v>101</v>
      </c>
      <c r="R818">
        <v>273</v>
      </c>
      <c r="S818">
        <v>1.1869565217391305</v>
      </c>
      <c r="T818">
        <v>1.01</v>
      </c>
      <c r="U818">
        <v>1.2666666666666666</v>
      </c>
    </row>
    <row r="819" spans="1:21" x14ac:dyDescent="0.35">
      <c r="A819">
        <v>405</v>
      </c>
      <c r="B819" s="16">
        <v>40299</v>
      </c>
      <c r="C819" s="15" t="s">
        <v>70</v>
      </c>
      <c r="D819" s="15" t="s">
        <v>58</v>
      </c>
      <c r="E819" s="15" t="s">
        <v>48</v>
      </c>
      <c r="F819" s="15" t="s">
        <v>49</v>
      </c>
      <c r="G819" s="15" t="s">
        <v>74</v>
      </c>
      <c r="H819" s="15" t="s">
        <v>42</v>
      </c>
      <c r="I819">
        <v>10</v>
      </c>
      <c r="J819">
        <v>30</v>
      </c>
      <c r="K819">
        <v>30</v>
      </c>
      <c r="L819">
        <v>40</v>
      </c>
      <c r="M819">
        <v>20</v>
      </c>
      <c r="N819">
        <v>464</v>
      </c>
      <c r="O819">
        <v>29</v>
      </c>
      <c r="P819">
        <v>5</v>
      </c>
      <c r="Q819">
        <v>13</v>
      </c>
      <c r="R819">
        <v>49</v>
      </c>
      <c r="S819">
        <v>1.2250000000000001</v>
      </c>
      <c r="T819">
        <v>0.43333333333333335</v>
      </c>
      <c r="U819">
        <v>2</v>
      </c>
    </row>
    <row r="820" spans="1:21" x14ac:dyDescent="0.35">
      <c r="A820">
        <v>918</v>
      </c>
      <c r="B820" s="16">
        <v>40299</v>
      </c>
      <c r="C820" s="15" t="s">
        <v>70</v>
      </c>
      <c r="D820" s="15" t="s">
        <v>58</v>
      </c>
      <c r="E820" s="15" t="s">
        <v>51</v>
      </c>
      <c r="F820" s="15" t="s">
        <v>52</v>
      </c>
      <c r="G820" s="15" t="s">
        <v>74</v>
      </c>
      <c r="H820" s="15" t="s">
        <v>45</v>
      </c>
      <c r="I820">
        <v>50</v>
      </c>
      <c r="J820">
        <v>70</v>
      </c>
      <c r="K820">
        <v>20</v>
      </c>
      <c r="L820">
        <v>120</v>
      </c>
      <c r="M820">
        <v>58</v>
      </c>
      <c r="N820">
        <v>338</v>
      </c>
      <c r="O820">
        <v>72</v>
      </c>
      <c r="P820">
        <v>22</v>
      </c>
      <c r="Q820">
        <v>17</v>
      </c>
      <c r="R820">
        <v>130</v>
      </c>
      <c r="S820">
        <v>1.0833333333333333</v>
      </c>
      <c r="T820">
        <v>0.85</v>
      </c>
      <c r="U820">
        <v>1.1599999999999999</v>
      </c>
    </row>
    <row r="821" spans="1:21" x14ac:dyDescent="0.35">
      <c r="A821">
        <v>918</v>
      </c>
      <c r="B821" s="16">
        <v>40299</v>
      </c>
      <c r="C821" s="15" t="s">
        <v>70</v>
      </c>
      <c r="D821" s="15" t="s">
        <v>58</v>
      </c>
      <c r="E821" s="15" t="s">
        <v>53</v>
      </c>
      <c r="F821" s="15" t="s">
        <v>52</v>
      </c>
      <c r="G821" s="15" t="s">
        <v>74</v>
      </c>
      <c r="H821" s="15" t="s">
        <v>45</v>
      </c>
      <c r="I821">
        <v>80</v>
      </c>
      <c r="J821">
        <v>130</v>
      </c>
      <c r="K821">
        <v>40</v>
      </c>
      <c r="L821">
        <v>210</v>
      </c>
      <c r="M821">
        <v>92</v>
      </c>
      <c r="N821">
        <v>599</v>
      </c>
      <c r="O821">
        <v>129</v>
      </c>
      <c r="P821">
        <v>83</v>
      </c>
      <c r="Q821">
        <v>17</v>
      </c>
      <c r="R821">
        <v>221</v>
      </c>
      <c r="S821">
        <v>1.0523809523809524</v>
      </c>
      <c r="T821">
        <v>0.42499999999999999</v>
      </c>
      <c r="U821">
        <v>1.1499999999999999</v>
      </c>
    </row>
    <row r="822" spans="1:21" x14ac:dyDescent="0.35">
      <c r="A822">
        <v>580</v>
      </c>
      <c r="B822" s="16">
        <v>40299</v>
      </c>
      <c r="C822" s="15" t="s">
        <v>70</v>
      </c>
      <c r="D822" s="15" t="s">
        <v>58</v>
      </c>
      <c r="E822" s="15" t="s">
        <v>43</v>
      </c>
      <c r="F822" s="15" t="s">
        <v>40</v>
      </c>
      <c r="G822" s="15" t="s">
        <v>74</v>
      </c>
      <c r="H822" s="15" t="s">
        <v>42</v>
      </c>
      <c r="I822">
        <v>50</v>
      </c>
      <c r="J822">
        <v>70</v>
      </c>
      <c r="K822">
        <v>50</v>
      </c>
      <c r="L822">
        <v>120</v>
      </c>
      <c r="M822">
        <v>43</v>
      </c>
      <c r="N822">
        <v>602</v>
      </c>
      <c r="O822">
        <v>56</v>
      </c>
      <c r="P822">
        <v>14</v>
      </c>
      <c r="Q822">
        <v>30</v>
      </c>
      <c r="R822">
        <v>99</v>
      </c>
      <c r="S822">
        <v>0.82499999999999996</v>
      </c>
      <c r="T822">
        <v>0.6</v>
      </c>
      <c r="U822">
        <v>0.86</v>
      </c>
    </row>
    <row r="823" spans="1:21" x14ac:dyDescent="0.35">
      <c r="A823">
        <v>405</v>
      </c>
      <c r="B823" s="16">
        <v>40299</v>
      </c>
      <c r="C823" s="15" t="s">
        <v>70</v>
      </c>
      <c r="D823" s="15" t="s">
        <v>58</v>
      </c>
      <c r="E823" s="15" t="s">
        <v>44</v>
      </c>
      <c r="F823" s="15" t="s">
        <v>40</v>
      </c>
      <c r="G823" s="15" t="s">
        <v>74</v>
      </c>
      <c r="H823" s="15" t="s">
        <v>45</v>
      </c>
      <c r="I823">
        <v>30</v>
      </c>
      <c r="J823">
        <v>50</v>
      </c>
      <c r="K823">
        <v>40</v>
      </c>
      <c r="L823">
        <v>80</v>
      </c>
      <c r="M823">
        <v>29</v>
      </c>
      <c r="N823">
        <v>835</v>
      </c>
      <c r="O823">
        <v>42</v>
      </c>
      <c r="P823">
        <v>8</v>
      </c>
      <c r="Q823">
        <v>22</v>
      </c>
      <c r="R823">
        <v>71</v>
      </c>
      <c r="S823">
        <v>0.88749999999999996</v>
      </c>
      <c r="T823">
        <v>0.55000000000000004</v>
      </c>
      <c r="U823">
        <v>0.96666666666666667</v>
      </c>
    </row>
    <row r="824" spans="1:21" x14ac:dyDescent="0.35">
      <c r="A824">
        <v>430</v>
      </c>
      <c r="B824" s="16">
        <v>40299</v>
      </c>
      <c r="C824" s="15" t="s">
        <v>70</v>
      </c>
      <c r="D824" s="15" t="s">
        <v>38</v>
      </c>
      <c r="E824" s="15" t="s">
        <v>50</v>
      </c>
      <c r="F824" s="15" t="s">
        <v>49</v>
      </c>
      <c r="G824" s="15" t="s">
        <v>75</v>
      </c>
      <c r="H824" s="15" t="s">
        <v>45</v>
      </c>
      <c r="I824">
        <v>70</v>
      </c>
      <c r="J824">
        <v>110</v>
      </c>
      <c r="K824">
        <v>90</v>
      </c>
      <c r="L824">
        <v>180</v>
      </c>
      <c r="M824">
        <v>86</v>
      </c>
      <c r="N824">
        <v>499</v>
      </c>
      <c r="O824">
        <v>124</v>
      </c>
      <c r="P824">
        <v>24</v>
      </c>
      <c r="Q824">
        <v>88</v>
      </c>
      <c r="R824">
        <v>210</v>
      </c>
      <c r="S824">
        <v>1.1666666666666667</v>
      </c>
      <c r="T824">
        <v>0.97777777777777775</v>
      </c>
      <c r="U824">
        <v>1.2285714285714286</v>
      </c>
    </row>
    <row r="825" spans="1:21" x14ac:dyDescent="0.35">
      <c r="A825">
        <v>254</v>
      </c>
      <c r="B825" s="16">
        <v>40299</v>
      </c>
      <c r="C825" s="15" t="s">
        <v>70</v>
      </c>
      <c r="D825" s="15" t="s">
        <v>38</v>
      </c>
      <c r="E825" s="15" t="s">
        <v>72</v>
      </c>
      <c r="F825" s="15" t="s">
        <v>49</v>
      </c>
      <c r="G825" s="15" t="s">
        <v>75</v>
      </c>
      <c r="H825" s="15" t="s">
        <v>42</v>
      </c>
      <c r="I825">
        <v>50</v>
      </c>
      <c r="J825">
        <v>80</v>
      </c>
      <c r="K825">
        <v>50</v>
      </c>
      <c r="L825">
        <v>130</v>
      </c>
      <c r="M825">
        <v>64</v>
      </c>
      <c r="N825">
        <v>-161</v>
      </c>
      <c r="O825">
        <v>96</v>
      </c>
      <c r="P825">
        <v>21</v>
      </c>
      <c r="Q825">
        <v>44</v>
      </c>
      <c r="R825">
        <v>160</v>
      </c>
      <c r="S825">
        <v>1.2307692307692308</v>
      </c>
      <c r="T825">
        <v>0.88</v>
      </c>
      <c r="U825">
        <v>1.28</v>
      </c>
    </row>
    <row r="826" spans="1:21" x14ac:dyDescent="0.35">
      <c r="A826">
        <v>254</v>
      </c>
      <c r="B826" s="16">
        <v>40299</v>
      </c>
      <c r="C826" s="15" t="s">
        <v>70</v>
      </c>
      <c r="D826" s="15" t="s">
        <v>38</v>
      </c>
      <c r="E826" s="15" t="s">
        <v>48</v>
      </c>
      <c r="F826" s="15" t="s">
        <v>49</v>
      </c>
      <c r="G826" s="15" t="s">
        <v>75</v>
      </c>
      <c r="H826" s="15" t="s">
        <v>42</v>
      </c>
      <c r="I826">
        <v>80</v>
      </c>
      <c r="J826">
        <v>140</v>
      </c>
      <c r="K826">
        <v>120</v>
      </c>
      <c r="L826">
        <v>220</v>
      </c>
      <c r="M826">
        <v>104</v>
      </c>
      <c r="N826">
        <v>821</v>
      </c>
      <c r="O826">
        <v>152</v>
      </c>
      <c r="P826">
        <v>29</v>
      </c>
      <c r="Q826">
        <v>112</v>
      </c>
      <c r="R826">
        <v>256</v>
      </c>
      <c r="S826">
        <v>1.1636363636363636</v>
      </c>
      <c r="T826">
        <v>0.93333333333333335</v>
      </c>
      <c r="U826">
        <v>1.3</v>
      </c>
    </row>
    <row r="827" spans="1:21" x14ac:dyDescent="0.35">
      <c r="A827">
        <v>915</v>
      </c>
      <c r="B827" s="16">
        <v>40299</v>
      </c>
      <c r="C827" s="15" t="s">
        <v>70</v>
      </c>
      <c r="D827" s="15" t="s">
        <v>38</v>
      </c>
      <c r="E827" s="15" t="s">
        <v>51</v>
      </c>
      <c r="F827" s="15" t="s">
        <v>52</v>
      </c>
      <c r="G827" s="15" t="s">
        <v>75</v>
      </c>
      <c r="H827" s="15" t="s">
        <v>45</v>
      </c>
      <c r="I827">
        <v>40</v>
      </c>
      <c r="J827">
        <v>80</v>
      </c>
      <c r="K827">
        <v>50</v>
      </c>
      <c r="L827">
        <v>120</v>
      </c>
      <c r="M827">
        <v>52</v>
      </c>
      <c r="N827">
        <v>361</v>
      </c>
      <c r="O827">
        <v>71</v>
      </c>
      <c r="P827">
        <v>17</v>
      </c>
      <c r="Q827">
        <v>27</v>
      </c>
      <c r="R827">
        <v>123</v>
      </c>
      <c r="S827">
        <v>1.0249999999999999</v>
      </c>
      <c r="T827">
        <v>0.54</v>
      </c>
      <c r="U827">
        <v>1.3</v>
      </c>
    </row>
    <row r="828" spans="1:21" x14ac:dyDescent="0.35">
      <c r="A828">
        <v>512</v>
      </c>
      <c r="B828" s="16">
        <v>40299</v>
      </c>
      <c r="C828" s="15" t="s">
        <v>70</v>
      </c>
      <c r="D828" s="15" t="s">
        <v>38</v>
      </c>
      <c r="E828" s="15" t="s">
        <v>53</v>
      </c>
      <c r="F828" s="15" t="s">
        <v>52</v>
      </c>
      <c r="G828" s="15" t="s">
        <v>75</v>
      </c>
      <c r="H828" s="15" t="s">
        <v>45</v>
      </c>
      <c r="I828">
        <v>40</v>
      </c>
      <c r="J828">
        <v>60</v>
      </c>
      <c r="K828">
        <v>30</v>
      </c>
      <c r="L828">
        <v>100</v>
      </c>
      <c r="M828">
        <v>42</v>
      </c>
      <c r="N828">
        <v>384</v>
      </c>
      <c r="O828">
        <v>61</v>
      </c>
      <c r="P828">
        <v>13</v>
      </c>
      <c r="Q828">
        <v>25</v>
      </c>
      <c r="R828">
        <v>103</v>
      </c>
      <c r="S828">
        <v>1.03</v>
      </c>
      <c r="T828">
        <v>0.83333333333333337</v>
      </c>
      <c r="U828">
        <v>1.05</v>
      </c>
    </row>
    <row r="829" spans="1:21" x14ac:dyDescent="0.35">
      <c r="A829">
        <v>430</v>
      </c>
      <c r="B829" s="16">
        <v>40299</v>
      </c>
      <c r="C829" s="15" t="s">
        <v>70</v>
      </c>
      <c r="D829" s="15" t="s">
        <v>38</v>
      </c>
      <c r="E829" s="15" t="s">
        <v>43</v>
      </c>
      <c r="F829" s="15" t="s">
        <v>40</v>
      </c>
      <c r="G829" s="15" t="s">
        <v>75</v>
      </c>
      <c r="H829" s="15" t="s">
        <v>42</v>
      </c>
      <c r="I829">
        <v>290</v>
      </c>
      <c r="J829">
        <v>350</v>
      </c>
      <c r="K829">
        <v>270</v>
      </c>
      <c r="L829">
        <v>640</v>
      </c>
      <c r="M829">
        <v>235</v>
      </c>
      <c r="N829">
        <v>1060</v>
      </c>
      <c r="O829">
        <v>277</v>
      </c>
      <c r="P829">
        <v>72</v>
      </c>
      <c r="Q829">
        <v>183</v>
      </c>
      <c r="R829">
        <v>512</v>
      </c>
      <c r="S829">
        <v>0.8</v>
      </c>
      <c r="T829">
        <v>0.67777777777777781</v>
      </c>
      <c r="U829">
        <v>0.81034482758620685</v>
      </c>
    </row>
    <row r="830" spans="1:21" x14ac:dyDescent="0.35">
      <c r="A830">
        <v>956</v>
      </c>
      <c r="B830" s="16">
        <v>40299</v>
      </c>
      <c r="C830" s="15" t="s">
        <v>70</v>
      </c>
      <c r="D830" s="15" t="s">
        <v>38</v>
      </c>
      <c r="E830" s="15" t="s">
        <v>44</v>
      </c>
      <c r="F830" s="15" t="s">
        <v>40</v>
      </c>
      <c r="G830" s="15" t="s">
        <v>75</v>
      </c>
      <c r="H830" s="15" t="s">
        <v>45</v>
      </c>
      <c r="I830">
        <v>100</v>
      </c>
      <c r="J830">
        <v>130</v>
      </c>
      <c r="K830">
        <v>100</v>
      </c>
      <c r="L830">
        <v>230</v>
      </c>
      <c r="M830">
        <v>83</v>
      </c>
      <c r="N830">
        <v>584</v>
      </c>
      <c r="O830">
        <v>107</v>
      </c>
      <c r="P830">
        <v>27</v>
      </c>
      <c r="Q830">
        <v>68</v>
      </c>
      <c r="R830">
        <v>190</v>
      </c>
      <c r="S830">
        <v>0.82608695652173914</v>
      </c>
      <c r="T830">
        <v>0.68</v>
      </c>
      <c r="U830">
        <v>0.83</v>
      </c>
    </row>
    <row r="831" spans="1:21" x14ac:dyDescent="0.35">
      <c r="A831">
        <v>435</v>
      </c>
      <c r="B831" s="16">
        <v>40299</v>
      </c>
      <c r="C831" s="15" t="s">
        <v>76</v>
      </c>
      <c r="D831" s="15" t="s">
        <v>58</v>
      </c>
      <c r="E831" s="15" t="s">
        <v>72</v>
      </c>
      <c r="F831" s="15" t="s">
        <v>49</v>
      </c>
      <c r="G831" s="15" t="s">
        <v>77</v>
      </c>
      <c r="H831" s="15" t="s">
        <v>42</v>
      </c>
      <c r="I831">
        <v>30</v>
      </c>
      <c r="J831">
        <v>60</v>
      </c>
      <c r="K831">
        <v>50</v>
      </c>
      <c r="L831">
        <v>90</v>
      </c>
      <c r="M831">
        <v>39</v>
      </c>
      <c r="N831">
        <v>799</v>
      </c>
      <c r="O831">
        <v>58</v>
      </c>
      <c r="P831">
        <v>10</v>
      </c>
      <c r="Q831">
        <v>36</v>
      </c>
      <c r="R831">
        <v>97</v>
      </c>
      <c r="S831">
        <v>1.0777777777777777</v>
      </c>
      <c r="T831">
        <v>0.72</v>
      </c>
      <c r="U831">
        <v>1.3</v>
      </c>
    </row>
    <row r="832" spans="1:21" x14ac:dyDescent="0.35">
      <c r="A832">
        <v>435</v>
      </c>
      <c r="B832" s="16">
        <v>40299</v>
      </c>
      <c r="C832" s="15" t="s">
        <v>76</v>
      </c>
      <c r="D832" s="15" t="s">
        <v>58</v>
      </c>
      <c r="E832" s="15" t="s">
        <v>48</v>
      </c>
      <c r="F832" s="15" t="s">
        <v>49</v>
      </c>
      <c r="G832" s="15" t="s">
        <v>77</v>
      </c>
      <c r="H832" s="15" t="s">
        <v>42</v>
      </c>
      <c r="I832">
        <v>40</v>
      </c>
      <c r="J832">
        <v>60</v>
      </c>
      <c r="K832">
        <v>40</v>
      </c>
      <c r="L832">
        <v>100</v>
      </c>
      <c r="M832">
        <v>48</v>
      </c>
      <c r="N832">
        <v>599</v>
      </c>
      <c r="O832">
        <v>63</v>
      </c>
      <c r="P832">
        <v>15</v>
      </c>
      <c r="Q832">
        <v>36</v>
      </c>
      <c r="R832">
        <v>111</v>
      </c>
      <c r="S832">
        <v>1.1100000000000001</v>
      </c>
      <c r="T832">
        <v>0.9</v>
      </c>
      <c r="U832">
        <v>1.2</v>
      </c>
    </row>
    <row r="833" spans="1:21" x14ac:dyDescent="0.35">
      <c r="A833">
        <v>435</v>
      </c>
      <c r="B833" s="16">
        <v>40299</v>
      </c>
      <c r="C833" s="15" t="s">
        <v>76</v>
      </c>
      <c r="D833" s="15" t="s">
        <v>58</v>
      </c>
      <c r="E833" s="15" t="s">
        <v>50</v>
      </c>
      <c r="F833" s="15" t="s">
        <v>49</v>
      </c>
      <c r="G833" s="15" t="s">
        <v>77</v>
      </c>
      <c r="H833" s="15" t="s">
        <v>45</v>
      </c>
      <c r="I833">
        <v>40</v>
      </c>
      <c r="J833">
        <v>60</v>
      </c>
      <c r="K833">
        <v>40</v>
      </c>
      <c r="L833">
        <v>100</v>
      </c>
      <c r="M833">
        <v>44</v>
      </c>
      <c r="N833">
        <v>844</v>
      </c>
      <c r="O833">
        <v>65</v>
      </c>
      <c r="P833">
        <v>12</v>
      </c>
      <c r="Q833">
        <v>42</v>
      </c>
      <c r="R833">
        <v>109</v>
      </c>
      <c r="S833">
        <v>1.0900000000000001</v>
      </c>
      <c r="T833">
        <v>1.05</v>
      </c>
      <c r="U833">
        <v>1.1000000000000001</v>
      </c>
    </row>
    <row r="834" spans="1:21" x14ac:dyDescent="0.35">
      <c r="A834">
        <v>435</v>
      </c>
      <c r="B834" s="16">
        <v>40299</v>
      </c>
      <c r="C834" s="15" t="s">
        <v>76</v>
      </c>
      <c r="D834" s="15" t="s">
        <v>58</v>
      </c>
      <c r="E834" s="15" t="s">
        <v>39</v>
      </c>
      <c r="F834" s="15" t="s">
        <v>40</v>
      </c>
      <c r="G834" s="15" t="s">
        <v>77</v>
      </c>
      <c r="H834" s="15" t="s">
        <v>42</v>
      </c>
      <c r="I834">
        <v>80</v>
      </c>
      <c r="J834">
        <v>100</v>
      </c>
      <c r="K834">
        <v>60</v>
      </c>
      <c r="L834">
        <v>180</v>
      </c>
      <c r="M834">
        <v>68</v>
      </c>
      <c r="N834">
        <v>998</v>
      </c>
      <c r="O834">
        <v>80</v>
      </c>
      <c r="P834">
        <v>21</v>
      </c>
      <c r="Q834">
        <v>38</v>
      </c>
      <c r="R834">
        <v>148</v>
      </c>
      <c r="S834">
        <v>0.82222222222222219</v>
      </c>
      <c r="T834">
        <v>0.6333333333333333</v>
      </c>
      <c r="U834">
        <v>0.85</v>
      </c>
    </row>
    <row r="835" spans="1:21" x14ac:dyDescent="0.35">
      <c r="A835">
        <v>435</v>
      </c>
      <c r="B835" s="16">
        <v>40299</v>
      </c>
      <c r="C835" s="15" t="s">
        <v>76</v>
      </c>
      <c r="D835" s="15" t="s">
        <v>58</v>
      </c>
      <c r="E835" s="15" t="s">
        <v>43</v>
      </c>
      <c r="F835" s="15" t="s">
        <v>40</v>
      </c>
      <c r="G835" s="15" t="s">
        <v>77</v>
      </c>
      <c r="H835" s="15" t="s">
        <v>42</v>
      </c>
      <c r="I835">
        <v>60</v>
      </c>
      <c r="J835">
        <v>80</v>
      </c>
      <c r="K835">
        <v>50</v>
      </c>
      <c r="L835">
        <v>140</v>
      </c>
      <c r="M835">
        <v>48</v>
      </c>
      <c r="N835">
        <v>334</v>
      </c>
      <c r="O835">
        <v>65</v>
      </c>
      <c r="P835">
        <v>15</v>
      </c>
      <c r="Q835">
        <v>22</v>
      </c>
      <c r="R835">
        <v>113</v>
      </c>
      <c r="S835">
        <v>0.80714285714285716</v>
      </c>
      <c r="T835">
        <v>0.44</v>
      </c>
      <c r="U835">
        <v>0.8</v>
      </c>
    </row>
    <row r="836" spans="1:21" x14ac:dyDescent="0.35">
      <c r="A836">
        <v>435</v>
      </c>
      <c r="B836" s="16">
        <v>40299</v>
      </c>
      <c r="C836" s="15" t="s">
        <v>76</v>
      </c>
      <c r="D836" s="15" t="s">
        <v>58</v>
      </c>
      <c r="E836" s="15" t="s">
        <v>44</v>
      </c>
      <c r="F836" s="15" t="s">
        <v>40</v>
      </c>
      <c r="G836" s="15" t="s">
        <v>77</v>
      </c>
      <c r="H836" s="15" t="s">
        <v>45</v>
      </c>
      <c r="I836">
        <v>90</v>
      </c>
      <c r="J836">
        <v>120</v>
      </c>
      <c r="K836">
        <v>70</v>
      </c>
      <c r="L836">
        <v>210</v>
      </c>
      <c r="M836">
        <v>77</v>
      </c>
      <c r="N836">
        <v>529</v>
      </c>
      <c r="O836">
        <v>96</v>
      </c>
      <c r="P836">
        <v>29</v>
      </c>
      <c r="Q836">
        <v>34</v>
      </c>
      <c r="R836">
        <v>173</v>
      </c>
      <c r="S836">
        <v>0.82380952380952377</v>
      </c>
      <c r="T836">
        <v>0.48571428571428571</v>
      </c>
      <c r="U836">
        <v>0.85555555555555551</v>
      </c>
    </row>
    <row r="837" spans="1:21" x14ac:dyDescent="0.35">
      <c r="A837">
        <v>435</v>
      </c>
      <c r="B837" s="16">
        <v>40299</v>
      </c>
      <c r="C837" s="15" t="s">
        <v>76</v>
      </c>
      <c r="D837" s="15" t="s">
        <v>58</v>
      </c>
      <c r="E837" s="15" t="s">
        <v>51</v>
      </c>
      <c r="F837" s="15" t="s">
        <v>52</v>
      </c>
      <c r="G837" s="15" t="s">
        <v>77</v>
      </c>
      <c r="H837" s="15" t="s">
        <v>45</v>
      </c>
      <c r="I837">
        <v>40</v>
      </c>
      <c r="J837">
        <v>70</v>
      </c>
      <c r="K837">
        <v>40</v>
      </c>
      <c r="L837">
        <v>110</v>
      </c>
      <c r="M837">
        <v>51</v>
      </c>
      <c r="N837">
        <v>265</v>
      </c>
      <c r="O837">
        <v>74</v>
      </c>
      <c r="P837">
        <v>16</v>
      </c>
      <c r="Q837">
        <v>34</v>
      </c>
      <c r="R837">
        <v>125</v>
      </c>
      <c r="S837">
        <v>1.1363636363636365</v>
      </c>
      <c r="T837">
        <v>0.85</v>
      </c>
      <c r="U837">
        <v>1.2749999999999999</v>
      </c>
    </row>
    <row r="838" spans="1:21" x14ac:dyDescent="0.35">
      <c r="A838">
        <v>435</v>
      </c>
      <c r="B838" s="16">
        <v>40299</v>
      </c>
      <c r="C838" s="15" t="s">
        <v>76</v>
      </c>
      <c r="D838" s="15" t="s">
        <v>58</v>
      </c>
      <c r="E838" s="15" t="s">
        <v>53</v>
      </c>
      <c r="F838" s="15" t="s">
        <v>52</v>
      </c>
      <c r="G838" s="15" t="s">
        <v>77</v>
      </c>
      <c r="H838" s="15" t="s">
        <v>45</v>
      </c>
      <c r="I838">
        <v>40</v>
      </c>
      <c r="J838">
        <v>70</v>
      </c>
      <c r="K838">
        <v>40</v>
      </c>
      <c r="L838">
        <v>110</v>
      </c>
      <c r="M838">
        <v>52</v>
      </c>
      <c r="N838">
        <v>397</v>
      </c>
      <c r="O838">
        <v>80</v>
      </c>
      <c r="P838">
        <v>17</v>
      </c>
      <c r="Q838">
        <v>32</v>
      </c>
      <c r="R838">
        <v>132</v>
      </c>
      <c r="S838">
        <v>1.2</v>
      </c>
      <c r="T838">
        <v>0.8</v>
      </c>
      <c r="U838">
        <v>1.3</v>
      </c>
    </row>
    <row r="839" spans="1:21" x14ac:dyDescent="0.35">
      <c r="A839">
        <v>435</v>
      </c>
      <c r="B839" s="16">
        <v>40299</v>
      </c>
      <c r="C839" s="15" t="s">
        <v>76</v>
      </c>
      <c r="D839" s="15" t="s">
        <v>58</v>
      </c>
      <c r="E839" s="15" t="s">
        <v>54</v>
      </c>
      <c r="F839" s="15" t="s">
        <v>52</v>
      </c>
      <c r="G839" s="15" t="s">
        <v>77</v>
      </c>
      <c r="H839" s="15" t="s">
        <v>45</v>
      </c>
      <c r="I839">
        <v>80</v>
      </c>
      <c r="J839">
        <v>30</v>
      </c>
      <c r="K839">
        <v>-10</v>
      </c>
      <c r="L839">
        <v>110</v>
      </c>
      <c r="M839">
        <v>98</v>
      </c>
      <c r="N839">
        <v>973</v>
      </c>
      <c r="O839">
        <v>38</v>
      </c>
      <c r="P839">
        <v>30</v>
      </c>
      <c r="Q839">
        <v>-15</v>
      </c>
      <c r="R839">
        <v>136</v>
      </c>
      <c r="S839">
        <v>1.2363636363636363</v>
      </c>
      <c r="T839">
        <v>1.5</v>
      </c>
      <c r="U839">
        <v>1.2250000000000001</v>
      </c>
    </row>
    <row r="840" spans="1:21" x14ac:dyDescent="0.35">
      <c r="A840">
        <v>435</v>
      </c>
      <c r="B840" s="16">
        <v>40299</v>
      </c>
      <c r="C840" s="15" t="s">
        <v>76</v>
      </c>
      <c r="D840" s="15" t="s">
        <v>58</v>
      </c>
      <c r="E840" s="15" t="s">
        <v>55</v>
      </c>
      <c r="F840" s="15" t="s">
        <v>47</v>
      </c>
      <c r="G840" s="15" t="s">
        <v>77</v>
      </c>
      <c r="H840" s="15" t="s">
        <v>42</v>
      </c>
      <c r="I840">
        <v>20</v>
      </c>
      <c r="J840">
        <v>50</v>
      </c>
      <c r="K840">
        <v>10</v>
      </c>
      <c r="L840">
        <v>70</v>
      </c>
      <c r="M840">
        <v>43</v>
      </c>
      <c r="N840">
        <v>282</v>
      </c>
      <c r="O840">
        <v>61</v>
      </c>
      <c r="P840">
        <v>39</v>
      </c>
      <c r="Q840">
        <v>-8</v>
      </c>
      <c r="R840">
        <v>104</v>
      </c>
      <c r="S840">
        <v>1.4857142857142858</v>
      </c>
      <c r="T840">
        <v>-0.8</v>
      </c>
      <c r="U840">
        <v>2.15</v>
      </c>
    </row>
    <row r="841" spans="1:21" x14ac:dyDescent="0.35">
      <c r="A841">
        <v>435</v>
      </c>
      <c r="B841" s="16">
        <v>40299</v>
      </c>
      <c r="C841" s="15" t="s">
        <v>76</v>
      </c>
      <c r="D841" s="15" t="s">
        <v>58</v>
      </c>
      <c r="E841" s="15" t="s">
        <v>56</v>
      </c>
      <c r="F841" s="15" t="s">
        <v>47</v>
      </c>
      <c r="G841" s="15" t="s">
        <v>77</v>
      </c>
      <c r="H841" s="15" t="s">
        <v>42</v>
      </c>
      <c r="I841">
        <v>20</v>
      </c>
      <c r="J841">
        <v>40</v>
      </c>
      <c r="K841">
        <v>20</v>
      </c>
      <c r="L841">
        <v>60</v>
      </c>
      <c r="M841">
        <v>39</v>
      </c>
      <c r="N841">
        <v>212</v>
      </c>
      <c r="O841">
        <v>53</v>
      </c>
      <c r="P841">
        <v>12</v>
      </c>
      <c r="Q841">
        <v>14</v>
      </c>
      <c r="R841">
        <v>92</v>
      </c>
      <c r="S841">
        <v>1.5333333333333334</v>
      </c>
      <c r="T841">
        <v>0.7</v>
      </c>
      <c r="U841">
        <v>1.95</v>
      </c>
    </row>
    <row r="842" spans="1:21" x14ac:dyDescent="0.35">
      <c r="A842">
        <v>801</v>
      </c>
      <c r="B842" s="16">
        <v>40299</v>
      </c>
      <c r="C842" s="15" t="s">
        <v>76</v>
      </c>
      <c r="D842" s="15" t="s">
        <v>58</v>
      </c>
      <c r="E842" s="15" t="s">
        <v>46</v>
      </c>
      <c r="F842" s="15" t="s">
        <v>47</v>
      </c>
      <c r="G842" s="15" t="s">
        <v>77</v>
      </c>
      <c r="H842" s="15" t="s">
        <v>42</v>
      </c>
      <c r="I842">
        <v>20</v>
      </c>
      <c r="J842">
        <v>30</v>
      </c>
      <c r="K842">
        <v>10</v>
      </c>
      <c r="L842">
        <v>50</v>
      </c>
      <c r="M842">
        <v>34</v>
      </c>
      <c r="N842">
        <v>182</v>
      </c>
      <c r="O842">
        <v>42</v>
      </c>
      <c r="P842">
        <v>12</v>
      </c>
      <c r="Q842">
        <v>-3</v>
      </c>
      <c r="R842">
        <v>76</v>
      </c>
      <c r="S842">
        <v>1.52</v>
      </c>
      <c r="T842">
        <v>-0.3</v>
      </c>
      <c r="U842">
        <v>1.7</v>
      </c>
    </row>
    <row r="843" spans="1:21" x14ac:dyDescent="0.35">
      <c r="A843">
        <v>415</v>
      </c>
      <c r="B843" s="16">
        <v>40299</v>
      </c>
      <c r="C843" s="15" t="s">
        <v>76</v>
      </c>
      <c r="D843" s="15" t="s">
        <v>38</v>
      </c>
      <c r="E843" s="15" t="s">
        <v>72</v>
      </c>
      <c r="F843" s="15" t="s">
        <v>49</v>
      </c>
      <c r="G843" s="15" t="s">
        <v>78</v>
      </c>
      <c r="H843" s="15" t="s">
        <v>42</v>
      </c>
      <c r="I843">
        <v>240</v>
      </c>
      <c r="J843">
        <v>260</v>
      </c>
      <c r="K843">
        <v>180</v>
      </c>
      <c r="L843">
        <v>500</v>
      </c>
      <c r="M843">
        <v>260</v>
      </c>
      <c r="N843">
        <v>1559</v>
      </c>
      <c r="O843">
        <v>261</v>
      </c>
      <c r="P843">
        <v>72</v>
      </c>
      <c r="Q843">
        <v>165</v>
      </c>
      <c r="R843">
        <v>521</v>
      </c>
      <c r="S843">
        <v>1.042</v>
      </c>
      <c r="T843">
        <v>0.91666666666666663</v>
      </c>
      <c r="U843">
        <v>1.0833333333333333</v>
      </c>
    </row>
    <row r="844" spans="1:21" x14ac:dyDescent="0.35">
      <c r="A844">
        <v>209</v>
      </c>
      <c r="B844" s="16">
        <v>40299</v>
      </c>
      <c r="C844" s="15" t="s">
        <v>76</v>
      </c>
      <c r="D844" s="15" t="s">
        <v>38</v>
      </c>
      <c r="E844" s="15" t="s">
        <v>48</v>
      </c>
      <c r="F844" s="15" t="s">
        <v>49</v>
      </c>
      <c r="G844" s="15" t="s">
        <v>78</v>
      </c>
      <c r="H844" s="15" t="s">
        <v>42</v>
      </c>
      <c r="I844">
        <v>110</v>
      </c>
      <c r="J844">
        <v>160</v>
      </c>
      <c r="K844">
        <v>30</v>
      </c>
      <c r="L844">
        <v>270</v>
      </c>
      <c r="M844">
        <v>121</v>
      </c>
      <c r="N844">
        <v>788</v>
      </c>
      <c r="O844">
        <v>168</v>
      </c>
      <c r="P844">
        <v>109</v>
      </c>
      <c r="Q844">
        <v>25</v>
      </c>
      <c r="R844">
        <v>289</v>
      </c>
      <c r="S844">
        <v>1.0703703703703704</v>
      </c>
      <c r="T844">
        <v>0.83333333333333337</v>
      </c>
      <c r="U844">
        <v>1.1000000000000001</v>
      </c>
    </row>
    <row r="845" spans="1:21" x14ac:dyDescent="0.35">
      <c r="A845">
        <v>626</v>
      </c>
      <c r="B845" s="16">
        <v>40299</v>
      </c>
      <c r="C845" s="15" t="s">
        <v>76</v>
      </c>
      <c r="D845" s="15" t="s">
        <v>38</v>
      </c>
      <c r="E845" s="15" t="s">
        <v>50</v>
      </c>
      <c r="F845" s="15" t="s">
        <v>49</v>
      </c>
      <c r="G845" s="15" t="s">
        <v>78</v>
      </c>
      <c r="H845" s="15" t="s">
        <v>45</v>
      </c>
      <c r="I845">
        <v>250</v>
      </c>
      <c r="J845">
        <v>330</v>
      </c>
      <c r="K845">
        <v>220</v>
      </c>
      <c r="L845">
        <v>580</v>
      </c>
      <c r="M845">
        <v>263</v>
      </c>
      <c r="N845">
        <v>1433</v>
      </c>
      <c r="O845">
        <v>349</v>
      </c>
      <c r="P845">
        <v>86</v>
      </c>
      <c r="Q845">
        <v>230</v>
      </c>
      <c r="R845">
        <v>612</v>
      </c>
      <c r="S845">
        <v>1.0551724137931036</v>
      </c>
      <c r="T845">
        <v>1.0454545454545454</v>
      </c>
      <c r="U845">
        <v>1.052</v>
      </c>
    </row>
    <row r="846" spans="1:21" x14ac:dyDescent="0.35">
      <c r="A846">
        <v>209</v>
      </c>
      <c r="B846" s="16">
        <v>40299</v>
      </c>
      <c r="C846" s="15" t="s">
        <v>76</v>
      </c>
      <c r="D846" s="15" t="s">
        <v>38</v>
      </c>
      <c r="E846" s="15" t="s">
        <v>39</v>
      </c>
      <c r="F846" s="15" t="s">
        <v>40</v>
      </c>
      <c r="G846" s="15" t="s">
        <v>78</v>
      </c>
      <c r="H846" s="15" t="s">
        <v>42</v>
      </c>
      <c r="I846">
        <v>160</v>
      </c>
      <c r="J846">
        <v>-30</v>
      </c>
      <c r="K846">
        <v>-80</v>
      </c>
      <c r="L846">
        <v>130</v>
      </c>
      <c r="M846">
        <v>127</v>
      </c>
      <c r="N846">
        <v>1215</v>
      </c>
      <c r="O846">
        <v>-21</v>
      </c>
      <c r="P846">
        <v>40</v>
      </c>
      <c r="Q846">
        <v>-84</v>
      </c>
      <c r="R846">
        <v>106</v>
      </c>
      <c r="S846">
        <v>0.81538461538461537</v>
      </c>
      <c r="T846">
        <v>1.05</v>
      </c>
      <c r="U846">
        <v>0.79374999999999996</v>
      </c>
    </row>
    <row r="847" spans="1:21" x14ac:dyDescent="0.35">
      <c r="A847">
        <v>650</v>
      </c>
      <c r="B847" s="16">
        <v>40299</v>
      </c>
      <c r="C847" s="15" t="s">
        <v>76</v>
      </c>
      <c r="D847" s="15" t="s">
        <v>38</v>
      </c>
      <c r="E847" s="15" t="s">
        <v>43</v>
      </c>
      <c r="F847" s="15" t="s">
        <v>40</v>
      </c>
      <c r="G847" s="15" t="s">
        <v>78</v>
      </c>
      <c r="H847" s="15" t="s">
        <v>42</v>
      </c>
      <c r="I847">
        <v>380</v>
      </c>
      <c r="J847">
        <v>560</v>
      </c>
      <c r="K847">
        <v>410</v>
      </c>
      <c r="L847">
        <v>940</v>
      </c>
      <c r="M847">
        <v>302</v>
      </c>
      <c r="N847">
        <v>2250</v>
      </c>
      <c r="O847">
        <v>454</v>
      </c>
      <c r="P847">
        <v>105</v>
      </c>
      <c r="Q847">
        <v>295</v>
      </c>
      <c r="R847">
        <v>756</v>
      </c>
      <c r="S847">
        <v>0.80425531914893622</v>
      </c>
      <c r="T847">
        <v>0.71951219512195119</v>
      </c>
      <c r="U847">
        <v>0.79473684210526319</v>
      </c>
    </row>
    <row r="848" spans="1:21" x14ac:dyDescent="0.35">
      <c r="A848">
        <v>714</v>
      </c>
      <c r="B848" s="16">
        <v>40299</v>
      </c>
      <c r="C848" s="15" t="s">
        <v>76</v>
      </c>
      <c r="D848" s="15" t="s">
        <v>38</v>
      </c>
      <c r="E848" s="15" t="s">
        <v>44</v>
      </c>
      <c r="F848" s="15" t="s">
        <v>40</v>
      </c>
      <c r="G848" s="15" t="s">
        <v>78</v>
      </c>
      <c r="H848" s="15" t="s">
        <v>45</v>
      </c>
      <c r="I848">
        <v>240</v>
      </c>
      <c r="J848">
        <v>-40</v>
      </c>
      <c r="K848">
        <v>-140</v>
      </c>
      <c r="L848">
        <v>200</v>
      </c>
      <c r="M848">
        <v>195</v>
      </c>
      <c r="N848">
        <v>1952</v>
      </c>
      <c r="O848">
        <v>-32</v>
      </c>
      <c r="P848">
        <v>64</v>
      </c>
      <c r="Q848">
        <v>-142</v>
      </c>
      <c r="R848">
        <v>163</v>
      </c>
      <c r="S848">
        <v>0.81499999999999995</v>
      </c>
      <c r="T848">
        <v>1.0142857142857142</v>
      </c>
      <c r="U848">
        <v>0.8125</v>
      </c>
    </row>
    <row r="849" spans="1:21" x14ac:dyDescent="0.35">
      <c r="A849">
        <v>760</v>
      </c>
      <c r="B849" s="16">
        <v>40299</v>
      </c>
      <c r="C849" s="15" t="s">
        <v>76</v>
      </c>
      <c r="D849" s="15" t="s">
        <v>38</v>
      </c>
      <c r="E849" s="15" t="s">
        <v>51</v>
      </c>
      <c r="F849" s="15" t="s">
        <v>52</v>
      </c>
      <c r="G849" s="15" t="s">
        <v>78</v>
      </c>
      <c r="H849" s="15" t="s">
        <v>45</v>
      </c>
      <c r="I849">
        <v>80</v>
      </c>
      <c r="J849">
        <v>140</v>
      </c>
      <c r="K849">
        <v>120</v>
      </c>
      <c r="L849">
        <v>220</v>
      </c>
      <c r="M849">
        <v>104</v>
      </c>
      <c r="N849">
        <v>871</v>
      </c>
      <c r="O849">
        <v>152</v>
      </c>
      <c r="P849">
        <v>29</v>
      </c>
      <c r="Q849">
        <v>111</v>
      </c>
      <c r="R849">
        <v>256</v>
      </c>
      <c r="S849">
        <v>1.1636363636363636</v>
      </c>
      <c r="T849">
        <v>0.92500000000000004</v>
      </c>
      <c r="U849">
        <v>1.3</v>
      </c>
    </row>
    <row r="850" spans="1:21" x14ac:dyDescent="0.35">
      <c r="A850">
        <v>805</v>
      </c>
      <c r="B850" s="16">
        <v>40299</v>
      </c>
      <c r="C850" s="15" t="s">
        <v>76</v>
      </c>
      <c r="D850" s="15" t="s">
        <v>38</v>
      </c>
      <c r="E850" s="15" t="s">
        <v>53</v>
      </c>
      <c r="F850" s="15" t="s">
        <v>52</v>
      </c>
      <c r="G850" s="15" t="s">
        <v>78</v>
      </c>
      <c r="H850" s="15" t="s">
        <v>45</v>
      </c>
      <c r="I850">
        <v>200</v>
      </c>
      <c r="J850">
        <v>250</v>
      </c>
      <c r="K850">
        <v>180</v>
      </c>
      <c r="L850">
        <v>450</v>
      </c>
      <c r="M850">
        <v>235</v>
      </c>
      <c r="N850">
        <v>1060</v>
      </c>
      <c r="O850">
        <v>277</v>
      </c>
      <c r="P850">
        <v>72</v>
      </c>
      <c r="Q850">
        <v>183</v>
      </c>
      <c r="R850">
        <v>512</v>
      </c>
      <c r="S850">
        <v>1.1377777777777778</v>
      </c>
      <c r="T850">
        <v>1.0166666666666666</v>
      </c>
      <c r="U850">
        <v>1.175</v>
      </c>
    </row>
    <row r="851" spans="1:21" x14ac:dyDescent="0.35">
      <c r="A851">
        <v>805</v>
      </c>
      <c r="B851" s="16">
        <v>40299</v>
      </c>
      <c r="C851" s="15" t="s">
        <v>76</v>
      </c>
      <c r="D851" s="15" t="s">
        <v>38</v>
      </c>
      <c r="E851" s="15" t="s">
        <v>54</v>
      </c>
      <c r="F851" s="15" t="s">
        <v>52</v>
      </c>
      <c r="G851" s="15" t="s">
        <v>78</v>
      </c>
      <c r="H851" s="15" t="s">
        <v>45</v>
      </c>
      <c r="I851">
        <v>70</v>
      </c>
      <c r="J851">
        <v>90</v>
      </c>
      <c r="K851">
        <v>60</v>
      </c>
      <c r="L851">
        <v>160</v>
      </c>
      <c r="M851">
        <v>83</v>
      </c>
      <c r="N851">
        <v>584</v>
      </c>
      <c r="O851">
        <v>107</v>
      </c>
      <c r="P851">
        <v>27</v>
      </c>
      <c r="Q851">
        <v>67</v>
      </c>
      <c r="R851">
        <v>190</v>
      </c>
      <c r="S851">
        <v>1.1875</v>
      </c>
      <c r="T851">
        <v>1.1166666666666667</v>
      </c>
      <c r="U851">
        <v>1.1857142857142857</v>
      </c>
    </row>
    <row r="852" spans="1:21" x14ac:dyDescent="0.35">
      <c r="A852">
        <v>310</v>
      </c>
      <c r="B852" s="16">
        <v>40299</v>
      </c>
      <c r="C852" s="15" t="s">
        <v>76</v>
      </c>
      <c r="D852" s="15" t="s">
        <v>38</v>
      </c>
      <c r="E852" s="15" t="s">
        <v>55</v>
      </c>
      <c r="F852" s="15" t="s">
        <v>47</v>
      </c>
      <c r="G852" s="15" t="s">
        <v>78</v>
      </c>
      <c r="H852" s="15" t="s">
        <v>42</v>
      </c>
      <c r="I852">
        <v>60</v>
      </c>
      <c r="J852">
        <v>110</v>
      </c>
      <c r="K852">
        <v>100</v>
      </c>
      <c r="L852">
        <v>170</v>
      </c>
      <c r="M852">
        <v>104</v>
      </c>
      <c r="N852">
        <v>821</v>
      </c>
      <c r="O852">
        <v>152</v>
      </c>
      <c r="P852">
        <v>29</v>
      </c>
      <c r="Q852">
        <v>111</v>
      </c>
      <c r="R852">
        <v>256</v>
      </c>
      <c r="S852">
        <v>1.5058823529411764</v>
      </c>
      <c r="T852">
        <v>1.1100000000000001</v>
      </c>
      <c r="U852">
        <v>1.7333333333333334</v>
      </c>
    </row>
    <row r="853" spans="1:21" x14ac:dyDescent="0.35">
      <c r="A853">
        <v>530</v>
      </c>
      <c r="B853" s="16">
        <v>40299</v>
      </c>
      <c r="C853" s="15" t="s">
        <v>76</v>
      </c>
      <c r="D853" s="15" t="s">
        <v>38</v>
      </c>
      <c r="E853" s="15" t="s">
        <v>56</v>
      </c>
      <c r="F853" s="15" t="s">
        <v>47</v>
      </c>
      <c r="G853" s="15" t="s">
        <v>78</v>
      </c>
      <c r="H853" s="15" t="s">
        <v>42</v>
      </c>
      <c r="I853">
        <v>50</v>
      </c>
      <c r="J853">
        <v>90</v>
      </c>
      <c r="K853">
        <v>80</v>
      </c>
      <c r="L853">
        <v>140</v>
      </c>
      <c r="M853">
        <v>86</v>
      </c>
      <c r="N853">
        <v>499</v>
      </c>
      <c r="O853">
        <v>124</v>
      </c>
      <c r="P853">
        <v>24</v>
      </c>
      <c r="Q853">
        <v>89</v>
      </c>
      <c r="R853">
        <v>210</v>
      </c>
      <c r="S853">
        <v>1.5</v>
      </c>
      <c r="T853">
        <v>1.1125</v>
      </c>
      <c r="U853">
        <v>1.72</v>
      </c>
    </row>
    <row r="854" spans="1:21" x14ac:dyDescent="0.35">
      <c r="A854">
        <v>714</v>
      </c>
      <c r="B854" s="16">
        <v>40299</v>
      </c>
      <c r="C854" s="15" t="s">
        <v>76</v>
      </c>
      <c r="D854" s="15" t="s">
        <v>38</v>
      </c>
      <c r="E854" s="15" t="s">
        <v>46</v>
      </c>
      <c r="F854" s="15" t="s">
        <v>47</v>
      </c>
      <c r="G854" s="15" t="s">
        <v>78</v>
      </c>
      <c r="H854" s="15" t="s">
        <v>42</v>
      </c>
      <c r="I854">
        <v>40</v>
      </c>
      <c r="J854">
        <v>60</v>
      </c>
      <c r="K854">
        <v>30</v>
      </c>
      <c r="L854">
        <v>100</v>
      </c>
      <c r="M854">
        <v>64</v>
      </c>
      <c r="N854">
        <v>593</v>
      </c>
      <c r="O854">
        <v>96</v>
      </c>
      <c r="P854">
        <v>21</v>
      </c>
      <c r="Q854">
        <v>43</v>
      </c>
      <c r="R854">
        <v>160</v>
      </c>
      <c r="S854">
        <v>1.6</v>
      </c>
      <c r="T854">
        <v>1.4333333333333333</v>
      </c>
      <c r="U854">
        <v>1.6</v>
      </c>
    </row>
    <row r="855" spans="1:21" x14ac:dyDescent="0.35">
      <c r="A855">
        <v>775</v>
      </c>
      <c r="B855" s="16">
        <v>40299</v>
      </c>
      <c r="C855" s="15" t="s">
        <v>76</v>
      </c>
      <c r="D855" s="15" t="s">
        <v>58</v>
      </c>
      <c r="E855" s="15" t="s">
        <v>72</v>
      </c>
      <c r="F855" s="15" t="s">
        <v>49</v>
      </c>
      <c r="G855" s="15" t="s">
        <v>79</v>
      </c>
      <c r="H855" s="15" t="s">
        <v>42</v>
      </c>
      <c r="I855">
        <v>0</v>
      </c>
      <c r="J855">
        <v>40</v>
      </c>
      <c r="K855">
        <v>30</v>
      </c>
      <c r="L855">
        <v>40</v>
      </c>
      <c r="M855">
        <v>0</v>
      </c>
      <c r="N855">
        <v>645</v>
      </c>
      <c r="O855">
        <v>43</v>
      </c>
      <c r="P855">
        <v>0</v>
      </c>
      <c r="Q855">
        <v>31</v>
      </c>
      <c r="R855">
        <v>43</v>
      </c>
      <c r="S855">
        <v>1.075</v>
      </c>
      <c r="T855">
        <v>1.0333333333333334</v>
      </c>
    </row>
    <row r="856" spans="1:21" x14ac:dyDescent="0.35">
      <c r="A856">
        <v>775</v>
      </c>
      <c r="B856" s="16">
        <v>40299</v>
      </c>
      <c r="C856" s="15" t="s">
        <v>76</v>
      </c>
      <c r="D856" s="15" t="s">
        <v>58</v>
      </c>
      <c r="E856" s="15" t="s">
        <v>48</v>
      </c>
      <c r="F856" s="15" t="s">
        <v>49</v>
      </c>
      <c r="G856" s="15" t="s">
        <v>79</v>
      </c>
      <c r="H856" s="15" t="s">
        <v>42</v>
      </c>
      <c r="I856">
        <v>10</v>
      </c>
      <c r="J856">
        <v>30</v>
      </c>
      <c r="K856">
        <v>20</v>
      </c>
      <c r="L856">
        <v>40</v>
      </c>
      <c r="M856">
        <v>20</v>
      </c>
      <c r="N856">
        <v>829</v>
      </c>
      <c r="O856">
        <v>29</v>
      </c>
      <c r="P856">
        <v>5</v>
      </c>
      <c r="Q856">
        <v>13</v>
      </c>
      <c r="R856">
        <v>49</v>
      </c>
      <c r="S856">
        <v>1.2250000000000001</v>
      </c>
      <c r="T856">
        <v>0.65</v>
      </c>
      <c r="U856">
        <v>2</v>
      </c>
    </row>
    <row r="857" spans="1:21" x14ac:dyDescent="0.35">
      <c r="A857">
        <v>775</v>
      </c>
      <c r="B857" s="16">
        <v>40299</v>
      </c>
      <c r="C857" s="15" t="s">
        <v>76</v>
      </c>
      <c r="D857" s="15" t="s">
        <v>58</v>
      </c>
      <c r="E857" s="15" t="s">
        <v>50</v>
      </c>
      <c r="F857" s="15" t="s">
        <v>49</v>
      </c>
      <c r="G857" s="15" t="s">
        <v>79</v>
      </c>
      <c r="H857" s="15" t="s">
        <v>45</v>
      </c>
      <c r="I857">
        <v>10</v>
      </c>
      <c r="J857">
        <v>30</v>
      </c>
      <c r="K857">
        <v>20</v>
      </c>
      <c r="L857">
        <v>40</v>
      </c>
      <c r="M857">
        <v>20</v>
      </c>
      <c r="N857">
        <v>784</v>
      </c>
      <c r="O857">
        <v>29</v>
      </c>
      <c r="P857">
        <v>5</v>
      </c>
      <c r="Q857">
        <v>13</v>
      </c>
      <c r="R857">
        <v>49</v>
      </c>
      <c r="S857">
        <v>1.2250000000000001</v>
      </c>
      <c r="T857">
        <v>0.65</v>
      </c>
      <c r="U857">
        <v>2</v>
      </c>
    </row>
    <row r="858" spans="1:21" x14ac:dyDescent="0.35">
      <c r="A858">
        <v>702</v>
      </c>
      <c r="B858" s="16">
        <v>40299</v>
      </c>
      <c r="C858" s="15" t="s">
        <v>76</v>
      </c>
      <c r="D858" s="15" t="s">
        <v>58</v>
      </c>
      <c r="E858" s="15" t="s">
        <v>43</v>
      </c>
      <c r="F858" s="15" t="s">
        <v>40</v>
      </c>
      <c r="G858" s="15" t="s">
        <v>79</v>
      </c>
      <c r="H858" s="15" t="s">
        <v>42</v>
      </c>
      <c r="I858">
        <v>40</v>
      </c>
      <c r="J858">
        <v>60</v>
      </c>
      <c r="K858">
        <v>20</v>
      </c>
      <c r="L858">
        <v>100</v>
      </c>
      <c r="M858">
        <v>36</v>
      </c>
      <c r="N858">
        <v>212</v>
      </c>
      <c r="O858">
        <v>45</v>
      </c>
      <c r="P858">
        <v>13</v>
      </c>
      <c r="Q858">
        <v>-1</v>
      </c>
      <c r="R858">
        <v>81</v>
      </c>
      <c r="S858">
        <v>0.81</v>
      </c>
      <c r="T858">
        <v>-0.05</v>
      </c>
      <c r="U858">
        <v>0.9</v>
      </c>
    </row>
    <row r="859" spans="1:21" x14ac:dyDescent="0.35">
      <c r="A859">
        <v>775</v>
      </c>
      <c r="B859" s="16">
        <v>40299</v>
      </c>
      <c r="C859" s="15" t="s">
        <v>76</v>
      </c>
      <c r="D859" s="15" t="s">
        <v>58</v>
      </c>
      <c r="E859" s="15" t="s">
        <v>51</v>
      </c>
      <c r="F859" s="15" t="s">
        <v>52</v>
      </c>
      <c r="G859" s="15" t="s">
        <v>79</v>
      </c>
      <c r="H859" s="15" t="s">
        <v>45</v>
      </c>
      <c r="I859">
        <v>100</v>
      </c>
      <c r="J859">
        <v>150</v>
      </c>
      <c r="K859">
        <v>40</v>
      </c>
      <c r="L859">
        <v>250</v>
      </c>
      <c r="M859">
        <v>121</v>
      </c>
      <c r="N859">
        <v>788</v>
      </c>
      <c r="O859">
        <v>168</v>
      </c>
      <c r="P859">
        <v>109</v>
      </c>
      <c r="Q859">
        <v>25</v>
      </c>
      <c r="R859">
        <v>289</v>
      </c>
      <c r="S859">
        <v>1.1559999999999999</v>
      </c>
      <c r="T859">
        <v>0.625</v>
      </c>
      <c r="U859">
        <v>1.21</v>
      </c>
    </row>
    <row r="860" spans="1:21" x14ac:dyDescent="0.35">
      <c r="A860">
        <v>775</v>
      </c>
      <c r="B860" s="16">
        <v>40299</v>
      </c>
      <c r="C860" s="15" t="s">
        <v>76</v>
      </c>
      <c r="D860" s="15" t="s">
        <v>58</v>
      </c>
      <c r="E860" s="15" t="s">
        <v>53</v>
      </c>
      <c r="F860" s="15" t="s">
        <v>52</v>
      </c>
      <c r="G860" s="15" t="s">
        <v>79</v>
      </c>
      <c r="H860" s="15" t="s">
        <v>45</v>
      </c>
      <c r="I860">
        <v>160</v>
      </c>
      <c r="J860">
        <v>240</v>
      </c>
      <c r="K860">
        <v>160</v>
      </c>
      <c r="L860">
        <v>400</v>
      </c>
      <c r="M860">
        <v>195</v>
      </c>
      <c r="N860">
        <v>956</v>
      </c>
      <c r="O860">
        <v>270</v>
      </c>
      <c r="P860">
        <v>64</v>
      </c>
      <c r="Q860">
        <v>160</v>
      </c>
      <c r="R860">
        <v>465</v>
      </c>
      <c r="S860">
        <v>1.1625000000000001</v>
      </c>
      <c r="T860">
        <v>1</v>
      </c>
      <c r="U860">
        <v>1.21875</v>
      </c>
    </row>
    <row r="861" spans="1:21" x14ac:dyDescent="0.35">
      <c r="A861">
        <v>775</v>
      </c>
      <c r="B861" s="16">
        <v>40299</v>
      </c>
      <c r="C861" s="15" t="s">
        <v>76</v>
      </c>
      <c r="D861" s="15" t="s">
        <v>58</v>
      </c>
      <c r="E861" s="15" t="s">
        <v>54</v>
      </c>
      <c r="F861" s="15" t="s">
        <v>52</v>
      </c>
      <c r="G861" s="15" t="s">
        <v>79</v>
      </c>
      <c r="H861" s="15" t="s">
        <v>45</v>
      </c>
      <c r="I861">
        <v>100</v>
      </c>
      <c r="J861">
        <v>170</v>
      </c>
      <c r="K861">
        <v>120</v>
      </c>
      <c r="L861">
        <v>270</v>
      </c>
      <c r="M861">
        <v>127</v>
      </c>
      <c r="N861">
        <v>671</v>
      </c>
      <c r="O861">
        <v>185</v>
      </c>
      <c r="P861">
        <v>40</v>
      </c>
      <c r="Q861">
        <v>121</v>
      </c>
      <c r="R861">
        <v>312</v>
      </c>
      <c r="S861">
        <v>1.1555555555555554</v>
      </c>
      <c r="T861">
        <v>1.0083333333333333</v>
      </c>
      <c r="U861">
        <v>1.27</v>
      </c>
    </row>
    <row r="862" spans="1:21" x14ac:dyDescent="0.35">
      <c r="A862">
        <v>702</v>
      </c>
      <c r="B862" s="16">
        <v>40299</v>
      </c>
      <c r="C862" s="15" t="s">
        <v>76</v>
      </c>
      <c r="D862" s="15" t="s">
        <v>58</v>
      </c>
      <c r="E862" s="15" t="s">
        <v>55</v>
      </c>
      <c r="F862" s="15" t="s">
        <v>47</v>
      </c>
      <c r="G862" s="15" t="s">
        <v>79</v>
      </c>
      <c r="H862" s="15" t="s">
        <v>42</v>
      </c>
      <c r="I862">
        <v>170</v>
      </c>
      <c r="J862">
        <v>240</v>
      </c>
      <c r="K862">
        <v>170</v>
      </c>
      <c r="L862">
        <v>410</v>
      </c>
      <c r="M862">
        <v>263</v>
      </c>
      <c r="N862">
        <v>1433</v>
      </c>
      <c r="O862">
        <v>349</v>
      </c>
      <c r="P862">
        <v>86</v>
      </c>
      <c r="Q862">
        <v>231</v>
      </c>
      <c r="R862">
        <v>612</v>
      </c>
      <c r="S862">
        <v>1.4926829268292683</v>
      </c>
      <c r="T862">
        <v>1.3588235294117648</v>
      </c>
      <c r="U862">
        <v>1.5470588235294118</v>
      </c>
    </row>
    <row r="863" spans="1:21" x14ac:dyDescent="0.35">
      <c r="A863">
        <v>775</v>
      </c>
      <c r="B863" s="16">
        <v>40299</v>
      </c>
      <c r="C863" s="15" t="s">
        <v>76</v>
      </c>
      <c r="D863" s="15" t="s">
        <v>58</v>
      </c>
      <c r="E863" s="15" t="s">
        <v>56</v>
      </c>
      <c r="F863" s="15" t="s">
        <v>47</v>
      </c>
      <c r="G863" s="15" t="s">
        <v>79</v>
      </c>
      <c r="H863" s="15" t="s">
        <v>42</v>
      </c>
      <c r="I863">
        <v>170</v>
      </c>
      <c r="J863">
        <v>180</v>
      </c>
      <c r="K863">
        <v>120</v>
      </c>
      <c r="L863">
        <v>350</v>
      </c>
      <c r="M863">
        <v>260</v>
      </c>
      <c r="N863">
        <v>1559</v>
      </c>
      <c r="O863">
        <v>261</v>
      </c>
      <c r="P863">
        <v>72</v>
      </c>
      <c r="Q863">
        <v>164</v>
      </c>
      <c r="R863">
        <v>521</v>
      </c>
      <c r="S863">
        <v>1.4885714285714287</v>
      </c>
      <c r="T863">
        <v>1.3666666666666667</v>
      </c>
      <c r="U863">
        <v>1.5294117647058822</v>
      </c>
    </row>
    <row r="864" spans="1:21" x14ac:dyDescent="0.35">
      <c r="A864">
        <v>702</v>
      </c>
      <c r="B864" s="16">
        <v>40299</v>
      </c>
      <c r="C864" s="15" t="s">
        <v>76</v>
      </c>
      <c r="D864" s="15" t="s">
        <v>58</v>
      </c>
      <c r="E864" s="15" t="s">
        <v>46</v>
      </c>
      <c r="F864" s="15" t="s">
        <v>47</v>
      </c>
      <c r="G864" s="15" t="s">
        <v>79</v>
      </c>
      <c r="H864" s="15" t="s">
        <v>42</v>
      </c>
      <c r="I864">
        <v>170</v>
      </c>
      <c r="J864">
        <v>-170</v>
      </c>
      <c r="K864">
        <v>-250</v>
      </c>
      <c r="L864">
        <v>0</v>
      </c>
      <c r="M864">
        <v>265</v>
      </c>
      <c r="N864">
        <v>3742</v>
      </c>
      <c r="O864">
        <v>-265</v>
      </c>
      <c r="P864">
        <v>100</v>
      </c>
      <c r="Q864">
        <v>-380</v>
      </c>
      <c r="R864">
        <v>18</v>
      </c>
      <c r="T864">
        <v>1.52</v>
      </c>
      <c r="U864">
        <v>1.5588235294117647</v>
      </c>
    </row>
    <row r="865" spans="1:21" x14ac:dyDescent="0.35">
      <c r="A865">
        <v>775</v>
      </c>
      <c r="B865" s="16">
        <v>40299</v>
      </c>
      <c r="C865" s="15" t="s">
        <v>76</v>
      </c>
      <c r="D865" s="15" t="s">
        <v>58</v>
      </c>
      <c r="E865" s="15" t="s">
        <v>44</v>
      </c>
      <c r="F865" s="15" t="s">
        <v>40</v>
      </c>
      <c r="G865" s="15" t="s">
        <v>79</v>
      </c>
      <c r="H865" s="15" t="s">
        <v>45</v>
      </c>
      <c r="I865">
        <v>30</v>
      </c>
      <c r="J865">
        <v>50</v>
      </c>
      <c r="K865">
        <v>30</v>
      </c>
      <c r="L865">
        <v>80</v>
      </c>
      <c r="M865">
        <v>31</v>
      </c>
      <c r="N865">
        <v>976</v>
      </c>
      <c r="O865">
        <v>37</v>
      </c>
      <c r="P865">
        <v>9</v>
      </c>
      <c r="Q865">
        <v>6</v>
      </c>
      <c r="R865">
        <v>68</v>
      </c>
      <c r="S865">
        <v>0.85</v>
      </c>
      <c r="T865">
        <v>0.2</v>
      </c>
      <c r="U865">
        <v>1.0333333333333334</v>
      </c>
    </row>
    <row r="866" spans="1:21" x14ac:dyDescent="0.35">
      <c r="A866">
        <v>541</v>
      </c>
      <c r="B866" s="16">
        <v>40299</v>
      </c>
      <c r="C866" s="15" t="s">
        <v>76</v>
      </c>
      <c r="D866" s="15" t="s">
        <v>58</v>
      </c>
      <c r="E866" s="15" t="s">
        <v>72</v>
      </c>
      <c r="F866" s="15" t="s">
        <v>49</v>
      </c>
      <c r="G866" s="15" t="s">
        <v>80</v>
      </c>
      <c r="H866" s="15" t="s">
        <v>42</v>
      </c>
      <c r="I866">
        <v>50</v>
      </c>
      <c r="J866">
        <v>60</v>
      </c>
      <c r="K866">
        <v>20</v>
      </c>
      <c r="L866">
        <v>110</v>
      </c>
      <c r="M866">
        <v>53</v>
      </c>
      <c r="N866">
        <v>361</v>
      </c>
      <c r="O866">
        <v>65</v>
      </c>
      <c r="P866">
        <v>20</v>
      </c>
      <c r="Q866">
        <v>11</v>
      </c>
      <c r="R866">
        <v>118</v>
      </c>
      <c r="S866">
        <v>1.0727272727272728</v>
      </c>
      <c r="T866">
        <v>0.55000000000000004</v>
      </c>
      <c r="U866">
        <v>1.06</v>
      </c>
    </row>
    <row r="867" spans="1:21" x14ac:dyDescent="0.35">
      <c r="A867">
        <v>541</v>
      </c>
      <c r="B867" s="16">
        <v>40299</v>
      </c>
      <c r="C867" s="15" t="s">
        <v>76</v>
      </c>
      <c r="D867" s="15" t="s">
        <v>58</v>
      </c>
      <c r="E867" s="15" t="s">
        <v>48</v>
      </c>
      <c r="F867" s="15" t="s">
        <v>49</v>
      </c>
      <c r="G867" s="15" t="s">
        <v>80</v>
      </c>
      <c r="H867" s="15" t="s">
        <v>42</v>
      </c>
      <c r="I867">
        <v>40</v>
      </c>
      <c r="J867">
        <v>70</v>
      </c>
      <c r="K867">
        <v>40</v>
      </c>
      <c r="L867">
        <v>110</v>
      </c>
      <c r="M867">
        <v>52</v>
      </c>
      <c r="N867">
        <v>361</v>
      </c>
      <c r="O867">
        <v>71</v>
      </c>
      <c r="P867">
        <v>17</v>
      </c>
      <c r="Q867">
        <v>27</v>
      </c>
      <c r="R867">
        <v>123</v>
      </c>
      <c r="S867">
        <v>1.1181818181818182</v>
      </c>
      <c r="T867">
        <v>0.67500000000000004</v>
      </c>
      <c r="U867">
        <v>1.3</v>
      </c>
    </row>
    <row r="868" spans="1:21" x14ac:dyDescent="0.35">
      <c r="A868">
        <v>541</v>
      </c>
      <c r="B868" s="16">
        <v>40299</v>
      </c>
      <c r="C868" s="15" t="s">
        <v>76</v>
      </c>
      <c r="D868" s="15" t="s">
        <v>58</v>
      </c>
      <c r="E868" s="15" t="s">
        <v>50</v>
      </c>
      <c r="F868" s="15" t="s">
        <v>49</v>
      </c>
      <c r="G868" s="15" t="s">
        <v>80</v>
      </c>
      <c r="H868" s="15" t="s">
        <v>45</v>
      </c>
      <c r="I868">
        <v>140</v>
      </c>
      <c r="J868">
        <v>140</v>
      </c>
      <c r="K868">
        <v>90</v>
      </c>
      <c r="L868">
        <v>280</v>
      </c>
      <c r="M868">
        <v>149</v>
      </c>
      <c r="N868">
        <v>1156</v>
      </c>
      <c r="O868">
        <v>149</v>
      </c>
      <c r="P868">
        <v>41</v>
      </c>
      <c r="Q868">
        <v>83</v>
      </c>
      <c r="R868">
        <v>298</v>
      </c>
      <c r="S868">
        <v>1.0642857142857143</v>
      </c>
      <c r="T868">
        <v>0.92222222222222228</v>
      </c>
      <c r="U868">
        <v>1.0642857142857143</v>
      </c>
    </row>
    <row r="869" spans="1:21" x14ac:dyDescent="0.35">
      <c r="A869">
        <v>503</v>
      </c>
      <c r="B869" s="16">
        <v>40299</v>
      </c>
      <c r="C869" s="15" t="s">
        <v>76</v>
      </c>
      <c r="D869" s="15" t="s">
        <v>58</v>
      </c>
      <c r="E869" s="15" t="s">
        <v>39</v>
      </c>
      <c r="F869" s="15" t="s">
        <v>40</v>
      </c>
      <c r="G869" s="15" t="s">
        <v>80</v>
      </c>
      <c r="H869" s="15" t="s">
        <v>42</v>
      </c>
      <c r="I869">
        <v>60</v>
      </c>
      <c r="J869">
        <v>100</v>
      </c>
      <c r="K869">
        <v>40</v>
      </c>
      <c r="L869">
        <v>160</v>
      </c>
      <c r="M869">
        <v>53</v>
      </c>
      <c r="N869">
        <v>458</v>
      </c>
      <c r="O869">
        <v>75</v>
      </c>
      <c r="P869">
        <v>48</v>
      </c>
      <c r="Q869">
        <v>-2</v>
      </c>
      <c r="R869">
        <v>128</v>
      </c>
      <c r="S869">
        <v>0.8</v>
      </c>
      <c r="T869">
        <v>-0.05</v>
      </c>
      <c r="U869">
        <v>0.8833333333333333</v>
      </c>
    </row>
    <row r="870" spans="1:21" x14ac:dyDescent="0.35">
      <c r="A870">
        <v>971</v>
      </c>
      <c r="B870" s="16">
        <v>40299</v>
      </c>
      <c r="C870" s="15" t="s">
        <v>76</v>
      </c>
      <c r="D870" s="15" t="s">
        <v>58</v>
      </c>
      <c r="E870" s="15" t="s">
        <v>43</v>
      </c>
      <c r="F870" s="15" t="s">
        <v>40</v>
      </c>
      <c r="G870" s="15" t="s">
        <v>80</v>
      </c>
      <c r="H870" s="15" t="s">
        <v>42</v>
      </c>
      <c r="I870">
        <v>60</v>
      </c>
      <c r="J870">
        <v>80</v>
      </c>
      <c r="K870">
        <v>30</v>
      </c>
      <c r="L870">
        <v>140</v>
      </c>
      <c r="M870">
        <v>48</v>
      </c>
      <c r="N870">
        <v>422</v>
      </c>
      <c r="O870">
        <v>68</v>
      </c>
      <c r="P870">
        <v>15</v>
      </c>
      <c r="Q870">
        <v>8</v>
      </c>
      <c r="R870">
        <v>116</v>
      </c>
      <c r="S870">
        <v>0.82857142857142863</v>
      </c>
      <c r="T870">
        <v>0.26666666666666666</v>
      </c>
      <c r="U870">
        <v>0.8</v>
      </c>
    </row>
    <row r="871" spans="1:21" x14ac:dyDescent="0.35">
      <c r="A871">
        <v>503</v>
      </c>
      <c r="B871" s="16">
        <v>40299</v>
      </c>
      <c r="C871" s="15" t="s">
        <v>76</v>
      </c>
      <c r="D871" s="15" t="s">
        <v>58</v>
      </c>
      <c r="E871" s="15" t="s">
        <v>51</v>
      </c>
      <c r="F871" s="15" t="s">
        <v>52</v>
      </c>
      <c r="G871" s="15" t="s">
        <v>80</v>
      </c>
      <c r="H871" s="15" t="s">
        <v>45</v>
      </c>
      <c r="I871">
        <v>20</v>
      </c>
      <c r="J871">
        <v>40</v>
      </c>
      <c r="K871">
        <v>40</v>
      </c>
      <c r="L871">
        <v>60</v>
      </c>
      <c r="M871">
        <v>30</v>
      </c>
      <c r="N871">
        <v>794</v>
      </c>
      <c r="O871">
        <v>45</v>
      </c>
      <c r="P871">
        <v>8</v>
      </c>
      <c r="Q871">
        <v>26</v>
      </c>
      <c r="R871">
        <v>75</v>
      </c>
      <c r="S871">
        <v>1.25</v>
      </c>
      <c r="T871">
        <v>0.65</v>
      </c>
      <c r="U871">
        <v>1.5</v>
      </c>
    </row>
    <row r="872" spans="1:21" x14ac:dyDescent="0.35">
      <c r="A872">
        <v>971</v>
      </c>
      <c r="B872" s="16">
        <v>40299</v>
      </c>
      <c r="C872" s="15" t="s">
        <v>76</v>
      </c>
      <c r="D872" s="15" t="s">
        <v>58</v>
      </c>
      <c r="E872" s="15" t="s">
        <v>53</v>
      </c>
      <c r="F872" s="15" t="s">
        <v>52</v>
      </c>
      <c r="G872" s="15" t="s">
        <v>80</v>
      </c>
      <c r="H872" s="15" t="s">
        <v>45</v>
      </c>
      <c r="I872">
        <v>30</v>
      </c>
      <c r="J872">
        <v>50</v>
      </c>
      <c r="K872">
        <v>30</v>
      </c>
      <c r="L872">
        <v>80</v>
      </c>
      <c r="M872">
        <v>43</v>
      </c>
      <c r="N872">
        <v>602</v>
      </c>
      <c r="O872">
        <v>56</v>
      </c>
      <c r="P872">
        <v>14</v>
      </c>
      <c r="Q872">
        <v>30</v>
      </c>
      <c r="R872">
        <v>99</v>
      </c>
      <c r="S872">
        <v>1.2375</v>
      </c>
      <c r="T872">
        <v>1</v>
      </c>
      <c r="U872">
        <v>1.4333333333333333</v>
      </c>
    </row>
    <row r="873" spans="1:21" x14ac:dyDescent="0.35">
      <c r="A873">
        <v>503</v>
      </c>
      <c r="B873" s="16">
        <v>40299</v>
      </c>
      <c r="C873" s="15" t="s">
        <v>76</v>
      </c>
      <c r="D873" s="15" t="s">
        <v>58</v>
      </c>
      <c r="E873" s="15" t="s">
        <v>55</v>
      </c>
      <c r="F873" s="15" t="s">
        <v>47</v>
      </c>
      <c r="G873" s="15" t="s">
        <v>80</v>
      </c>
      <c r="H873" s="15" t="s">
        <v>42</v>
      </c>
      <c r="I873">
        <v>10</v>
      </c>
      <c r="J873">
        <v>20</v>
      </c>
      <c r="K873">
        <v>20</v>
      </c>
      <c r="L873">
        <v>30</v>
      </c>
      <c r="M873">
        <v>20</v>
      </c>
      <c r="N873">
        <v>464</v>
      </c>
      <c r="O873">
        <v>29</v>
      </c>
      <c r="P873">
        <v>5</v>
      </c>
      <c r="Q873">
        <v>12</v>
      </c>
      <c r="R873">
        <v>49</v>
      </c>
      <c r="S873">
        <v>1.6333333333333333</v>
      </c>
      <c r="T873">
        <v>0.6</v>
      </c>
      <c r="U873">
        <v>2</v>
      </c>
    </row>
    <row r="874" spans="1:21" x14ac:dyDescent="0.35">
      <c r="A874">
        <v>503</v>
      </c>
      <c r="B874" s="16">
        <v>40299</v>
      </c>
      <c r="C874" s="15" t="s">
        <v>76</v>
      </c>
      <c r="D874" s="15" t="s">
        <v>58</v>
      </c>
      <c r="E874" s="15" t="s">
        <v>56</v>
      </c>
      <c r="F874" s="15" t="s">
        <v>47</v>
      </c>
      <c r="G874" s="15" t="s">
        <v>80</v>
      </c>
      <c r="H874" s="15" t="s">
        <v>42</v>
      </c>
      <c r="I874">
        <v>60</v>
      </c>
      <c r="J874">
        <v>90</v>
      </c>
      <c r="K874">
        <v>50</v>
      </c>
      <c r="L874">
        <v>150</v>
      </c>
      <c r="M874">
        <v>94</v>
      </c>
      <c r="N874">
        <v>697</v>
      </c>
      <c r="O874">
        <v>141</v>
      </c>
      <c r="P874">
        <v>31</v>
      </c>
      <c r="Q874">
        <v>79</v>
      </c>
      <c r="R874">
        <v>235</v>
      </c>
      <c r="S874">
        <v>1.5666666666666667</v>
      </c>
      <c r="T874">
        <v>1.58</v>
      </c>
      <c r="U874">
        <v>1.5666666666666667</v>
      </c>
    </row>
    <row r="875" spans="1:21" x14ac:dyDescent="0.35">
      <c r="A875">
        <v>971</v>
      </c>
      <c r="B875" s="16">
        <v>40299</v>
      </c>
      <c r="C875" s="15" t="s">
        <v>76</v>
      </c>
      <c r="D875" s="15" t="s">
        <v>58</v>
      </c>
      <c r="E875" s="15" t="s">
        <v>46</v>
      </c>
      <c r="F875" s="15" t="s">
        <v>47</v>
      </c>
      <c r="G875" s="15" t="s">
        <v>80</v>
      </c>
      <c r="H875" s="15" t="s">
        <v>42</v>
      </c>
      <c r="I875">
        <v>70</v>
      </c>
      <c r="J875">
        <v>110</v>
      </c>
      <c r="K875">
        <v>70</v>
      </c>
      <c r="L875">
        <v>180</v>
      </c>
      <c r="M875">
        <v>114</v>
      </c>
      <c r="N875">
        <v>555</v>
      </c>
      <c r="O875">
        <v>159</v>
      </c>
      <c r="P875">
        <v>35</v>
      </c>
      <c r="Q875">
        <v>101</v>
      </c>
      <c r="R875">
        <v>273</v>
      </c>
      <c r="S875">
        <v>1.5166666666666666</v>
      </c>
      <c r="T875">
        <v>1.4428571428571428</v>
      </c>
      <c r="U875">
        <v>1.6285714285714286</v>
      </c>
    </row>
    <row r="876" spans="1:21" x14ac:dyDescent="0.35">
      <c r="A876">
        <v>971</v>
      </c>
      <c r="B876" s="16">
        <v>40299</v>
      </c>
      <c r="C876" s="15" t="s">
        <v>76</v>
      </c>
      <c r="D876" s="15" t="s">
        <v>58</v>
      </c>
      <c r="E876" s="15" t="s">
        <v>44</v>
      </c>
      <c r="F876" s="15" t="s">
        <v>40</v>
      </c>
      <c r="G876" s="15" t="s">
        <v>80</v>
      </c>
      <c r="H876" s="15" t="s">
        <v>45</v>
      </c>
      <c r="I876">
        <v>50</v>
      </c>
      <c r="J876">
        <v>70</v>
      </c>
      <c r="K876">
        <v>40</v>
      </c>
      <c r="L876">
        <v>120</v>
      </c>
      <c r="M876">
        <v>42</v>
      </c>
      <c r="N876">
        <v>384</v>
      </c>
      <c r="O876">
        <v>61</v>
      </c>
      <c r="P876">
        <v>13</v>
      </c>
      <c r="Q876">
        <v>25</v>
      </c>
      <c r="R876">
        <v>103</v>
      </c>
      <c r="S876">
        <v>0.85833333333333328</v>
      </c>
      <c r="T876">
        <v>0.625</v>
      </c>
      <c r="U876">
        <v>0.84</v>
      </c>
    </row>
    <row r="877" spans="1:21" x14ac:dyDescent="0.35">
      <c r="A877">
        <v>206</v>
      </c>
      <c r="B877" s="16">
        <v>40299</v>
      </c>
      <c r="C877" s="15" t="s">
        <v>76</v>
      </c>
      <c r="D877" s="15" t="s">
        <v>58</v>
      </c>
      <c r="E877" s="15" t="s">
        <v>72</v>
      </c>
      <c r="F877" s="15" t="s">
        <v>49</v>
      </c>
      <c r="G877" s="15" t="s">
        <v>81</v>
      </c>
      <c r="H877" s="15" t="s">
        <v>42</v>
      </c>
      <c r="I877">
        <v>40</v>
      </c>
      <c r="J877">
        <v>60</v>
      </c>
      <c r="K877">
        <v>40</v>
      </c>
      <c r="L877">
        <v>100</v>
      </c>
      <c r="M877">
        <v>48</v>
      </c>
      <c r="N877">
        <v>599</v>
      </c>
      <c r="O877">
        <v>62</v>
      </c>
      <c r="P877">
        <v>15</v>
      </c>
      <c r="Q877">
        <v>34</v>
      </c>
      <c r="R877">
        <v>110</v>
      </c>
      <c r="S877">
        <v>1.1000000000000001</v>
      </c>
      <c r="T877">
        <v>0.85</v>
      </c>
      <c r="U877">
        <v>1.2</v>
      </c>
    </row>
    <row r="878" spans="1:21" x14ac:dyDescent="0.35">
      <c r="A878">
        <v>206</v>
      </c>
      <c r="B878" s="16">
        <v>40299</v>
      </c>
      <c r="C878" s="15" t="s">
        <v>76</v>
      </c>
      <c r="D878" s="15" t="s">
        <v>58</v>
      </c>
      <c r="E878" s="15" t="s">
        <v>48</v>
      </c>
      <c r="F878" s="15" t="s">
        <v>49</v>
      </c>
      <c r="G878" s="15" t="s">
        <v>81</v>
      </c>
      <c r="H878" s="15" t="s">
        <v>42</v>
      </c>
      <c r="I878">
        <v>50</v>
      </c>
      <c r="J878">
        <v>70</v>
      </c>
      <c r="K878">
        <v>20</v>
      </c>
      <c r="L878">
        <v>120</v>
      </c>
      <c r="M878">
        <v>58</v>
      </c>
      <c r="N878">
        <v>338</v>
      </c>
      <c r="O878">
        <v>72</v>
      </c>
      <c r="P878">
        <v>22</v>
      </c>
      <c r="Q878">
        <v>16</v>
      </c>
      <c r="R878">
        <v>130</v>
      </c>
      <c r="S878">
        <v>1.0833333333333333</v>
      </c>
      <c r="T878">
        <v>0.8</v>
      </c>
      <c r="U878">
        <v>1.1599999999999999</v>
      </c>
    </row>
    <row r="879" spans="1:21" x14ac:dyDescent="0.35">
      <c r="A879">
        <v>206</v>
      </c>
      <c r="B879" s="16">
        <v>40299</v>
      </c>
      <c r="C879" s="15" t="s">
        <v>76</v>
      </c>
      <c r="D879" s="15" t="s">
        <v>58</v>
      </c>
      <c r="E879" s="15" t="s">
        <v>50</v>
      </c>
      <c r="F879" s="15" t="s">
        <v>49</v>
      </c>
      <c r="G879" s="15" t="s">
        <v>81</v>
      </c>
      <c r="H879" s="15" t="s">
        <v>45</v>
      </c>
      <c r="I879">
        <v>70</v>
      </c>
      <c r="J879">
        <v>90</v>
      </c>
      <c r="K879">
        <v>60</v>
      </c>
      <c r="L879">
        <v>160</v>
      </c>
      <c r="M879">
        <v>78</v>
      </c>
      <c r="N879">
        <v>995</v>
      </c>
      <c r="O879">
        <v>92</v>
      </c>
      <c r="P879">
        <v>24</v>
      </c>
      <c r="Q879">
        <v>47</v>
      </c>
      <c r="R879">
        <v>170</v>
      </c>
      <c r="S879">
        <v>1.0625</v>
      </c>
      <c r="T879">
        <v>0.78333333333333333</v>
      </c>
      <c r="U879">
        <v>1.1142857142857143</v>
      </c>
    </row>
    <row r="880" spans="1:21" x14ac:dyDescent="0.35">
      <c r="A880">
        <v>253</v>
      </c>
      <c r="B880" s="16">
        <v>40299</v>
      </c>
      <c r="C880" s="15" t="s">
        <v>76</v>
      </c>
      <c r="D880" s="15" t="s">
        <v>58</v>
      </c>
      <c r="E880" s="15" t="s">
        <v>43</v>
      </c>
      <c r="F880" s="15" t="s">
        <v>40</v>
      </c>
      <c r="G880" s="15" t="s">
        <v>81</v>
      </c>
      <c r="H880" s="15" t="s">
        <v>42</v>
      </c>
      <c r="I880">
        <v>80</v>
      </c>
      <c r="J880">
        <v>130</v>
      </c>
      <c r="K880">
        <v>90</v>
      </c>
      <c r="L880">
        <v>210</v>
      </c>
      <c r="M880">
        <v>71</v>
      </c>
      <c r="N880">
        <v>373</v>
      </c>
      <c r="O880">
        <v>104</v>
      </c>
      <c r="P880">
        <v>22</v>
      </c>
      <c r="Q880">
        <v>58</v>
      </c>
      <c r="R880">
        <v>175</v>
      </c>
      <c r="S880">
        <v>0.83333333333333337</v>
      </c>
      <c r="T880">
        <v>0.64444444444444449</v>
      </c>
      <c r="U880">
        <v>0.88749999999999996</v>
      </c>
    </row>
    <row r="881" spans="1:21" x14ac:dyDescent="0.35">
      <c r="A881">
        <v>206</v>
      </c>
      <c r="B881" s="16">
        <v>40299</v>
      </c>
      <c r="C881" s="15" t="s">
        <v>76</v>
      </c>
      <c r="D881" s="15" t="s">
        <v>58</v>
      </c>
      <c r="E881" s="15" t="s">
        <v>51</v>
      </c>
      <c r="F881" s="15" t="s">
        <v>52</v>
      </c>
      <c r="G881" s="15" t="s">
        <v>81</v>
      </c>
      <c r="H881" s="15" t="s">
        <v>45</v>
      </c>
      <c r="I881">
        <v>90</v>
      </c>
      <c r="J881">
        <v>150</v>
      </c>
      <c r="K881">
        <v>100</v>
      </c>
      <c r="L881">
        <v>240</v>
      </c>
      <c r="M881">
        <v>110</v>
      </c>
      <c r="N881">
        <v>1020</v>
      </c>
      <c r="O881">
        <v>165</v>
      </c>
      <c r="P881">
        <v>36</v>
      </c>
      <c r="Q881">
        <v>98</v>
      </c>
      <c r="R881">
        <v>275</v>
      </c>
      <c r="S881">
        <v>1.1458333333333333</v>
      </c>
      <c r="T881">
        <v>0.98</v>
      </c>
      <c r="U881">
        <v>1.2222222222222223</v>
      </c>
    </row>
    <row r="882" spans="1:21" x14ac:dyDescent="0.35">
      <c r="A882">
        <v>206</v>
      </c>
      <c r="B882" s="16">
        <v>40299</v>
      </c>
      <c r="C882" s="15" t="s">
        <v>76</v>
      </c>
      <c r="D882" s="15" t="s">
        <v>58</v>
      </c>
      <c r="E882" s="15" t="s">
        <v>53</v>
      </c>
      <c r="F882" s="15" t="s">
        <v>52</v>
      </c>
      <c r="G882" s="15" t="s">
        <v>81</v>
      </c>
      <c r="H882" s="15" t="s">
        <v>45</v>
      </c>
      <c r="I882">
        <v>30</v>
      </c>
      <c r="J882">
        <v>50</v>
      </c>
      <c r="K882">
        <v>50</v>
      </c>
      <c r="L882">
        <v>80</v>
      </c>
      <c r="M882">
        <v>40</v>
      </c>
      <c r="N882">
        <v>793</v>
      </c>
      <c r="O882">
        <v>59</v>
      </c>
      <c r="P882">
        <v>11</v>
      </c>
      <c r="Q882">
        <v>36</v>
      </c>
      <c r="R882">
        <v>99</v>
      </c>
      <c r="S882">
        <v>1.2375</v>
      </c>
      <c r="T882">
        <v>0.72</v>
      </c>
      <c r="U882">
        <v>1.3333333333333333</v>
      </c>
    </row>
    <row r="883" spans="1:21" x14ac:dyDescent="0.35">
      <c r="A883">
        <v>509</v>
      </c>
      <c r="B883" s="16">
        <v>40299</v>
      </c>
      <c r="C883" s="15" t="s">
        <v>76</v>
      </c>
      <c r="D883" s="15" t="s">
        <v>58</v>
      </c>
      <c r="E883" s="15" t="s">
        <v>55</v>
      </c>
      <c r="F883" s="15" t="s">
        <v>47</v>
      </c>
      <c r="G883" s="15" t="s">
        <v>81</v>
      </c>
      <c r="H883" s="15" t="s">
        <v>42</v>
      </c>
      <c r="I883">
        <v>30</v>
      </c>
      <c r="J883">
        <v>50</v>
      </c>
      <c r="K883">
        <v>30</v>
      </c>
      <c r="L883">
        <v>80</v>
      </c>
      <c r="M883">
        <v>48</v>
      </c>
      <c r="N883">
        <v>351</v>
      </c>
      <c r="O883">
        <v>82</v>
      </c>
      <c r="P883">
        <v>14</v>
      </c>
      <c r="Q883">
        <v>44</v>
      </c>
      <c r="R883">
        <v>130</v>
      </c>
      <c r="S883">
        <v>1.625</v>
      </c>
      <c r="T883">
        <v>1.4666666666666666</v>
      </c>
      <c r="U883">
        <v>1.6</v>
      </c>
    </row>
    <row r="884" spans="1:21" x14ac:dyDescent="0.35">
      <c r="A884">
        <v>360</v>
      </c>
      <c r="B884" s="16">
        <v>40299</v>
      </c>
      <c r="C884" s="15" t="s">
        <v>76</v>
      </c>
      <c r="D884" s="15" t="s">
        <v>58</v>
      </c>
      <c r="E884" s="15" t="s">
        <v>56</v>
      </c>
      <c r="F884" s="15" t="s">
        <v>47</v>
      </c>
      <c r="G884" s="15" t="s">
        <v>81</v>
      </c>
      <c r="H884" s="15" t="s">
        <v>42</v>
      </c>
      <c r="I884">
        <v>20</v>
      </c>
      <c r="J884">
        <v>50</v>
      </c>
      <c r="K884">
        <v>30</v>
      </c>
      <c r="L884">
        <v>70</v>
      </c>
      <c r="M884">
        <v>45</v>
      </c>
      <c r="N884">
        <v>410</v>
      </c>
      <c r="O884">
        <v>65</v>
      </c>
      <c r="P884">
        <v>14</v>
      </c>
      <c r="Q884">
        <v>27</v>
      </c>
      <c r="R884">
        <v>110</v>
      </c>
      <c r="S884">
        <v>1.5714285714285714</v>
      </c>
      <c r="T884">
        <v>0.9</v>
      </c>
      <c r="U884">
        <v>2.25</v>
      </c>
    </row>
    <row r="885" spans="1:21" x14ac:dyDescent="0.35">
      <c r="A885">
        <v>425</v>
      </c>
      <c r="B885" s="16">
        <v>40299</v>
      </c>
      <c r="C885" s="15" t="s">
        <v>76</v>
      </c>
      <c r="D885" s="15" t="s">
        <v>58</v>
      </c>
      <c r="E885" s="15" t="s">
        <v>46</v>
      </c>
      <c r="F885" s="15" t="s">
        <v>47</v>
      </c>
      <c r="G885" s="15" t="s">
        <v>81</v>
      </c>
      <c r="H885" s="15" t="s">
        <v>42</v>
      </c>
      <c r="I885">
        <v>40</v>
      </c>
      <c r="J885">
        <v>60</v>
      </c>
      <c r="K885">
        <v>10</v>
      </c>
      <c r="L885">
        <v>100</v>
      </c>
      <c r="M885">
        <v>64</v>
      </c>
      <c r="N885">
        <v>551</v>
      </c>
      <c r="O885">
        <v>90</v>
      </c>
      <c r="P885">
        <v>58</v>
      </c>
      <c r="Q885">
        <v>2</v>
      </c>
      <c r="R885">
        <v>154</v>
      </c>
      <c r="S885">
        <v>1.54</v>
      </c>
      <c r="T885">
        <v>0.2</v>
      </c>
      <c r="U885">
        <v>1.6</v>
      </c>
    </row>
    <row r="886" spans="1:21" x14ac:dyDescent="0.35">
      <c r="A886">
        <v>253</v>
      </c>
      <c r="B886" s="16">
        <v>40299</v>
      </c>
      <c r="C886" s="15" t="s">
        <v>76</v>
      </c>
      <c r="D886" s="15" t="s">
        <v>58</v>
      </c>
      <c r="E886" s="15" t="s">
        <v>44</v>
      </c>
      <c r="F886" s="15" t="s">
        <v>40</v>
      </c>
      <c r="G886" s="15" t="s">
        <v>81</v>
      </c>
      <c r="H886" s="15" t="s">
        <v>45</v>
      </c>
      <c r="I886">
        <v>110</v>
      </c>
      <c r="J886">
        <v>160</v>
      </c>
      <c r="K886">
        <v>60</v>
      </c>
      <c r="L886">
        <v>270</v>
      </c>
      <c r="M886">
        <v>92</v>
      </c>
      <c r="N886">
        <v>599</v>
      </c>
      <c r="O886">
        <v>129</v>
      </c>
      <c r="P886">
        <v>83</v>
      </c>
      <c r="Q886">
        <v>16</v>
      </c>
      <c r="R886">
        <v>221</v>
      </c>
      <c r="S886">
        <v>0.81851851851851853</v>
      </c>
      <c r="T886">
        <v>0.26666666666666666</v>
      </c>
      <c r="U886">
        <v>0.83636363636363631</v>
      </c>
    </row>
    <row r="887" spans="1:21" x14ac:dyDescent="0.35">
      <c r="A887">
        <v>719</v>
      </c>
      <c r="B887" s="16">
        <v>40330</v>
      </c>
      <c r="C887" s="15" t="s">
        <v>37</v>
      </c>
      <c r="D887" s="15" t="s">
        <v>38</v>
      </c>
      <c r="E887" s="15" t="s">
        <v>55</v>
      </c>
      <c r="F887" s="15" t="s">
        <v>47</v>
      </c>
      <c r="G887" s="15" t="s">
        <v>41</v>
      </c>
      <c r="H887" s="15" t="s">
        <v>42</v>
      </c>
      <c r="I887">
        <v>40</v>
      </c>
      <c r="J887">
        <v>60</v>
      </c>
      <c r="K887">
        <v>20</v>
      </c>
      <c r="L887">
        <v>100</v>
      </c>
      <c r="M887">
        <v>51</v>
      </c>
      <c r="N887">
        <v>396</v>
      </c>
      <c r="O887">
        <v>64</v>
      </c>
      <c r="P887">
        <v>19</v>
      </c>
      <c r="Q887">
        <v>11</v>
      </c>
      <c r="R887">
        <v>115</v>
      </c>
      <c r="S887">
        <v>1.1499999999999999</v>
      </c>
      <c r="T887">
        <v>0.55000000000000004</v>
      </c>
      <c r="U887">
        <v>1.2749999999999999</v>
      </c>
    </row>
    <row r="888" spans="1:21" x14ac:dyDescent="0.35">
      <c r="A888">
        <v>970</v>
      </c>
      <c r="B888" s="16">
        <v>40330</v>
      </c>
      <c r="C888" s="15" t="s">
        <v>37</v>
      </c>
      <c r="D888" s="15" t="s">
        <v>38</v>
      </c>
      <c r="E888" s="15" t="s">
        <v>56</v>
      </c>
      <c r="F888" s="15" t="s">
        <v>47</v>
      </c>
      <c r="G888" s="15" t="s">
        <v>41</v>
      </c>
      <c r="H888" s="15" t="s">
        <v>42</v>
      </c>
      <c r="I888">
        <v>40</v>
      </c>
      <c r="J888">
        <v>60</v>
      </c>
      <c r="K888">
        <v>30</v>
      </c>
      <c r="L888">
        <v>100</v>
      </c>
      <c r="M888">
        <v>53</v>
      </c>
      <c r="N888">
        <v>1028</v>
      </c>
      <c r="O888">
        <v>64</v>
      </c>
      <c r="P888">
        <v>16</v>
      </c>
      <c r="Q888">
        <v>27</v>
      </c>
      <c r="R888">
        <v>117</v>
      </c>
      <c r="S888">
        <v>1.17</v>
      </c>
      <c r="T888">
        <v>0.9</v>
      </c>
      <c r="U888">
        <v>1.325</v>
      </c>
    </row>
    <row r="889" spans="1:21" x14ac:dyDescent="0.35">
      <c r="A889">
        <v>720</v>
      </c>
      <c r="B889" s="16">
        <v>40330</v>
      </c>
      <c r="C889" s="15" t="s">
        <v>37</v>
      </c>
      <c r="D889" s="15" t="s">
        <v>38</v>
      </c>
      <c r="E889" s="15" t="s">
        <v>46</v>
      </c>
      <c r="F889" s="15" t="s">
        <v>47</v>
      </c>
      <c r="G889" s="15" t="s">
        <v>41</v>
      </c>
      <c r="H889" s="15" t="s">
        <v>42</v>
      </c>
      <c r="I889">
        <v>30</v>
      </c>
      <c r="J889">
        <v>50</v>
      </c>
      <c r="K889">
        <v>30</v>
      </c>
      <c r="L889">
        <v>80</v>
      </c>
      <c r="M889">
        <v>43</v>
      </c>
      <c r="N889">
        <v>597</v>
      </c>
      <c r="O889">
        <v>56</v>
      </c>
      <c r="P889">
        <v>14</v>
      </c>
      <c r="Q889">
        <v>29</v>
      </c>
      <c r="R889">
        <v>99</v>
      </c>
      <c r="S889">
        <v>1.2375</v>
      </c>
      <c r="T889">
        <v>0.96666666666666667</v>
      </c>
      <c r="U889">
        <v>1.4333333333333333</v>
      </c>
    </row>
    <row r="890" spans="1:21" x14ac:dyDescent="0.35">
      <c r="A890">
        <v>719</v>
      </c>
      <c r="B890" s="16">
        <v>40330</v>
      </c>
      <c r="C890" s="15" t="s">
        <v>37</v>
      </c>
      <c r="D890" s="15" t="s">
        <v>38</v>
      </c>
      <c r="E890" s="15" t="s">
        <v>48</v>
      </c>
      <c r="F890" s="15" t="s">
        <v>49</v>
      </c>
      <c r="G890" s="15" t="s">
        <v>41</v>
      </c>
      <c r="H890" s="15" t="s">
        <v>42</v>
      </c>
      <c r="I890">
        <v>100</v>
      </c>
      <c r="J890">
        <v>170</v>
      </c>
      <c r="K890">
        <v>140</v>
      </c>
      <c r="L890">
        <v>270</v>
      </c>
      <c r="M890">
        <v>94</v>
      </c>
      <c r="N890">
        <v>562</v>
      </c>
      <c r="O890">
        <v>136</v>
      </c>
      <c r="P890">
        <v>26</v>
      </c>
      <c r="Q890">
        <v>99</v>
      </c>
      <c r="R890">
        <v>230</v>
      </c>
      <c r="S890">
        <v>0.85185185185185186</v>
      </c>
      <c r="T890">
        <v>0.70714285714285718</v>
      </c>
      <c r="U890">
        <v>0.94</v>
      </c>
    </row>
    <row r="891" spans="1:21" x14ac:dyDescent="0.35">
      <c r="A891">
        <v>303</v>
      </c>
      <c r="B891" s="16">
        <v>40330</v>
      </c>
      <c r="C891" s="15" t="s">
        <v>37</v>
      </c>
      <c r="D891" s="15" t="s">
        <v>38</v>
      </c>
      <c r="E891" s="15" t="s">
        <v>50</v>
      </c>
      <c r="F891" s="15" t="s">
        <v>49</v>
      </c>
      <c r="G891" s="15" t="s">
        <v>41</v>
      </c>
      <c r="H891" s="15" t="s">
        <v>45</v>
      </c>
      <c r="I891">
        <v>60</v>
      </c>
      <c r="J891">
        <v>90</v>
      </c>
      <c r="K891">
        <v>50</v>
      </c>
      <c r="L891">
        <v>150</v>
      </c>
      <c r="M891">
        <v>54</v>
      </c>
      <c r="N891">
        <v>641</v>
      </c>
      <c r="O891">
        <v>81</v>
      </c>
      <c r="P891">
        <v>17</v>
      </c>
      <c r="Q891">
        <v>33</v>
      </c>
      <c r="R891">
        <v>135</v>
      </c>
      <c r="S891">
        <v>0.9</v>
      </c>
      <c r="T891">
        <v>0.66</v>
      </c>
      <c r="U891">
        <v>0.9</v>
      </c>
    </row>
    <row r="892" spans="1:21" x14ac:dyDescent="0.35">
      <c r="A892">
        <v>719</v>
      </c>
      <c r="B892" s="16">
        <v>40330</v>
      </c>
      <c r="C892" s="15" t="s">
        <v>37</v>
      </c>
      <c r="D892" s="15" t="s">
        <v>38</v>
      </c>
      <c r="E892" s="15" t="s">
        <v>39</v>
      </c>
      <c r="F892" s="15" t="s">
        <v>40</v>
      </c>
      <c r="G892" s="15" t="s">
        <v>41</v>
      </c>
      <c r="H892" s="15" t="s">
        <v>42</v>
      </c>
      <c r="I892">
        <v>110</v>
      </c>
      <c r="J892">
        <v>170</v>
      </c>
      <c r="K892">
        <v>130</v>
      </c>
      <c r="L892">
        <v>280</v>
      </c>
      <c r="M892">
        <v>113</v>
      </c>
      <c r="N892">
        <v>897</v>
      </c>
      <c r="O892">
        <v>163</v>
      </c>
      <c r="P892">
        <v>31</v>
      </c>
      <c r="Q892">
        <v>121</v>
      </c>
      <c r="R892">
        <v>276</v>
      </c>
      <c r="S892">
        <v>0.98571428571428577</v>
      </c>
      <c r="T892">
        <v>0.93076923076923079</v>
      </c>
      <c r="U892">
        <v>1.0272727272727273</v>
      </c>
    </row>
    <row r="893" spans="1:21" x14ac:dyDescent="0.35">
      <c r="A893">
        <v>970</v>
      </c>
      <c r="B893" s="16">
        <v>40330</v>
      </c>
      <c r="C893" s="15" t="s">
        <v>37</v>
      </c>
      <c r="D893" s="15" t="s">
        <v>38</v>
      </c>
      <c r="E893" s="15" t="s">
        <v>43</v>
      </c>
      <c r="F893" s="15" t="s">
        <v>40</v>
      </c>
      <c r="G893" s="15" t="s">
        <v>41</v>
      </c>
      <c r="H893" s="15" t="s">
        <v>42</v>
      </c>
      <c r="I893">
        <v>80</v>
      </c>
      <c r="J893">
        <v>110</v>
      </c>
      <c r="K893">
        <v>80</v>
      </c>
      <c r="L893">
        <v>190</v>
      </c>
      <c r="M893">
        <v>83</v>
      </c>
      <c r="N893">
        <v>574</v>
      </c>
      <c r="O893">
        <v>107</v>
      </c>
      <c r="P893">
        <v>27</v>
      </c>
      <c r="Q893">
        <v>68</v>
      </c>
      <c r="R893">
        <v>190</v>
      </c>
      <c r="S893">
        <v>1</v>
      </c>
      <c r="T893">
        <v>0.85</v>
      </c>
      <c r="U893">
        <v>1.0375000000000001</v>
      </c>
    </row>
    <row r="894" spans="1:21" x14ac:dyDescent="0.35">
      <c r="A894">
        <v>719</v>
      </c>
      <c r="B894" s="16">
        <v>40330</v>
      </c>
      <c r="C894" s="15" t="s">
        <v>37</v>
      </c>
      <c r="D894" s="15" t="s">
        <v>38</v>
      </c>
      <c r="E894" s="15" t="s">
        <v>44</v>
      </c>
      <c r="F894" s="15" t="s">
        <v>40</v>
      </c>
      <c r="G894" s="15" t="s">
        <v>41</v>
      </c>
      <c r="H894" s="15" t="s">
        <v>45</v>
      </c>
      <c r="I894">
        <v>130</v>
      </c>
      <c r="J894">
        <v>180</v>
      </c>
      <c r="K894">
        <v>140</v>
      </c>
      <c r="L894">
        <v>310</v>
      </c>
      <c r="M894">
        <v>123</v>
      </c>
      <c r="N894">
        <v>947</v>
      </c>
      <c r="O894">
        <v>178</v>
      </c>
      <c r="P894">
        <v>34</v>
      </c>
      <c r="Q894">
        <v>132</v>
      </c>
      <c r="R894">
        <v>301</v>
      </c>
      <c r="S894">
        <v>0.97096774193548385</v>
      </c>
      <c r="T894">
        <v>0.94285714285714284</v>
      </c>
      <c r="U894">
        <v>0.94615384615384612</v>
      </c>
    </row>
    <row r="895" spans="1:21" x14ac:dyDescent="0.35">
      <c r="A895">
        <v>720</v>
      </c>
      <c r="B895" s="16">
        <v>40330</v>
      </c>
      <c r="C895" s="15" t="s">
        <v>37</v>
      </c>
      <c r="D895" s="15" t="s">
        <v>38</v>
      </c>
      <c r="E895" s="15" t="s">
        <v>51</v>
      </c>
      <c r="F895" s="15" t="s">
        <v>52</v>
      </c>
      <c r="G895" s="15" t="s">
        <v>41</v>
      </c>
      <c r="H895" s="15" t="s">
        <v>45</v>
      </c>
      <c r="I895">
        <v>120</v>
      </c>
      <c r="J895">
        <v>140</v>
      </c>
      <c r="K895">
        <v>90</v>
      </c>
      <c r="L895">
        <v>260</v>
      </c>
      <c r="M895">
        <v>149</v>
      </c>
      <c r="N895">
        <v>1245</v>
      </c>
      <c r="O895">
        <v>149</v>
      </c>
      <c r="P895">
        <v>41</v>
      </c>
      <c r="Q895">
        <v>83</v>
      </c>
      <c r="R895">
        <v>298</v>
      </c>
      <c r="S895">
        <v>1.1461538461538461</v>
      </c>
      <c r="T895">
        <v>0.92222222222222228</v>
      </c>
      <c r="U895">
        <v>1.2416666666666667</v>
      </c>
    </row>
    <row r="896" spans="1:21" x14ac:dyDescent="0.35">
      <c r="A896">
        <v>720</v>
      </c>
      <c r="B896" s="16">
        <v>40330</v>
      </c>
      <c r="C896" s="15" t="s">
        <v>37</v>
      </c>
      <c r="D896" s="15" t="s">
        <v>38</v>
      </c>
      <c r="E896" s="15" t="s">
        <v>53</v>
      </c>
      <c r="F896" s="15" t="s">
        <v>52</v>
      </c>
      <c r="G896" s="15" t="s">
        <v>41</v>
      </c>
      <c r="H896" s="15" t="s">
        <v>45</v>
      </c>
      <c r="I896">
        <v>30</v>
      </c>
      <c r="J896">
        <v>60</v>
      </c>
      <c r="K896">
        <v>10</v>
      </c>
      <c r="L896">
        <v>90</v>
      </c>
      <c r="M896">
        <v>44</v>
      </c>
      <c r="N896">
        <v>496</v>
      </c>
      <c r="O896">
        <v>63</v>
      </c>
      <c r="P896">
        <v>40</v>
      </c>
      <c r="Q896">
        <v>-7</v>
      </c>
      <c r="R896">
        <v>107</v>
      </c>
      <c r="S896">
        <v>1.1888888888888889</v>
      </c>
      <c r="T896">
        <v>-0.7</v>
      </c>
      <c r="U896">
        <v>1.4666666666666666</v>
      </c>
    </row>
    <row r="897" spans="1:21" x14ac:dyDescent="0.35">
      <c r="A897">
        <v>719</v>
      </c>
      <c r="B897" s="16">
        <v>40330</v>
      </c>
      <c r="C897" s="15" t="s">
        <v>37</v>
      </c>
      <c r="D897" s="15" t="s">
        <v>38</v>
      </c>
      <c r="E897" s="15" t="s">
        <v>54</v>
      </c>
      <c r="F897" s="15" t="s">
        <v>52</v>
      </c>
      <c r="G897" s="15" t="s">
        <v>41</v>
      </c>
      <c r="H897" s="15" t="s">
        <v>45</v>
      </c>
      <c r="I897">
        <v>40</v>
      </c>
      <c r="J897">
        <v>60</v>
      </c>
      <c r="K897">
        <v>30</v>
      </c>
      <c r="L897">
        <v>100</v>
      </c>
      <c r="M897">
        <v>50</v>
      </c>
      <c r="N897">
        <v>397</v>
      </c>
      <c r="O897">
        <v>68</v>
      </c>
      <c r="P897">
        <v>16</v>
      </c>
      <c r="Q897">
        <v>24</v>
      </c>
      <c r="R897">
        <v>118</v>
      </c>
      <c r="S897">
        <v>1.18</v>
      </c>
      <c r="T897">
        <v>0.8</v>
      </c>
      <c r="U897">
        <v>1.25</v>
      </c>
    </row>
    <row r="898" spans="1:21" x14ac:dyDescent="0.35">
      <c r="A898">
        <v>312</v>
      </c>
      <c r="B898" s="16">
        <v>40330</v>
      </c>
      <c r="C898" s="15" t="s">
        <v>37</v>
      </c>
      <c r="D898" s="15" t="s">
        <v>38</v>
      </c>
      <c r="E898" s="15" t="s">
        <v>55</v>
      </c>
      <c r="F898" s="15" t="s">
        <v>47</v>
      </c>
      <c r="G898" s="15" t="s">
        <v>57</v>
      </c>
      <c r="H898" s="15" t="s">
        <v>42</v>
      </c>
      <c r="I898">
        <v>80</v>
      </c>
      <c r="J898">
        <v>120</v>
      </c>
      <c r="K898">
        <v>90</v>
      </c>
      <c r="L898">
        <v>200</v>
      </c>
      <c r="M898">
        <v>94</v>
      </c>
      <c r="N898">
        <v>562</v>
      </c>
      <c r="O898">
        <v>136</v>
      </c>
      <c r="P898">
        <v>26</v>
      </c>
      <c r="Q898">
        <v>99</v>
      </c>
      <c r="R898">
        <v>230</v>
      </c>
      <c r="S898">
        <v>1.1499999999999999</v>
      </c>
      <c r="T898">
        <v>1.1000000000000001</v>
      </c>
      <c r="U898">
        <v>1.175</v>
      </c>
    </row>
    <row r="899" spans="1:21" x14ac:dyDescent="0.35">
      <c r="A899">
        <v>312</v>
      </c>
      <c r="B899" s="16">
        <v>40330</v>
      </c>
      <c r="C899" s="15" t="s">
        <v>37</v>
      </c>
      <c r="D899" s="15" t="s">
        <v>38</v>
      </c>
      <c r="E899" s="15" t="s">
        <v>56</v>
      </c>
      <c r="F899" s="15" t="s">
        <v>47</v>
      </c>
      <c r="G899" s="15" t="s">
        <v>57</v>
      </c>
      <c r="H899" s="15" t="s">
        <v>42</v>
      </c>
      <c r="I899">
        <v>40</v>
      </c>
      <c r="J899">
        <v>70</v>
      </c>
      <c r="K899">
        <v>30</v>
      </c>
      <c r="L899">
        <v>110</v>
      </c>
      <c r="M899">
        <v>54</v>
      </c>
      <c r="N899">
        <v>641</v>
      </c>
      <c r="O899">
        <v>81</v>
      </c>
      <c r="P899">
        <v>17</v>
      </c>
      <c r="Q899">
        <v>33</v>
      </c>
      <c r="R899">
        <v>135</v>
      </c>
      <c r="S899">
        <v>1.2272727272727273</v>
      </c>
      <c r="T899">
        <v>1.1000000000000001</v>
      </c>
      <c r="U899">
        <v>1.35</v>
      </c>
    </row>
    <row r="900" spans="1:21" x14ac:dyDescent="0.35">
      <c r="A900">
        <v>312</v>
      </c>
      <c r="B900" s="16">
        <v>40330</v>
      </c>
      <c r="C900" s="15" t="s">
        <v>37</v>
      </c>
      <c r="D900" s="15" t="s">
        <v>38</v>
      </c>
      <c r="E900" s="15" t="s">
        <v>48</v>
      </c>
      <c r="F900" s="15" t="s">
        <v>49</v>
      </c>
      <c r="G900" s="15" t="s">
        <v>57</v>
      </c>
      <c r="H900" s="15" t="s">
        <v>42</v>
      </c>
      <c r="I900">
        <v>310</v>
      </c>
      <c r="J900">
        <v>430</v>
      </c>
      <c r="K900">
        <v>300</v>
      </c>
      <c r="L900">
        <v>740</v>
      </c>
      <c r="M900">
        <v>272</v>
      </c>
      <c r="N900">
        <v>1616</v>
      </c>
      <c r="O900">
        <v>362</v>
      </c>
      <c r="P900">
        <v>89</v>
      </c>
      <c r="Q900">
        <v>241</v>
      </c>
      <c r="R900">
        <v>634</v>
      </c>
      <c r="S900">
        <v>0.85675675675675678</v>
      </c>
      <c r="T900">
        <v>0.80333333333333334</v>
      </c>
      <c r="U900">
        <v>0.8774193548387097</v>
      </c>
    </row>
    <row r="901" spans="1:21" x14ac:dyDescent="0.35">
      <c r="A901">
        <v>312</v>
      </c>
      <c r="B901" s="16">
        <v>40330</v>
      </c>
      <c r="C901" s="15" t="s">
        <v>37</v>
      </c>
      <c r="D901" s="15" t="s">
        <v>38</v>
      </c>
      <c r="E901" s="15" t="s">
        <v>50</v>
      </c>
      <c r="F901" s="15" t="s">
        <v>49</v>
      </c>
      <c r="G901" s="15" t="s">
        <v>57</v>
      </c>
      <c r="H901" s="15" t="s">
        <v>45</v>
      </c>
      <c r="I901">
        <v>300</v>
      </c>
      <c r="J901">
        <v>310</v>
      </c>
      <c r="K901">
        <v>210</v>
      </c>
      <c r="L901">
        <v>610</v>
      </c>
      <c r="M901">
        <v>260</v>
      </c>
      <c r="N901">
        <v>1715</v>
      </c>
      <c r="O901">
        <v>261</v>
      </c>
      <c r="P901">
        <v>72</v>
      </c>
      <c r="Q901">
        <v>164</v>
      </c>
      <c r="R901">
        <v>521</v>
      </c>
      <c r="S901">
        <v>0.85409836065573774</v>
      </c>
      <c r="T901">
        <v>0.78095238095238095</v>
      </c>
      <c r="U901">
        <v>0.8666666666666667</v>
      </c>
    </row>
    <row r="902" spans="1:21" x14ac:dyDescent="0.35">
      <c r="A902">
        <v>815</v>
      </c>
      <c r="B902" s="16">
        <v>40330</v>
      </c>
      <c r="C902" s="15" t="s">
        <v>37</v>
      </c>
      <c r="D902" s="15" t="s">
        <v>38</v>
      </c>
      <c r="E902" s="15" t="s">
        <v>43</v>
      </c>
      <c r="F902" s="15" t="s">
        <v>40</v>
      </c>
      <c r="G902" s="15" t="s">
        <v>57</v>
      </c>
      <c r="H902" s="15" t="s">
        <v>42</v>
      </c>
      <c r="I902">
        <v>210</v>
      </c>
      <c r="J902">
        <v>290</v>
      </c>
      <c r="K902">
        <v>190</v>
      </c>
      <c r="L902">
        <v>500</v>
      </c>
      <c r="M902">
        <v>200</v>
      </c>
      <c r="N902">
        <v>1095</v>
      </c>
      <c r="O902">
        <v>278</v>
      </c>
      <c r="P902">
        <v>66</v>
      </c>
      <c r="Q902">
        <v>167</v>
      </c>
      <c r="R902">
        <v>478</v>
      </c>
      <c r="S902">
        <v>0.95599999999999996</v>
      </c>
      <c r="T902">
        <v>0.87894736842105259</v>
      </c>
      <c r="U902">
        <v>0.95238095238095233</v>
      </c>
    </row>
    <row r="903" spans="1:21" x14ac:dyDescent="0.35">
      <c r="A903">
        <v>630</v>
      </c>
      <c r="B903" s="16">
        <v>40330</v>
      </c>
      <c r="C903" s="15" t="s">
        <v>37</v>
      </c>
      <c r="D903" s="15" t="s">
        <v>38</v>
      </c>
      <c r="E903" s="15" t="s">
        <v>44</v>
      </c>
      <c r="F903" s="15" t="s">
        <v>40</v>
      </c>
      <c r="G903" s="15" t="s">
        <v>57</v>
      </c>
      <c r="H903" s="15" t="s">
        <v>45</v>
      </c>
      <c r="I903">
        <v>140</v>
      </c>
      <c r="J903">
        <v>220</v>
      </c>
      <c r="K903">
        <v>160</v>
      </c>
      <c r="L903">
        <v>360</v>
      </c>
      <c r="M903">
        <v>141</v>
      </c>
      <c r="N903">
        <v>764</v>
      </c>
      <c r="O903">
        <v>204</v>
      </c>
      <c r="P903">
        <v>45</v>
      </c>
      <c r="Q903">
        <v>135</v>
      </c>
      <c r="R903">
        <v>345</v>
      </c>
      <c r="S903">
        <v>0.95833333333333337</v>
      </c>
      <c r="T903">
        <v>0.84375</v>
      </c>
      <c r="U903">
        <v>1.0071428571428571</v>
      </c>
    </row>
    <row r="904" spans="1:21" x14ac:dyDescent="0.35">
      <c r="A904">
        <v>630</v>
      </c>
      <c r="B904" s="16">
        <v>40330</v>
      </c>
      <c r="C904" s="15" t="s">
        <v>37</v>
      </c>
      <c r="D904" s="15" t="s">
        <v>38</v>
      </c>
      <c r="E904" s="15" t="s">
        <v>51</v>
      </c>
      <c r="F904" s="15" t="s">
        <v>52</v>
      </c>
      <c r="G904" s="15" t="s">
        <v>57</v>
      </c>
      <c r="H904" s="15" t="s">
        <v>45</v>
      </c>
      <c r="I904">
        <v>90</v>
      </c>
      <c r="J904">
        <v>150</v>
      </c>
      <c r="K904">
        <v>130</v>
      </c>
      <c r="L904">
        <v>240</v>
      </c>
      <c r="M904">
        <v>113</v>
      </c>
      <c r="N904">
        <v>897</v>
      </c>
      <c r="O904">
        <v>163</v>
      </c>
      <c r="P904">
        <v>31</v>
      </c>
      <c r="Q904">
        <v>121</v>
      </c>
      <c r="R904">
        <v>276</v>
      </c>
      <c r="S904">
        <v>1.1499999999999999</v>
      </c>
      <c r="T904">
        <v>0.93076923076923079</v>
      </c>
      <c r="U904">
        <v>1.2555555555555555</v>
      </c>
    </row>
    <row r="905" spans="1:21" x14ac:dyDescent="0.35">
      <c r="A905">
        <v>630</v>
      </c>
      <c r="B905" s="16">
        <v>40330</v>
      </c>
      <c r="C905" s="15" t="s">
        <v>37</v>
      </c>
      <c r="D905" s="15" t="s">
        <v>38</v>
      </c>
      <c r="E905" s="15" t="s">
        <v>53</v>
      </c>
      <c r="F905" s="15" t="s">
        <v>52</v>
      </c>
      <c r="G905" s="15" t="s">
        <v>57</v>
      </c>
      <c r="H905" s="15" t="s">
        <v>45</v>
      </c>
      <c r="I905">
        <v>70</v>
      </c>
      <c r="J905">
        <v>90</v>
      </c>
      <c r="K905">
        <v>60</v>
      </c>
      <c r="L905">
        <v>160</v>
      </c>
      <c r="M905">
        <v>83</v>
      </c>
      <c r="N905">
        <v>574</v>
      </c>
      <c r="O905">
        <v>107</v>
      </c>
      <c r="P905">
        <v>27</v>
      </c>
      <c r="Q905">
        <v>67</v>
      </c>
      <c r="R905">
        <v>190</v>
      </c>
      <c r="S905">
        <v>1.1875</v>
      </c>
      <c r="T905">
        <v>1.1166666666666667</v>
      </c>
      <c r="U905">
        <v>1.1857142857142857</v>
      </c>
    </row>
    <row r="906" spans="1:21" x14ac:dyDescent="0.35">
      <c r="A906">
        <v>309</v>
      </c>
      <c r="B906" s="16">
        <v>40330</v>
      </c>
      <c r="C906" s="15" t="s">
        <v>37</v>
      </c>
      <c r="D906" s="15" t="s">
        <v>38</v>
      </c>
      <c r="E906" s="15" t="s">
        <v>54</v>
      </c>
      <c r="F906" s="15" t="s">
        <v>52</v>
      </c>
      <c r="G906" s="15" t="s">
        <v>57</v>
      </c>
      <c r="H906" s="15" t="s">
        <v>45</v>
      </c>
      <c r="I906">
        <v>100</v>
      </c>
      <c r="J906">
        <v>160</v>
      </c>
      <c r="K906">
        <v>140</v>
      </c>
      <c r="L906">
        <v>260</v>
      </c>
      <c r="M906">
        <v>123</v>
      </c>
      <c r="N906">
        <v>947</v>
      </c>
      <c r="O906">
        <v>178</v>
      </c>
      <c r="P906">
        <v>34</v>
      </c>
      <c r="Q906">
        <v>133</v>
      </c>
      <c r="R906">
        <v>301</v>
      </c>
      <c r="S906">
        <v>1.1576923076923078</v>
      </c>
      <c r="T906">
        <v>0.95</v>
      </c>
      <c r="U906">
        <v>1.23</v>
      </c>
    </row>
    <row r="907" spans="1:21" x14ac:dyDescent="0.35">
      <c r="A907">
        <v>641</v>
      </c>
      <c r="B907" s="16">
        <v>40330</v>
      </c>
      <c r="C907" s="15" t="s">
        <v>37</v>
      </c>
      <c r="D907" s="15" t="s">
        <v>58</v>
      </c>
      <c r="E907" s="15" t="s">
        <v>55</v>
      </c>
      <c r="F907" s="15" t="s">
        <v>47</v>
      </c>
      <c r="G907" s="15" t="s">
        <v>59</v>
      </c>
      <c r="H907" s="15" t="s">
        <v>42</v>
      </c>
      <c r="I907">
        <v>220</v>
      </c>
      <c r="J907">
        <v>230</v>
      </c>
      <c r="K907">
        <v>150</v>
      </c>
      <c r="L907">
        <v>450</v>
      </c>
      <c r="M907">
        <v>260</v>
      </c>
      <c r="N907">
        <v>1715</v>
      </c>
      <c r="O907">
        <v>261</v>
      </c>
      <c r="P907">
        <v>72</v>
      </c>
      <c r="Q907">
        <v>164</v>
      </c>
      <c r="R907">
        <v>521</v>
      </c>
      <c r="S907">
        <v>1.1577777777777778</v>
      </c>
      <c r="T907">
        <v>1.0933333333333333</v>
      </c>
      <c r="U907">
        <v>1.1818181818181819</v>
      </c>
    </row>
    <row r="908" spans="1:21" x14ac:dyDescent="0.35">
      <c r="A908">
        <v>563</v>
      </c>
      <c r="B908" s="16">
        <v>40330</v>
      </c>
      <c r="C908" s="15" t="s">
        <v>37</v>
      </c>
      <c r="D908" s="15" t="s">
        <v>58</v>
      </c>
      <c r="E908" s="15" t="s">
        <v>56</v>
      </c>
      <c r="F908" s="15" t="s">
        <v>47</v>
      </c>
      <c r="G908" s="15" t="s">
        <v>59</v>
      </c>
      <c r="H908" s="15" t="s">
        <v>42</v>
      </c>
      <c r="I908">
        <v>230</v>
      </c>
      <c r="J908">
        <v>300</v>
      </c>
      <c r="K908">
        <v>180</v>
      </c>
      <c r="L908">
        <v>530</v>
      </c>
      <c r="M908">
        <v>271</v>
      </c>
      <c r="N908">
        <v>1714</v>
      </c>
      <c r="O908">
        <v>332</v>
      </c>
      <c r="P908">
        <v>102</v>
      </c>
      <c r="Q908">
        <v>197</v>
      </c>
      <c r="R908">
        <v>603</v>
      </c>
      <c r="S908">
        <v>1.1377358490566039</v>
      </c>
      <c r="T908">
        <v>1.0944444444444446</v>
      </c>
      <c r="U908">
        <v>1.1782608695652175</v>
      </c>
    </row>
    <row r="909" spans="1:21" x14ac:dyDescent="0.35">
      <c r="A909">
        <v>515</v>
      </c>
      <c r="B909" s="16">
        <v>40330</v>
      </c>
      <c r="C909" s="15" t="s">
        <v>37</v>
      </c>
      <c r="D909" s="15" t="s">
        <v>58</v>
      </c>
      <c r="E909" s="15" t="s">
        <v>48</v>
      </c>
      <c r="F909" s="15" t="s">
        <v>49</v>
      </c>
      <c r="G909" s="15" t="s">
        <v>59</v>
      </c>
      <c r="H909" s="15" t="s">
        <v>42</v>
      </c>
      <c r="I909">
        <v>20</v>
      </c>
      <c r="J909">
        <v>40</v>
      </c>
      <c r="K909">
        <v>30</v>
      </c>
      <c r="L909">
        <v>60</v>
      </c>
      <c r="M909">
        <v>21</v>
      </c>
      <c r="N909">
        <v>798</v>
      </c>
      <c r="O909">
        <v>32</v>
      </c>
      <c r="P909">
        <v>5</v>
      </c>
      <c r="Q909">
        <v>15</v>
      </c>
      <c r="R909">
        <v>53</v>
      </c>
      <c r="S909">
        <v>0.8833333333333333</v>
      </c>
      <c r="T909">
        <v>0.5</v>
      </c>
      <c r="U909">
        <v>1.05</v>
      </c>
    </row>
    <row r="910" spans="1:21" x14ac:dyDescent="0.35">
      <c r="A910">
        <v>319</v>
      </c>
      <c r="B910" s="16">
        <v>40330</v>
      </c>
      <c r="C910" s="15" t="s">
        <v>37</v>
      </c>
      <c r="D910" s="15" t="s">
        <v>58</v>
      </c>
      <c r="E910" s="15" t="s">
        <v>50</v>
      </c>
      <c r="F910" s="15" t="s">
        <v>49</v>
      </c>
      <c r="G910" s="15" t="s">
        <v>59</v>
      </c>
      <c r="H910" s="15" t="s">
        <v>45</v>
      </c>
      <c r="I910">
        <v>0</v>
      </c>
      <c r="J910">
        <v>50</v>
      </c>
      <c r="K910">
        <v>40</v>
      </c>
      <c r="L910">
        <v>50</v>
      </c>
      <c r="M910">
        <v>0</v>
      </c>
      <c r="N910">
        <v>602</v>
      </c>
      <c r="O910">
        <v>43</v>
      </c>
      <c r="P910">
        <v>0</v>
      </c>
      <c r="Q910">
        <v>31</v>
      </c>
      <c r="R910">
        <v>43</v>
      </c>
      <c r="S910">
        <v>0.86</v>
      </c>
      <c r="T910">
        <v>0.77500000000000002</v>
      </c>
    </row>
    <row r="911" spans="1:21" x14ac:dyDescent="0.35">
      <c r="A911">
        <v>641</v>
      </c>
      <c r="B911" s="16">
        <v>40330</v>
      </c>
      <c r="C911" s="15" t="s">
        <v>37</v>
      </c>
      <c r="D911" s="15" t="s">
        <v>58</v>
      </c>
      <c r="E911" s="15" t="s">
        <v>39</v>
      </c>
      <c r="F911" s="15" t="s">
        <v>40</v>
      </c>
      <c r="G911" s="15" t="s">
        <v>59</v>
      </c>
      <c r="H911" s="15" t="s">
        <v>42</v>
      </c>
      <c r="I911">
        <v>20</v>
      </c>
      <c r="J911">
        <v>40</v>
      </c>
      <c r="K911">
        <v>30</v>
      </c>
      <c r="L911">
        <v>60</v>
      </c>
      <c r="M911">
        <v>23</v>
      </c>
      <c r="N911">
        <v>843</v>
      </c>
      <c r="O911">
        <v>35</v>
      </c>
      <c r="P911">
        <v>6</v>
      </c>
      <c r="Q911">
        <v>18</v>
      </c>
      <c r="R911">
        <v>58</v>
      </c>
      <c r="S911">
        <v>0.96666666666666667</v>
      </c>
      <c r="T911">
        <v>0.6</v>
      </c>
      <c r="U911">
        <v>1.1499999999999999</v>
      </c>
    </row>
    <row r="912" spans="1:21" x14ac:dyDescent="0.35">
      <c r="A912">
        <v>563</v>
      </c>
      <c r="B912" s="16">
        <v>40330</v>
      </c>
      <c r="C912" s="15" t="s">
        <v>37</v>
      </c>
      <c r="D912" s="15" t="s">
        <v>58</v>
      </c>
      <c r="E912" s="15" t="s">
        <v>43</v>
      </c>
      <c r="F912" s="15" t="s">
        <v>40</v>
      </c>
      <c r="G912" s="15" t="s">
        <v>59</v>
      </c>
      <c r="H912" s="15" t="s">
        <v>42</v>
      </c>
      <c r="I912">
        <v>30</v>
      </c>
      <c r="J912">
        <v>40</v>
      </c>
      <c r="K912">
        <v>20</v>
      </c>
      <c r="L912">
        <v>70</v>
      </c>
      <c r="M912">
        <v>32</v>
      </c>
      <c r="N912">
        <v>996</v>
      </c>
      <c r="O912">
        <v>38</v>
      </c>
      <c r="P912">
        <v>9</v>
      </c>
      <c r="Q912">
        <v>8</v>
      </c>
      <c r="R912">
        <v>70</v>
      </c>
      <c r="S912">
        <v>1</v>
      </c>
      <c r="T912">
        <v>0.4</v>
      </c>
      <c r="U912">
        <v>1.0666666666666667</v>
      </c>
    </row>
    <row r="913" spans="1:21" x14ac:dyDescent="0.35">
      <c r="A913">
        <v>712</v>
      </c>
      <c r="B913" s="16">
        <v>40330</v>
      </c>
      <c r="C913" s="15" t="s">
        <v>37</v>
      </c>
      <c r="D913" s="15" t="s">
        <v>58</v>
      </c>
      <c r="E913" s="15" t="s">
        <v>44</v>
      </c>
      <c r="F913" s="15" t="s">
        <v>40</v>
      </c>
      <c r="G913" s="15" t="s">
        <v>59</v>
      </c>
      <c r="H913" s="15" t="s">
        <v>45</v>
      </c>
      <c r="I913">
        <v>20</v>
      </c>
      <c r="J913">
        <v>30</v>
      </c>
      <c r="K913">
        <v>20</v>
      </c>
      <c r="L913">
        <v>50</v>
      </c>
      <c r="M913">
        <v>22</v>
      </c>
      <c r="N913">
        <v>608</v>
      </c>
      <c r="O913">
        <v>30</v>
      </c>
      <c r="P913">
        <v>7</v>
      </c>
      <c r="Q913">
        <v>11</v>
      </c>
      <c r="R913">
        <v>52</v>
      </c>
      <c r="S913">
        <v>1.04</v>
      </c>
      <c r="T913">
        <v>0.55000000000000004</v>
      </c>
      <c r="U913">
        <v>1.1000000000000001</v>
      </c>
    </row>
    <row r="914" spans="1:21" x14ac:dyDescent="0.35">
      <c r="A914">
        <v>641</v>
      </c>
      <c r="B914" s="16">
        <v>40330</v>
      </c>
      <c r="C914" s="15" t="s">
        <v>37</v>
      </c>
      <c r="D914" s="15" t="s">
        <v>58</v>
      </c>
      <c r="E914" s="15" t="s">
        <v>51</v>
      </c>
      <c r="F914" s="15" t="s">
        <v>52</v>
      </c>
      <c r="G914" s="15" t="s">
        <v>59</v>
      </c>
      <c r="H914" s="15" t="s">
        <v>45</v>
      </c>
      <c r="I914">
        <v>230</v>
      </c>
      <c r="J914">
        <v>320</v>
      </c>
      <c r="K914">
        <v>230</v>
      </c>
      <c r="L914">
        <v>550</v>
      </c>
      <c r="M914">
        <v>272</v>
      </c>
      <c r="N914">
        <v>1616</v>
      </c>
      <c r="O914">
        <v>362</v>
      </c>
      <c r="P914">
        <v>89</v>
      </c>
      <c r="Q914">
        <v>241</v>
      </c>
      <c r="R914">
        <v>634</v>
      </c>
      <c r="S914">
        <v>1.1527272727272728</v>
      </c>
      <c r="T914">
        <v>1.0478260869565217</v>
      </c>
      <c r="U914">
        <v>1.182608695652174</v>
      </c>
    </row>
    <row r="915" spans="1:21" x14ac:dyDescent="0.35">
      <c r="A915">
        <v>319</v>
      </c>
      <c r="B915" s="16">
        <v>40330</v>
      </c>
      <c r="C915" s="15" t="s">
        <v>37</v>
      </c>
      <c r="D915" s="15" t="s">
        <v>58</v>
      </c>
      <c r="E915" s="15" t="s">
        <v>53</v>
      </c>
      <c r="F915" s="15" t="s">
        <v>52</v>
      </c>
      <c r="G915" s="15" t="s">
        <v>59</v>
      </c>
      <c r="H915" s="15" t="s">
        <v>45</v>
      </c>
      <c r="I915">
        <v>120</v>
      </c>
      <c r="J915">
        <v>180</v>
      </c>
      <c r="K915">
        <v>140</v>
      </c>
      <c r="L915">
        <v>300</v>
      </c>
      <c r="M915">
        <v>141</v>
      </c>
      <c r="N915">
        <v>764</v>
      </c>
      <c r="O915">
        <v>204</v>
      </c>
      <c r="P915">
        <v>45</v>
      </c>
      <c r="Q915">
        <v>136</v>
      </c>
      <c r="R915">
        <v>345</v>
      </c>
      <c r="S915">
        <v>1.1499999999999999</v>
      </c>
      <c r="T915">
        <v>0.97142857142857142</v>
      </c>
      <c r="U915">
        <v>1.175</v>
      </c>
    </row>
    <row r="916" spans="1:21" x14ac:dyDescent="0.35">
      <c r="A916">
        <v>636</v>
      </c>
      <c r="B916" s="16">
        <v>40330</v>
      </c>
      <c r="C916" s="15" t="s">
        <v>37</v>
      </c>
      <c r="D916" s="15" t="s">
        <v>58</v>
      </c>
      <c r="E916" s="15" t="s">
        <v>55</v>
      </c>
      <c r="F916" s="15" t="s">
        <v>47</v>
      </c>
      <c r="G916" s="15" t="s">
        <v>60</v>
      </c>
      <c r="H916" s="15" t="s">
        <v>42</v>
      </c>
      <c r="I916">
        <v>30</v>
      </c>
      <c r="J916">
        <v>50</v>
      </c>
      <c r="K916">
        <v>20</v>
      </c>
      <c r="L916">
        <v>80</v>
      </c>
      <c r="M916">
        <v>41</v>
      </c>
      <c r="N916">
        <v>239</v>
      </c>
      <c r="O916">
        <v>55</v>
      </c>
      <c r="P916">
        <v>13</v>
      </c>
      <c r="Q916">
        <v>14</v>
      </c>
      <c r="R916">
        <v>96</v>
      </c>
      <c r="S916">
        <v>1.2</v>
      </c>
      <c r="T916">
        <v>0.7</v>
      </c>
      <c r="U916">
        <v>1.3666666666666667</v>
      </c>
    </row>
    <row r="917" spans="1:21" x14ac:dyDescent="0.35">
      <c r="A917">
        <v>573</v>
      </c>
      <c r="B917" s="16">
        <v>40330</v>
      </c>
      <c r="C917" s="15" t="s">
        <v>37</v>
      </c>
      <c r="D917" s="15" t="s">
        <v>58</v>
      </c>
      <c r="E917" s="15" t="s">
        <v>56</v>
      </c>
      <c r="F917" s="15" t="s">
        <v>47</v>
      </c>
      <c r="G917" s="15" t="s">
        <v>60</v>
      </c>
      <c r="H917" s="15" t="s">
        <v>42</v>
      </c>
      <c r="I917">
        <v>30</v>
      </c>
      <c r="J917">
        <v>30</v>
      </c>
      <c r="K917">
        <v>-10</v>
      </c>
      <c r="L917">
        <v>60</v>
      </c>
      <c r="M917">
        <v>35</v>
      </c>
      <c r="N917">
        <v>204</v>
      </c>
      <c r="O917">
        <v>43</v>
      </c>
      <c r="P917">
        <v>13</v>
      </c>
      <c r="Q917">
        <v>-3</v>
      </c>
      <c r="R917">
        <v>78</v>
      </c>
      <c r="S917">
        <v>1.3</v>
      </c>
      <c r="T917">
        <v>0.3</v>
      </c>
      <c r="U917">
        <v>1.1666666666666667</v>
      </c>
    </row>
    <row r="918" spans="1:21" x14ac:dyDescent="0.35">
      <c r="A918">
        <v>573</v>
      </c>
      <c r="B918" s="16">
        <v>40330</v>
      </c>
      <c r="C918" s="15" t="s">
        <v>37</v>
      </c>
      <c r="D918" s="15" t="s">
        <v>58</v>
      </c>
      <c r="E918" s="15" t="s">
        <v>46</v>
      </c>
      <c r="F918" s="15" t="s">
        <v>47</v>
      </c>
      <c r="G918" s="15" t="s">
        <v>60</v>
      </c>
      <c r="H918" s="15" t="s">
        <v>42</v>
      </c>
      <c r="I918">
        <v>30</v>
      </c>
      <c r="J918">
        <v>40</v>
      </c>
      <c r="K918">
        <v>0</v>
      </c>
      <c r="L918">
        <v>70</v>
      </c>
      <c r="M918">
        <v>36</v>
      </c>
      <c r="N918">
        <v>236</v>
      </c>
      <c r="O918">
        <v>46</v>
      </c>
      <c r="P918">
        <v>13</v>
      </c>
      <c r="Q918">
        <v>0</v>
      </c>
      <c r="R918">
        <v>82</v>
      </c>
      <c r="S918">
        <v>1.1714285714285715</v>
      </c>
      <c r="U918">
        <v>1.2</v>
      </c>
    </row>
    <row r="919" spans="1:21" x14ac:dyDescent="0.35">
      <c r="A919">
        <v>660</v>
      </c>
      <c r="B919" s="16">
        <v>40330</v>
      </c>
      <c r="C919" s="15" t="s">
        <v>37</v>
      </c>
      <c r="D919" s="15" t="s">
        <v>58</v>
      </c>
      <c r="E919" s="15" t="s">
        <v>48</v>
      </c>
      <c r="F919" s="15" t="s">
        <v>49</v>
      </c>
      <c r="G919" s="15" t="s">
        <v>60</v>
      </c>
      <c r="H919" s="15" t="s">
        <v>42</v>
      </c>
      <c r="I919">
        <v>40</v>
      </c>
      <c r="J919">
        <v>60</v>
      </c>
      <c r="K919">
        <v>40</v>
      </c>
      <c r="L919">
        <v>100</v>
      </c>
      <c r="M919">
        <v>37</v>
      </c>
      <c r="N919">
        <v>876</v>
      </c>
      <c r="O919">
        <v>55</v>
      </c>
      <c r="P919">
        <v>10</v>
      </c>
      <c r="Q919">
        <v>33</v>
      </c>
      <c r="R919">
        <v>92</v>
      </c>
      <c r="S919">
        <v>0.92</v>
      </c>
      <c r="T919">
        <v>0.82499999999999996</v>
      </c>
      <c r="U919">
        <v>0.92500000000000004</v>
      </c>
    </row>
    <row r="920" spans="1:21" x14ac:dyDescent="0.35">
      <c r="A920">
        <v>573</v>
      </c>
      <c r="B920" s="16">
        <v>40330</v>
      </c>
      <c r="C920" s="15" t="s">
        <v>37</v>
      </c>
      <c r="D920" s="15" t="s">
        <v>58</v>
      </c>
      <c r="E920" s="15" t="s">
        <v>50</v>
      </c>
      <c r="F920" s="15" t="s">
        <v>49</v>
      </c>
      <c r="G920" s="15" t="s">
        <v>60</v>
      </c>
      <c r="H920" s="15" t="s">
        <v>45</v>
      </c>
      <c r="I920">
        <v>40</v>
      </c>
      <c r="J920">
        <v>60</v>
      </c>
      <c r="K920">
        <v>40</v>
      </c>
      <c r="L920">
        <v>100</v>
      </c>
      <c r="M920">
        <v>36</v>
      </c>
      <c r="N920">
        <v>828</v>
      </c>
      <c r="O920">
        <v>53</v>
      </c>
      <c r="P920">
        <v>10</v>
      </c>
      <c r="Q920">
        <v>31</v>
      </c>
      <c r="R920">
        <v>89</v>
      </c>
      <c r="S920">
        <v>0.89</v>
      </c>
      <c r="T920">
        <v>0.77500000000000002</v>
      </c>
      <c r="U920">
        <v>0.9</v>
      </c>
    </row>
    <row r="921" spans="1:21" x14ac:dyDescent="0.35">
      <c r="A921">
        <v>573</v>
      </c>
      <c r="B921" s="16">
        <v>40330</v>
      </c>
      <c r="C921" s="15" t="s">
        <v>37</v>
      </c>
      <c r="D921" s="15" t="s">
        <v>58</v>
      </c>
      <c r="E921" s="15" t="s">
        <v>43</v>
      </c>
      <c r="F921" s="15" t="s">
        <v>40</v>
      </c>
      <c r="G921" s="15" t="s">
        <v>60</v>
      </c>
      <c r="H921" s="15" t="s">
        <v>42</v>
      </c>
      <c r="I921">
        <v>80</v>
      </c>
      <c r="J921">
        <v>90</v>
      </c>
      <c r="K921">
        <v>40</v>
      </c>
      <c r="L921">
        <v>170</v>
      </c>
      <c r="M921">
        <v>76</v>
      </c>
      <c r="N921">
        <v>580</v>
      </c>
      <c r="O921">
        <v>93</v>
      </c>
      <c r="P921">
        <v>28</v>
      </c>
      <c r="Q921">
        <v>31</v>
      </c>
      <c r="R921">
        <v>169</v>
      </c>
      <c r="S921">
        <v>0.99411764705882355</v>
      </c>
      <c r="T921">
        <v>0.77500000000000002</v>
      </c>
      <c r="U921">
        <v>0.95</v>
      </c>
    </row>
    <row r="922" spans="1:21" x14ac:dyDescent="0.35">
      <c r="A922">
        <v>314</v>
      </c>
      <c r="B922" s="16">
        <v>40330</v>
      </c>
      <c r="C922" s="15" t="s">
        <v>37</v>
      </c>
      <c r="D922" s="15" t="s">
        <v>58</v>
      </c>
      <c r="E922" s="15" t="s">
        <v>44</v>
      </c>
      <c r="F922" s="15" t="s">
        <v>40</v>
      </c>
      <c r="G922" s="15" t="s">
        <v>60</v>
      </c>
      <c r="H922" s="15" t="s">
        <v>45</v>
      </c>
      <c r="I922">
        <v>60</v>
      </c>
      <c r="J922">
        <v>80</v>
      </c>
      <c r="K922">
        <v>50</v>
      </c>
      <c r="L922">
        <v>140</v>
      </c>
      <c r="M922">
        <v>65</v>
      </c>
      <c r="N922">
        <v>1042</v>
      </c>
      <c r="O922">
        <v>77</v>
      </c>
      <c r="P922">
        <v>20</v>
      </c>
      <c r="Q922">
        <v>35</v>
      </c>
      <c r="R922">
        <v>142</v>
      </c>
      <c r="S922">
        <v>1.0142857142857142</v>
      </c>
      <c r="T922">
        <v>0.7</v>
      </c>
      <c r="U922">
        <v>1.0833333333333333</v>
      </c>
    </row>
    <row r="923" spans="1:21" x14ac:dyDescent="0.35">
      <c r="A923">
        <v>660</v>
      </c>
      <c r="B923" s="16">
        <v>40330</v>
      </c>
      <c r="C923" s="15" t="s">
        <v>37</v>
      </c>
      <c r="D923" s="15" t="s">
        <v>58</v>
      </c>
      <c r="E923" s="15" t="s">
        <v>51</v>
      </c>
      <c r="F923" s="15" t="s">
        <v>52</v>
      </c>
      <c r="G923" s="15" t="s">
        <v>60</v>
      </c>
      <c r="H923" s="15" t="s">
        <v>45</v>
      </c>
      <c r="I923">
        <v>40</v>
      </c>
      <c r="J923">
        <v>70</v>
      </c>
      <c r="K923">
        <v>20</v>
      </c>
      <c r="L923">
        <v>110</v>
      </c>
      <c r="M923">
        <v>52</v>
      </c>
      <c r="N923">
        <v>313</v>
      </c>
      <c r="O923">
        <v>73</v>
      </c>
      <c r="P923">
        <v>47</v>
      </c>
      <c r="Q923">
        <v>-4</v>
      </c>
      <c r="R923">
        <v>125</v>
      </c>
      <c r="S923">
        <v>1.1363636363636365</v>
      </c>
      <c r="T923">
        <v>-0.2</v>
      </c>
      <c r="U923">
        <v>1.3</v>
      </c>
    </row>
    <row r="924" spans="1:21" x14ac:dyDescent="0.35">
      <c r="A924">
        <v>636</v>
      </c>
      <c r="B924" s="16">
        <v>40330</v>
      </c>
      <c r="C924" s="15" t="s">
        <v>37</v>
      </c>
      <c r="D924" s="15" t="s">
        <v>58</v>
      </c>
      <c r="E924" s="15" t="s">
        <v>53</v>
      </c>
      <c r="F924" s="15" t="s">
        <v>52</v>
      </c>
      <c r="G924" s="15" t="s">
        <v>60</v>
      </c>
      <c r="H924" s="15" t="s">
        <v>45</v>
      </c>
      <c r="I924">
        <v>90</v>
      </c>
      <c r="J924">
        <v>30</v>
      </c>
      <c r="K924">
        <v>0</v>
      </c>
      <c r="L924">
        <v>120</v>
      </c>
      <c r="M924">
        <v>116</v>
      </c>
      <c r="N924">
        <v>1142</v>
      </c>
      <c r="O924">
        <v>25</v>
      </c>
      <c r="P924">
        <v>35</v>
      </c>
      <c r="Q924">
        <v>-33</v>
      </c>
      <c r="R924">
        <v>141</v>
      </c>
      <c r="S924">
        <v>1.175</v>
      </c>
      <c r="U924">
        <v>1.288888888888889</v>
      </c>
    </row>
    <row r="925" spans="1:21" x14ac:dyDescent="0.35">
      <c r="A925">
        <v>513</v>
      </c>
      <c r="B925" s="16">
        <v>40330</v>
      </c>
      <c r="C925" s="15" t="s">
        <v>37</v>
      </c>
      <c r="D925" s="15" t="s">
        <v>38</v>
      </c>
      <c r="E925" s="15" t="s">
        <v>55</v>
      </c>
      <c r="F925" s="15" t="s">
        <v>47</v>
      </c>
      <c r="G925" s="15" t="s">
        <v>61</v>
      </c>
      <c r="H925" s="15" t="s">
        <v>42</v>
      </c>
      <c r="I925">
        <v>90</v>
      </c>
      <c r="J925">
        <v>150</v>
      </c>
      <c r="K925">
        <v>90</v>
      </c>
      <c r="L925">
        <v>240</v>
      </c>
      <c r="M925">
        <v>111</v>
      </c>
      <c r="N925">
        <v>767</v>
      </c>
      <c r="O925">
        <v>167</v>
      </c>
      <c r="P925">
        <v>36</v>
      </c>
      <c r="Q925">
        <v>99</v>
      </c>
      <c r="R925">
        <v>278</v>
      </c>
      <c r="S925">
        <v>1.1583333333333334</v>
      </c>
      <c r="T925">
        <v>1.1000000000000001</v>
      </c>
      <c r="U925">
        <v>1.2333333333333334</v>
      </c>
    </row>
    <row r="926" spans="1:21" x14ac:dyDescent="0.35">
      <c r="A926">
        <v>937</v>
      </c>
      <c r="B926" s="16">
        <v>40330</v>
      </c>
      <c r="C926" s="15" t="s">
        <v>37</v>
      </c>
      <c r="D926" s="15" t="s">
        <v>38</v>
      </c>
      <c r="E926" s="15" t="s">
        <v>56</v>
      </c>
      <c r="F926" s="15" t="s">
        <v>47</v>
      </c>
      <c r="G926" s="15" t="s">
        <v>61</v>
      </c>
      <c r="H926" s="15" t="s">
        <v>42</v>
      </c>
      <c r="I926">
        <v>100</v>
      </c>
      <c r="J926">
        <v>140</v>
      </c>
      <c r="K926">
        <v>90</v>
      </c>
      <c r="L926">
        <v>240</v>
      </c>
      <c r="M926">
        <v>118</v>
      </c>
      <c r="N926">
        <v>636</v>
      </c>
      <c r="O926">
        <v>164</v>
      </c>
      <c r="P926">
        <v>36</v>
      </c>
      <c r="Q926">
        <v>105</v>
      </c>
      <c r="R926">
        <v>282</v>
      </c>
      <c r="S926">
        <v>1.175</v>
      </c>
      <c r="T926">
        <v>1.1666666666666667</v>
      </c>
      <c r="U926">
        <v>1.18</v>
      </c>
    </row>
    <row r="927" spans="1:21" x14ac:dyDescent="0.35">
      <c r="A927">
        <v>419</v>
      </c>
      <c r="B927" s="16">
        <v>40330</v>
      </c>
      <c r="C927" s="15" t="s">
        <v>37</v>
      </c>
      <c r="D927" s="15" t="s">
        <v>38</v>
      </c>
      <c r="E927" s="15" t="s">
        <v>48</v>
      </c>
      <c r="F927" s="15" t="s">
        <v>49</v>
      </c>
      <c r="G927" s="15" t="s">
        <v>61</v>
      </c>
      <c r="H927" s="15" t="s">
        <v>42</v>
      </c>
      <c r="I927">
        <v>170</v>
      </c>
      <c r="J927">
        <v>180</v>
      </c>
      <c r="K927">
        <v>120</v>
      </c>
      <c r="L927">
        <v>350</v>
      </c>
      <c r="M927">
        <v>149</v>
      </c>
      <c r="N927">
        <v>1245</v>
      </c>
      <c r="O927">
        <v>149</v>
      </c>
      <c r="P927">
        <v>41</v>
      </c>
      <c r="Q927">
        <v>83</v>
      </c>
      <c r="R927">
        <v>298</v>
      </c>
      <c r="S927">
        <v>0.85142857142857142</v>
      </c>
      <c r="T927">
        <v>0.69166666666666665</v>
      </c>
      <c r="U927">
        <v>0.87647058823529411</v>
      </c>
    </row>
    <row r="928" spans="1:21" x14ac:dyDescent="0.35">
      <c r="A928">
        <v>419</v>
      </c>
      <c r="B928" s="16">
        <v>40330</v>
      </c>
      <c r="C928" s="15" t="s">
        <v>37</v>
      </c>
      <c r="D928" s="15" t="s">
        <v>38</v>
      </c>
      <c r="E928" s="15" t="s">
        <v>50</v>
      </c>
      <c r="F928" s="15" t="s">
        <v>49</v>
      </c>
      <c r="G928" s="15" t="s">
        <v>61</v>
      </c>
      <c r="H928" s="15" t="s">
        <v>45</v>
      </c>
      <c r="I928">
        <v>50</v>
      </c>
      <c r="J928">
        <v>80</v>
      </c>
      <c r="K928">
        <v>30</v>
      </c>
      <c r="L928">
        <v>130</v>
      </c>
      <c r="M928">
        <v>51</v>
      </c>
      <c r="N928">
        <v>396</v>
      </c>
      <c r="O928">
        <v>64</v>
      </c>
      <c r="P928">
        <v>19</v>
      </c>
      <c r="Q928">
        <v>12</v>
      </c>
      <c r="R928">
        <v>115</v>
      </c>
      <c r="S928">
        <v>0.88461538461538458</v>
      </c>
      <c r="T928">
        <v>0.4</v>
      </c>
      <c r="U928">
        <v>1.02</v>
      </c>
    </row>
    <row r="929" spans="1:21" x14ac:dyDescent="0.35">
      <c r="A929">
        <v>513</v>
      </c>
      <c r="B929" s="16">
        <v>40330</v>
      </c>
      <c r="C929" s="15" t="s">
        <v>37</v>
      </c>
      <c r="D929" s="15" t="s">
        <v>38</v>
      </c>
      <c r="E929" s="15" t="s">
        <v>39</v>
      </c>
      <c r="F929" s="15" t="s">
        <v>40</v>
      </c>
      <c r="G929" s="15" t="s">
        <v>61</v>
      </c>
      <c r="H929" s="15" t="s">
        <v>42</v>
      </c>
      <c r="I929">
        <v>50</v>
      </c>
      <c r="J929">
        <v>70</v>
      </c>
      <c r="K929">
        <v>40</v>
      </c>
      <c r="L929">
        <v>120</v>
      </c>
      <c r="M929">
        <v>50</v>
      </c>
      <c r="N929">
        <v>397</v>
      </c>
      <c r="O929">
        <v>68</v>
      </c>
      <c r="P929">
        <v>16</v>
      </c>
      <c r="Q929">
        <v>24</v>
      </c>
      <c r="R929">
        <v>118</v>
      </c>
      <c r="S929">
        <v>0.98333333333333328</v>
      </c>
      <c r="T929">
        <v>0.6</v>
      </c>
      <c r="U929">
        <v>1</v>
      </c>
    </row>
    <row r="930" spans="1:21" x14ac:dyDescent="0.35">
      <c r="A930">
        <v>614</v>
      </c>
      <c r="B930" s="16">
        <v>40330</v>
      </c>
      <c r="C930" s="15" t="s">
        <v>37</v>
      </c>
      <c r="D930" s="15" t="s">
        <v>38</v>
      </c>
      <c r="E930" s="15" t="s">
        <v>43</v>
      </c>
      <c r="F930" s="15" t="s">
        <v>40</v>
      </c>
      <c r="G930" s="15" t="s">
        <v>61</v>
      </c>
      <c r="H930" s="15" t="s">
        <v>42</v>
      </c>
      <c r="I930">
        <v>40</v>
      </c>
      <c r="J930">
        <v>50</v>
      </c>
      <c r="K930">
        <v>20</v>
      </c>
      <c r="L930">
        <v>90</v>
      </c>
      <c r="M930">
        <v>38</v>
      </c>
      <c r="N930">
        <v>414</v>
      </c>
      <c r="O930">
        <v>55</v>
      </c>
      <c r="P930">
        <v>12</v>
      </c>
      <c r="Q930">
        <v>19</v>
      </c>
      <c r="R930">
        <v>93</v>
      </c>
      <c r="S930">
        <v>1.0333333333333334</v>
      </c>
      <c r="T930">
        <v>0.95</v>
      </c>
      <c r="U930">
        <v>0.95</v>
      </c>
    </row>
    <row r="931" spans="1:21" x14ac:dyDescent="0.35">
      <c r="A931">
        <v>937</v>
      </c>
      <c r="B931" s="16">
        <v>40330</v>
      </c>
      <c r="C931" s="15" t="s">
        <v>37</v>
      </c>
      <c r="D931" s="15" t="s">
        <v>38</v>
      </c>
      <c r="E931" s="15" t="s">
        <v>44</v>
      </c>
      <c r="F931" s="15" t="s">
        <v>40</v>
      </c>
      <c r="G931" s="15" t="s">
        <v>61</v>
      </c>
      <c r="H931" s="15" t="s">
        <v>45</v>
      </c>
      <c r="I931">
        <v>40</v>
      </c>
      <c r="J931">
        <v>70</v>
      </c>
      <c r="K931">
        <v>20</v>
      </c>
      <c r="L931">
        <v>110</v>
      </c>
      <c r="M931">
        <v>44</v>
      </c>
      <c r="N931">
        <v>496</v>
      </c>
      <c r="O931">
        <v>63</v>
      </c>
      <c r="P931">
        <v>40</v>
      </c>
      <c r="Q931">
        <v>-6</v>
      </c>
      <c r="R931">
        <v>107</v>
      </c>
      <c r="S931">
        <v>0.97272727272727277</v>
      </c>
      <c r="T931">
        <v>-0.3</v>
      </c>
      <c r="U931">
        <v>1.1000000000000001</v>
      </c>
    </row>
    <row r="932" spans="1:21" x14ac:dyDescent="0.35">
      <c r="A932">
        <v>614</v>
      </c>
      <c r="B932" s="16">
        <v>40330</v>
      </c>
      <c r="C932" s="15" t="s">
        <v>37</v>
      </c>
      <c r="D932" s="15" t="s">
        <v>38</v>
      </c>
      <c r="E932" s="15" t="s">
        <v>51</v>
      </c>
      <c r="F932" s="15" t="s">
        <v>52</v>
      </c>
      <c r="G932" s="15" t="s">
        <v>61</v>
      </c>
      <c r="H932" s="15" t="s">
        <v>45</v>
      </c>
      <c r="I932">
        <v>10</v>
      </c>
      <c r="J932">
        <v>20</v>
      </c>
      <c r="K932">
        <v>20</v>
      </c>
      <c r="L932">
        <v>30</v>
      </c>
      <c r="M932">
        <v>18</v>
      </c>
      <c r="N932">
        <v>478</v>
      </c>
      <c r="O932">
        <v>26</v>
      </c>
      <c r="P932">
        <v>5</v>
      </c>
      <c r="Q932">
        <v>9</v>
      </c>
      <c r="R932">
        <v>44</v>
      </c>
      <c r="S932">
        <v>1.4666666666666666</v>
      </c>
      <c r="T932">
        <v>0.45</v>
      </c>
      <c r="U932">
        <v>1.8</v>
      </c>
    </row>
    <row r="933" spans="1:21" x14ac:dyDescent="0.35">
      <c r="A933">
        <v>513</v>
      </c>
      <c r="B933" s="16">
        <v>40330</v>
      </c>
      <c r="C933" s="15" t="s">
        <v>37</v>
      </c>
      <c r="D933" s="15" t="s">
        <v>38</v>
      </c>
      <c r="E933" s="15" t="s">
        <v>53</v>
      </c>
      <c r="F933" s="15" t="s">
        <v>52</v>
      </c>
      <c r="G933" s="15" t="s">
        <v>61</v>
      </c>
      <c r="H933" s="15" t="s">
        <v>45</v>
      </c>
      <c r="I933">
        <v>20</v>
      </c>
      <c r="J933">
        <v>30</v>
      </c>
      <c r="K933">
        <v>30</v>
      </c>
      <c r="L933">
        <v>50</v>
      </c>
      <c r="M933">
        <v>24</v>
      </c>
      <c r="N933">
        <v>856</v>
      </c>
      <c r="O933">
        <v>36</v>
      </c>
      <c r="P933">
        <v>6</v>
      </c>
      <c r="Q933">
        <v>18</v>
      </c>
      <c r="R933">
        <v>60</v>
      </c>
      <c r="S933">
        <v>1.2</v>
      </c>
      <c r="T933">
        <v>0.6</v>
      </c>
      <c r="U933">
        <v>1.2</v>
      </c>
    </row>
    <row r="934" spans="1:21" x14ac:dyDescent="0.35">
      <c r="A934">
        <v>920</v>
      </c>
      <c r="B934" s="16">
        <v>40330</v>
      </c>
      <c r="C934" s="15" t="s">
        <v>37</v>
      </c>
      <c r="D934" s="15" t="s">
        <v>58</v>
      </c>
      <c r="E934" s="15" t="s">
        <v>55</v>
      </c>
      <c r="F934" s="15" t="s">
        <v>47</v>
      </c>
      <c r="G934" s="15" t="s">
        <v>62</v>
      </c>
      <c r="H934" s="15" t="s">
        <v>42</v>
      </c>
      <c r="I934">
        <v>30</v>
      </c>
      <c r="J934">
        <v>50</v>
      </c>
      <c r="K934">
        <v>20</v>
      </c>
      <c r="L934">
        <v>80</v>
      </c>
      <c r="M934">
        <v>40</v>
      </c>
      <c r="N934">
        <v>443</v>
      </c>
      <c r="O934">
        <v>59</v>
      </c>
      <c r="P934">
        <v>12</v>
      </c>
      <c r="Q934">
        <v>24</v>
      </c>
      <c r="R934">
        <v>99</v>
      </c>
      <c r="S934">
        <v>1.2375</v>
      </c>
      <c r="T934">
        <v>1.2</v>
      </c>
      <c r="U934">
        <v>1.3333333333333333</v>
      </c>
    </row>
    <row r="935" spans="1:21" x14ac:dyDescent="0.35">
      <c r="A935">
        <v>715</v>
      </c>
      <c r="B935" s="16">
        <v>40330</v>
      </c>
      <c r="C935" s="15" t="s">
        <v>37</v>
      </c>
      <c r="D935" s="15" t="s">
        <v>58</v>
      </c>
      <c r="E935" s="15" t="s">
        <v>56</v>
      </c>
      <c r="F935" s="15" t="s">
        <v>47</v>
      </c>
      <c r="G935" s="15" t="s">
        <v>62</v>
      </c>
      <c r="H935" s="15" t="s">
        <v>42</v>
      </c>
      <c r="I935">
        <v>40</v>
      </c>
      <c r="J935">
        <v>70</v>
      </c>
      <c r="K935">
        <v>10</v>
      </c>
      <c r="L935">
        <v>110</v>
      </c>
      <c r="M935">
        <v>53</v>
      </c>
      <c r="N935">
        <v>597</v>
      </c>
      <c r="O935">
        <v>75</v>
      </c>
      <c r="P935">
        <v>48</v>
      </c>
      <c r="Q935">
        <v>-2</v>
      </c>
      <c r="R935">
        <v>128</v>
      </c>
      <c r="S935">
        <v>1.1636363636363636</v>
      </c>
      <c r="T935">
        <v>-0.2</v>
      </c>
      <c r="U935">
        <v>1.325</v>
      </c>
    </row>
    <row r="936" spans="1:21" x14ac:dyDescent="0.35">
      <c r="A936">
        <v>262</v>
      </c>
      <c r="B936" s="16">
        <v>40330</v>
      </c>
      <c r="C936" s="15" t="s">
        <v>37</v>
      </c>
      <c r="D936" s="15" t="s">
        <v>58</v>
      </c>
      <c r="E936" s="15" t="s">
        <v>48</v>
      </c>
      <c r="F936" s="15" t="s">
        <v>49</v>
      </c>
      <c r="G936" s="15" t="s">
        <v>62</v>
      </c>
      <c r="H936" s="15" t="s">
        <v>42</v>
      </c>
      <c r="I936">
        <v>90</v>
      </c>
      <c r="J936">
        <v>110</v>
      </c>
      <c r="K936">
        <v>70</v>
      </c>
      <c r="L936">
        <v>200</v>
      </c>
      <c r="M936">
        <v>81</v>
      </c>
      <c r="N936">
        <v>1046</v>
      </c>
      <c r="O936">
        <v>96</v>
      </c>
      <c r="P936">
        <v>25</v>
      </c>
      <c r="Q936">
        <v>50</v>
      </c>
      <c r="R936">
        <v>177</v>
      </c>
      <c r="S936">
        <v>0.88500000000000001</v>
      </c>
      <c r="T936">
        <v>0.7142857142857143</v>
      </c>
      <c r="U936">
        <v>0.9</v>
      </c>
    </row>
    <row r="937" spans="1:21" x14ac:dyDescent="0.35">
      <c r="A937">
        <v>262</v>
      </c>
      <c r="B937" s="16">
        <v>40330</v>
      </c>
      <c r="C937" s="15" t="s">
        <v>37</v>
      </c>
      <c r="D937" s="15" t="s">
        <v>58</v>
      </c>
      <c r="E937" s="15" t="s">
        <v>50</v>
      </c>
      <c r="F937" s="15" t="s">
        <v>49</v>
      </c>
      <c r="G937" s="15" t="s">
        <v>62</v>
      </c>
      <c r="H937" s="15" t="s">
        <v>45</v>
      </c>
      <c r="I937">
        <v>50</v>
      </c>
      <c r="J937">
        <v>70</v>
      </c>
      <c r="K937">
        <v>50</v>
      </c>
      <c r="L937">
        <v>120</v>
      </c>
      <c r="M937">
        <v>48</v>
      </c>
      <c r="N937">
        <v>593</v>
      </c>
      <c r="O937">
        <v>62</v>
      </c>
      <c r="P937">
        <v>15</v>
      </c>
      <c r="Q937">
        <v>34</v>
      </c>
      <c r="R937">
        <v>110</v>
      </c>
      <c r="S937">
        <v>0.91666666666666663</v>
      </c>
      <c r="T937">
        <v>0.68</v>
      </c>
      <c r="U937">
        <v>0.96</v>
      </c>
    </row>
    <row r="938" spans="1:21" x14ac:dyDescent="0.35">
      <c r="A938">
        <v>715</v>
      </c>
      <c r="B938" s="16">
        <v>40330</v>
      </c>
      <c r="C938" s="15" t="s">
        <v>37</v>
      </c>
      <c r="D938" s="15" t="s">
        <v>58</v>
      </c>
      <c r="E938" s="15" t="s">
        <v>39</v>
      </c>
      <c r="F938" s="15" t="s">
        <v>40</v>
      </c>
      <c r="G938" s="15" t="s">
        <v>62</v>
      </c>
      <c r="H938" s="15" t="s">
        <v>42</v>
      </c>
      <c r="I938">
        <v>60</v>
      </c>
      <c r="J938">
        <v>70</v>
      </c>
      <c r="K938">
        <v>20</v>
      </c>
      <c r="L938">
        <v>130</v>
      </c>
      <c r="M938">
        <v>59</v>
      </c>
      <c r="N938">
        <v>377</v>
      </c>
      <c r="O938">
        <v>74</v>
      </c>
      <c r="P938">
        <v>22</v>
      </c>
      <c r="Q938">
        <v>19</v>
      </c>
      <c r="R938">
        <v>133</v>
      </c>
      <c r="S938">
        <v>1.023076923076923</v>
      </c>
      <c r="T938">
        <v>0.95</v>
      </c>
      <c r="U938">
        <v>0.98333333333333328</v>
      </c>
    </row>
    <row r="939" spans="1:21" x14ac:dyDescent="0.35">
      <c r="A939">
        <v>608</v>
      </c>
      <c r="B939" s="16">
        <v>40330</v>
      </c>
      <c r="C939" s="15" t="s">
        <v>37</v>
      </c>
      <c r="D939" s="15" t="s">
        <v>58</v>
      </c>
      <c r="E939" s="15" t="s">
        <v>43</v>
      </c>
      <c r="F939" s="15" t="s">
        <v>40</v>
      </c>
      <c r="G939" s="15" t="s">
        <v>62</v>
      </c>
      <c r="H939" s="15" t="s">
        <v>42</v>
      </c>
      <c r="I939">
        <v>110</v>
      </c>
      <c r="J939">
        <v>160</v>
      </c>
      <c r="K939">
        <v>50</v>
      </c>
      <c r="L939">
        <v>270</v>
      </c>
      <c r="M939">
        <v>110</v>
      </c>
      <c r="N939">
        <v>665</v>
      </c>
      <c r="O939">
        <v>154</v>
      </c>
      <c r="P939">
        <v>100</v>
      </c>
      <c r="Q939">
        <v>24</v>
      </c>
      <c r="R939">
        <v>264</v>
      </c>
      <c r="S939">
        <v>0.97777777777777775</v>
      </c>
      <c r="T939">
        <v>0.48</v>
      </c>
      <c r="U939">
        <v>1</v>
      </c>
    </row>
    <row r="940" spans="1:21" x14ac:dyDescent="0.35">
      <c r="A940">
        <v>920</v>
      </c>
      <c r="B940" s="16">
        <v>40330</v>
      </c>
      <c r="C940" s="15" t="s">
        <v>37</v>
      </c>
      <c r="D940" s="15" t="s">
        <v>58</v>
      </c>
      <c r="E940" s="15" t="s">
        <v>44</v>
      </c>
      <c r="F940" s="15" t="s">
        <v>40</v>
      </c>
      <c r="G940" s="15" t="s">
        <v>62</v>
      </c>
      <c r="H940" s="15" t="s">
        <v>45</v>
      </c>
      <c r="I940">
        <v>90</v>
      </c>
      <c r="J940">
        <v>130</v>
      </c>
      <c r="K940">
        <v>90</v>
      </c>
      <c r="L940">
        <v>220</v>
      </c>
      <c r="M940">
        <v>91</v>
      </c>
      <c r="N940">
        <v>533</v>
      </c>
      <c r="O940">
        <v>121</v>
      </c>
      <c r="P940">
        <v>30</v>
      </c>
      <c r="Q940">
        <v>63</v>
      </c>
      <c r="R940">
        <v>212</v>
      </c>
      <c r="S940">
        <v>0.96363636363636362</v>
      </c>
      <c r="T940">
        <v>0.7</v>
      </c>
      <c r="U940">
        <v>1.0111111111111111</v>
      </c>
    </row>
    <row r="941" spans="1:21" x14ac:dyDescent="0.35">
      <c r="A941">
        <v>715</v>
      </c>
      <c r="B941" s="16">
        <v>40330</v>
      </c>
      <c r="C941" s="15" t="s">
        <v>37</v>
      </c>
      <c r="D941" s="15" t="s">
        <v>58</v>
      </c>
      <c r="E941" s="15" t="s">
        <v>51</v>
      </c>
      <c r="F941" s="15" t="s">
        <v>52</v>
      </c>
      <c r="G941" s="15" t="s">
        <v>62</v>
      </c>
      <c r="H941" s="15" t="s">
        <v>45</v>
      </c>
      <c r="I941">
        <v>40</v>
      </c>
      <c r="J941">
        <v>70</v>
      </c>
      <c r="K941">
        <v>50</v>
      </c>
      <c r="L941">
        <v>110</v>
      </c>
      <c r="M941">
        <v>47</v>
      </c>
      <c r="N941">
        <v>371</v>
      </c>
      <c r="O941">
        <v>78</v>
      </c>
      <c r="P941">
        <v>14</v>
      </c>
      <c r="Q941">
        <v>40</v>
      </c>
      <c r="R941">
        <v>125</v>
      </c>
      <c r="S941">
        <v>1.1363636363636365</v>
      </c>
      <c r="T941">
        <v>0.8</v>
      </c>
      <c r="U941">
        <v>1.175</v>
      </c>
    </row>
    <row r="942" spans="1:21" x14ac:dyDescent="0.35">
      <c r="A942">
        <v>920</v>
      </c>
      <c r="B942" s="16">
        <v>40330</v>
      </c>
      <c r="C942" s="15" t="s">
        <v>37</v>
      </c>
      <c r="D942" s="15" t="s">
        <v>58</v>
      </c>
      <c r="E942" s="15" t="s">
        <v>53</v>
      </c>
      <c r="F942" s="15" t="s">
        <v>52</v>
      </c>
      <c r="G942" s="15" t="s">
        <v>62</v>
      </c>
      <c r="H942" s="15" t="s">
        <v>45</v>
      </c>
      <c r="I942">
        <v>50</v>
      </c>
      <c r="J942">
        <v>70</v>
      </c>
      <c r="K942">
        <v>60</v>
      </c>
      <c r="L942">
        <v>120</v>
      </c>
      <c r="M942">
        <v>59</v>
      </c>
      <c r="N942">
        <v>842</v>
      </c>
      <c r="O942">
        <v>85</v>
      </c>
      <c r="P942">
        <v>16</v>
      </c>
      <c r="Q942">
        <v>58</v>
      </c>
      <c r="R942">
        <v>144</v>
      </c>
      <c r="S942">
        <v>1.2</v>
      </c>
      <c r="T942">
        <v>0.96666666666666667</v>
      </c>
      <c r="U942">
        <v>1.18</v>
      </c>
    </row>
    <row r="943" spans="1:21" x14ac:dyDescent="0.35">
      <c r="A943">
        <v>959</v>
      </c>
      <c r="B943" s="16">
        <v>40330</v>
      </c>
      <c r="C943" s="15" t="s">
        <v>63</v>
      </c>
      <c r="D943" s="15" t="s">
        <v>58</v>
      </c>
      <c r="E943" s="15" t="s">
        <v>55</v>
      </c>
      <c r="F943" s="15" t="s">
        <v>47</v>
      </c>
      <c r="G943" s="15" t="s">
        <v>64</v>
      </c>
      <c r="H943" s="15" t="s">
        <v>42</v>
      </c>
      <c r="I943">
        <v>30</v>
      </c>
      <c r="J943">
        <v>60</v>
      </c>
      <c r="K943">
        <v>40</v>
      </c>
      <c r="L943">
        <v>90</v>
      </c>
      <c r="M943">
        <v>37</v>
      </c>
      <c r="N943">
        <v>876</v>
      </c>
      <c r="O943">
        <v>55</v>
      </c>
      <c r="P943">
        <v>10</v>
      </c>
      <c r="Q943">
        <v>33</v>
      </c>
      <c r="R943">
        <v>92</v>
      </c>
      <c r="S943">
        <v>1.0222222222222221</v>
      </c>
      <c r="T943">
        <v>0.82499999999999996</v>
      </c>
      <c r="U943">
        <v>1.2333333333333334</v>
      </c>
    </row>
    <row r="944" spans="1:21" x14ac:dyDescent="0.35">
      <c r="A944">
        <v>203</v>
      </c>
      <c r="B944" s="16">
        <v>40330</v>
      </c>
      <c r="C944" s="15" t="s">
        <v>63</v>
      </c>
      <c r="D944" s="15" t="s">
        <v>58</v>
      </c>
      <c r="E944" s="15" t="s">
        <v>46</v>
      </c>
      <c r="F944" s="15" t="s">
        <v>47</v>
      </c>
      <c r="G944" s="15" t="s">
        <v>64</v>
      </c>
      <c r="H944" s="15" t="s">
        <v>42</v>
      </c>
      <c r="I944">
        <v>20</v>
      </c>
      <c r="J944">
        <v>30</v>
      </c>
      <c r="K944">
        <v>20</v>
      </c>
      <c r="L944">
        <v>50</v>
      </c>
      <c r="M944">
        <v>20</v>
      </c>
      <c r="N944">
        <v>804</v>
      </c>
      <c r="O944">
        <v>31</v>
      </c>
      <c r="P944">
        <v>5</v>
      </c>
      <c r="Q944">
        <v>15</v>
      </c>
      <c r="R944">
        <v>51</v>
      </c>
      <c r="S944">
        <v>1.02</v>
      </c>
      <c r="T944">
        <v>0.75</v>
      </c>
      <c r="U944">
        <v>1</v>
      </c>
    </row>
    <row r="945" spans="1:21" x14ac:dyDescent="0.35">
      <c r="A945">
        <v>203</v>
      </c>
      <c r="B945" s="16">
        <v>40330</v>
      </c>
      <c r="C945" s="15" t="s">
        <v>63</v>
      </c>
      <c r="D945" s="15" t="s">
        <v>58</v>
      </c>
      <c r="E945" s="15" t="s">
        <v>48</v>
      </c>
      <c r="F945" s="15" t="s">
        <v>49</v>
      </c>
      <c r="G945" s="15" t="s">
        <v>64</v>
      </c>
      <c r="H945" s="15" t="s">
        <v>42</v>
      </c>
      <c r="I945">
        <v>50</v>
      </c>
      <c r="J945">
        <v>70</v>
      </c>
      <c r="K945">
        <v>10</v>
      </c>
      <c r="L945">
        <v>120</v>
      </c>
      <c r="M945">
        <v>53</v>
      </c>
      <c r="N945">
        <v>597</v>
      </c>
      <c r="O945">
        <v>75</v>
      </c>
      <c r="P945">
        <v>48</v>
      </c>
      <c r="Q945">
        <v>-2</v>
      </c>
      <c r="R945">
        <v>128</v>
      </c>
      <c r="S945">
        <v>1.0666666666666667</v>
      </c>
      <c r="T945">
        <v>-0.2</v>
      </c>
      <c r="U945">
        <v>1.06</v>
      </c>
    </row>
    <row r="946" spans="1:21" x14ac:dyDescent="0.35">
      <c r="A946">
        <v>475</v>
      </c>
      <c r="B946" s="16">
        <v>40330</v>
      </c>
      <c r="C946" s="15" t="s">
        <v>63</v>
      </c>
      <c r="D946" s="15" t="s">
        <v>58</v>
      </c>
      <c r="E946" s="15" t="s">
        <v>50</v>
      </c>
      <c r="F946" s="15" t="s">
        <v>49</v>
      </c>
      <c r="G946" s="15" t="s">
        <v>64</v>
      </c>
      <c r="H946" s="15" t="s">
        <v>45</v>
      </c>
      <c r="I946">
        <v>40</v>
      </c>
      <c r="J946">
        <v>60</v>
      </c>
      <c r="K946">
        <v>30</v>
      </c>
      <c r="L946">
        <v>100</v>
      </c>
      <c r="M946">
        <v>46</v>
      </c>
      <c r="N946">
        <v>367</v>
      </c>
      <c r="O946">
        <v>62</v>
      </c>
      <c r="P946">
        <v>15</v>
      </c>
      <c r="Q946">
        <v>19</v>
      </c>
      <c r="R946">
        <v>108</v>
      </c>
      <c r="S946">
        <v>1.08</v>
      </c>
      <c r="T946">
        <v>0.6333333333333333</v>
      </c>
      <c r="U946">
        <v>1.1499999999999999</v>
      </c>
    </row>
    <row r="947" spans="1:21" x14ac:dyDescent="0.35">
      <c r="A947">
        <v>475</v>
      </c>
      <c r="B947" s="16">
        <v>40330</v>
      </c>
      <c r="C947" s="15" t="s">
        <v>63</v>
      </c>
      <c r="D947" s="15" t="s">
        <v>58</v>
      </c>
      <c r="E947" s="15" t="s">
        <v>43</v>
      </c>
      <c r="F947" s="15" t="s">
        <v>40</v>
      </c>
      <c r="G947" s="15" t="s">
        <v>64</v>
      </c>
      <c r="H947" s="15" t="s">
        <v>42</v>
      </c>
      <c r="I947">
        <v>80</v>
      </c>
      <c r="J947">
        <v>140</v>
      </c>
      <c r="K947">
        <v>100</v>
      </c>
      <c r="L947">
        <v>220</v>
      </c>
      <c r="M947">
        <v>92</v>
      </c>
      <c r="N947">
        <v>1102</v>
      </c>
      <c r="O947">
        <v>140</v>
      </c>
      <c r="P947">
        <v>30</v>
      </c>
      <c r="Q947">
        <v>79</v>
      </c>
      <c r="R947">
        <v>232</v>
      </c>
      <c r="S947">
        <v>1.0545454545454545</v>
      </c>
      <c r="T947">
        <v>0.79</v>
      </c>
      <c r="U947">
        <v>1.1499999999999999</v>
      </c>
    </row>
    <row r="948" spans="1:21" x14ac:dyDescent="0.35">
      <c r="A948">
        <v>203</v>
      </c>
      <c r="B948" s="16">
        <v>40330</v>
      </c>
      <c r="C948" s="15" t="s">
        <v>63</v>
      </c>
      <c r="D948" s="15" t="s">
        <v>58</v>
      </c>
      <c r="E948" s="15" t="s">
        <v>53</v>
      </c>
      <c r="F948" s="15" t="s">
        <v>52</v>
      </c>
      <c r="G948" s="15" t="s">
        <v>64</v>
      </c>
      <c r="H948" s="15" t="s">
        <v>45</v>
      </c>
      <c r="I948">
        <v>50</v>
      </c>
      <c r="J948">
        <v>80</v>
      </c>
      <c r="K948">
        <v>40</v>
      </c>
      <c r="L948">
        <v>130</v>
      </c>
      <c r="M948">
        <v>76</v>
      </c>
      <c r="N948">
        <v>580</v>
      </c>
      <c r="O948">
        <v>93</v>
      </c>
      <c r="P948">
        <v>28</v>
      </c>
      <c r="Q948">
        <v>32</v>
      </c>
      <c r="R948">
        <v>169</v>
      </c>
      <c r="S948">
        <v>1.3</v>
      </c>
      <c r="T948">
        <v>0.8</v>
      </c>
      <c r="U948">
        <v>1.52</v>
      </c>
    </row>
    <row r="949" spans="1:21" x14ac:dyDescent="0.35">
      <c r="A949">
        <v>475</v>
      </c>
      <c r="B949" s="16">
        <v>40330</v>
      </c>
      <c r="C949" s="15" t="s">
        <v>63</v>
      </c>
      <c r="D949" s="15" t="s">
        <v>58</v>
      </c>
      <c r="E949" s="15" t="s">
        <v>54</v>
      </c>
      <c r="F949" s="15" t="s">
        <v>52</v>
      </c>
      <c r="G949" s="15" t="s">
        <v>64</v>
      </c>
      <c r="H949" s="15" t="s">
        <v>45</v>
      </c>
      <c r="I949">
        <v>40</v>
      </c>
      <c r="J949">
        <v>70</v>
      </c>
      <c r="K949">
        <v>50</v>
      </c>
      <c r="L949">
        <v>110</v>
      </c>
      <c r="M949">
        <v>65</v>
      </c>
      <c r="N949">
        <v>1042</v>
      </c>
      <c r="O949">
        <v>77</v>
      </c>
      <c r="P949">
        <v>20</v>
      </c>
      <c r="Q949">
        <v>36</v>
      </c>
      <c r="R949">
        <v>142</v>
      </c>
      <c r="S949">
        <v>1.290909090909091</v>
      </c>
      <c r="T949">
        <v>0.72</v>
      </c>
      <c r="U949">
        <v>1.625</v>
      </c>
    </row>
    <row r="950" spans="1:21" x14ac:dyDescent="0.35">
      <c r="A950">
        <v>386</v>
      </c>
      <c r="B950" s="16">
        <v>40330</v>
      </c>
      <c r="C950" s="15" t="s">
        <v>63</v>
      </c>
      <c r="D950" s="15" t="s">
        <v>38</v>
      </c>
      <c r="E950" s="15" t="s">
        <v>55</v>
      </c>
      <c r="F950" s="15" t="s">
        <v>47</v>
      </c>
      <c r="G950" s="15" t="s">
        <v>65</v>
      </c>
      <c r="H950" s="15" t="s">
        <v>42</v>
      </c>
      <c r="I950">
        <v>40</v>
      </c>
      <c r="J950">
        <v>70</v>
      </c>
      <c r="K950">
        <v>50</v>
      </c>
      <c r="L950">
        <v>110</v>
      </c>
      <c r="M950">
        <v>43</v>
      </c>
      <c r="N950">
        <v>864</v>
      </c>
      <c r="O950">
        <v>62</v>
      </c>
      <c r="P950">
        <v>12</v>
      </c>
      <c r="Q950">
        <v>38</v>
      </c>
      <c r="R950">
        <v>105</v>
      </c>
      <c r="S950">
        <v>0.95454545454545459</v>
      </c>
      <c r="T950">
        <v>0.76</v>
      </c>
      <c r="U950">
        <v>1.075</v>
      </c>
    </row>
    <row r="951" spans="1:21" x14ac:dyDescent="0.35">
      <c r="A951">
        <v>407</v>
      </c>
      <c r="B951" s="16">
        <v>40330</v>
      </c>
      <c r="C951" s="15" t="s">
        <v>63</v>
      </c>
      <c r="D951" s="15" t="s">
        <v>38</v>
      </c>
      <c r="E951" s="15" t="s">
        <v>46</v>
      </c>
      <c r="F951" s="15" t="s">
        <v>47</v>
      </c>
      <c r="G951" s="15" t="s">
        <v>65</v>
      </c>
      <c r="H951" s="15" t="s">
        <v>42</v>
      </c>
      <c r="I951">
        <v>60</v>
      </c>
      <c r="J951">
        <v>90</v>
      </c>
      <c r="K951">
        <v>70</v>
      </c>
      <c r="L951">
        <v>150</v>
      </c>
      <c r="M951">
        <v>59</v>
      </c>
      <c r="N951">
        <v>842</v>
      </c>
      <c r="O951">
        <v>85</v>
      </c>
      <c r="P951">
        <v>16</v>
      </c>
      <c r="Q951">
        <v>58</v>
      </c>
      <c r="R951">
        <v>144</v>
      </c>
      <c r="S951">
        <v>0.96</v>
      </c>
      <c r="T951">
        <v>0.82857142857142863</v>
      </c>
      <c r="U951">
        <v>0.98333333333333328</v>
      </c>
    </row>
    <row r="952" spans="1:21" x14ac:dyDescent="0.35">
      <c r="A952">
        <v>786</v>
      </c>
      <c r="B952" s="16">
        <v>40330</v>
      </c>
      <c r="C952" s="15" t="s">
        <v>63</v>
      </c>
      <c r="D952" s="15" t="s">
        <v>38</v>
      </c>
      <c r="E952" s="15" t="s">
        <v>48</v>
      </c>
      <c r="F952" s="15" t="s">
        <v>49</v>
      </c>
      <c r="G952" s="15" t="s">
        <v>65</v>
      </c>
      <c r="H952" s="15" t="s">
        <v>42</v>
      </c>
      <c r="I952">
        <v>100</v>
      </c>
      <c r="J952">
        <v>150</v>
      </c>
      <c r="K952">
        <v>40</v>
      </c>
      <c r="L952">
        <v>250</v>
      </c>
      <c r="M952">
        <v>110</v>
      </c>
      <c r="N952">
        <v>665</v>
      </c>
      <c r="O952">
        <v>154</v>
      </c>
      <c r="P952">
        <v>100</v>
      </c>
      <c r="Q952">
        <v>25</v>
      </c>
      <c r="R952">
        <v>264</v>
      </c>
      <c r="S952">
        <v>1.056</v>
      </c>
      <c r="T952">
        <v>0.625</v>
      </c>
      <c r="U952">
        <v>1.1000000000000001</v>
      </c>
    </row>
    <row r="953" spans="1:21" x14ac:dyDescent="0.35">
      <c r="A953">
        <v>321</v>
      </c>
      <c r="B953" s="16">
        <v>40330</v>
      </c>
      <c r="C953" s="15" t="s">
        <v>63</v>
      </c>
      <c r="D953" s="15" t="s">
        <v>38</v>
      </c>
      <c r="E953" s="15" t="s">
        <v>50</v>
      </c>
      <c r="F953" s="15" t="s">
        <v>49</v>
      </c>
      <c r="G953" s="15" t="s">
        <v>65</v>
      </c>
      <c r="H953" s="15" t="s">
        <v>45</v>
      </c>
      <c r="I953">
        <v>80</v>
      </c>
      <c r="J953">
        <v>120</v>
      </c>
      <c r="K953">
        <v>80</v>
      </c>
      <c r="L953">
        <v>200</v>
      </c>
      <c r="M953">
        <v>91</v>
      </c>
      <c r="N953">
        <v>533</v>
      </c>
      <c r="O953">
        <v>121</v>
      </c>
      <c r="P953">
        <v>30</v>
      </c>
      <c r="Q953">
        <v>63</v>
      </c>
      <c r="R953">
        <v>212</v>
      </c>
      <c r="S953">
        <v>1.06</v>
      </c>
      <c r="T953">
        <v>0.78749999999999998</v>
      </c>
      <c r="U953">
        <v>1.1375</v>
      </c>
    </row>
    <row r="954" spans="1:21" x14ac:dyDescent="0.35">
      <c r="A954">
        <v>904</v>
      </c>
      <c r="B954" s="16">
        <v>40330</v>
      </c>
      <c r="C954" s="15" t="s">
        <v>63</v>
      </c>
      <c r="D954" s="15" t="s">
        <v>38</v>
      </c>
      <c r="E954" s="15" t="s">
        <v>43</v>
      </c>
      <c r="F954" s="15" t="s">
        <v>40</v>
      </c>
      <c r="G954" s="15" t="s">
        <v>65</v>
      </c>
      <c r="H954" s="15" t="s">
        <v>42</v>
      </c>
      <c r="I954">
        <v>100</v>
      </c>
      <c r="J954">
        <v>160</v>
      </c>
      <c r="K954">
        <v>110</v>
      </c>
      <c r="L954">
        <v>260</v>
      </c>
      <c r="M954">
        <v>111</v>
      </c>
      <c r="N954">
        <v>767</v>
      </c>
      <c r="O954">
        <v>167</v>
      </c>
      <c r="P954">
        <v>36</v>
      </c>
      <c r="Q954">
        <v>99</v>
      </c>
      <c r="R954">
        <v>278</v>
      </c>
      <c r="S954">
        <v>1.0692307692307692</v>
      </c>
      <c r="T954">
        <v>0.9</v>
      </c>
      <c r="U954">
        <v>1.1100000000000001</v>
      </c>
    </row>
    <row r="955" spans="1:21" x14ac:dyDescent="0.35">
      <c r="A955">
        <v>850</v>
      </c>
      <c r="B955" s="16">
        <v>40330</v>
      </c>
      <c r="C955" s="15" t="s">
        <v>63</v>
      </c>
      <c r="D955" s="15" t="s">
        <v>38</v>
      </c>
      <c r="E955" s="15" t="s">
        <v>44</v>
      </c>
      <c r="F955" s="15" t="s">
        <v>40</v>
      </c>
      <c r="G955" s="15" t="s">
        <v>65</v>
      </c>
      <c r="H955" s="15" t="s">
        <v>45</v>
      </c>
      <c r="I955">
        <v>110</v>
      </c>
      <c r="J955">
        <v>150</v>
      </c>
      <c r="K955">
        <v>100</v>
      </c>
      <c r="L955">
        <v>260</v>
      </c>
      <c r="M955">
        <v>118</v>
      </c>
      <c r="N955">
        <v>636</v>
      </c>
      <c r="O955">
        <v>164</v>
      </c>
      <c r="P955">
        <v>36</v>
      </c>
      <c r="Q955">
        <v>105</v>
      </c>
      <c r="R955">
        <v>282</v>
      </c>
      <c r="S955">
        <v>1.0846153846153845</v>
      </c>
      <c r="T955">
        <v>1.05</v>
      </c>
      <c r="U955">
        <v>1.0727272727272728</v>
      </c>
    </row>
    <row r="956" spans="1:21" x14ac:dyDescent="0.35">
      <c r="A956">
        <v>941</v>
      </c>
      <c r="B956" s="16">
        <v>40330</v>
      </c>
      <c r="C956" s="15" t="s">
        <v>63</v>
      </c>
      <c r="D956" s="15" t="s">
        <v>38</v>
      </c>
      <c r="E956" s="15" t="s">
        <v>51</v>
      </c>
      <c r="F956" s="15" t="s">
        <v>52</v>
      </c>
      <c r="G956" s="15" t="s">
        <v>65</v>
      </c>
      <c r="H956" s="15" t="s">
        <v>45</v>
      </c>
      <c r="I956">
        <v>30</v>
      </c>
      <c r="J956">
        <v>50</v>
      </c>
      <c r="K956">
        <v>30</v>
      </c>
      <c r="L956">
        <v>80</v>
      </c>
      <c r="M956">
        <v>48</v>
      </c>
      <c r="N956">
        <v>593</v>
      </c>
      <c r="O956">
        <v>62</v>
      </c>
      <c r="P956">
        <v>15</v>
      </c>
      <c r="Q956">
        <v>35</v>
      </c>
      <c r="R956">
        <v>110</v>
      </c>
      <c r="S956">
        <v>1.375</v>
      </c>
      <c r="T956">
        <v>1.1666666666666667</v>
      </c>
      <c r="U956">
        <v>1.6</v>
      </c>
    </row>
    <row r="957" spans="1:21" x14ac:dyDescent="0.35">
      <c r="A957">
        <v>754</v>
      </c>
      <c r="B957" s="16">
        <v>40330</v>
      </c>
      <c r="C957" s="15" t="s">
        <v>63</v>
      </c>
      <c r="D957" s="15" t="s">
        <v>38</v>
      </c>
      <c r="E957" s="15" t="s">
        <v>53</v>
      </c>
      <c r="F957" s="15" t="s">
        <v>52</v>
      </c>
      <c r="G957" s="15" t="s">
        <v>65</v>
      </c>
      <c r="H957" s="15" t="s">
        <v>45</v>
      </c>
      <c r="I957">
        <v>40</v>
      </c>
      <c r="J957">
        <v>60</v>
      </c>
      <c r="K957">
        <v>30</v>
      </c>
      <c r="L957">
        <v>100</v>
      </c>
      <c r="M957">
        <v>59</v>
      </c>
      <c r="N957">
        <v>377</v>
      </c>
      <c r="O957">
        <v>74</v>
      </c>
      <c r="P957">
        <v>22</v>
      </c>
      <c r="Q957">
        <v>19</v>
      </c>
      <c r="R957">
        <v>133</v>
      </c>
      <c r="S957">
        <v>1.33</v>
      </c>
      <c r="T957">
        <v>0.6333333333333333</v>
      </c>
      <c r="U957">
        <v>1.4750000000000001</v>
      </c>
    </row>
    <row r="958" spans="1:21" x14ac:dyDescent="0.35">
      <c r="A958">
        <v>305</v>
      </c>
      <c r="B958" s="16">
        <v>40330</v>
      </c>
      <c r="C958" s="15" t="s">
        <v>63</v>
      </c>
      <c r="D958" s="15" t="s">
        <v>38</v>
      </c>
      <c r="E958" s="15" t="s">
        <v>54</v>
      </c>
      <c r="F958" s="15" t="s">
        <v>52</v>
      </c>
      <c r="G958" s="15" t="s">
        <v>65</v>
      </c>
      <c r="H958" s="15" t="s">
        <v>45</v>
      </c>
      <c r="I958">
        <v>60</v>
      </c>
      <c r="J958">
        <v>70</v>
      </c>
      <c r="K958">
        <v>40</v>
      </c>
      <c r="L958">
        <v>130</v>
      </c>
      <c r="M958">
        <v>81</v>
      </c>
      <c r="N958">
        <v>1046</v>
      </c>
      <c r="O958">
        <v>96</v>
      </c>
      <c r="P958">
        <v>25</v>
      </c>
      <c r="Q958">
        <v>49</v>
      </c>
      <c r="R958">
        <v>177</v>
      </c>
      <c r="S958">
        <v>1.3615384615384616</v>
      </c>
      <c r="T958">
        <v>1.2250000000000001</v>
      </c>
      <c r="U958">
        <v>1.35</v>
      </c>
    </row>
    <row r="959" spans="1:21" x14ac:dyDescent="0.35">
      <c r="A959">
        <v>781</v>
      </c>
      <c r="B959" s="16">
        <v>40330</v>
      </c>
      <c r="C959" s="15" t="s">
        <v>63</v>
      </c>
      <c r="D959" s="15" t="s">
        <v>38</v>
      </c>
      <c r="E959" s="15" t="s">
        <v>55</v>
      </c>
      <c r="F959" s="15" t="s">
        <v>47</v>
      </c>
      <c r="G959" s="15" t="s">
        <v>66</v>
      </c>
      <c r="H959" s="15" t="s">
        <v>42</v>
      </c>
      <c r="I959">
        <v>20</v>
      </c>
      <c r="J959">
        <v>40</v>
      </c>
      <c r="K959">
        <v>30</v>
      </c>
      <c r="L959">
        <v>60</v>
      </c>
      <c r="M959">
        <v>24</v>
      </c>
      <c r="N959">
        <v>856</v>
      </c>
      <c r="O959">
        <v>36</v>
      </c>
      <c r="P959">
        <v>6</v>
      </c>
      <c r="Q959">
        <v>19</v>
      </c>
      <c r="R959">
        <v>60</v>
      </c>
      <c r="S959">
        <v>1</v>
      </c>
      <c r="T959">
        <v>0.6333333333333333</v>
      </c>
      <c r="U959">
        <v>1.2</v>
      </c>
    </row>
    <row r="960" spans="1:21" x14ac:dyDescent="0.35">
      <c r="A960">
        <v>413</v>
      </c>
      <c r="B960" s="16">
        <v>40330</v>
      </c>
      <c r="C960" s="15" t="s">
        <v>63</v>
      </c>
      <c r="D960" s="15" t="s">
        <v>38</v>
      </c>
      <c r="E960" s="15" t="s">
        <v>46</v>
      </c>
      <c r="F960" s="15" t="s">
        <v>47</v>
      </c>
      <c r="G960" s="15" t="s">
        <v>66</v>
      </c>
      <c r="H960" s="15" t="s">
        <v>42</v>
      </c>
      <c r="I960">
        <v>10</v>
      </c>
      <c r="J960">
        <v>30</v>
      </c>
      <c r="K960">
        <v>20</v>
      </c>
      <c r="L960">
        <v>40</v>
      </c>
      <c r="M960">
        <v>18</v>
      </c>
      <c r="N960">
        <v>478</v>
      </c>
      <c r="O960">
        <v>26</v>
      </c>
      <c r="P960">
        <v>5</v>
      </c>
      <c r="Q960">
        <v>10</v>
      </c>
      <c r="R960">
        <v>44</v>
      </c>
      <c r="S960">
        <v>1.1000000000000001</v>
      </c>
      <c r="T960">
        <v>0.5</v>
      </c>
      <c r="U960">
        <v>1.8</v>
      </c>
    </row>
    <row r="961" spans="1:21" x14ac:dyDescent="0.35">
      <c r="A961">
        <v>351</v>
      </c>
      <c r="B961" s="16">
        <v>40330</v>
      </c>
      <c r="C961" s="15" t="s">
        <v>63</v>
      </c>
      <c r="D961" s="15" t="s">
        <v>38</v>
      </c>
      <c r="E961" s="15" t="s">
        <v>48</v>
      </c>
      <c r="F961" s="15" t="s">
        <v>49</v>
      </c>
      <c r="G961" s="15" t="s">
        <v>66</v>
      </c>
      <c r="H961" s="15" t="s">
        <v>42</v>
      </c>
      <c r="I961">
        <v>40</v>
      </c>
      <c r="J961">
        <v>60</v>
      </c>
      <c r="K961">
        <v>10</v>
      </c>
      <c r="L961">
        <v>100</v>
      </c>
      <c r="M961">
        <v>44</v>
      </c>
      <c r="N961">
        <v>543</v>
      </c>
      <c r="O961">
        <v>67</v>
      </c>
      <c r="P961">
        <v>40</v>
      </c>
      <c r="Q961">
        <v>-3</v>
      </c>
      <c r="R961">
        <v>111</v>
      </c>
      <c r="S961">
        <v>1.1100000000000001</v>
      </c>
      <c r="T961">
        <v>-0.3</v>
      </c>
      <c r="U961">
        <v>1.1000000000000001</v>
      </c>
    </row>
    <row r="962" spans="1:21" x14ac:dyDescent="0.35">
      <c r="A962">
        <v>339</v>
      </c>
      <c r="B962" s="16">
        <v>40330</v>
      </c>
      <c r="C962" s="15" t="s">
        <v>63</v>
      </c>
      <c r="D962" s="15" t="s">
        <v>38</v>
      </c>
      <c r="E962" s="15" t="s">
        <v>67</v>
      </c>
      <c r="F962" s="15" t="s">
        <v>49</v>
      </c>
      <c r="G962" s="15" t="s">
        <v>66</v>
      </c>
      <c r="H962" s="15" t="s">
        <v>42</v>
      </c>
      <c r="I962">
        <v>140</v>
      </c>
      <c r="J962">
        <v>150</v>
      </c>
      <c r="K962">
        <v>100</v>
      </c>
      <c r="L962">
        <v>290</v>
      </c>
      <c r="M962">
        <v>149</v>
      </c>
      <c r="N962">
        <v>1245</v>
      </c>
      <c r="O962">
        <v>149</v>
      </c>
      <c r="P962">
        <v>41</v>
      </c>
      <c r="Q962">
        <v>83</v>
      </c>
      <c r="R962">
        <v>298</v>
      </c>
      <c r="S962">
        <v>1.0275862068965518</v>
      </c>
      <c r="T962">
        <v>0.83</v>
      </c>
      <c r="U962">
        <v>1.0642857142857143</v>
      </c>
    </row>
    <row r="963" spans="1:21" x14ac:dyDescent="0.35">
      <c r="A963">
        <v>617</v>
      </c>
      <c r="B963" s="16">
        <v>40330</v>
      </c>
      <c r="C963" s="15" t="s">
        <v>63</v>
      </c>
      <c r="D963" s="15" t="s">
        <v>38</v>
      </c>
      <c r="E963" s="15" t="s">
        <v>43</v>
      </c>
      <c r="F963" s="15" t="s">
        <v>40</v>
      </c>
      <c r="G963" s="15" t="s">
        <v>66</v>
      </c>
      <c r="H963" s="15" t="s">
        <v>42</v>
      </c>
      <c r="I963">
        <v>50</v>
      </c>
      <c r="J963">
        <v>560</v>
      </c>
      <c r="K963">
        <v>530</v>
      </c>
      <c r="L963">
        <v>610</v>
      </c>
      <c r="M963">
        <v>54</v>
      </c>
      <c r="N963">
        <v>-1006</v>
      </c>
      <c r="O963">
        <v>595</v>
      </c>
      <c r="P963">
        <v>17</v>
      </c>
      <c r="Q963">
        <v>547</v>
      </c>
      <c r="R963">
        <v>649</v>
      </c>
      <c r="S963">
        <v>1.0639344262295083</v>
      </c>
      <c r="T963">
        <v>1.0320754716981133</v>
      </c>
      <c r="U963">
        <v>1.08</v>
      </c>
    </row>
    <row r="964" spans="1:21" x14ac:dyDescent="0.35">
      <c r="A964">
        <v>781</v>
      </c>
      <c r="B964" s="16">
        <v>40330</v>
      </c>
      <c r="C964" s="15" t="s">
        <v>63</v>
      </c>
      <c r="D964" s="15" t="s">
        <v>38</v>
      </c>
      <c r="E964" s="15" t="s">
        <v>53</v>
      </c>
      <c r="F964" s="15" t="s">
        <v>52</v>
      </c>
      <c r="G964" s="15" t="s">
        <v>66</v>
      </c>
      <c r="H964" s="15" t="s">
        <v>45</v>
      </c>
      <c r="I964">
        <v>30</v>
      </c>
      <c r="J964">
        <v>50</v>
      </c>
      <c r="K964">
        <v>20</v>
      </c>
      <c r="L964">
        <v>80</v>
      </c>
      <c r="M964">
        <v>51</v>
      </c>
      <c r="N964">
        <v>396</v>
      </c>
      <c r="O964">
        <v>64</v>
      </c>
      <c r="P964">
        <v>19</v>
      </c>
      <c r="Q964">
        <v>12</v>
      </c>
      <c r="R964">
        <v>115</v>
      </c>
      <c r="S964">
        <v>1.4375</v>
      </c>
      <c r="T964">
        <v>0.6</v>
      </c>
      <c r="U964">
        <v>1.7</v>
      </c>
    </row>
    <row r="965" spans="1:21" x14ac:dyDescent="0.35">
      <c r="A965">
        <v>603</v>
      </c>
      <c r="B965" s="16">
        <v>40330</v>
      </c>
      <c r="C965" s="15" t="s">
        <v>63</v>
      </c>
      <c r="D965" s="15" t="s">
        <v>58</v>
      </c>
      <c r="E965" s="15" t="s">
        <v>55</v>
      </c>
      <c r="F965" s="15" t="s">
        <v>47</v>
      </c>
      <c r="G965" s="15" t="s">
        <v>68</v>
      </c>
      <c r="H965" s="15" t="s">
        <v>42</v>
      </c>
      <c r="I965">
        <v>20</v>
      </c>
      <c r="J965">
        <v>40</v>
      </c>
      <c r="K965">
        <v>30</v>
      </c>
      <c r="L965">
        <v>60</v>
      </c>
      <c r="M965">
        <v>23</v>
      </c>
      <c r="N965">
        <v>843</v>
      </c>
      <c r="O965">
        <v>35</v>
      </c>
      <c r="P965">
        <v>6</v>
      </c>
      <c r="Q965">
        <v>17</v>
      </c>
      <c r="R965">
        <v>58</v>
      </c>
      <c r="S965">
        <v>0.96666666666666667</v>
      </c>
      <c r="T965">
        <v>0.56666666666666665</v>
      </c>
      <c r="U965">
        <v>1.1499999999999999</v>
      </c>
    </row>
    <row r="966" spans="1:21" x14ac:dyDescent="0.35">
      <c r="A966">
        <v>603</v>
      </c>
      <c r="B966" s="16">
        <v>40330</v>
      </c>
      <c r="C966" s="15" t="s">
        <v>63</v>
      </c>
      <c r="D966" s="15" t="s">
        <v>58</v>
      </c>
      <c r="E966" s="15" t="s">
        <v>46</v>
      </c>
      <c r="F966" s="15" t="s">
        <v>47</v>
      </c>
      <c r="G966" s="15" t="s">
        <v>68</v>
      </c>
      <c r="H966" s="15" t="s">
        <v>42</v>
      </c>
      <c r="I966">
        <v>0</v>
      </c>
      <c r="J966">
        <v>40</v>
      </c>
      <c r="K966">
        <v>30</v>
      </c>
      <c r="L966">
        <v>40</v>
      </c>
      <c r="M966">
        <v>0</v>
      </c>
      <c r="N966">
        <v>602</v>
      </c>
      <c r="O966">
        <v>43</v>
      </c>
      <c r="P966">
        <v>0</v>
      </c>
      <c r="Q966">
        <v>32</v>
      </c>
      <c r="R966">
        <v>43</v>
      </c>
      <c r="S966">
        <v>1.075</v>
      </c>
      <c r="T966">
        <v>1.0666666666666667</v>
      </c>
    </row>
    <row r="967" spans="1:21" x14ac:dyDescent="0.35">
      <c r="A967">
        <v>603</v>
      </c>
      <c r="B967" s="16">
        <v>40330</v>
      </c>
      <c r="C967" s="15" t="s">
        <v>63</v>
      </c>
      <c r="D967" s="15" t="s">
        <v>58</v>
      </c>
      <c r="E967" s="15" t="s">
        <v>48</v>
      </c>
      <c r="F967" s="15" t="s">
        <v>49</v>
      </c>
      <c r="G967" s="15" t="s">
        <v>68</v>
      </c>
      <c r="H967" s="15" t="s">
        <v>42</v>
      </c>
      <c r="I967">
        <v>40</v>
      </c>
      <c r="J967">
        <v>80</v>
      </c>
      <c r="K967">
        <v>20</v>
      </c>
      <c r="L967">
        <v>120</v>
      </c>
      <c r="M967">
        <v>52</v>
      </c>
      <c r="N967">
        <v>313</v>
      </c>
      <c r="O967">
        <v>73</v>
      </c>
      <c r="P967">
        <v>47</v>
      </c>
      <c r="Q967">
        <v>-4</v>
      </c>
      <c r="R967">
        <v>125</v>
      </c>
      <c r="S967">
        <v>1.0416666666666667</v>
      </c>
      <c r="T967">
        <v>-0.2</v>
      </c>
      <c r="U967">
        <v>1.3</v>
      </c>
    </row>
    <row r="968" spans="1:21" x14ac:dyDescent="0.35">
      <c r="A968">
        <v>603</v>
      </c>
      <c r="B968" s="16">
        <v>40330</v>
      </c>
      <c r="C968" s="15" t="s">
        <v>63</v>
      </c>
      <c r="D968" s="15" t="s">
        <v>58</v>
      </c>
      <c r="E968" s="15" t="s">
        <v>67</v>
      </c>
      <c r="F968" s="15" t="s">
        <v>49</v>
      </c>
      <c r="G968" s="15" t="s">
        <v>68</v>
      </c>
      <c r="H968" s="15" t="s">
        <v>42</v>
      </c>
      <c r="I968">
        <v>30</v>
      </c>
      <c r="J968">
        <v>40</v>
      </c>
      <c r="K968">
        <v>0</v>
      </c>
      <c r="L968">
        <v>70</v>
      </c>
      <c r="M968">
        <v>35</v>
      </c>
      <c r="N968">
        <v>204</v>
      </c>
      <c r="O968">
        <v>43</v>
      </c>
      <c r="P968">
        <v>13</v>
      </c>
      <c r="Q968">
        <v>-3</v>
      </c>
      <c r="R968">
        <v>78</v>
      </c>
      <c r="S968">
        <v>1.1142857142857143</v>
      </c>
      <c r="U968">
        <v>1.1666666666666667</v>
      </c>
    </row>
    <row r="969" spans="1:21" x14ac:dyDescent="0.35">
      <c r="A969">
        <v>603</v>
      </c>
      <c r="B969" s="16">
        <v>40330</v>
      </c>
      <c r="C969" s="15" t="s">
        <v>63</v>
      </c>
      <c r="D969" s="15" t="s">
        <v>58</v>
      </c>
      <c r="E969" s="15" t="s">
        <v>39</v>
      </c>
      <c r="F969" s="15" t="s">
        <v>40</v>
      </c>
      <c r="G969" s="15" t="s">
        <v>68</v>
      </c>
      <c r="H969" s="15" t="s">
        <v>42</v>
      </c>
      <c r="I969">
        <v>50</v>
      </c>
      <c r="J969">
        <v>80</v>
      </c>
      <c r="K969">
        <v>50</v>
      </c>
      <c r="L969">
        <v>130</v>
      </c>
      <c r="M969">
        <v>56</v>
      </c>
      <c r="N969">
        <v>302</v>
      </c>
      <c r="O969">
        <v>82</v>
      </c>
      <c r="P969">
        <v>17</v>
      </c>
      <c r="Q969">
        <v>41</v>
      </c>
      <c r="R969">
        <v>138</v>
      </c>
      <c r="S969">
        <v>1.0615384615384615</v>
      </c>
      <c r="T969">
        <v>0.82</v>
      </c>
      <c r="U969">
        <v>1.1200000000000001</v>
      </c>
    </row>
    <row r="970" spans="1:21" x14ac:dyDescent="0.35">
      <c r="A970">
        <v>603</v>
      </c>
      <c r="B970" s="16">
        <v>40330</v>
      </c>
      <c r="C970" s="15" t="s">
        <v>63</v>
      </c>
      <c r="D970" s="15" t="s">
        <v>58</v>
      </c>
      <c r="E970" s="15" t="s">
        <v>43</v>
      </c>
      <c r="F970" s="15" t="s">
        <v>40</v>
      </c>
      <c r="G970" s="15" t="s">
        <v>68</v>
      </c>
      <c r="H970" s="15" t="s">
        <v>42</v>
      </c>
      <c r="I970">
        <v>50</v>
      </c>
      <c r="J970">
        <v>90</v>
      </c>
      <c r="K970">
        <v>60</v>
      </c>
      <c r="L970">
        <v>140</v>
      </c>
      <c r="M970">
        <v>62</v>
      </c>
      <c r="N970">
        <v>436</v>
      </c>
      <c r="O970">
        <v>94</v>
      </c>
      <c r="P970">
        <v>20</v>
      </c>
      <c r="Q970">
        <v>42</v>
      </c>
      <c r="R970">
        <v>156</v>
      </c>
      <c r="S970">
        <v>1.1142857142857143</v>
      </c>
      <c r="T970">
        <v>0.7</v>
      </c>
      <c r="U970">
        <v>1.24</v>
      </c>
    </row>
    <row r="971" spans="1:21" x14ac:dyDescent="0.35">
      <c r="A971">
        <v>603</v>
      </c>
      <c r="B971" s="16">
        <v>40330</v>
      </c>
      <c r="C971" s="15" t="s">
        <v>63</v>
      </c>
      <c r="D971" s="15" t="s">
        <v>58</v>
      </c>
      <c r="E971" s="15" t="s">
        <v>53</v>
      </c>
      <c r="F971" s="15" t="s">
        <v>52</v>
      </c>
      <c r="G971" s="15" t="s">
        <v>68</v>
      </c>
      <c r="H971" s="15" t="s">
        <v>45</v>
      </c>
      <c r="I971">
        <v>20</v>
      </c>
      <c r="J971">
        <v>40</v>
      </c>
      <c r="K971">
        <v>10</v>
      </c>
      <c r="L971">
        <v>60</v>
      </c>
      <c r="M971">
        <v>36</v>
      </c>
      <c r="N971">
        <v>236</v>
      </c>
      <c r="O971">
        <v>46</v>
      </c>
      <c r="P971">
        <v>13</v>
      </c>
      <c r="Q971">
        <v>0</v>
      </c>
      <c r="R971">
        <v>82</v>
      </c>
      <c r="S971">
        <v>1.3666666666666667</v>
      </c>
      <c r="T971">
        <v>0</v>
      </c>
      <c r="U971">
        <v>1.8</v>
      </c>
    </row>
    <row r="972" spans="1:21" x14ac:dyDescent="0.35">
      <c r="A972">
        <v>516</v>
      </c>
      <c r="B972" s="16">
        <v>40330</v>
      </c>
      <c r="C972" s="15" t="s">
        <v>63</v>
      </c>
      <c r="D972" s="15" t="s">
        <v>38</v>
      </c>
      <c r="E972" s="15" t="s">
        <v>55</v>
      </c>
      <c r="F972" s="15" t="s">
        <v>47</v>
      </c>
      <c r="G972" s="15" t="s">
        <v>69</v>
      </c>
      <c r="H972" s="15" t="s">
        <v>42</v>
      </c>
      <c r="I972">
        <v>130</v>
      </c>
      <c r="J972">
        <v>190</v>
      </c>
      <c r="K972">
        <v>150</v>
      </c>
      <c r="L972">
        <v>320</v>
      </c>
      <c r="M972">
        <v>123</v>
      </c>
      <c r="N972">
        <v>947</v>
      </c>
      <c r="O972">
        <v>178</v>
      </c>
      <c r="P972">
        <v>34</v>
      </c>
      <c r="Q972">
        <v>133</v>
      </c>
      <c r="R972">
        <v>301</v>
      </c>
      <c r="S972">
        <v>0.94062500000000004</v>
      </c>
      <c r="T972">
        <v>0.88666666666666671</v>
      </c>
      <c r="U972">
        <v>0.94615384615384612</v>
      </c>
    </row>
    <row r="973" spans="1:21" x14ac:dyDescent="0.35">
      <c r="A973">
        <v>845</v>
      </c>
      <c r="B973" s="16">
        <v>40330</v>
      </c>
      <c r="C973" s="15" t="s">
        <v>63</v>
      </c>
      <c r="D973" s="15" t="s">
        <v>38</v>
      </c>
      <c r="E973" s="15" t="s">
        <v>56</v>
      </c>
      <c r="F973" s="15" t="s">
        <v>47</v>
      </c>
      <c r="G973" s="15" t="s">
        <v>69</v>
      </c>
      <c r="H973" s="15" t="s">
        <v>42</v>
      </c>
      <c r="I973">
        <v>110</v>
      </c>
      <c r="J973">
        <v>180</v>
      </c>
      <c r="K973">
        <v>140</v>
      </c>
      <c r="L973">
        <v>290</v>
      </c>
      <c r="M973">
        <v>113</v>
      </c>
      <c r="N973">
        <v>897</v>
      </c>
      <c r="O973">
        <v>163</v>
      </c>
      <c r="P973">
        <v>31</v>
      </c>
      <c r="Q973">
        <v>121</v>
      </c>
      <c r="R973">
        <v>276</v>
      </c>
      <c r="S973">
        <v>0.9517241379310345</v>
      </c>
      <c r="T973">
        <v>0.86428571428571432</v>
      </c>
      <c r="U973">
        <v>1.0272727272727273</v>
      </c>
    </row>
    <row r="974" spans="1:21" x14ac:dyDescent="0.35">
      <c r="A974">
        <v>718</v>
      </c>
      <c r="B974" s="16">
        <v>40330</v>
      </c>
      <c r="C974" s="15" t="s">
        <v>63</v>
      </c>
      <c r="D974" s="15" t="s">
        <v>38</v>
      </c>
      <c r="E974" s="15" t="s">
        <v>46</v>
      </c>
      <c r="F974" s="15" t="s">
        <v>47</v>
      </c>
      <c r="G974" s="15" t="s">
        <v>69</v>
      </c>
      <c r="H974" s="15" t="s">
        <v>42</v>
      </c>
      <c r="I974">
        <v>90</v>
      </c>
      <c r="J974">
        <v>150</v>
      </c>
      <c r="K974">
        <v>120</v>
      </c>
      <c r="L974">
        <v>240</v>
      </c>
      <c r="M974">
        <v>94</v>
      </c>
      <c r="N974">
        <v>562</v>
      </c>
      <c r="O974">
        <v>136</v>
      </c>
      <c r="P974">
        <v>26</v>
      </c>
      <c r="Q974">
        <v>99</v>
      </c>
      <c r="R974">
        <v>230</v>
      </c>
      <c r="S974">
        <v>0.95833333333333337</v>
      </c>
      <c r="T974">
        <v>0.82499999999999996</v>
      </c>
      <c r="U974">
        <v>1.0444444444444445</v>
      </c>
    </row>
    <row r="975" spans="1:21" x14ac:dyDescent="0.35">
      <c r="A975">
        <v>914</v>
      </c>
      <c r="B975" s="16">
        <v>40330</v>
      </c>
      <c r="C975" s="15" t="s">
        <v>63</v>
      </c>
      <c r="D975" s="15" t="s">
        <v>38</v>
      </c>
      <c r="E975" s="15" t="s">
        <v>48</v>
      </c>
      <c r="F975" s="15" t="s">
        <v>49</v>
      </c>
      <c r="G975" s="15" t="s">
        <v>69</v>
      </c>
      <c r="H975" s="15" t="s">
        <v>42</v>
      </c>
      <c r="I975">
        <v>130</v>
      </c>
      <c r="J975">
        <v>-60</v>
      </c>
      <c r="K975">
        <v>-210</v>
      </c>
      <c r="L975">
        <v>70</v>
      </c>
      <c r="M975">
        <v>144</v>
      </c>
      <c r="N975">
        <v>1979</v>
      </c>
      <c r="O975">
        <v>-72</v>
      </c>
      <c r="P975">
        <v>131</v>
      </c>
      <c r="Q975">
        <v>-236</v>
      </c>
      <c r="R975">
        <v>72</v>
      </c>
      <c r="S975">
        <v>1.0285714285714285</v>
      </c>
      <c r="T975">
        <v>1.1238095238095238</v>
      </c>
      <c r="U975">
        <v>1.1076923076923078</v>
      </c>
    </row>
    <row r="976" spans="1:21" x14ac:dyDescent="0.35">
      <c r="A976">
        <v>631</v>
      </c>
      <c r="B976" s="16">
        <v>40330</v>
      </c>
      <c r="C976" s="15" t="s">
        <v>63</v>
      </c>
      <c r="D976" s="15" t="s">
        <v>38</v>
      </c>
      <c r="E976" s="15" t="s">
        <v>67</v>
      </c>
      <c r="F976" s="15" t="s">
        <v>49</v>
      </c>
      <c r="G976" s="15" t="s">
        <v>69</v>
      </c>
      <c r="H976" s="15" t="s">
        <v>42</v>
      </c>
      <c r="I976">
        <v>240</v>
      </c>
      <c r="J976">
        <v>420</v>
      </c>
      <c r="K976">
        <v>340</v>
      </c>
      <c r="L976">
        <v>660</v>
      </c>
      <c r="M976">
        <v>260</v>
      </c>
      <c r="N976">
        <v>1405</v>
      </c>
      <c r="O976">
        <v>415</v>
      </c>
      <c r="P976">
        <v>72</v>
      </c>
      <c r="Q976">
        <v>318</v>
      </c>
      <c r="R976">
        <v>675</v>
      </c>
      <c r="S976">
        <v>1.0227272727272727</v>
      </c>
      <c r="T976">
        <v>0.93529411764705883</v>
      </c>
      <c r="U976">
        <v>1.0833333333333333</v>
      </c>
    </row>
    <row r="977" spans="1:21" x14ac:dyDescent="0.35">
      <c r="A977">
        <v>646</v>
      </c>
      <c r="B977" s="16">
        <v>40330</v>
      </c>
      <c r="C977" s="15" t="s">
        <v>63</v>
      </c>
      <c r="D977" s="15" t="s">
        <v>38</v>
      </c>
      <c r="E977" s="15" t="s">
        <v>43</v>
      </c>
      <c r="F977" s="15" t="s">
        <v>40</v>
      </c>
      <c r="G977" s="15" t="s">
        <v>69</v>
      </c>
      <c r="H977" s="15" t="s">
        <v>42</v>
      </c>
      <c r="I977">
        <v>340</v>
      </c>
      <c r="J977">
        <v>500</v>
      </c>
      <c r="K977">
        <v>350</v>
      </c>
      <c r="L977">
        <v>840</v>
      </c>
      <c r="M977">
        <v>356</v>
      </c>
      <c r="N977">
        <v>2476</v>
      </c>
      <c r="O977">
        <v>534</v>
      </c>
      <c r="P977">
        <v>124</v>
      </c>
      <c r="Q977">
        <v>357</v>
      </c>
      <c r="R977">
        <v>890</v>
      </c>
      <c r="S977">
        <v>1.0595238095238095</v>
      </c>
      <c r="T977">
        <v>1.02</v>
      </c>
      <c r="U977">
        <v>1.0470588235294118</v>
      </c>
    </row>
    <row r="978" spans="1:21" x14ac:dyDescent="0.35">
      <c r="A978">
        <v>607</v>
      </c>
      <c r="B978" s="16">
        <v>40330</v>
      </c>
      <c r="C978" s="15" t="s">
        <v>63</v>
      </c>
      <c r="D978" s="15" t="s">
        <v>38</v>
      </c>
      <c r="E978" s="15" t="s">
        <v>53</v>
      </c>
      <c r="F978" s="15" t="s">
        <v>52</v>
      </c>
      <c r="G978" s="15" t="s">
        <v>69</v>
      </c>
      <c r="H978" s="15" t="s">
        <v>45</v>
      </c>
      <c r="I978">
        <v>200</v>
      </c>
      <c r="J978">
        <v>320</v>
      </c>
      <c r="K978">
        <v>220</v>
      </c>
      <c r="L978">
        <v>520</v>
      </c>
      <c r="M978">
        <v>271</v>
      </c>
      <c r="N978">
        <v>1727</v>
      </c>
      <c r="O978">
        <v>398</v>
      </c>
      <c r="P978">
        <v>102</v>
      </c>
      <c r="Q978">
        <v>263</v>
      </c>
      <c r="R978">
        <v>669</v>
      </c>
      <c r="S978">
        <v>1.2865384615384616</v>
      </c>
      <c r="T978">
        <v>1.1954545454545455</v>
      </c>
      <c r="U978">
        <v>1.355</v>
      </c>
    </row>
    <row r="979" spans="1:21" x14ac:dyDescent="0.35">
      <c r="A979">
        <v>716</v>
      </c>
      <c r="B979" s="16">
        <v>40330</v>
      </c>
      <c r="C979" s="15" t="s">
        <v>63</v>
      </c>
      <c r="D979" s="15" t="s">
        <v>38</v>
      </c>
      <c r="E979" s="15" t="s">
        <v>54</v>
      </c>
      <c r="F979" s="15" t="s">
        <v>52</v>
      </c>
      <c r="G979" s="15" t="s">
        <v>69</v>
      </c>
      <c r="H979" s="15" t="s">
        <v>45</v>
      </c>
      <c r="I979">
        <v>180</v>
      </c>
      <c r="J979">
        <v>-30</v>
      </c>
      <c r="K979">
        <v>-100</v>
      </c>
      <c r="L979">
        <v>150</v>
      </c>
      <c r="M979">
        <v>244</v>
      </c>
      <c r="N979">
        <v>2636</v>
      </c>
      <c r="O979">
        <v>-46</v>
      </c>
      <c r="P979">
        <v>75</v>
      </c>
      <c r="Q979">
        <v>-143</v>
      </c>
      <c r="R979">
        <v>198</v>
      </c>
      <c r="S979">
        <v>1.32</v>
      </c>
      <c r="T979">
        <v>1.43</v>
      </c>
      <c r="U979">
        <v>1.3555555555555556</v>
      </c>
    </row>
    <row r="980" spans="1:21" x14ac:dyDescent="0.35">
      <c r="A980">
        <v>318</v>
      </c>
      <c r="B980" s="16">
        <v>40330</v>
      </c>
      <c r="C980" s="15" t="s">
        <v>70</v>
      </c>
      <c r="D980" s="15" t="s">
        <v>58</v>
      </c>
      <c r="E980" s="15" t="s">
        <v>50</v>
      </c>
      <c r="F980" s="15" t="s">
        <v>49</v>
      </c>
      <c r="G980" s="15" t="s">
        <v>71</v>
      </c>
      <c r="H980" s="15" t="s">
        <v>45</v>
      </c>
      <c r="I980">
        <v>30</v>
      </c>
      <c r="J980">
        <v>50</v>
      </c>
      <c r="K980">
        <v>30</v>
      </c>
      <c r="L980">
        <v>80</v>
      </c>
      <c r="M980">
        <v>40</v>
      </c>
      <c r="N980">
        <v>443</v>
      </c>
      <c r="O980">
        <v>59</v>
      </c>
      <c r="P980">
        <v>12</v>
      </c>
      <c r="Q980">
        <v>23</v>
      </c>
      <c r="R980">
        <v>99</v>
      </c>
      <c r="S980">
        <v>1.2375</v>
      </c>
      <c r="T980">
        <v>0.76666666666666672</v>
      </c>
      <c r="U980">
        <v>1.3333333333333333</v>
      </c>
    </row>
    <row r="981" spans="1:21" x14ac:dyDescent="0.35">
      <c r="A981">
        <v>318</v>
      </c>
      <c r="B981" s="16">
        <v>40330</v>
      </c>
      <c r="C981" s="15" t="s">
        <v>70</v>
      </c>
      <c r="D981" s="15" t="s">
        <v>58</v>
      </c>
      <c r="E981" s="15" t="s">
        <v>72</v>
      </c>
      <c r="F981" s="15" t="s">
        <v>49</v>
      </c>
      <c r="G981" s="15" t="s">
        <v>71</v>
      </c>
      <c r="H981" s="15" t="s">
        <v>42</v>
      </c>
      <c r="I981">
        <v>40</v>
      </c>
      <c r="J981">
        <v>70</v>
      </c>
      <c r="K981">
        <v>10</v>
      </c>
      <c r="L981">
        <v>110</v>
      </c>
      <c r="M981">
        <v>53</v>
      </c>
      <c r="N981">
        <v>-267</v>
      </c>
      <c r="O981">
        <v>75</v>
      </c>
      <c r="P981">
        <v>48</v>
      </c>
      <c r="Q981">
        <v>-3</v>
      </c>
      <c r="R981">
        <v>128</v>
      </c>
      <c r="S981">
        <v>1.1636363636363636</v>
      </c>
      <c r="T981">
        <v>-0.3</v>
      </c>
      <c r="U981">
        <v>1.325</v>
      </c>
    </row>
    <row r="982" spans="1:21" x14ac:dyDescent="0.35">
      <c r="A982">
        <v>225</v>
      </c>
      <c r="B982" s="16">
        <v>40330</v>
      </c>
      <c r="C982" s="15" t="s">
        <v>70</v>
      </c>
      <c r="D982" s="15" t="s">
        <v>58</v>
      </c>
      <c r="E982" s="15" t="s">
        <v>48</v>
      </c>
      <c r="F982" s="15" t="s">
        <v>49</v>
      </c>
      <c r="G982" s="15" t="s">
        <v>71</v>
      </c>
      <c r="H982" s="15" t="s">
        <v>42</v>
      </c>
      <c r="I982">
        <v>40</v>
      </c>
      <c r="J982">
        <v>60</v>
      </c>
      <c r="K982">
        <v>40</v>
      </c>
      <c r="L982">
        <v>100</v>
      </c>
      <c r="M982">
        <v>47</v>
      </c>
      <c r="N982">
        <v>371</v>
      </c>
      <c r="O982">
        <v>78</v>
      </c>
      <c r="P982">
        <v>14</v>
      </c>
      <c r="Q982">
        <v>41</v>
      </c>
      <c r="R982">
        <v>125</v>
      </c>
      <c r="S982">
        <v>1.25</v>
      </c>
      <c r="T982">
        <v>1.0249999999999999</v>
      </c>
      <c r="U982">
        <v>1.175</v>
      </c>
    </row>
    <row r="983" spans="1:21" x14ac:dyDescent="0.35">
      <c r="A983">
        <v>225</v>
      </c>
      <c r="B983" s="16">
        <v>40330</v>
      </c>
      <c r="C983" s="15" t="s">
        <v>70</v>
      </c>
      <c r="D983" s="15" t="s">
        <v>58</v>
      </c>
      <c r="E983" s="15" t="s">
        <v>51</v>
      </c>
      <c r="F983" s="15" t="s">
        <v>52</v>
      </c>
      <c r="G983" s="15" t="s">
        <v>71</v>
      </c>
      <c r="H983" s="15" t="s">
        <v>45</v>
      </c>
      <c r="I983">
        <v>40</v>
      </c>
      <c r="J983">
        <v>60</v>
      </c>
      <c r="K983">
        <v>40</v>
      </c>
      <c r="L983">
        <v>100</v>
      </c>
      <c r="M983">
        <v>48</v>
      </c>
      <c r="N983">
        <v>593</v>
      </c>
      <c r="O983">
        <v>63</v>
      </c>
      <c r="P983">
        <v>15</v>
      </c>
      <c r="Q983">
        <v>36</v>
      </c>
      <c r="R983">
        <v>111</v>
      </c>
      <c r="S983">
        <v>1.1100000000000001</v>
      </c>
      <c r="T983">
        <v>0.9</v>
      </c>
      <c r="U983">
        <v>1.2</v>
      </c>
    </row>
    <row r="984" spans="1:21" x14ac:dyDescent="0.35">
      <c r="A984">
        <v>318</v>
      </c>
      <c r="B984" s="16">
        <v>40330</v>
      </c>
      <c r="C984" s="15" t="s">
        <v>70</v>
      </c>
      <c r="D984" s="15" t="s">
        <v>58</v>
      </c>
      <c r="E984" s="15" t="s">
        <v>53</v>
      </c>
      <c r="F984" s="15" t="s">
        <v>52</v>
      </c>
      <c r="G984" s="15" t="s">
        <v>71</v>
      </c>
      <c r="H984" s="15" t="s">
        <v>45</v>
      </c>
      <c r="I984">
        <v>70</v>
      </c>
      <c r="J984">
        <v>90</v>
      </c>
      <c r="K984">
        <v>40</v>
      </c>
      <c r="L984">
        <v>160</v>
      </c>
      <c r="M984">
        <v>76</v>
      </c>
      <c r="N984">
        <v>580</v>
      </c>
      <c r="O984">
        <v>93</v>
      </c>
      <c r="P984">
        <v>28</v>
      </c>
      <c r="Q984">
        <v>32</v>
      </c>
      <c r="R984">
        <v>169</v>
      </c>
      <c r="S984">
        <v>1.0562499999999999</v>
      </c>
      <c r="T984">
        <v>0.8</v>
      </c>
      <c r="U984">
        <v>1.0857142857142856</v>
      </c>
    </row>
    <row r="985" spans="1:21" x14ac:dyDescent="0.35">
      <c r="A985">
        <v>337</v>
      </c>
      <c r="B985" s="16">
        <v>40330</v>
      </c>
      <c r="C985" s="15" t="s">
        <v>70</v>
      </c>
      <c r="D985" s="15" t="s">
        <v>58</v>
      </c>
      <c r="E985" s="15" t="s">
        <v>43</v>
      </c>
      <c r="F985" s="15" t="s">
        <v>40</v>
      </c>
      <c r="G985" s="15" t="s">
        <v>71</v>
      </c>
      <c r="H985" s="15" t="s">
        <v>42</v>
      </c>
      <c r="I985">
        <v>50</v>
      </c>
      <c r="J985">
        <v>80</v>
      </c>
      <c r="K985">
        <v>60</v>
      </c>
      <c r="L985">
        <v>130</v>
      </c>
      <c r="M985">
        <v>43</v>
      </c>
      <c r="N985">
        <v>822</v>
      </c>
      <c r="O985">
        <v>64</v>
      </c>
      <c r="P985">
        <v>12</v>
      </c>
      <c r="Q985">
        <v>40</v>
      </c>
      <c r="R985">
        <v>107</v>
      </c>
      <c r="S985">
        <v>0.82307692307692304</v>
      </c>
      <c r="T985">
        <v>0.66666666666666663</v>
      </c>
      <c r="U985">
        <v>0.86</v>
      </c>
    </row>
    <row r="986" spans="1:21" x14ac:dyDescent="0.35">
      <c r="A986">
        <v>318</v>
      </c>
      <c r="B986" s="16">
        <v>40330</v>
      </c>
      <c r="C986" s="15" t="s">
        <v>70</v>
      </c>
      <c r="D986" s="15" t="s">
        <v>58</v>
      </c>
      <c r="E986" s="15" t="s">
        <v>44</v>
      </c>
      <c r="F986" s="15" t="s">
        <v>40</v>
      </c>
      <c r="G986" s="15" t="s">
        <v>71</v>
      </c>
      <c r="H986" s="15" t="s">
        <v>45</v>
      </c>
      <c r="I986">
        <v>70</v>
      </c>
      <c r="J986">
        <v>110</v>
      </c>
      <c r="K986">
        <v>90</v>
      </c>
      <c r="L986">
        <v>180</v>
      </c>
      <c r="M986">
        <v>59</v>
      </c>
      <c r="N986">
        <v>842</v>
      </c>
      <c r="O986">
        <v>85</v>
      </c>
      <c r="P986">
        <v>16</v>
      </c>
      <c r="Q986">
        <v>58</v>
      </c>
      <c r="R986">
        <v>144</v>
      </c>
      <c r="S986">
        <v>0.8</v>
      </c>
      <c r="T986">
        <v>0.64444444444444449</v>
      </c>
      <c r="U986">
        <v>0.84285714285714286</v>
      </c>
    </row>
    <row r="987" spans="1:21" x14ac:dyDescent="0.35">
      <c r="A987">
        <v>505</v>
      </c>
      <c r="B987" s="16">
        <v>40330</v>
      </c>
      <c r="C987" s="15" t="s">
        <v>70</v>
      </c>
      <c r="D987" s="15" t="s">
        <v>58</v>
      </c>
      <c r="E987" s="15" t="s">
        <v>50</v>
      </c>
      <c r="F987" s="15" t="s">
        <v>49</v>
      </c>
      <c r="G987" s="15" t="s">
        <v>73</v>
      </c>
      <c r="H987" s="15" t="s">
        <v>45</v>
      </c>
      <c r="I987">
        <v>30</v>
      </c>
      <c r="J987">
        <v>50</v>
      </c>
      <c r="K987">
        <v>20</v>
      </c>
      <c r="L987">
        <v>80</v>
      </c>
      <c r="M987">
        <v>41</v>
      </c>
      <c r="N987">
        <v>239</v>
      </c>
      <c r="O987">
        <v>55</v>
      </c>
      <c r="P987">
        <v>13</v>
      </c>
      <c r="Q987">
        <v>14</v>
      </c>
      <c r="R987">
        <v>96</v>
      </c>
      <c r="S987">
        <v>1.2</v>
      </c>
      <c r="T987">
        <v>0.7</v>
      </c>
      <c r="U987">
        <v>1.3666666666666667</v>
      </c>
    </row>
    <row r="988" spans="1:21" x14ac:dyDescent="0.35">
      <c r="A988">
        <v>505</v>
      </c>
      <c r="B988" s="16">
        <v>40330</v>
      </c>
      <c r="C988" s="15" t="s">
        <v>70</v>
      </c>
      <c r="D988" s="15" t="s">
        <v>58</v>
      </c>
      <c r="E988" s="15" t="s">
        <v>72</v>
      </c>
      <c r="F988" s="15" t="s">
        <v>49</v>
      </c>
      <c r="G988" s="15" t="s">
        <v>73</v>
      </c>
      <c r="H988" s="15" t="s">
        <v>42</v>
      </c>
      <c r="I988">
        <v>30</v>
      </c>
      <c r="J988">
        <v>30</v>
      </c>
      <c r="K988">
        <v>0</v>
      </c>
      <c r="L988">
        <v>60</v>
      </c>
      <c r="M988">
        <v>35</v>
      </c>
      <c r="N988">
        <v>-180</v>
      </c>
      <c r="O988">
        <v>43</v>
      </c>
      <c r="P988">
        <v>13</v>
      </c>
      <c r="Q988">
        <v>-3</v>
      </c>
      <c r="R988">
        <v>78</v>
      </c>
      <c r="S988">
        <v>1.3</v>
      </c>
      <c r="U988">
        <v>1.1666666666666667</v>
      </c>
    </row>
    <row r="989" spans="1:21" x14ac:dyDescent="0.35">
      <c r="A989">
        <v>505</v>
      </c>
      <c r="B989" s="16">
        <v>40330</v>
      </c>
      <c r="C989" s="15" t="s">
        <v>70</v>
      </c>
      <c r="D989" s="15" t="s">
        <v>58</v>
      </c>
      <c r="E989" s="15" t="s">
        <v>48</v>
      </c>
      <c r="F989" s="15" t="s">
        <v>49</v>
      </c>
      <c r="G989" s="15" t="s">
        <v>73</v>
      </c>
      <c r="H989" s="15" t="s">
        <v>42</v>
      </c>
      <c r="I989">
        <v>40</v>
      </c>
      <c r="J989">
        <v>60</v>
      </c>
      <c r="K989">
        <v>0</v>
      </c>
      <c r="L989">
        <v>100</v>
      </c>
      <c r="M989">
        <v>52</v>
      </c>
      <c r="N989">
        <v>313</v>
      </c>
      <c r="O989">
        <v>73</v>
      </c>
      <c r="P989">
        <v>47</v>
      </c>
      <c r="Q989">
        <v>-3</v>
      </c>
      <c r="R989">
        <v>125</v>
      </c>
      <c r="S989">
        <v>1.25</v>
      </c>
      <c r="U989">
        <v>1.3</v>
      </c>
    </row>
    <row r="990" spans="1:21" x14ac:dyDescent="0.35">
      <c r="A990">
        <v>505</v>
      </c>
      <c r="B990" s="16">
        <v>40330</v>
      </c>
      <c r="C990" s="15" t="s">
        <v>70</v>
      </c>
      <c r="D990" s="15" t="s">
        <v>58</v>
      </c>
      <c r="E990" s="15" t="s">
        <v>51</v>
      </c>
      <c r="F990" s="15" t="s">
        <v>52</v>
      </c>
      <c r="G990" s="15" t="s">
        <v>73</v>
      </c>
      <c r="H990" s="15" t="s">
        <v>45</v>
      </c>
      <c r="I990">
        <v>20</v>
      </c>
      <c r="J990">
        <v>30</v>
      </c>
      <c r="K990">
        <v>20</v>
      </c>
      <c r="L990">
        <v>50</v>
      </c>
      <c r="M990">
        <v>23</v>
      </c>
      <c r="N990">
        <v>843</v>
      </c>
      <c r="O990">
        <v>35</v>
      </c>
      <c r="P990">
        <v>6</v>
      </c>
      <c r="Q990">
        <v>18</v>
      </c>
      <c r="R990">
        <v>58</v>
      </c>
      <c r="S990">
        <v>1.1599999999999999</v>
      </c>
      <c r="T990">
        <v>0.9</v>
      </c>
      <c r="U990">
        <v>1.1499999999999999</v>
      </c>
    </row>
    <row r="991" spans="1:21" x14ac:dyDescent="0.35">
      <c r="A991">
        <v>505</v>
      </c>
      <c r="B991" s="16">
        <v>40330</v>
      </c>
      <c r="C991" s="15" t="s">
        <v>70</v>
      </c>
      <c r="D991" s="15" t="s">
        <v>58</v>
      </c>
      <c r="E991" s="15" t="s">
        <v>53</v>
      </c>
      <c r="F991" s="15" t="s">
        <v>52</v>
      </c>
      <c r="G991" s="15" t="s">
        <v>73</v>
      </c>
      <c r="H991" s="15" t="s">
        <v>45</v>
      </c>
      <c r="I991">
        <v>30</v>
      </c>
      <c r="J991">
        <v>30</v>
      </c>
      <c r="K991">
        <v>10</v>
      </c>
      <c r="L991">
        <v>60</v>
      </c>
      <c r="M991">
        <v>32</v>
      </c>
      <c r="N991">
        <v>996</v>
      </c>
      <c r="O991">
        <v>38</v>
      </c>
      <c r="P991">
        <v>9</v>
      </c>
      <c r="Q991">
        <v>8</v>
      </c>
      <c r="R991">
        <v>70</v>
      </c>
      <c r="S991">
        <v>1.1666666666666667</v>
      </c>
      <c r="T991">
        <v>0.8</v>
      </c>
      <c r="U991">
        <v>1.0666666666666667</v>
      </c>
    </row>
    <row r="992" spans="1:21" x14ac:dyDescent="0.35">
      <c r="A992">
        <v>505</v>
      </c>
      <c r="B992" s="16">
        <v>40330</v>
      </c>
      <c r="C992" s="15" t="s">
        <v>70</v>
      </c>
      <c r="D992" s="15" t="s">
        <v>58</v>
      </c>
      <c r="E992" s="15" t="s">
        <v>43</v>
      </c>
      <c r="F992" s="15" t="s">
        <v>40</v>
      </c>
      <c r="G992" s="15" t="s">
        <v>73</v>
      </c>
      <c r="H992" s="15" t="s">
        <v>42</v>
      </c>
      <c r="I992">
        <v>70</v>
      </c>
      <c r="J992">
        <v>120</v>
      </c>
      <c r="K992">
        <v>80</v>
      </c>
      <c r="L992">
        <v>190</v>
      </c>
      <c r="M992">
        <v>62</v>
      </c>
      <c r="N992">
        <v>436</v>
      </c>
      <c r="O992">
        <v>94</v>
      </c>
      <c r="P992">
        <v>20</v>
      </c>
      <c r="Q992">
        <v>43</v>
      </c>
      <c r="R992">
        <v>156</v>
      </c>
      <c r="S992">
        <v>0.82105263157894737</v>
      </c>
      <c r="T992">
        <v>0.53749999999999998</v>
      </c>
      <c r="U992">
        <v>0.88571428571428568</v>
      </c>
    </row>
    <row r="993" spans="1:21" x14ac:dyDescent="0.35">
      <c r="A993">
        <v>505</v>
      </c>
      <c r="B993" s="16">
        <v>40330</v>
      </c>
      <c r="C993" s="15" t="s">
        <v>70</v>
      </c>
      <c r="D993" s="15" t="s">
        <v>58</v>
      </c>
      <c r="E993" s="15" t="s">
        <v>44</v>
      </c>
      <c r="F993" s="15" t="s">
        <v>40</v>
      </c>
      <c r="G993" s="15" t="s">
        <v>73</v>
      </c>
      <c r="H993" s="15" t="s">
        <v>45</v>
      </c>
      <c r="I993">
        <v>140</v>
      </c>
      <c r="J993">
        <v>30</v>
      </c>
      <c r="K993">
        <v>-20</v>
      </c>
      <c r="L993">
        <v>170</v>
      </c>
      <c r="M993">
        <v>116</v>
      </c>
      <c r="N993">
        <v>1142</v>
      </c>
      <c r="O993">
        <v>25</v>
      </c>
      <c r="P993">
        <v>35</v>
      </c>
      <c r="Q993">
        <v>-34</v>
      </c>
      <c r="R993">
        <v>141</v>
      </c>
      <c r="S993">
        <v>0.8294117647058824</v>
      </c>
      <c r="T993">
        <v>1.7</v>
      </c>
      <c r="U993">
        <v>0.82857142857142863</v>
      </c>
    </row>
    <row r="994" spans="1:21" x14ac:dyDescent="0.35">
      <c r="A994">
        <v>918</v>
      </c>
      <c r="B994" s="16">
        <v>40330</v>
      </c>
      <c r="C994" s="15" t="s">
        <v>70</v>
      </c>
      <c r="D994" s="15" t="s">
        <v>58</v>
      </c>
      <c r="E994" s="15" t="s">
        <v>50</v>
      </c>
      <c r="F994" s="15" t="s">
        <v>49</v>
      </c>
      <c r="G994" s="15" t="s">
        <v>74</v>
      </c>
      <c r="H994" s="15" t="s">
        <v>45</v>
      </c>
      <c r="I994">
        <v>90</v>
      </c>
      <c r="J994">
        <v>140</v>
      </c>
      <c r="K994">
        <v>90</v>
      </c>
      <c r="L994">
        <v>230</v>
      </c>
      <c r="M994">
        <v>111</v>
      </c>
      <c r="N994">
        <v>767</v>
      </c>
      <c r="O994">
        <v>167</v>
      </c>
      <c r="P994">
        <v>36</v>
      </c>
      <c r="Q994">
        <v>99</v>
      </c>
      <c r="R994">
        <v>278</v>
      </c>
      <c r="S994">
        <v>1.2086956521739129</v>
      </c>
      <c r="T994">
        <v>1.1000000000000001</v>
      </c>
      <c r="U994">
        <v>1.2333333333333334</v>
      </c>
    </row>
    <row r="995" spans="1:21" x14ac:dyDescent="0.35">
      <c r="A995">
        <v>918</v>
      </c>
      <c r="B995" s="16">
        <v>40330</v>
      </c>
      <c r="C995" s="15" t="s">
        <v>70</v>
      </c>
      <c r="D995" s="15" t="s">
        <v>58</v>
      </c>
      <c r="E995" s="15" t="s">
        <v>72</v>
      </c>
      <c r="F995" s="15" t="s">
        <v>49</v>
      </c>
      <c r="G995" s="15" t="s">
        <v>74</v>
      </c>
      <c r="H995" s="15" t="s">
        <v>42</v>
      </c>
      <c r="I995">
        <v>100</v>
      </c>
      <c r="J995">
        <v>140</v>
      </c>
      <c r="K995">
        <v>100</v>
      </c>
      <c r="L995">
        <v>240</v>
      </c>
      <c r="M995">
        <v>118</v>
      </c>
      <c r="N995">
        <v>-660</v>
      </c>
      <c r="O995">
        <v>164</v>
      </c>
      <c r="P995">
        <v>36</v>
      </c>
      <c r="Q995">
        <v>105</v>
      </c>
      <c r="R995">
        <v>282</v>
      </c>
      <c r="S995">
        <v>1.175</v>
      </c>
      <c r="T995">
        <v>1.05</v>
      </c>
      <c r="U995">
        <v>1.18</v>
      </c>
    </row>
    <row r="996" spans="1:21" x14ac:dyDescent="0.35">
      <c r="A996">
        <v>918</v>
      </c>
      <c r="B996" s="16">
        <v>40330</v>
      </c>
      <c r="C996" s="15" t="s">
        <v>70</v>
      </c>
      <c r="D996" s="15" t="s">
        <v>58</v>
      </c>
      <c r="E996" s="15" t="s">
        <v>48</v>
      </c>
      <c r="F996" s="15" t="s">
        <v>49</v>
      </c>
      <c r="G996" s="15" t="s">
        <v>74</v>
      </c>
      <c r="H996" s="15" t="s">
        <v>42</v>
      </c>
      <c r="I996">
        <v>10</v>
      </c>
      <c r="J996">
        <v>20</v>
      </c>
      <c r="K996">
        <v>20</v>
      </c>
      <c r="L996">
        <v>30</v>
      </c>
      <c r="M996">
        <v>18</v>
      </c>
      <c r="N996">
        <v>478</v>
      </c>
      <c r="O996">
        <v>26</v>
      </c>
      <c r="P996">
        <v>5</v>
      </c>
      <c r="Q996">
        <v>10</v>
      </c>
      <c r="R996">
        <v>44</v>
      </c>
      <c r="S996">
        <v>1.4666666666666666</v>
      </c>
      <c r="T996">
        <v>0.5</v>
      </c>
      <c r="U996">
        <v>1.8</v>
      </c>
    </row>
    <row r="997" spans="1:21" x14ac:dyDescent="0.35">
      <c r="A997">
        <v>918</v>
      </c>
      <c r="B997" s="16">
        <v>40330</v>
      </c>
      <c r="C997" s="15" t="s">
        <v>70</v>
      </c>
      <c r="D997" s="15" t="s">
        <v>58</v>
      </c>
      <c r="E997" s="15" t="s">
        <v>51</v>
      </c>
      <c r="F997" s="15" t="s">
        <v>52</v>
      </c>
      <c r="G997" s="15" t="s">
        <v>74</v>
      </c>
      <c r="H997" s="15" t="s">
        <v>45</v>
      </c>
      <c r="I997">
        <v>50</v>
      </c>
      <c r="J997">
        <v>80</v>
      </c>
      <c r="K997">
        <v>30</v>
      </c>
      <c r="L997">
        <v>130</v>
      </c>
      <c r="M997">
        <v>59</v>
      </c>
      <c r="N997">
        <v>377</v>
      </c>
      <c r="O997">
        <v>74</v>
      </c>
      <c r="P997">
        <v>22</v>
      </c>
      <c r="Q997">
        <v>19</v>
      </c>
      <c r="R997">
        <v>133</v>
      </c>
      <c r="S997">
        <v>1.023076923076923</v>
      </c>
      <c r="T997">
        <v>0.6333333333333333</v>
      </c>
      <c r="U997">
        <v>1.18</v>
      </c>
    </row>
    <row r="998" spans="1:21" x14ac:dyDescent="0.35">
      <c r="A998">
        <v>580</v>
      </c>
      <c r="B998" s="16">
        <v>40330</v>
      </c>
      <c r="C998" s="15" t="s">
        <v>70</v>
      </c>
      <c r="D998" s="15" t="s">
        <v>58</v>
      </c>
      <c r="E998" s="15" t="s">
        <v>53</v>
      </c>
      <c r="F998" s="15" t="s">
        <v>52</v>
      </c>
      <c r="G998" s="15" t="s">
        <v>74</v>
      </c>
      <c r="H998" s="15" t="s">
        <v>45</v>
      </c>
      <c r="I998">
        <v>100</v>
      </c>
      <c r="J998">
        <v>150</v>
      </c>
      <c r="K998">
        <v>40</v>
      </c>
      <c r="L998">
        <v>250</v>
      </c>
      <c r="M998">
        <v>110</v>
      </c>
      <c r="N998">
        <v>665</v>
      </c>
      <c r="O998">
        <v>154</v>
      </c>
      <c r="P998">
        <v>100</v>
      </c>
      <c r="Q998">
        <v>25</v>
      </c>
      <c r="R998">
        <v>264</v>
      </c>
      <c r="S998">
        <v>1.056</v>
      </c>
      <c r="T998">
        <v>0.625</v>
      </c>
      <c r="U998">
        <v>1.1000000000000001</v>
      </c>
    </row>
    <row r="999" spans="1:21" x14ac:dyDescent="0.35">
      <c r="A999">
        <v>918</v>
      </c>
      <c r="B999" s="16">
        <v>40330</v>
      </c>
      <c r="C999" s="15" t="s">
        <v>70</v>
      </c>
      <c r="D999" s="15" t="s">
        <v>58</v>
      </c>
      <c r="E999" s="15" t="s">
        <v>43</v>
      </c>
      <c r="F999" s="15" t="s">
        <v>40</v>
      </c>
      <c r="G999" s="15" t="s">
        <v>74</v>
      </c>
      <c r="H999" s="15" t="s">
        <v>42</v>
      </c>
      <c r="I999">
        <v>50</v>
      </c>
      <c r="J999">
        <v>70</v>
      </c>
      <c r="K999">
        <v>50</v>
      </c>
      <c r="L999">
        <v>120</v>
      </c>
      <c r="M999">
        <v>43</v>
      </c>
      <c r="N999">
        <v>597</v>
      </c>
      <c r="O999">
        <v>56</v>
      </c>
      <c r="P999">
        <v>14</v>
      </c>
      <c r="Q999">
        <v>29</v>
      </c>
      <c r="R999">
        <v>99</v>
      </c>
      <c r="S999">
        <v>0.82499999999999996</v>
      </c>
      <c r="T999">
        <v>0.57999999999999996</v>
      </c>
      <c r="U999">
        <v>0.86</v>
      </c>
    </row>
    <row r="1000" spans="1:21" x14ac:dyDescent="0.35">
      <c r="A1000">
        <v>405</v>
      </c>
      <c r="B1000" s="16">
        <v>40330</v>
      </c>
      <c r="C1000" s="15" t="s">
        <v>70</v>
      </c>
      <c r="D1000" s="15" t="s">
        <v>58</v>
      </c>
      <c r="E1000" s="15" t="s">
        <v>44</v>
      </c>
      <c r="F1000" s="15" t="s">
        <v>40</v>
      </c>
      <c r="G1000" s="15" t="s">
        <v>74</v>
      </c>
      <c r="H1000" s="15" t="s">
        <v>45</v>
      </c>
      <c r="I1000">
        <v>30</v>
      </c>
      <c r="J1000">
        <v>40</v>
      </c>
      <c r="K1000">
        <v>30</v>
      </c>
      <c r="L1000">
        <v>70</v>
      </c>
      <c r="M1000">
        <v>24</v>
      </c>
      <c r="N1000">
        <v>856</v>
      </c>
      <c r="O1000">
        <v>36</v>
      </c>
      <c r="P1000">
        <v>6</v>
      </c>
      <c r="Q1000">
        <v>19</v>
      </c>
      <c r="R1000">
        <v>60</v>
      </c>
      <c r="S1000">
        <v>0.8571428571428571</v>
      </c>
      <c r="T1000">
        <v>0.6333333333333333</v>
      </c>
      <c r="U1000">
        <v>0.8</v>
      </c>
    </row>
    <row r="1001" spans="1:21" x14ac:dyDescent="0.35">
      <c r="A1001">
        <v>469</v>
      </c>
      <c r="B1001" s="16">
        <v>40330</v>
      </c>
      <c r="C1001" s="15" t="s">
        <v>70</v>
      </c>
      <c r="D1001" s="15" t="s">
        <v>38</v>
      </c>
      <c r="E1001" s="15" t="s">
        <v>50</v>
      </c>
      <c r="F1001" s="15" t="s">
        <v>49</v>
      </c>
      <c r="G1001" s="15" t="s">
        <v>75</v>
      </c>
      <c r="H1001" s="15" t="s">
        <v>45</v>
      </c>
      <c r="I1001">
        <v>80</v>
      </c>
      <c r="J1001">
        <v>110</v>
      </c>
      <c r="K1001">
        <v>90</v>
      </c>
      <c r="L1001">
        <v>190</v>
      </c>
      <c r="M1001">
        <v>94</v>
      </c>
      <c r="N1001">
        <v>562</v>
      </c>
      <c r="O1001">
        <v>136</v>
      </c>
      <c r="P1001">
        <v>26</v>
      </c>
      <c r="Q1001">
        <v>99</v>
      </c>
      <c r="R1001">
        <v>230</v>
      </c>
      <c r="S1001">
        <v>1.2105263157894737</v>
      </c>
      <c r="T1001">
        <v>1.1000000000000001</v>
      </c>
      <c r="U1001">
        <v>1.175</v>
      </c>
    </row>
    <row r="1002" spans="1:21" x14ac:dyDescent="0.35">
      <c r="A1002">
        <v>936</v>
      </c>
      <c r="B1002" s="16">
        <v>40330</v>
      </c>
      <c r="C1002" s="15" t="s">
        <v>70</v>
      </c>
      <c r="D1002" s="15" t="s">
        <v>38</v>
      </c>
      <c r="E1002" s="15" t="s">
        <v>72</v>
      </c>
      <c r="F1002" s="15" t="s">
        <v>49</v>
      </c>
      <c r="G1002" s="15" t="s">
        <v>75</v>
      </c>
      <c r="H1002" s="15" t="s">
        <v>42</v>
      </c>
      <c r="I1002">
        <v>40</v>
      </c>
      <c r="J1002">
        <v>70</v>
      </c>
      <c r="K1002">
        <v>40</v>
      </c>
      <c r="L1002">
        <v>110</v>
      </c>
      <c r="M1002">
        <v>54</v>
      </c>
      <c r="N1002">
        <v>-321</v>
      </c>
      <c r="O1002">
        <v>81</v>
      </c>
      <c r="P1002">
        <v>17</v>
      </c>
      <c r="Q1002">
        <v>33</v>
      </c>
      <c r="R1002">
        <v>135</v>
      </c>
      <c r="S1002">
        <v>1.2272727272727273</v>
      </c>
      <c r="T1002">
        <v>0.82499999999999996</v>
      </c>
      <c r="U1002">
        <v>1.35</v>
      </c>
    </row>
    <row r="1003" spans="1:21" x14ac:dyDescent="0.35">
      <c r="A1003">
        <v>281</v>
      </c>
      <c r="B1003" s="16">
        <v>40330</v>
      </c>
      <c r="C1003" s="15" t="s">
        <v>70</v>
      </c>
      <c r="D1003" s="15" t="s">
        <v>38</v>
      </c>
      <c r="E1003" s="15" t="s">
        <v>48</v>
      </c>
      <c r="F1003" s="15" t="s">
        <v>49</v>
      </c>
      <c r="G1003" s="15" t="s">
        <v>75</v>
      </c>
      <c r="H1003" s="15" t="s">
        <v>42</v>
      </c>
      <c r="I1003">
        <v>90</v>
      </c>
      <c r="J1003">
        <v>140</v>
      </c>
      <c r="K1003">
        <v>120</v>
      </c>
      <c r="L1003">
        <v>230</v>
      </c>
      <c r="M1003">
        <v>113</v>
      </c>
      <c r="N1003">
        <v>897</v>
      </c>
      <c r="O1003">
        <v>163</v>
      </c>
      <c r="P1003">
        <v>31</v>
      </c>
      <c r="Q1003">
        <v>120</v>
      </c>
      <c r="R1003">
        <v>276</v>
      </c>
      <c r="S1003">
        <v>1.2</v>
      </c>
      <c r="T1003">
        <v>1</v>
      </c>
      <c r="U1003">
        <v>1.2555555555555555</v>
      </c>
    </row>
    <row r="1004" spans="1:21" x14ac:dyDescent="0.35">
      <c r="A1004">
        <v>832</v>
      </c>
      <c r="B1004" s="16">
        <v>40330</v>
      </c>
      <c r="C1004" s="15" t="s">
        <v>70</v>
      </c>
      <c r="D1004" s="15" t="s">
        <v>38</v>
      </c>
      <c r="E1004" s="15" t="s">
        <v>51</v>
      </c>
      <c r="F1004" s="15" t="s">
        <v>52</v>
      </c>
      <c r="G1004" s="15" t="s">
        <v>75</v>
      </c>
      <c r="H1004" s="15" t="s">
        <v>45</v>
      </c>
      <c r="I1004">
        <v>40</v>
      </c>
      <c r="J1004">
        <v>70</v>
      </c>
      <c r="K1004">
        <v>40</v>
      </c>
      <c r="L1004">
        <v>110</v>
      </c>
      <c r="M1004">
        <v>50</v>
      </c>
      <c r="N1004">
        <v>397</v>
      </c>
      <c r="O1004">
        <v>68</v>
      </c>
      <c r="P1004">
        <v>16</v>
      </c>
      <c r="Q1004">
        <v>24</v>
      </c>
      <c r="R1004">
        <v>118</v>
      </c>
      <c r="S1004">
        <v>1.0727272727272728</v>
      </c>
      <c r="T1004">
        <v>0.6</v>
      </c>
      <c r="U1004">
        <v>1.25</v>
      </c>
    </row>
    <row r="1005" spans="1:21" x14ac:dyDescent="0.35">
      <c r="A1005">
        <v>409</v>
      </c>
      <c r="B1005" s="16">
        <v>40330</v>
      </c>
      <c r="C1005" s="15" t="s">
        <v>70</v>
      </c>
      <c r="D1005" s="15" t="s">
        <v>38</v>
      </c>
      <c r="E1005" s="15" t="s">
        <v>53</v>
      </c>
      <c r="F1005" s="15" t="s">
        <v>52</v>
      </c>
      <c r="G1005" s="15" t="s">
        <v>75</v>
      </c>
      <c r="H1005" s="15" t="s">
        <v>45</v>
      </c>
      <c r="I1005">
        <v>30</v>
      </c>
      <c r="J1005">
        <v>60</v>
      </c>
      <c r="K1005">
        <v>30</v>
      </c>
      <c r="L1005">
        <v>90</v>
      </c>
      <c r="M1005">
        <v>38</v>
      </c>
      <c r="N1005">
        <v>414</v>
      </c>
      <c r="O1005">
        <v>55</v>
      </c>
      <c r="P1005">
        <v>12</v>
      </c>
      <c r="Q1005">
        <v>20</v>
      </c>
      <c r="R1005">
        <v>93</v>
      </c>
      <c r="S1005">
        <v>1.0333333333333334</v>
      </c>
      <c r="T1005">
        <v>0.66666666666666663</v>
      </c>
      <c r="U1005">
        <v>1.2666666666666666</v>
      </c>
    </row>
    <row r="1006" spans="1:21" x14ac:dyDescent="0.35">
      <c r="A1006">
        <v>210</v>
      </c>
      <c r="B1006" s="16">
        <v>40330</v>
      </c>
      <c r="C1006" s="15" t="s">
        <v>70</v>
      </c>
      <c r="D1006" s="15" t="s">
        <v>38</v>
      </c>
      <c r="E1006" s="15" t="s">
        <v>43</v>
      </c>
      <c r="F1006" s="15" t="s">
        <v>40</v>
      </c>
      <c r="G1006" s="15" t="s">
        <v>75</v>
      </c>
      <c r="H1006" s="15" t="s">
        <v>42</v>
      </c>
      <c r="I1006">
        <v>300</v>
      </c>
      <c r="J1006">
        <v>360</v>
      </c>
      <c r="K1006">
        <v>270</v>
      </c>
      <c r="L1006">
        <v>660</v>
      </c>
      <c r="M1006">
        <v>244</v>
      </c>
      <c r="N1006">
        <v>1213</v>
      </c>
      <c r="O1006">
        <v>288</v>
      </c>
      <c r="P1006">
        <v>75</v>
      </c>
      <c r="Q1006">
        <v>192</v>
      </c>
      <c r="R1006">
        <v>532</v>
      </c>
      <c r="S1006">
        <v>0.80606060606060603</v>
      </c>
      <c r="T1006">
        <v>0.71111111111111114</v>
      </c>
      <c r="U1006">
        <v>0.81333333333333335</v>
      </c>
    </row>
    <row r="1007" spans="1:21" x14ac:dyDescent="0.35">
      <c r="A1007">
        <v>806</v>
      </c>
      <c r="B1007" s="16">
        <v>40330</v>
      </c>
      <c r="C1007" s="15" t="s">
        <v>70</v>
      </c>
      <c r="D1007" s="15" t="s">
        <v>38</v>
      </c>
      <c r="E1007" s="15" t="s">
        <v>44</v>
      </c>
      <c r="F1007" s="15" t="s">
        <v>40</v>
      </c>
      <c r="G1007" s="15" t="s">
        <v>75</v>
      </c>
      <c r="H1007" s="15" t="s">
        <v>45</v>
      </c>
      <c r="I1007">
        <v>100</v>
      </c>
      <c r="J1007">
        <v>130</v>
      </c>
      <c r="K1007">
        <v>100</v>
      </c>
      <c r="L1007">
        <v>230</v>
      </c>
      <c r="M1007">
        <v>83</v>
      </c>
      <c r="N1007">
        <v>574</v>
      </c>
      <c r="O1007">
        <v>107</v>
      </c>
      <c r="P1007">
        <v>27</v>
      </c>
      <c r="Q1007">
        <v>68</v>
      </c>
      <c r="R1007">
        <v>190</v>
      </c>
      <c r="S1007">
        <v>0.82608695652173914</v>
      </c>
      <c r="T1007">
        <v>0.68</v>
      </c>
      <c r="U1007">
        <v>0.83</v>
      </c>
    </row>
    <row r="1008" spans="1:21" x14ac:dyDescent="0.35">
      <c r="A1008">
        <v>435</v>
      </c>
      <c r="B1008" s="16">
        <v>40330</v>
      </c>
      <c r="C1008" s="15" t="s">
        <v>76</v>
      </c>
      <c r="D1008" s="15" t="s">
        <v>58</v>
      </c>
      <c r="E1008" s="15" t="s">
        <v>72</v>
      </c>
      <c r="F1008" s="15" t="s">
        <v>49</v>
      </c>
      <c r="G1008" s="15" t="s">
        <v>77</v>
      </c>
      <c r="H1008" s="15" t="s">
        <v>42</v>
      </c>
      <c r="I1008">
        <v>30</v>
      </c>
      <c r="J1008">
        <v>50</v>
      </c>
      <c r="K1008">
        <v>40</v>
      </c>
      <c r="L1008">
        <v>80</v>
      </c>
      <c r="M1008">
        <v>36</v>
      </c>
      <c r="N1008">
        <v>828</v>
      </c>
      <c r="O1008">
        <v>53</v>
      </c>
      <c r="P1008">
        <v>10</v>
      </c>
      <c r="Q1008">
        <v>31</v>
      </c>
      <c r="R1008">
        <v>89</v>
      </c>
      <c r="S1008">
        <v>1.1125</v>
      </c>
      <c r="T1008">
        <v>0.77500000000000002</v>
      </c>
      <c r="U1008">
        <v>1.2</v>
      </c>
    </row>
    <row r="1009" spans="1:21" x14ac:dyDescent="0.35">
      <c r="A1009">
        <v>435</v>
      </c>
      <c r="B1009" s="16">
        <v>40330</v>
      </c>
      <c r="C1009" s="15" t="s">
        <v>76</v>
      </c>
      <c r="D1009" s="15" t="s">
        <v>58</v>
      </c>
      <c r="E1009" s="15" t="s">
        <v>48</v>
      </c>
      <c r="F1009" s="15" t="s">
        <v>49</v>
      </c>
      <c r="G1009" s="15" t="s">
        <v>77</v>
      </c>
      <c r="H1009" s="15" t="s">
        <v>42</v>
      </c>
      <c r="I1009">
        <v>40</v>
      </c>
      <c r="J1009">
        <v>60</v>
      </c>
      <c r="K1009">
        <v>40</v>
      </c>
      <c r="L1009">
        <v>100</v>
      </c>
      <c r="M1009">
        <v>48</v>
      </c>
      <c r="N1009">
        <v>593</v>
      </c>
      <c r="O1009">
        <v>63</v>
      </c>
      <c r="P1009">
        <v>15</v>
      </c>
      <c r="Q1009">
        <v>35</v>
      </c>
      <c r="R1009">
        <v>111</v>
      </c>
      <c r="S1009">
        <v>1.1100000000000001</v>
      </c>
      <c r="T1009">
        <v>0.875</v>
      </c>
      <c r="U1009">
        <v>1.2</v>
      </c>
    </row>
    <row r="1010" spans="1:21" x14ac:dyDescent="0.35">
      <c r="A1010">
        <v>435</v>
      </c>
      <c r="B1010" s="16">
        <v>40330</v>
      </c>
      <c r="C1010" s="15" t="s">
        <v>76</v>
      </c>
      <c r="D1010" s="15" t="s">
        <v>58</v>
      </c>
      <c r="E1010" s="15" t="s">
        <v>50</v>
      </c>
      <c r="F1010" s="15" t="s">
        <v>49</v>
      </c>
      <c r="G1010" s="15" t="s">
        <v>77</v>
      </c>
      <c r="H1010" s="15" t="s">
        <v>45</v>
      </c>
      <c r="I1010">
        <v>30</v>
      </c>
      <c r="J1010">
        <v>50</v>
      </c>
      <c r="K1010">
        <v>40</v>
      </c>
      <c r="L1010">
        <v>80</v>
      </c>
      <c r="M1010">
        <v>37</v>
      </c>
      <c r="N1010">
        <v>876</v>
      </c>
      <c r="O1010">
        <v>55</v>
      </c>
      <c r="P1010">
        <v>10</v>
      </c>
      <c r="Q1010">
        <v>34</v>
      </c>
      <c r="R1010">
        <v>92</v>
      </c>
      <c r="S1010">
        <v>1.1499999999999999</v>
      </c>
      <c r="T1010">
        <v>0.85</v>
      </c>
      <c r="U1010">
        <v>1.2333333333333334</v>
      </c>
    </row>
    <row r="1011" spans="1:21" x14ac:dyDescent="0.35">
      <c r="A1011">
        <v>435</v>
      </c>
      <c r="B1011" s="16">
        <v>40330</v>
      </c>
      <c r="C1011" s="15" t="s">
        <v>76</v>
      </c>
      <c r="D1011" s="15" t="s">
        <v>58</v>
      </c>
      <c r="E1011" s="15" t="s">
        <v>39</v>
      </c>
      <c r="F1011" s="15" t="s">
        <v>40</v>
      </c>
      <c r="G1011" s="15" t="s">
        <v>77</v>
      </c>
      <c r="H1011" s="15" t="s">
        <v>42</v>
      </c>
      <c r="I1011">
        <v>80</v>
      </c>
      <c r="J1011">
        <v>90</v>
      </c>
      <c r="K1011">
        <v>60</v>
      </c>
      <c r="L1011">
        <v>170</v>
      </c>
      <c r="M1011">
        <v>65</v>
      </c>
      <c r="N1011">
        <v>1042</v>
      </c>
      <c r="O1011">
        <v>77</v>
      </c>
      <c r="P1011">
        <v>20</v>
      </c>
      <c r="Q1011">
        <v>36</v>
      </c>
      <c r="R1011">
        <v>142</v>
      </c>
      <c r="S1011">
        <v>0.83529411764705885</v>
      </c>
      <c r="T1011">
        <v>0.6</v>
      </c>
      <c r="U1011">
        <v>0.8125</v>
      </c>
    </row>
    <row r="1012" spans="1:21" x14ac:dyDescent="0.35">
      <c r="A1012">
        <v>801</v>
      </c>
      <c r="B1012" s="16">
        <v>40330</v>
      </c>
      <c r="C1012" s="15" t="s">
        <v>76</v>
      </c>
      <c r="D1012" s="15" t="s">
        <v>58</v>
      </c>
      <c r="E1012" s="15" t="s">
        <v>43</v>
      </c>
      <c r="F1012" s="15" t="s">
        <v>40</v>
      </c>
      <c r="G1012" s="15" t="s">
        <v>77</v>
      </c>
      <c r="H1012" s="15" t="s">
        <v>42</v>
      </c>
      <c r="I1012">
        <v>50</v>
      </c>
      <c r="J1012">
        <v>80</v>
      </c>
      <c r="K1012">
        <v>50</v>
      </c>
      <c r="L1012">
        <v>130</v>
      </c>
      <c r="M1012">
        <v>46</v>
      </c>
      <c r="N1012">
        <v>367</v>
      </c>
      <c r="O1012">
        <v>62</v>
      </c>
      <c r="P1012">
        <v>15</v>
      </c>
      <c r="Q1012">
        <v>19</v>
      </c>
      <c r="R1012">
        <v>108</v>
      </c>
      <c r="S1012">
        <v>0.83076923076923082</v>
      </c>
      <c r="T1012">
        <v>0.38</v>
      </c>
      <c r="U1012">
        <v>0.92</v>
      </c>
    </row>
    <row r="1013" spans="1:21" x14ac:dyDescent="0.35">
      <c r="A1013">
        <v>435</v>
      </c>
      <c r="B1013" s="16">
        <v>40330</v>
      </c>
      <c r="C1013" s="15" t="s">
        <v>76</v>
      </c>
      <c r="D1013" s="15" t="s">
        <v>58</v>
      </c>
      <c r="E1013" s="15" t="s">
        <v>51</v>
      </c>
      <c r="F1013" s="15" t="s">
        <v>52</v>
      </c>
      <c r="G1013" s="15" t="s">
        <v>77</v>
      </c>
      <c r="H1013" s="15" t="s">
        <v>45</v>
      </c>
      <c r="I1013">
        <v>40</v>
      </c>
      <c r="J1013">
        <v>80</v>
      </c>
      <c r="K1013">
        <v>50</v>
      </c>
      <c r="L1013">
        <v>120</v>
      </c>
      <c r="M1013">
        <v>56</v>
      </c>
      <c r="N1013">
        <v>302</v>
      </c>
      <c r="O1013">
        <v>82</v>
      </c>
      <c r="P1013">
        <v>17</v>
      </c>
      <c r="Q1013">
        <v>42</v>
      </c>
      <c r="R1013">
        <v>138</v>
      </c>
      <c r="S1013">
        <v>1.1499999999999999</v>
      </c>
      <c r="T1013">
        <v>0.84</v>
      </c>
      <c r="U1013">
        <v>1.4</v>
      </c>
    </row>
    <row r="1014" spans="1:21" x14ac:dyDescent="0.35">
      <c r="A1014">
        <v>435</v>
      </c>
      <c r="B1014" s="16">
        <v>40330</v>
      </c>
      <c r="C1014" s="15" t="s">
        <v>76</v>
      </c>
      <c r="D1014" s="15" t="s">
        <v>58</v>
      </c>
      <c r="E1014" s="15" t="s">
        <v>53</v>
      </c>
      <c r="F1014" s="15" t="s">
        <v>52</v>
      </c>
      <c r="G1014" s="15" t="s">
        <v>77</v>
      </c>
      <c r="H1014" s="15" t="s">
        <v>45</v>
      </c>
      <c r="I1014">
        <v>50</v>
      </c>
      <c r="J1014">
        <v>80</v>
      </c>
      <c r="K1014">
        <v>50</v>
      </c>
      <c r="L1014">
        <v>130</v>
      </c>
      <c r="M1014">
        <v>62</v>
      </c>
      <c r="N1014">
        <v>436</v>
      </c>
      <c r="O1014">
        <v>94</v>
      </c>
      <c r="P1014">
        <v>20</v>
      </c>
      <c r="Q1014">
        <v>42</v>
      </c>
      <c r="R1014">
        <v>156</v>
      </c>
      <c r="S1014">
        <v>1.2</v>
      </c>
      <c r="T1014">
        <v>0.84</v>
      </c>
      <c r="U1014">
        <v>1.24</v>
      </c>
    </row>
    <row r="1015" spans="1:21" x14ac:dyDescent="0.35">
      <c r="A1015">
        <v>435</v>
      </c>
      <c r="B1015" s="16">
        <v>40330</v>
      </c>
      <c r="C1015" s="15" t="s">
        <v>76</v>
      </c>
      <c r="D1015" s="15" t="s">
        <v>58</v>
      </c>
      <c r="E1015" s="15" t="s">
        <v>54</v>
      </c>
      <c r="F1015" s="15" t="s">
        <v>52</v>
      </c>
      <c r="G1015" s="15" t="s">
        <v>77</v>
      </c>
      <c r="H1015" s="15" t="s">
        <v>45</v>
      </c>
      <c r="I1015">
        <v>90</v>
      </c>
      <c r="J1015">
        <v>30</v>
      </c>
      <c r="K1015">
        <v>-10</v>
      </c>
      <c r="L1015">
        <v>120</v>
      </c>
      <c r="M1015">
        <v>116</v>
      </c>
      <c r="N1015">
        <v>1142</v>
      </c>
      <c r="O1015">
        <v>25</v>
      </c>
      <c r="P1015">
        <v>35</v>
      </c>
      <c r="Q1015">
        <v>-33</v>
      </c>
      <c r="R1015">
        <v>141</v>
      </c>
      <c r="S1015">
        <v>1.175</v>
      </c>
      <c r="T1015">
        <v>3.3</v>
      </c>
      <c r="U1015">
        <v>1.288888888888889</v>
      </c>
    </row>
    <row r="1016" spans="1:21" x14ac:dyDescent="0.35">
      <c r="A1016">
        <v>801</v>
      </c>
      <c r="B1016" s="16">
        <v>40330</v>
      </c>
      <c r="C1016" s="15" t="s">
        <v>76</v>
      </c>
      <c r="D1016" s="15" t="s">
        <v>58</v>
      </c>
      <c r="E1016" s="15" t="s">
        <v>55</v>
      </c>
      <c r="F1016" s="15" t="s">
        <v>47</v>
      </c>
      <c r="G1016" s="15" t="s">
        <v>77</v>
      </c>
      <c r="H1016" s="15" t="s">
        <v>42</v>
      </c>
      <c r="I1016">
        <v>30</v>
      </c>
      <c r="J1016">
        <v>50</v>
      </c>
      <c r="K1016">
        <v>0</v>
      </c>
      <c r="L1016">
        <v>80</v>
      </c>
      <c r="M1016">
        <v>52</v>
      </c>
      <c r="N1016">
        <v>313</v>
      </c>
      <c r="O1016">
        <v>73</v>
      </c>
      <c r="P1016">
        <v>47</v>
      </c>
      <c r="Q1016">
        <v>-3</v>
      </c>
      <c r="R1016">
        <v>125</v>
      </c>
      <c r="S1016">
        <v>1.5625</v>
      </c>
      <c r="U1016">
        <v>1.7333333333333334</v>
      </c>
    </row>
    <row r="1017" spans="1:21" x14ac:dyDescent="0.35">
      <c r="A1017">
        <v>801</v>
      </c>
      <c r="B1017" s="16">
        <v>40330</v>
      </c>
      <c r="C1017" s="15" t="s">
        <v>76</v>
      </c>
      <c r="D1017" s="15" t="s">
        <v>58</v>
      </c>
      <c r="E1017" s="15" t="s">
        <v>56</v>
      </c>
      <c r="F1017" s="15" t="s">
        <v>47</v>
      </c>
      <c r="G1017" s="15" t="s">
        <v>77</v>
      </c>
      <c r="H1017" s="15" t="s">
        <v>42</v>
      </c>
      <c r="I1017">
        <v>20</v>
      </c>
      <c r="J1017">
        <v>40</v>
      </c>
      <c r="K1017">
        <v>20</v>
      </c>
      <c r="L1017">
        <v>60</v>
      </c>
      <c r="M1017">
        <v>41</v>
      </c>
      <c r="N1017">
        <v>239</v>
      </c>
      <c r="O1017">
        <v>55</v>
      </c>
      <c r="P1017">
        <v>13</v>
      </c>
      <c r="Q1017">
        <v>14</v>
      </c>
      <c r="R1017">
        <v>96</v>
      </c>
      <c r="S1017">
        <v>1.6</v>
      </c>
      <c r="T1017">
        <v>0.7</v>
      </c>
      <c r="U1017">
        <v>2.0499999999999998</v>
      </c>
    </row>
    <row r="1018" spans="1:21" x14ac:dyDescent="0.35">
      <c r="A1018">
        <v>435</v>
      </c>
      <c r="B1018" s="16">
        <v>40330</v>
      </c>
      <c r="C1018" s="15" t="s">
        <v>76</v>
      </c>
      <c r="D1018" s="15" t="s">
        <v>58</v>
      </c>
      <c r="E1018" s="15" t="s">
        <v>46</v>
      </c>
      <c r="F1018" s="15" t="s">
        <v>47</v>
      </c>
      <c r="G1018" s="15" t="s">
        <v>77</v>
      </c>
      <c r="H1018" s="15" t="s">
        <v>42</v>
      </c>
      <c r="I1018">
        <v>20</v>
      </c>
      <c r="J1018">
        <v>30</v>
      </c>
      <c r="K1018">
        <v>10</v>
      </c>
      <c r="L1018">
        <v>50</v>
      </c>
      <c r="M1018">
        <v>35</v>
      </c>
      <c r="N1018">
        <v>204</v>
      </c>
      <c r="O1018">
        <v>43</v>
      </c>
      <c r="P1018">
        <v>13</v>
      </c>
      <c r="Q1018">
        <v>-3</v>
      </c>
      <c r="R1018">
        <v>78</v>
      </c>
      <c r="S1018">
        <v>1.56</v>
      </c>
      <c r="T1018">
        <v>-0.3</v>
      </c>
      <c r="U1018">
        <v>1.75</v>
      </c>
    </row>
    <row r="1019" spans="1:21" x14ac:dyDescent="0.35">
      <c r="A1019">
        <v>435</v>
      </c>
      <c r="B1019" s="16">
        <v>40330</v>
      </c>
      <c r="C1019" s="15" t="s">
        <v>76</v>
      </c>
      <c r="D1019" s="15" t="s">
        <v>58</v>
      </c>
      <c r="E1019" s="15" t="s">
        <v>44</v>
      </c>
      <c r="F1019" s="15" t="s">
        <v>40</v>
      </c>
      <c r="G1019" s="15" t="s">
        <v>77</v>
      </c>
      <c r="H1019" s="15" t="s">
        <v>45</v>
      </c>
      <c r="I1019">
        <v>90</v>
      </c>
      <c r="J1019">
        <v>120</v>
      </c>
      <c r="K1019">
        <v>70</v>
      </c>
      <c r="L1019">
        <v>210</v>
      </c>
      <c r="M1019">
        <v>76</v>
      </c>
      <c r="N1019">
        <v>580</v>
      </c>
      <c r="O1019">
        <v>93</v>
      </c>
      <c r="P1019">
        <v>28</v>
      </c>
      <c r="Q1019">
        <v>32</v>
      </c>
      <c r="R1019">
        <v>169</v>
      </c>
      <c r="S1019">
        <v>0.80476190476190479</v>
      </c>
      <c r="T1019">
        <v>0.45714285714285713</v>
      </c>
      <c r="U1019">
        <v>0.84444444444444444</v>
      </c>
    </row>
    <row r="1020" spans="1:21" x14ac:dyDescent="0.35">
      <c r="A1020">
        <v>707</v>
      </c>
      <c r="B1020" s="16">
        <v>40330</v>
      </c>
      <c r="C1020" s="15" t="s">
        <v>76</v>
      </c>
      <c r="D1020" s="15" t="s">
        <v>38</v>
      </c>
      <c r="E1020" s="15" t="s">
        <v>72</v>
      </c>
      <c r="F1020" s="15" t="s">
        <v>49</v>
      </c>
      <c r="G1020" s="15" t="s">
        <v>78</v>
      </c>
      <c r="H1020" s="15" t="s">
        <v>42</v>
      </c>
      <c r="I1020">
        <v>240</v>
      </c>
      <c r="J1020">
        <v>260</v>
      </c>
      <c r="K1020">
        <v>180</v>
      </c>
      <c r="L1020">
        <v>500</v>
      </c>
      <c r="M1020">
        <v>260</v>
      </c>
      <c r="N1020">
        <v>1715</v>
      </c>
      <c r="O1020">
        <v>261</v>
      </c>
      <c r="P1020">
        <v>72</v>
      </c>
      <c r="Q1020">
        <v>165</v>
      </c>
      <c r="R1020">
        <v>521</v>
      </c>
      <c r="S1020">
        <v>1.042</v>
      </c>
      <c r="T1020">
        <v>0.91666666666666663</v>
      </c>
      <c r="U1020">
        <v>1.0833333333333333</v>
      </c>
    </row>
    <row r="1021" spans="1:21" x14ac:dyDescent="0.35">
      <c r="A1021">
        <v>714</v>
      </c>
      <c r="B1021" s="16">
        <v>40330</v>
      </c>
      <c r="C1021" s="15" t="s">
        <v>76</v>
      </c>
      <c r="D1021" s="15" t="s">
        <v>38</v>
      </c>
      <c r="E1021" s="15" t="s">
        <v>48</v>
      </c>
      <c r="F1021" s="15" t="s">
        <v>49</v>
      </c>
      <c r="G1021" s="15" t="s">
        <v>78</v>
      </c>
      <c r="H1021" s="15" t="s">
        <v>42</v>
      </c>
      <c r="I1021">
        <v>130</v>
      </c>
      <c r="J1021">
        <v>200</v>
      </c>
      <c r="K1021">
        <v>50</v>
      </c>
      <c r="L1021">
        <v>330</v>
      </c>
      <c r="M1021">
        <v>144</v>
      </c>
      <c r="N1021">
        <v>874</v>
      </c>
      <c r="O1021">
        <v>201</v>
      </c>
      <c r="P1021">
        <v>131</v>
      </c>
      <c r="Q1021">
        <v>36</v>
      </c>
      <c r="R1021">
        <v>345</v>
      </c>
      <c r="S1021">
        <v>1.0454545454545454</v>
      </c>
      <c r="T1021">
        <v>0.72</v>
      </c>
      <c r="U1021">
        <v>1.1076923076923078</v>
      </c>
    </row>
    <row r="1022" spans="1:21" x14ac:dyDescent="0.35">
      <c r="A1022">
        <v>562</v>
      </c>
      <c r="B1022" s="16">
        <v>40330</v>
      </c>
      <c r="C1022" s="15" t="s">
        <v>76</v>
      </c>
      <c r="D1022" s="15" t="s">
        <v>38</v>
      </c>
      <c r="E1022" s="15" t="s">
        <v>50</v>
      </c>
      <c r="F1022" s="15" t="s">
        <v>49</v>
      </c>
      <c r="G1022" s="15" t="s">
        <v>78</v>
      </c>
      <c r="H1022" s="15" t="s">
        <v>45</v>
      </c>
      <c r="I1022">
        <v>260</v>
      </c>
      <c r="J1022">
        <v>340</v>
      </c>
      <c r="K1022">
        <v>230</v>
      </c>
      <c r="L1022">
        <v>600</v>
      </c>
      <c r="M1022">
        <v>272</v>
      </c>
      <c r="N1022">
        <v>1616</v>
      </c>
      <c r="O1022">
        <v>362</v>
      </c>
      <c r="P1022">
        <v>89</v>
      </c>
      <c r="Q1022">
        <v>240</v>
      </c>
      <c r="R1022">
        <v>634</v>
      </c>
      <c r="S1022">
        <v>1.0566666666666666</v>
      </c>
      <c r="T1022">
        <v>1.0434782608695652</v>
      </c>
      <c r="U1022">
        <v>1.0461538461538462</v>
      </c>
    </row>
    <row r="1023" spans="1:21" x14ac:dyDescent="0.35">
      <c r="A1023">
        <v>707</v>
      </c>
      <c r="B1023" s="16">
        <v>40330</v>
      </c>
      <c r="C1023" s="15" t="s">
        <v>76</v>
      </c>
      <c r="D1023" s="15" t="s">
        <v>38</v>
      </c>
      <c r="E1023" s="15" t="s">
        <v>39</v>
      </c>
      <c r="F1023" s="15" t="s">
        <v>40</v>
      </c>
      <c r="G1023" s="15" t="s">
        <v>78</v>
      </c>
      <c r="H1023" s="15" t="s">
        <v>42</v>
      </c>
      <c r="I1023">
        <v>170</v>
      </c>
      <c r="J1023">
        <v>-50</v>
      </c>
      <c r="K1023">
        <v>-110</v>
      </c>
      <c r="L1023">
        <v>120</v>
      </c>
      <c r="M1023">
        <v>141</v>
      </c>
      <c r="N1023">
        <v>1514</v>
      </c>
      <c r="O1023">
        <v>-45</v>
      </c>
      <c r="P1023">
        <v>45</v>
      </c>
      <c r="Q1023">
        <v>-113</v>
      </c>
      <c r="R1023">
        <v>96</v>
      </c>
      <c r="S1023">
        <v>0.8</v>
      </c>
      <c r="T1023">
        <v>1.0272727272727273</v>
      </c>
      <c r="U1023">
        <v>0.8294117647058824</v>
      </c>
    </row>
    <row r="1024" spans="1:21" x14ac:dyDescent="0.35">
      <c r="A1024">
        <v>805</v>
      </c>
      <c r="B1024" s="16">
        <v>40330</v>
      </c>
      <c r="C1024" s="15" t="s">
        <v>76</v>
      </c>
      <c r="D1024" s="15" t="s">
        <v>38</v>
      </c>
      <c r="E1024" s="15" t="s">
        <v>43</v>
      </c>
      <c r="F1024" s="15" t="s">
        <v>40</v>
      </c>
      <c r="G1024" s="15" t="s">
        <v>78</v>
      </c>
      <c r="H1024" s="15" t="s">
        <v>42</v>
      </c>
      <c r="I1024">
        <v>440</v>
      </c>
      <c r="J1024">
        <v>670</v>
      </c>
      <c r="K1024">
        <v>500</v>
      </c>
      <c r="L1024">
        <v>1110</v>
      </c>
      <c r="M1024">
        <v>356</v>
      </c>
      <c r="N1024">
        <v>2476</v>
      </c>
      <c r="O1024">
        <v>534</v>
      </c>
      <c r="P1024">
        <v>124</v>
      </c>
      <c r="Q1024">
        <v>357</v>
      </c>
      <c r="R1024">
        <v>890</v>
      </c>
      <c r="S1024">
        <v>0.80180180180180183</v>
      </c>
      <c r="T1024">
        <v>0.71399999999999997</v>
      </c>
      <c r="U1024">
        <v>0.80909090909090908</v>
      </c>
    </row>
    <row r="1025" spans="1:21" x14ac:dyDescent="0.35">
      <c r="A1025">
        <v>661</v>
      </c>
      <c r="B1025" s="16">
        <v>40330</v>
      </c>
      <c r="C1025" s="15" t="s">
        <v>76</v>
      </c>
      <c r="D1025" s="15" t="s">
        <v>38</v>
      </c>
      <c r="E1025" s="15" t="s">
        <v>51</v>
      </c>
      <c r="F1025" s="15" t="s">
        <v>52</v>
      </c>
      <c r="G1025" s="15" t="s">
        <v>78</v>
      </c>
      <c r="H1025" s="15" t="s">
        <v>45</v>
      </c>
      <c r="I1025">
        <v>100</v>
      </c>
      <c r="J1025">
        <v>160</v>
      </c>
      <c r="K1025">
        <v>140</v>
      </c>
      <c r="L1025">
        <v>260</v>
      </c>
      <c r="M1025">
        <v>123</v>
      </c>
      <c r="N1025">
        <v>947</v>
      </c>
      <c r="O1025">
        <v>178</v>
      </c>
      <c r="P1025">
        <v>34</v>
      </c>
      <c r="Q1025">
        <v>133</v>
      </c>
      <c r="R1025">
        <v>301</v>
      </c>
      <c r="S1025">
        <v>1.1576923076923078</v>
      </c>
      <c r="T1025">
        <v>0.95</v>
      </c>
      <c r="U1025">
        <v>1.23</v>
      </c>
    </row>
    <row r="1026" spans="1:21" x14ac:dyDescent="0.35">
      <c r="A1026">
        <v>661</v>
      </c>
      <c r="B1026" s="16">
        <v>40330</v>
      </c>
      <c r="C1026" s="15" t="s">
        <v>76</v>
      </c>
      <c r="D1026" s="15" t="s">
        <v>38</v>
      </c>
      <c r="E1026" s="15" t="s">
        <v>53</v>
      </c>
      <c r="F1026" s="15" t="s">
        <v>52</v>
      </c>
      <c r="G1026" s="15" t="s">
        <v>78</v>
      </c>
      <c r="H1026" s="15" t="s">
        <v>45</v>
      </c>
      <c r="I1026">
        <v>200</v>
      </c>
      <c r="J1026">
        <v>260</v>
      </c>
      <c r="K1026">
        <v>190</v>
      </c>
      <c r="L1026">
        <v>460</v>
      </c>
      <c r="M1026">
        <v>244</v>
      </c>
      <c r="N1026">
        <v>1213</v>
      </c>
      <c r="O1026">
        <v>288</v>
      </c>
      <c r="P1026">
        <v>75</v>
      </c>
      <c r="Q1026">
        <v>192</v>
      </c>
      <c r="R1026">
        <v>532</v>
      </c>
      <c r="S1026">
        <v>1.1565217391304348</v>
      </c>
      <c r="T1026">
        <v>1.0105263157894737</v>
      </c>
      <c r="U1026">
        <v>1.22</v>
      </c>
    </row>
    <row r="1027" spans="1:21" x14ac:dyDescent="0.35">
      <c r="A1027">
        <v>408</v>
      </c>
      <c r="B1027" s="16">
        <v>40330</v>
      </c>
      <c r="C1027" s="15" t="s">
        <v>76</v>
      </c>
      <c r="D1027" s="15" t="s">
        <v>38</v>
      </c>
      <c r="E1027" s="15" t="s">
        <v>54</v>
      </c>
      <c r="F1027" s="15" t="s">
        <v>52</v>
      </c>
      <c r="G1027" s="15" t="s">
        <v>78</v>
      </c>
      <c r="H1027" s="15" t="s">
        <v>45</v>
      </c>
      <c r="I1027">
        <v>70</v>
      </c>
      <c r="J1027">
        <v>90</v>
      </c>
      <c r="K1027">
        <v>60</v>
      </c>
      <c r="L1027">
        <v>160</v>
      </c>
      <c r="M1027">
        <v>83</v>
      </c>
      <c r="N1027">
        <v>574</v>
      </c>
      <c r="O1027">
        <v>107</v>
      </c>
      <c r="P1027">
        <v>27</v>
      </c>
      <c r="Q1027">
        <v>67</v>
      </c>
      <c r="R1027">
        <v>190</v>
      </c>
      <c r="S1027">
        <v>1.1875</v>
      </c>
      <c r="T1027">
        <v>1.1166666666666667</v>
      </c>
      <c r="U1027">
        <v>1.1857142857142857</v>
      </c>
    </row>
    <row r="1028" spans="1:21" x14ac:dyDescent="0.35">
      <c r="A1028">
        <v>209</v>
      </c>
      <c r="B1028" s="16">
        <v>40330</v>
      </c>
      <c r="C1028" s="15" t="s">
        <v>76</v>
      </c>
      <c r="D1028" s="15" t="s">
        <v>38</v>
      </c>
      <c r="E1028" s="15" t="s">
        <v>55</v>
      </c>
      <c r="F1028" s="15" t="s">
        <v>47</v>
      </c>
      <c r="G1028" s="15" t="s">
        <v>78</v>
      </c>
      <c r="H1028" s="15" t="s">
        <v>42</v>
      </c>
      <c r="I1028">
        <v>70</v>
      </c>
      <c r="J1028">
        <v>110</v>
      </c>
      <c r="K1028">
        <v>90</v>
      </c>
      <c r="L1028">
        <v>180</v>
      </c>
      <c r="M1028">
        <v>113</v>
      </c>
      <c r="N1028">
        <v>897</v>
      </c>
      <c r="O1028">
        <v>163</v>
      </c>
      <c r="P1028">
        <v>31</v>
      </c>
      <c r="Q1028">
        <v>120</v>
      </c>
      <c r="R1028">
        <v>276</v>
      </c>
      <c r="S1028">
        <v>1.5333333333333334</v>
      </c>
      <c r="T1028">
        <v>1.3333333333333333</v>
      </c>
      <c r="U1028">
        <v>1.6142857142857143</v>
      </c>
    </row>
    <row r="1029" spans="1:21" x14ac:dyDescent="0.35">
      <c r="A1029">
        <v>415</v>
      </c>
      <c r="B1029" s="16">
        <v>40330</v>
      </c>
      <c r="C1029" s="15" t="s">
        <v>76</v>
      </c>
      <c r="D1029" s="15" t="s">
        <v>38</v>
      </c>
      <c r="E1029" s="15" t="s">
        <v>56</v>
      </c>
      <c r="F1029" s="15" t="s">
        <v>47</v>
      </c>
      <c r="G1029" s="15" t="s">
        <v>78</v>
      </c>
      <c r="H1029" s="15" t="s">
        <v>42</v>
      </c>
      <c r="I1029">
        <v>60</v>
      </c>
      <c r="J1029">
        <v>90</v>
      </c>
      <c r="K1029">
        <v>80</v>
      </c>
      <c r="L1029">
        <v>150</v>
      </c>
      <c r="M1029">
        <v>94</v>
      </c>
      <c r="N1029">
        <v>562</v>
      </c>
      <c r="O1029">
        <v>136</v>
      </c>
      <c r="P1029">
        <v>26</v>
      </c>
      <c r="Q1029">
        <v>98</v>
      </c>
      <c r="R1029">
        <v>230</v>
      </c>
      <c r="S1029">
        <v>1.5333333333333334</v>
      </c>
      <c r="T1029">
        <v>1.2250000000000001</v>
      </c>
      <c r="U1029">
        <v>1.5666666666666667</v>
      </c>
    </row>
    <row r="1030" spans="1:21" x14ac:dyDescent="0.35">
      <c r="A1030">
        <v>714</v>
      </c>
      <c r="B1030" s="16">
        <v>40330</v>
      </c>
      <c r="C1030" s="15" t="s">
        <v>76</v>
      </c>
      <c r="D1030" s="15" t="s">
        <v>38</v>
      </c>
      <c r="E1030" s="15" t="s">
        <v>46</v>
      </c>
      <c r="F1030" s="15" t="s">
        <v>47</v>
      </c>
      <c r="G1030" s="15" t="s">
        <v>78</v>
      </c>
      <c r="H1030" s="15" t="s">
        <v>42</v>
      </c>
      <c r="I1030">
        <v>30</v>
      </c>
      <c r="J1030">
        <v>60</v>
      </c>
      <c r="K1030">
        <v>30</v>
      </c>
      <c r="L1030">
        <v>90</v>
      </c>
      <c r="M1030">
        <v>54</v>
      </c>
      <c r="N1030">
        <v>641</v>
      </c>
      <c r="O1030">
        <v>81</v>
      </c>
      <c r="P1030">
        <v>17</v>
      </c>
      <c r="Q1030">
        <v>32</v>
      </c>
      <c r="R1030">
        <v>135</v>
      </c>
      <c r="S1030">
        <v>1.5</v>
      </c>
      <c r="T1030">
        <v>1.0666666666666667</v>
      </c>
      <c r="U1030">
        <v>1.8</v>
      </c>
    </row>
    <row r="1031" spans="1:21" x14ac:dyDescent="0.35">
      <c r="A1031">
        <v>415</v>
      </c>
      <c r="B1031" s="16">
        <v>40330</v>
      </c>
      <c r="C1031" s="15" t="s">
        <v>76</v>
      </c>
      <c r="D1031" s="15" t="s">
        <v>38</v>
      </c>
      <c r="E1031" s="15" t="s">
        <v>44</v>
      </c>
      <c r="F1031" s="15" t="s">
        <v>40</v>
      </c>
      <c r="G1031" s="15" t="s">
        <v>78</v>
      </c>
      <c r="H1031" s="15" t="s">
        <v>45</v>
      </c>
      <c r="I1031">
        <v>250</v>
      </c>
      <c r="J1031">
        <v>-40</v>
      </c>
      <c r="K1031">
        <v>-140</v>
      </c>
      <c r="L1031">
        <v>210</v>
      </c>
      <c r="M1031">
        <v>200</v>
      </c>
      <c r="N1031">
        <v>2393</v>
      </c>
      <c r="O1031">
        <v>-31</v>
      </c>
      <c r="P1031">
        <v>66</v>
      </c>
      <c r="Q1031">
        <v>-142</v>
      </c>
      <c r="R1031">
        <v>169</v>
      </c>
      <c r="S1031">
        <v>0.80476190476190479</v>
      </c>
      <c r="T1031">
        <v>1.0142857142857142</v>
      </c>
      <c r="U1031">
        <v>0.8</v>
      </c>
    </row>
    <row r="1032" spans="1:21" x14ac:dyDescent="0.35">
      <c r="A1032">
        <v>775</v>
      </c>
      <c r="B1032" s="16">
        <v>40330</v>
      </c>
      <c r="C1032" s="15" t="s">
        <v>76</v>
      </c>
      <c r="D1032" s="15" t="s">
        <v>58</v>
      </c>
      <c r="E1032" s="15" t="s">
        <v>72</v>
      </c>
      <c r="F1032" s="15" t="s">
        <v>49</v>
      </c>
      <c r="G1032" s="15" t="s">
        <v>79</v>
      </c>
      <c r="H1032" s="15" t="s">
        <v>42</v>
      </c>
      <c r="I1032">
        <v>0</v>
      </c>
      <c r="J1032">
        <v>40</v>
      </c>
      <c r="K1032">
        <v>30</v>
      </c>
      <c r="L1032">
        <v>40</v>
      </c>
      <c r="M1032">
        <v>0</v>
      </c>
      <c r="N1032">
        <v>602</v>
      </c>
      <c r="O1032">
        <v>43</v>
      </c>
      <c r="P1032">
        <v>0</v>
      </c>
      <c r="Q1032">
        <v>31</v>
      </c>
      <c r="R1032">
        <v>43</v>
      </c>
      <c r="S1032">
        <v>1.075</v>
      </c>
      <c r="T1032">
        <v>1.0333333333333334</v>
      </c>
    </row>
    <row r="1033" spans="1:21" x14ac:dyDescent="0.35">
      <c r="A1033">
        <v>775</v>
      </c>
      <c r="B1033" s="16">
        <v>40330</v>
      </c>
      <c r="C1033" s="15" t="s">
        <v>76</v>
      </c>
      <c r="D1033" s="15" t="s">
        <v>58</v>
      </c>
      <c r="E1033" s="15" t="s">
        <v>48</v>
      </c>
      <c r="F1033" s="15" t="s">
        <v>49</v>
      </c>
      <c r="G1033" s="15" t="s">
        <v>79</v>
      </c>
      <c r="H1033" s="15" t="s">
        <v>42</v>
      </c>
      <c r="I1033">
        <v>20</v>
      </c>
      <c r="J1033">
        <v>30</v>
      </c>
      <c r="K1033">
        <v>20</v>
      </c>
      <c r="L1033">
        <v>50</v>
      </c>
      <c r="M1033">
        <v>23</v>
      </c>
      <c r="N1033">
        <v>843</v>
      </c>
      <c r="O1033">
        <v>35</v>
      </c>
      <c r="P1033">
        <v>6</v>
      </c>
      <c r="Q1033">
        <v>18</v>
      </c>
      <c r="R1033">
        <v>58</v>
      </c>
      <c r="S1033">
        <v>1.1599999999999999</v>
      </c>
      <c r="T1033">
        <v>0.9</v>
      </c>
      <c r="U1033">
        <v>1.1499999999999999</v>
      </c>
    </row>
    <row r="1034" spans="1:21" x14ac:dyDescent="0.35">
      <c r="A1034">
        <v>702</v>
      </c>
      <c r="B1034" s="16">
        <v>40330</v>
      </c>
      <c r="C1034" s="15" t="s">
        <v>76</v>
      </c>
      <c r="D1034" s="15" t="s">
        <v>58</v>
      </c>
      <c r="E1034" s="15" t="s">
        <v>50</v>
      </c>
      <c r="F1034" s="15" t="s">
        <v>49</v>
      </c>
      <c r="G1034" s="15" t="s">
        <v>79</v>
      </c>
      <c r="H1034" s="15" t="s">
        <v>45</v>
      </c>
      <c r="I1034">
        <v>20</v>
      </c>
      <c r="J1034">
        <v>30</v>
      </c>
      <c r="K1034">
        <v>20</v>
      </c>
      <c r="L1034">
        <v>50</v>
      </c>
      <c r="M1034">
        <v>21</v>
      </c>
      <c r="N1034">
        <v>798</v>
      </c>
      <c r="O1034">
        <v>32</v>
      </c>
      <c r="P1034">
        <v>5</v>
      </c>
      <c r="Q1034">
        <v>15</v>
      </c>
      <c r="R1034">
        <v>53</v>
      </c>
      <c r="S1034">
        <v>1.06</v>
      </c>
      <c r="T1034">
        <v>0.75</v>
      </c>
      <c r="U1034">
        <v>1.05</v>
      </c>
    </row>
    <row r="1035" spans="1:21" x14ac:dyDescent="0.35">
      <c r="A1035">
        <v>702</v>
      </c>
      <c r="B1035" s="16">
        <v>40330</v>
      </c>
      <c r="C1035" s="15" t="s">
        <v>76</v>
      </c>
      <c r="D1035" s="15" t="s">
        <v>58</v>
      </c>
      <c r="E1035" s="15" t="s">
        <v>43</v>
      </c>
      <c r="F1035" s="15" t="s">
        <v>40</v>
      </c>
      <c r="G1035" s="15" t="s">
        <v>79</v>
      </c>
      <c r="H1035" s="15" t="s">
        <v>42</v>
      </c>
      <c r="I1035">
        <v>40</v>
      </c>
      <c r="J1035">
        <v>60</v>
      </c>
      <c r="K1035">
        <v>20</v>
      </c>
      <c r="L1035">
        <v>100</v>
      </c>
      <c r="M1035">
        <v>36</v>
      </c>
      <c r="N1035">
        <v>236</v>
      </c>
      <c r="O1035">
        <v>46</v>
      </c>
      <c r="P1035">
        <v>13</v>
      </c>
      <c r="Q1035">
        <v>0</v>
      </c>
      <c r="R1035">
        <v>82</v>
      </c>
      <c r="S1035">
        <v>0.82</v>
      </c>
      <c r="T1035">
        <v>0</v>
      </c>
      <c r="U1035">
        <v>0.9</v>
      </c>
    </row>
    <row r="1036" spans="1:21" x14ac:dyDescent="0.35">
      <c r="A1036">
        <v>775</v>
      </c>
      <c r="B1036" s="16">
        <v>40330</v>
      </c>
      <c r="C1036" s="15" t="s">
        <v>76</v>
      </c>
      <c r="D1036" s="15" t="s">
        <v>58</v>
      </c>
      <c r="E1036" s="15" t="s">
        <v>51</v>
      </c>
      <c r="F1036" s="15" t="s">
        <v>52</v>
      </c>
      <c r="G1036" s="15" t="s">
        <v>79</v>
      </c>
      <c r="H1036" s="15" t="s">
        <v>45</v>
      </c>
      <c r="I1036">
        <v>120</v>
      </c>
      <c r="J1036">
        <v>180</v>
      </c>
      <c r="K1036">
        <v>50</v>
      </c>
      <c r="L1036">
        <v>300</v>
      </c>
      <c r="M1036">
        <v>144</v>
      </c>
      <c r="N1036">
        <v>874</v>
      </c>
      <c r="O1036">
        <v>201</v>
      </c>
      <c r="P1036">
        <v>131</v>
      </c>
      <c r="Q1036">
        <v>37</v>
      </c>
      <c r="R1036">
        <v>345</v>
      </c>
      <c r="S1036">
        <v>1.1499999999999999</v>
      </c>
      <c r="T1036">
        <v>0.74</v>
      </c>
      <c r="U1036">
        <v>1.2</v>
      </c>
    </row>
    <row r="1037" spans="1:21" x14ac:dyDescent="0.35">
      <c r="A1037">
        <v>702</v>
      </c>
      <c r="B1037" s="16">
        <v>40330</v>
      </c>
      <c r="C1037" s="15" t="s">
        <v>76</v>
      </c>
      <c r="D1037" s="15" t="s">
        <v>58</v>
      </c>
      <c r="E1037" s="15" t="s">
        <v>53</v>
      </c>
      <c r="F1037" s="15" t="s">
        <v>52</v>
      </c>
      <c r="G1037" s="15" t="s">
        <v>79</v>
      </c>
      <c r="H1037" s="15" t="s">
        <v>45</v>
      </c>
      <c r="I1037">
        <v>170</v>
      </c>
      <c r="J1037">
        <v>250</v>
      </c>
      <c r="K1037">
        <v>170</v>
      </c>
      <c r="L1037">
        <v>420</v>
      </c>
      <c r="M1037">
        <v>200</v>
      </c>
      <c r="N1037">
        <v>1095</v>
      </c>
      <c r="O1037">
        <v>278</v>
      </c>
      <c r="P1037">
        <v>66</v>
      </c>
      <c r="Q1037">
        <v>166</v>
      </c>
      <c r="R1037">
        <v>478</v>
      </c>
      <c r="S1037">
        <v>1.138095238095238</v>
      </c>
      <c r="T1037">
        <v>0.97647058823529409</v>
      </c>
      <c r="U1037">
        <v>1.1764705882352942</v>
      </c>
    </row>
    <row r="1038" spans="1:21" x14ac:dyDescent="0.35">
      <c r="A1038">
        <v>775</v>
      </c>
      <c r="B1038" s="16">
        <v>40330</v>
      </c>
      <c r="C1038" s="15" t="s">
        <v>76</v>
      </c>
      <c r="D1038" s="15" t="s">
        <v>58</v>
      </c>
      <c r="E1038" s="15" t="s">
        <v>54</v>
      </c>
      <c r="F1038" s="15" t="s">
        <v>52</v>
      </c>
      <c r="G1038" s="15" t="s">
        <v>79</v>
      </c>
      <c r="H1038" s="15" t="s">
        <v>45</v>
      </c>
      <c r="I1038">
        <v>120</v>
      </c>
      <c r="J1038">
        <v>180</v>
      </c>
      <c r="K1038">
        <v>130</v>
      </c>
      <c r="L1038">
        <v>300</v>
      </c>
      <c r="M1038">
        <v>141</v>
      </c>
      <c r="N1038">
        <v>764</v>
      </c>
      <c r="O1038">
        <v>204</v>
      </c>
      <c r="P1038">
        <v>45</v>
      </c>
      <c r="Q1038">
        <v>136</v>
      </c>
      <c r="R1038">
        <v>345</v>
      </c>
      <c r="S1038">
        <v>1.1499999999999999</v>
      </c>
      <c r="T1038">
        <v>1.0461538461538462</v>
      </c>
      <c r="U1038">
        <v>1.175</v>
      </c>
    </row>
    <row r="1039" spans="1:21" x14ac:dyDescent="0.35">
      <c r="A1039">
        <v>775</v>
      </c>
      <c r="B1039" s="16">
        <v>40330</v>
      </c>
      <c r="C1039" s="15" t="s">
        <v>76</v>
      </c>
      <c r="D1039" s="15" t="s">
        <v>58</v>
      </c>
      <c r="E1039" s="15" t="s">
        <v>55</v>
      </c>
      <c r="F1039" s="15" t="s">
        <v>47</v>
      </c>
      <c r="G1039" s="15" t="s">
        <v>79</v>
      </c>
      <c r="H1039" s="15" t="s">
        <v>42</v>
      </c>
      <c r="I1039">
        <v>170</v>
      </c>
      <c r="J1039">
        <v>260</v>
      </c>
      <c r="K1039">
        <v>190</v>
      </c>
      <c r="L1039">
        <v>430</v>
      </c>
      <c r="M1039">
        <v>272</v>
      </c>
      <c r="N1039">
        <v>1616</v>
      </c>
      <c r="O1039">
        <v>362</v>
      </c>
      <c r="P1039">
        <v>89</v>
      </c>
      <c r="Q1039">
        <v>241</v>
      </c>
      <c r="R1039">
        <v>634</v>
      </c>
      <c r="S1039">
        <v>1.4744186046511627</v>
      </c>
      <c r="T1039">
        <v>1.2684210526315789</v>
      </c>
      <c r="U1039">
        <v>1.6</v>
      </c>
    </row>
    <row r="1040" spans="1:21" x14ac:dyDescent="0.35">
      <c r="A1040">
        <v>702</v>
      </c>
      <c r="B1040" s="16">
        <v>40330</v>
      </c>
      <c r="C1040" s="15" t="s">
        <v>76</v>
      </c>
      <c r="D1040" s="15" t="s">
        <v>58</v>
      </c>
      <c r="E1040" s="15" t="s">
        <v>56</v>
      </c>
      <c r="F1040" s="15" t="s">
        <v>47</v>
      </c>
      <c r="G1040" s="15" t="s">
        <v>79</v>
      </c>
      <c r="H1040" s="15" t="s">
        <v>42</v>
      </c>
      <c r="I1040">
        <v>170</v>
      </c>
      <c r="J1040">
        <v>180</v>
      </c>
      <c r="K1040">
        <v>120</v>
      </c>
      <c r="L1040">
        <v>350</v>
      </c>
      <c r="M1040">
        <v>260</v>
      </c>
      <c r="N1040">
        <v>1715</v>
      </c>
      <c r="O1040">
        <v>261</v>
      </c>
      <c r="P1040">
        <v>72</v>
      </c>
      <c r="Q1040">
        <v>165</v>
      </c>
      <c r="R1040">
        <v>521</v>
      </c>
      <c r="S1040">
        <v>1.4885714285714287</v>
      </c>
      <c r="T1040">
        <v>1.375</v>
      </c>
      <c r="U1040">
        <v>1.5294117647058822</v>
      </c>
    </row>
    <row r="1041" spans="1:21" x14ac:dyDescent="0.35">
      <c r="A1041">
        <v>702</v>
      </c>
      <c r="B1041" s="16">
        <v>40330</v>
      </c>
      <c r="C1041" s="15" t="s">
        <v>76</v>
      </c>
      <c r="D1041" s="15" t="s">
        <v>58</v>
      </c>
      <c r="E1041" s="15" t="s">
        <v>46</v>
      </c>
      <c r="F1041" s="15" t="s">
        <v>47</v>
      </c>
      <c r="G1041" s="15" t="s">
        <v>79</v>
      </c>
      <c r="H1041" s="15" t="s">
        <v>42</v>
      </c>
      <c r="I1041">
        <v>170</v>
      </c>
      <c r="J1041">
        <v>-170</v>
      </c>
      <c r="K1041">
        <v>-250</v>
      </c>
      <c r="L1041">
        <v>0</v>
      </c>
      <c r="M1041">
        <v>271</v>
      </c>
      <c r="N1041">
        <v>4507</v>
      </c>
      <c r="O1041">
        <v>-271</v>
      </c>
      <c r="P1041">
        <v>102</v>
      </c>
      <c r="Q1041">
        <v>-369</v>
      </c>
      <c r="R1041">
        <v>37</v>
      </c>
      <c r="T1041">
        <v>1.476</v>
      </c>
      <c r="U1041">
        <v>1.5941176470588236</v>
      </c>
    </row>
    <row r="1042" spans="1:21" x14ac:dyDescent="0.35">
      <c r="A1042">
        <v>775</v>
      </c>
      <c r="B1042" s="16">
        <v>40330</v>
      </c>
      <c r="C1042" s="15" t="s">
        <v>76</v>
      </c>
      <c r="D1042" s="15" t="s">
        <v>58</v>
      </c>
      <c r="E1042" s="15" t="s">
        <v>44</v>
      </c>
      <c r="F1042" s="15" t="s">
        <v>40</v>
      </c>
      <c r="G1042" s="15" t="s">
        <v>79</v>
      </c>
      <c r="H1042" s="15" t="s">
        <v>45</v>
      </c>
      <c r="I1042">
        <v>40</v>
      </c>
      <c r="J1042">
        <v>40</v>
      </c>
      <c r="K1042">
        <v>20</v>
      </c>
      <c r="L1042">
        <v>80</v>
      </c>
      <c r="M1042">
        <v>32</v>
      </c>
      <c r="N1042">
        <v>996</v>
      </c>
      <c r="O1042">
        <v>38</v>
      </c>
      <c r="P1042">
        <v>9</v>
      </c>
      <c r="Q1042">
        <v>8</v>
      </c>
      <c r="R1042">
        <v>70</v>
      </c>
      <c r="S1042">
        <v>0.875</v>
      </c>
      <c r="T1042">
        <v>0.4</v>
      </c>
      <c r="U1042">
        <v>0.8</v>
      </c>
    </row>
    <row r="1043" spans="1:21" x14ac:dyDescent="0.35">
      <c r="A1043">
        <v>503</v>
      </c>
      <c r="B1043" s="16">
        <v>40330</v>
      </c>
      <c r="C1043" s="15" t="s">
        <v>76</v>
      </c>
      <c r="D1043" s="15" t="s">
        <v>58</v>
      </c>
      <c r="E1043" s="15" t="s">
        <v>72</v>
      </c>
      <c r="F1043" s="15" t="s">
        <v>49</v>
      </c>
      <c r="G1043" s="15" t="s">
        <v>80</v>
      </c>
      <c r="H1043" s="15" t="s">
        <v>42</v>
      </c>
      <c r="I1043">
        <v>40</v>
      </c>
      <c r="J1043">
        <v>70</v>
      </c>
      <c r="K1043">
        <v>30</v>
      </c>
      <c r="L1043">
        <v>110</v>
      </c>
      <c r="M1043">
        <v>51</v>
      </c>
      <c r="N1043">
        <v>396</v>
      </c>
      <c r="O1043">
        <v>64</v>
      </c>
      <c r="P1043">
        <v>19</v>
      </c>
      <c r="Q1043">
        <v>11</v>
      </c>
      <c r="R1043">
        <v>115</v>
      </c>
      <c r="S1043">
        <v>1.0454545454545454</v>
      </c>
      <c r="T1043">
        <v>0.36666666666666664</v>
      </c>
      <c r="U1043">
        <v>1.2749999999999999</v>
      </c>
    </row>
    <row r="1044" spans="1:21" x14ac:dyDescent="0.35">
      <c r="A1044">
        <v>503</v>
      </c>
      <c r="B1044" s="16">
        <v>40330</v>
      </c>
      <c r="C1044" s="15" t="s">
        <v>76</v>
      </c>
      <c r="D1044" s="15" t="s">
        <v>58</v>
      </c>
      <c r="E1044" s="15" t="s">
        <v>48</v>
      </c>
      <c r="F1044" s="15" t="s">
        <v>49</v>
      </c>
      <c r="G1044" s="15" t="s">
        <v>80</v>
      </c>
      <c r="H1044" s="15" t="s">
        <v>42</v>
      </c>
      <c r="I1044">
        <v>40</v>
      </c>
      <c r="J1044">
        <v>70</v>
      </c>
      <c r="K1044">
        <v>40</v>
      </c>
      <c r="L1044">
        <v>110</v>
      </c>
      <c r="M1044">
        <v>50</v>
      </c>
      <c r="N1044">
        <v>397</v>
      </c>
      <c r="O1044">
        <v>68</v>
      </c>
      <c r="P1044">
        <v>16</v>
      </c>
      <c r="Q1044">
        <v>24</v>
      </c>
      <c r="R1044">
        <v>118</v>
      </c>
      <c r="S1044">
        <v>1.0727272727272728</v>
      </c>
      <c r="T1044">
        <v>0.6</v>
      </c>
      <c r="U1044">
        <v>1.25</v>
      </c>
    </row>
    <row r="1045" spans="1:21" x14ac:dyDescent="0.35">
      <c r="A1045">
        <v>541</v>
      </c>
      <c r="B1045" s="16">
        <v>40330</v>
      </c>
      <c r="C1045" s="15" t="s">
        <v>76</v>
      </c>
      <c r="D1045" s="15" t="s">
        <v>58</v>
      </c>
      <c r="E1045" s="15" t="s">
        <v>50</v>
      </c>
      <c r="F1045" s="15" t="s">
        <v>49</v>
      </c>
      <c r="G1045" s="15" t="s">
        <v>80</v>
      </c>
      <c r="H1045" s="15" t="s">
        <v>45</v>
      </c>
      <c r="I1045">
        <v>140</v>
      </c>
      <c r="J1045">
        <v>140</v>
      </c>
      <c r="K1045">
        <v>90</v>
      </c>
      <c r="L1045">
        <v>280</v>
      </c>
      <c r="M1045">
        <v>149</v>
      </c>
      <c r="N1045">
        <v>1245</v>
      </c>
      <c r="O1045">
        <v>149</v>
      </c>
      <c r="P1045">
        <v>41</v>
      </c>
      <c r="Q1045">
        <v>83</v>
      </c>
      <c r="R1045">
        <v>298</v>
      </c>
      <c r="S1045">
        <v>1.0642857142857143</v>
      </c>
      <c r="T1045">
        <v>0.92222222222222228</v>
      </c>
      <c r="U1045">
        <v>1.0642857142857143</v>
      </c>
    </row>
    <row r="1046" spans="1:21" x14ac:dyDescent="0.35">
      <c r="A1046">
        <v>541</v>
      </c>
      <c r="B1046" s="16">
        <v>40330</v>
      </c>
      <c r="C1046" s="15" t="s">
        <v>76</v>
      </c>
      <c r="D1046" s="15" t="s">
        <v>58</v>
      </c>
      <c r="E1046" s="15" t="s">
        <v>39</v>
      </c>
      <c r="F1046" s="15" t="s">
        <v>40</v>
      </c>
      <c r="G1046" s="15" t="s">
        <v>80</v>
      </c>
      <c r="H1046" s="15" t="s">
        <v>42</v>
      </c>
      <c r="I1046">
        <v>50</v>
      </c>
      <c r="J1046">
        <v>80</v>
      </c>
      <c r="K1046">
        <v>30</v>
      </c>
      <c r="L1046">
        <v>130</v>
      </c>
      <c r="M1046">
        <v>44</v>
      </c>
      <c r="N1046">
        <v>496</v>
      </c>
      <c r="O1046">
        <v>63</v>
      </c>
      <c r="P1046">
        <v>40</v>
      </c>
      <c r="Q1046">
        <v>-6</v>
      </c>
      <c r="R1046">
        <v>107</v>
      </c>
      <c r="S1046">
        <v>0.82307692307692304</v>
      </c>
      <c r="T1046">
        <v>-0.2</v>
      </c>
      <c r="U1046">
        <v>0.88</v>
      </c>
    </row>
    <row r="1047" spans="1:21" x14ac:dyDescent="0.35">
      <c r="A1047">
        <v>971</v>
      </c>
      <c r="B1047" s="16">
        <v>40330</v>
      </c>
      <c r="C1047" s="15" t="s">
        <v>76</v>
      </c>
      <c r="D1047" s="15" t="s">
        <v>58</v>
      </c>
      <c r="E1047" s="15" t="s">
        <v>43</v>
      </c>
      <c r="F1047" s="15" t="s">
        <v>40</v>
      </c>
      <c r="G1047" s="15" t="s">
        <v>80</v>
      </c>
      <c r="H1047" s="15" t="s">
        <v>42</v>
      </c>
      <c r="I1047">
        <v>50</v>
      </c>
      <c r="J1047">
        <v>90</v>
      </c>
      <c r="K1047">
        <v>40</v>
      </c>
      <c r="L1047">
        <v>140</v>
      </c>
      <c r="M1047">
        <v>47</v>
      </c>
      <c r="N1047">
        <v>456</v>
      </c>
      <c r="O1047">
        <v>65</v>
      </c>
      <c r="P1047">
        <v>15</v>
      </c>
      <c r="Q1047">
        <v>4</v>
      </c>
      <c r="R1047">
        <v>112</v>
      </c>
      <c r="S1047">
        <v>0.8</v>
      </c>
      <c r="T1047">
        <v>0.1</v>
      </c>
      <c r="U1047">
        <v>0.94</v>
      </c>
    </row>
    <row r="1048" spans="1:21" x14ac:dyDescent="0.35">
      <c r="A1048">
        <v>971</v>
      </c>
      <c r="B1048" s="16">
        <v>40330</v>
      </c>
      <c r="C1048" s="15" t="s">
        <v>76</v>
      </c>
      <c r="D1048" s="15" t="s">
        <v>58</v>
      </c>
      <c r="E1048" s="15" t="s">
        <v>51</v>
      </c>
      <c r="F1048" s="15" t="s">
        <v>52</v>
      </c>
      <c r="G1048" s="15" t="s">
        <v>80</v>
      </c>
      <c r="H1048" s="15" t="s">
        <v>45</v>
      </c>
      <c r="I1048">
        <v>20</v>
      </c>
      <c r="J1048">
        <v>40</v>
      </c>
      <c r="K1048">
        <v>40</v>
      </c>
      <c r="L1048">
        <v>60</v>
      </c>
      <c r="M1048">
        <v>28</v>
      </c>
      <c r="N1048">
        <v>816</v>
      </c>
      <c r="O1048">
        <v>41</v>
      </c>
      <c r="P1048">
        <v>7</v>
      </c>
      <c r="Q1048">
        <v>22</v>
      </c>
      <c r="R1048">
        <v>69</v>
      </c>
      <c r="S1048">
        <v>1.1499999999999999</v>
      </c>
      <c r="T1048">
        <v>0.55000000000000004</v>
      </c>
      <c r="U1048">
        <v>1.4</v>
      </c>
    </row>
    <row r="1049" spans="1:21" x14ac:dyDescent="0.35">
      <c r="A1049">
        <v>503</v>
      </c>
      <c r="B1049" s="16">
        <v>40330</v>
      </c>
      <c r="C1049" s="15" t="s">
        <v>76</v>
      </c>
      <c r="D1049" s="15" t="s">
        <v>58</v>
      </c>
      <c r="E1049" s="15" t="s">
        <v>53</v>
      </c>
      <c r="F1049" s="15" t="s">
        <v>52</v>
      </c>
      <c r="G1049" s="15" t="s">
        <v>80</v>
      </c>
      <c r="H1049" s="15" t="s">
        <v>45</v>
      </c>
      <c r="I1049">
        <v>30</v>
      </c>
      <c r="J1049">
        <v>50</v>
      </c>
      <c r="K1049">
        <v>30</v>
      </c>
      <c r="L1049">
        <v>80</v>
      </c>
      <c r="M1049">
        <v>43</v>
      </c>
      <c r="N1049">
        <v>597</v>
      </c>
      <c r="O1049">
        <v>56</v>
      </c>
      <c r="P1049">
        <v>14</v>
      </c>
      <c r="Q1049">
        <v>30</v>
      </c>
      <c r="R1049">
        <v>99</v>
      </c>
      <c r="S1049">
        <v>1.2375</v>
      </c>
      <c r="T1049">
        <v>1</v>
      </c>
      <c r="U1049">
        <v>1.4333333333333333</v>
      </c>
    </row>
    <row r="1050" spans="1:21" x14ac:dyDescent="0.35">
      <c r="A1050">
        <v>503</v>
      </c>
      <c r="B1050" s="16">
        <v>40330</v>
      </c>
      <c r="C1050" s="15" t="s">
        <v>76</v>
      </c>
      <c r="D1050" s="15" t="s">
        <v>58</v>
      </c>
      <c r="E1050" s="15" t="s">
        <v>55</v>
      </c>
      <c r="F1050" s="15" t="s">
        <v>47</v>
      </c>
      <c r="G1050" s="15" t="s">
        <v>80</v>
      </c>
      <c r="H1050" s="15" t="s">
        <v>42</v>
      </c>
      <c r="I1050">
        <v>10</v>
      </c>
      <c r="J1050">
        <v>10</v>
      </c>
      <c r="K1050">
        <v>10</v>
      </c>
      <c r="L1050">
        <v>20</v>
      </c>
      <c r="M1050">
        <v>18</v>
      </c>
      <c r="N1050">
        <v>478</v>
      </c>
      <c r="O1050">
        <v>26</v>
      </c>
      <c r="P1050">
        <v>5</v>
      </c>
      <c r="Q1050">
        <v>9</v>
      </c>
      <c r="R1050">
        <v>44</v>
      </c>
      <c r="S1050">
        <v>2.2000000000000002</v>
      </c>
      <c r="T1050">
        <v>0.9</v>
      </c>
      <c r="U1050">
        <v>1.8</v>
      </c>
    </row>
    <row r="1051" spans="1:21" x14ac:dyDescent="0.35">
      <c r="A1051">
        <v>503</v>
      </c>
      <c r="B1051" s="16">
        <v>40330</v>
      </c>
      <c r="C1051" s="15" t="s">
        <v>76</v>
      </c>
      <c r="D1051" s="15" t="s">
        <v>58</v>
      </c>
      <c r="E1051" s="15" t="s">
        <v>56</v>
      </c>
      <c r="F1051" s="15" t="s">
        <v>47</v>
      </c>
      <c r="G1051" s="15" t="s">
        <v>80</v>
      </c>
      <c r="H1051" s="15" t="s">
        <v>42</v>
      </c>
      <c r="I1051">
        <v>70</v>
      </c>
      <c r="J1051">
        <v>110</v>
      </c>
      <c r="K1051">
        <v>70</v>
      </c>
      <c r="L1051">
        <v>180</v>
      </c>
      <c r="M1051">
        <v>111</v>
      </c>
      <c r="N1051">
        <v>767</v>
      </c>
      <c r="O1051">
        <v>167</v>
      </c>
      <c r="P1051">
        <v>36</v>
      </c>
      <c r="Q1051">
        <v>100</v>
      </c>
      <c r="R1051">
        <v>278</v>
      </c>
      <c r="S1051">
        <v>1.5444444444444445</v>
      </c>
      <c r="T1051">
        <v>1.4285714285714286</v>
      </c>
      <c r="U1051">
        <v>1.5857142857142856</v>
      </c>
    </row>
    <row r="1052" spans="1:21" x14ac:dyDescent="0.35">
      <c r="A1052">
        <v>503</v>
      </c>
      <c r="B1052" s="16">
        <v>40330</v>
      </c>
      <c r="C1052" s="15" t="s">
        <v>76</v>
      </c>
      <c r="D1052" s="15" t="s">
        <v>58</v>
      </c>
      <c r="E1052" s="15" t="s">
        <v>46</v>
      </c>
      <c r="F1052" s="15" t="s">
        <v>47</v>
      </c>
      <c r="G1052" s="15" t="s">
        <v>80</v>
      </c>
      <c r="H1052" s="15" t="s">
        <v>42</v>
      </c>
      <c r="I1052">
        <v>70</v>
      </c>
      <c r="J1052">
        <v>120</v>
      </c>
      <c r="K1052">
        <v>80</v>
      </c>
      <c r="L1052">
        <v>190</v>
      </c>
      <c r="M1052">
        <v>118</v>
      </c>
      <c r="N1052">
        <v>636</v>
      </c>
      <c r="O1052">
        <v>164</v>
      </c>
      <c r="P1052">
        <v>36</v>
      </c>
      <c r="Q1052">
        <v>105</v>
      </c>
      <c r="R1052">
        <v>282</v>
      </c>
      <c r="S1052">
        <v>1.4842105263157894</v>
      </c>
      <c r="T1052">
        <v>1.3125</v>
      </c>
      <c r="U1052">
        <v>1.6857142857142857</v>
      </c>
    </row>
    <row r="1053" spans="1:21" x14ac:dyDescent="0.35">
      <c r="A1053">
        <v>541</v>
      </c>
      <c r="B1053" s="16">
        <v>40330</v>
      </c>
      <c r="C1053" s="15" t="s">
        <v>76</v>
      </c>
      <c r="D1053" s="15" t="s">
        <v>58</v>
      </c>
      <c r="E1053" s="15" t="s">
        <v>44</v>
      </c>
      <c r="F1053" s="15" t="s">
        <v>40</v>
      </c>
      <c r="G1053" s="15" t="s">
        <v>80</v>
      </c>
      <c r="H1053" s="15" t="s">
        <v>45</v>
      </c>
      <c r="I1053">
        <v>40</v>
      </c>
      <c r="J1053">
        <v>70</v>
      </c>
      <c r="K1053">
        <v>40</v>
      </c>
      <c r="L1053">
        <v>110</v>
      </c>
      <c r="M1053">
        <v>38</v>
      </c>
      <c r="N1053">
        <v>414</v>
      </c>
      <c r="O1053">
        <v>55</v>
      </c>
      <c r="P1053">
        <v>12</v>
      </c>
      <c r="Q1053">
        <v>20</v>
      </c>
      <c r="R1053">
        <v>93</v>
      </c>
      <c r="S1053">
        <v>0.84545454545454546</v>
      </c>
      <c r="T1053">
        <v>0.5</v>
      </c>
      <c r="U1053">
        <v>0.95</v>
      </c>
    </row>
    <row r="1054" spans="1:21" x14ac:dyDescent="0.35">
      <c r="A1054">
        <v>206</v>
      </c>
      <c r="B1054" s="16">
        <v>40330</v>
      </c>
      <c r="C1054" s="15" t="s">
        <v>76</v>
      </c>
      <c r="D1054" s="15" t="s">
        <v>58</v>
      </c>
      <c r="E1054" s="15" t="s">
        <v>72</v>
      </c>
      <c r="F1054" s="15" t="s">
        <v>49</v>
      </c>
      <c r="G1054" s="15" t="s">
        <v>81</v>
      </c>
      <c r="H1054" s="15" t="s">
        <v>42</v>
      </c>
      <c r="I1054">
        <v>40</v>
      </c>
      <c r="J1054">
        <v>60</v>
      </c>
      <c r="K1054">
        <v>40</v>
      </c>
      <c r="L1054">
        <v>100</v>
      </c>
      <c r="M1054">
        <v>48</v>
      </c>
      <c r="N1054">
        <v>593</v>
      </c>
      <c r="O1054">
        <v>62</v>
      </c>
      <c r="P1054">
        <v>15</v>
      </c>
      <c r="Q1054">
        <v>34</v>
      </c>
      <c r="R1054">
        <v>110</v>
      </c>
      <c r="S1054">
        <v>1.1000000000000001</v>
      </c>
      <c r="T1054">
        <v>0.85</v>
      </c>
      <c r="U1054">
        <v>1.2</v>
      </c>
    </row>
    <row r="1055" spans="1:21" x14ac:dyDescent="0.35">
      <c r="A1055">
        <v>425</v>
      </c>
      <c r="B1055" s="16">
        <v>40330</v>
      </c>
      <c r="C1055" s="15" t="s">
        <v>76</v>
      </c>
      <c r="D1055" s="15" t="s">
        <v>58</v>
      </c>
      <c r="E1055" s="15" t="s">
        <v>48</v>
      </c>
      <c r="F1055" s="15" t="s">
        <v>49</v>
      </c>
      <c r="G1055" s="15" t="s">
        <v>81</v>
      </c>
      <c r="H1055" s="15" t="s">
        <v>42</v>
      </c>
      <c r="I1055">
        <v>50</v>
      </c>
      <c r="J1055">
        <v>70</v>
      </c>
      <c r="K1055">
        <v>20</v>
      </c>
      <c r="L1055">
        <v>120</v>
      </c>
      <c r="M1055">
        <v>59</v>
      </c>
      <c r="N1055">
        <v>377</v>
      </c>
      <c r="O1055">
        <v>74</v>
      </c>
      <c r="P1055">
        <v>22</v>
      </c>
      <c r="Q1055">
        <v>18</v>
      </c>
      <c r="R1055">
        <v>133</v>
      </c>
      <c r="S1055">
        <v>1.1083333333333334</v>
      </c>
      <c r="T1055">
        <v>0.9</v>
      </c>
      <c r="U1055">
        <v>1.18</v>
      </c>
    </row>
    <row r="1056" spans="1:21" x14ac:dyDescent="0.35">
      <c r="A1056">
        <v>253</v>
      </c>
      <c r="B1056" s="16">
        <v>40330</v>
      </c>
      <c r="C1056" s="15" t="s">
        <v>76</v>
      </c>
      <c r="D1056" s="15" t="s">
        <v>58</v>
      </c>
      <c r="E1056" s="15" t="s">
        <v>50</v>
      </c>
      <c r="F1056" s="15" t="s">
        <v>49</v>
      </c>
      <c r="G1056" s="15" t="s">
        <v>81</v>
      </c>
      <c r="H1056" s="15" t="s">
        <v>45</v>
      </c>
      <c r="I1056">
        <v>70</v>
      </c>
      <c r="J1056">
        <v>90</v>
      </c>
      <c r="K1056">
        <v>60</v>
      </c>
      <c r="L1056">
        <v>160</v>
      </c>
      <c r="M1056">
        <v>81</v>
      </c>
      <c r="N1056">
        <v>1046</v>
      </c>
      <c r="O1056">
        <v>96</v>
      </c>
      <c r="P1056">
        <v>25</v>
      </c>
      <c r="Q1056">
        <v>49</v>
      </c>
      <c r="R1056">
        <v>177</v>
      </c>
      <c r="S1056">
        <v>1.10625</v>
      </c>
      <c r="T1056">
        <v>0.81666666666666665</v>
      </c>
      <c r="U1056">
        <v>1.1571428571428573</v>
      </c>
    </row>
    <row r="1057" spans="1:21" x14ac:dyDescent="0.35">
      <c r="A1057">
        <v>425</v>
      </c>
      <c r="B1057" s="16">
        <v>40330</v>
      </c>
      <c r="C1057" s="15" t="s">
        <v>76</v>
      </c>
      <c r="D1057" s="15" t="s">
        <v>58</v>
      </c>
      <c r="E1057" s="15" t="s">
        <v>43</v>
      </c>
      <c r="F1057" s="15" t="s">
        <v>40</v>
      </c>
      <c r="G1057" s="15" t="s">
        <v>81</v>
      </c>
      <c r="H1057" s="15" t="s">
        <v>42</v>
      </c>
      <c r="I1057">
        <v>90</v>
      </c>
      <c r="J1057">
        <v>150</v>
      </c>
      <c r="K1057">
        <v>110</v>
      </c>
      <c r="L1057">
        <v>240</v>
      </c>
      <c r="M1057">
        <v>79</v>
      </c>
      <c r="N1057">
        <v>425</v>
      </c>
      <c r="O1057">
        <v>114</v>
      </c>
      <c r="P1057">
        <v>25</v>
      </c>
      <c r="Q1057">
        <v>66</v>
      </c>
      <c r="R1057">
        <v>193</v>
      </c>
      <c r="S1057">
        <v>0.8041666666666667</v>
      </c>
      <c r="T1057">
        <v>0.6</v>
      </c>
      <c r="U1057">
        <v>0.87777777777777777</v>
      </c>
    </row>
    <row r="1058" spans="1:21" x14ac:dyDescent="0.35">
      <c r="A1058">
        <v>206</v>
      </c>
      <c r="B1058" s="16">
        <v>40330</v>
      </c>
      <c r="C1058" s="15" t="s">
        <v>76</v>
      </c>
      <c r="D1058" s="15" t="s">
        <v>58</v>
      </c>
      <c r="E1058" s="15" t="s">
        <v>51</v>
      </c>
      <c r="F1058" s="15" t="s">
        <v>52</v>
      </c>
      <c r="G1058" s="15" t="s">
        <v>81</v>
      </c>
      <c r="H1058" s="15" t="s">
        <v>45</v>
      </c>
      <c r="I1058">
        <v>70</v>
      </c>
      <c r="J1058">
        <v>130</v>
      </c>
      <c r="K1058">
        <v>90</v>
      </c>
      <c r="L1058">
        <v>200</v>
      </c>
      <c r="M1058">
        <v>92</v>
      </c>
      <c r="N1058">
        <v>1102</v>
      </c>
      <c r="O1058">
        <v>140</v>
      </c>
      <c r="P1058">
        <v>30</v>
      </c>
      <c r="Q1058">
        <v>79</v>
      </c>
      <c r="R1058">
        <v>232</v>
      </c>
      <c r="S1058">
        <v>1.1599999999999999</v>
      </c>
      <c r="T1058">
        <v>0.87777777777777777</v>
      </c>
      <c r="U1058">
        <v>1.3142857142857143</v>
      </c>
    </row>
    <row r="1059" spans="1:21" x14ac:dyDescent="0.35">
      <c r="A1059">
        <v>509</v>
      </c>
      <c r="B1059" s="16">
        <v>40330</v>
      </c>
      <c r="C1059" s="15" t="s">
        <v>76</v>
      </c>
      <c r="D1059" s="15" t="s">
        <v>58</v>
      </c>
      <c r="E1059" s="15" t="s">
        <v>53</v>
      </c>
      <c r="F1059" s="15" t="s">
        <v>52</v>
      </c>
      <c r="G1059" s="15" t="s">
        <v>81</v>
      </c>
      <c r="H1059" s="15" t="s">
        <v>45</v>
      </c>
      <c r="I1059">
        <v>30</v>
      </c>
      <c r="J1059">
        <v>60</v>
      </c>
      <c r="K1059">
        <v>50</v>
      </c>
      <c r="L1059">
        <v>90</v>
      </c>
      <c r="M1059">
        <v>43</v>
      </c>
      <c r="N1059">
        <v>822</v>
      </c>
      <c r="O1059">
        <v>64</v>
      </c>
      <c r="P1059">
        <v>12</v>
      </c>
      <c r="Q1059">
        <v>40</v>
      </c>
      <c r="R1059">
        <v>107</v>
      </c>
      <c r="S1059">
        <v>1.1888888888888889</v>
      </c>
      <c r="T1059">
        <v>0.8</v>
      </c>
      <c r="U1059">
        <v>1.4333333333333333</v>
      </c>
    </row>
    <row r="1060" spans="1:21" x14ac:dyDescent="0.35">
      <c r="A1060">
        <v>360</v>
      </c>
      <c r="B1060" s="16">
        <v>40330</v>
      </c>
      <c r="C1060" s="15" t="s">
        <v>76</v>
      </c>
      <c r="D1060" s="15" t="s">
        <v>58</v>
      </c>
      <c r="E1060" s="15" t="s">
        <v>55</v>
      </c>
      <c r="F1060" s="15" t="s">
        <v>47</v>
      </c>
      <c r="G1060" s="15" t="s">
        <v>81</v>
      </c>
      <c r="H1060" s="15" t="s">
        <v>42</v>
      </c>
      <c r="I1060">
        <v>30</v>
      </c>
      <c r="J1060">
        <v>50</v>
      </c>
      <c r="K1060">
        <v>30</v>
      </c>
      <c r="L1060">
        <v>80</v>
      </c>
      <c r="M1060">
        <v>47</v>
      </c>
      <c r="N1060">
        <v>371</v>
      </c>
      <c r="O1060">
        <v>78</v>
      </c>
      <c r="P1060">
        <v>14</v>
      </c>
      <c r="Q1060">
        <v>41</v>
      </c>
      <c r="R1060">
        <v>125</v>
      </c>
      <c r="S1060">
        <v>1.5625</v>
      </c>
      <c r="T1060">
        <v>1.3666666666666667</v>
      </c>
      <c r="U1060">
        <v>1.5666666666666667</v>
      </c>
    </row>
    <row r="1061" spans="1:21" x14ac:dyDescent="0.35">
      <c r="A1061">
        <v>206</v>
      </c>
      <c r="B1061" s="16">
        <v>40330</v>
      </c>
      <c r="C1061" s="15" t="s">
        <v>76</v>
      </c>
      <c r="D1061" s="15" t="s">
        <v>58</v>
      </c>
      <c r="E1061" s="15" t="s">
        <v>56</v>
      </c>
      <c r="F1061" s="15" t="s">
        <v>47</v>
      </c>
      <c r="G1061" s="15" t="s">
        <v>81</v>
      </c>
      <c r="H1061" s="15" t="s">
        <v>42</v>
      </c>
      <c r="I1061">
        <v>20</v>
      </c>
      <c r="J1061">
        <v>40</v>
      </c>
      <c r="K1061">
        <v>20</v>
      </c>
      <c r="L1061">
        <v>60</v>
      </c>
      <c r="M1061">
        <v>40</v>
      </c>
      <c r="N1061">
        <v>443</v>
      </c>
      <c r="O1061">
        <v>59</v>
      </c>
      <c r="P1061">
        <v>12</v>
      </c>
      <c r="Q1061">
        <v>24</v>
      </c>
      <c r="R1061">
        <v>99</v>
      </c>
      <c r="S1061">
        <v>1.65</v>
      </c>
      <c r="T1061">
        <v>1.2</v>
      </c>
      <c r="U1061">
        <v>2</v>
      </c>
    </row>
    <row r="1062" spans="1:21" x14ac:dyDescent="0.35">
      <c r="A1062">
        <v>360</v>
      </c>
      <c r="B1062" s="16">
        <v>40330</v>
      </c>
      <c r="C1062" s="15" t="s">
        <v>76</v>
      </c>
      <c r="D1062" s="15" t="s">
        <v>58</v>
      </c>
      <c r="E1062" s="15" t="s">
        <v>46</v>
      </c>
      <c r="F1062" s="15" t="s">
        <v>47</v>
      </c>
      <c r="G1062" s="15" t="s">
        <v>81</v>
      </c>
      <c r="H1062" s="15" t="s">
        <v>42</v>
      </c>
      <c r="I1062">
        <v>30</v>
      </c>
      <c r="J1062">
        <v>50</v>
      </c>
      <c r="K1062">
        <v>0</v>
      </c>
      <c r="L1062">
        <v>80</v>
      </c>
      <c r="M1062">
        <v>53</v>
      </c>
      <c r="N1062">
        <v>597</v>
      </c>
      <c r="O1062">
        <v>75</v>
      </c>
      <c r="P1062">
        <v>48</v>
      </c>
      <c r="Q1062">
        <v>-3</v>
      </c>
      <c r="R1062">
        <v>128</v>
      </c>
      <c r="S1062">
        <v>1.6</v>
      </c>
      <c r="U1062">
        <v>1.7666666666666666</v>
      </c>
    </row>
    <row r="1063" spans="1:21" x14ac:dyDescent="0.35">
      <c r="A1063">
        <v>206</v>
      </c>
      <c r="B1063" s="16">
        <v>40330</v>
      </c>
      <c r="C1063" s="15" t="s">
        <v>76</v>
      </c>
      <c r="D1063" s="15" t="s">
        <v>58</v>
      </c>
      <c r="E1063" s="15" t="s">
        <v>44</v>
      </c>
      <c r="F1063" s="15" t="s">
        <v>40</v>
      </c>
      <c r="G1063" s="15" t="s">
        <v>81</v>
      </c>
      <c r="H1063" s="15" t="s">
        <v>45</v>
      </c>
      <c r="I1063">
        <v>130</v>
      </c>
      <c r="J1063">
        <v>200</v>
      </c>
      <c r="K1063">
        <v>90</v>
      </c>
      <c r="L1063">
        <v>330</v>
      </c>
      <c r="M1063">
        <v>110</v>
      </c>
      <c r="N1063">
        <v>665</v>
      </c>
      <c r="O1063">
        <v>154</v>
      </c>
      <c r="P1063">
        <v>100</v>
      </c>
      <c r="Q1063">
        <v>24</v>
      </c>
      <c r="R1063">
        <v>264</v>
      </c>
      <c r="S1063">
        <v>0.8</v>
      </c>
      <c r="T1063">
        <v>0.26666666666666666</v>
      </c>
      <c r="U1063">
        <v>0.84615384615384615</v>
      </c>
    </row>
    <row r="1064" spans="1:21" x14ac:dyDescent="0.35">
      <c r="A1064">
        <v>303</v>
      </c>
      <c r="B1064" s="16">
        <v>40360</v>
      </c>
      <c r="C1064" s="15" t="s">
        <v>37</v>
      </c>
      <c r="D1064" s="15" t="s">
        <v>38</v>
      </c>
      <c r="E1064" s="15" t="s">
        <v>51</v>
      </c>
      <c r="F1064" s="15" t="s">
        <v>52</v>
      </c>
      <c r="G1064" s="15" t="s">
        <v>41</v>
      </c>
      <c r="H1064" s="15" t="s">
        <v>45</v>
      </c>
      <c r="I1064">
        <v>120</v>
      </c>
      <c r="J1064">
        <v>130</v>
      </c>
      <c r="K1064">
        <v>80</v>
      </c>
      <c r="L1064">
        <v>250</v>
      </c>
      <c r="M1064">
        <v>145</v>
      </c>
      <c r="N1064">
        <v>1304</v>
      </c>
      <c r="O1064">
        <v>146</v>
      </c>
      <c r="P1064">
        <v>40</v>
      </c>
      <c r="Q1064">
        <v>81</v>
      </c>
      <c r="R1064">
        <v>291</v>
      </c>
      <c r="S1064">
        <v>1.1639999999999999</v>
      </c>
      <c r="T1064">
        <v>1.0125</v>
      </c>
      <c r="U1064">
        <v>1.2083333333333333</v>
      </c>
    </row>
    <row r="1065" spans="1:21" x14ac:dyDescent="0.35">
      <c r="A1065">
        <v>970</v>
      </c>
      <c r="B1065" s="16">
        <v>40360</v>
      </c>
      <c r="C1065" s="15" t="s">
        <v>37</v>
      </c>
      <c r="D1065" s="15" t="s">
        <v>38</v>
      </c>
      <c r="E1065" s="15" t="s">
        <v>53</v>
      </c>
      <c r="F1065" s="15" t="s">
        <v>52</v>
      </c>
      <c r="G1065" s="15" t="s">
        <v>41</v>
      </c>
      <c r="H1065" s="15" t="s">
        <v>45</v>
      </c>
      <c r="I1065">
        <v>30</v>
      </c>
      <c r="J1065">
        <v>50</v>
      </c>
      <c r="K1065">
        <v>0</v>
      </c>
      <c r="L1065">
        <v>80</v>
      </c>
      <c r="M1065">
        <v>39</v>
      </c>
      <c r="N1065">
        <v>517</v>
      </c>
      <c r="O1065">
        <v>56</v>
      </c>
      <c r="P1065">
        <v>36</v>
      </c>
      <c r="Q1065">
        <v>-10</v>
      </c>
      <c r="R1065">
        <v>95</v>
      </c>
      <c r="S1065">
        <v>1.1875</v>
      </c>
      <c r="U1065">
        <v>1.3</v>
      </c>
    </row>
    <row r="1066" spans="1:21" x14ac:dyDescent="0.35">
      <c r="A1066">
        <v>720</v>
      </c>
      <c r="B1066" s="16">
        <v>40360</v>
      </c>
      <c r="C1066" s="15" t="s">
        <v>37</v>
      </c>
      <c r="D1066" s="15" t="s">
        <v>38</v>
      </c>
      <c r="E1066" s="15" t="s">
        <v>54</v>
      </c>
      <c r="F1066" s="15" t="s">
        <v>52</v>
      </c>
      <c r="G1066" s="15" t="s">
        <v>41</v>
      </c>
      <c r="H1066" s="15" t="s">
        <v>45</v>
      </c>
      <c r="I1066">
        <v>40</v>
      </c>
      <c r="J1066">
        <v>50</v>
      </c>
      <c r="K1066">
        <v>20</v>
      </c>
      <c r="L1066">
        <v>90</v>
      </c>
      <c r="M1066">
        <v>47</v>
      </c>
      <c r="N1066">
        <v>420</v>
      </c>
      <c r="O1066">
        <v>63</v>
      </c>
      <c r="P1066">
        <v>15</v>
      </c>
      <c r="Q1066">
        <v>21</v>
      </c>
      <c r="R1066">
        <v>110</v>
      </c>
      <c r="S1066">
        <v>1.2222222222222223</v>
      </c>
      <c r="T1066">
        <v>1.05</v>
      </c>
      <c r="U1066">
        <v>1.175</v>
      </c>
    </row>
    <row r="1067" spans="1:21" x14ac:dyDescent="0.35">
      <c r="A1067">
        <v>970</v>
      </c>
      <c r="B1067" s="16">
        <v>40360</v>
      </c>
      <c r="C1067" s="15" t="s">
        <v>37</v>
      </c>
      <c r="D1067" s="15" t="s">
        <v>38</v>
      </c>
      <c r="E1067" s="15" t="s">
        <v>55</v>
      </c>
      <c r="F1067" s="15" t="s">
        <v>47</v>
      </c>
      <c r="G1067" s="15" t="s">
        <v>41</v>
      </c>
      <c r="H1067" s="15" t="s">
        <v>42</v>
      </c>
      <c r="I1067">
        <v>40</v>
      </c>
      <c r="J1067">
        <v>60</v>
      </c>
      <c r="K1067">
        <v>20</v>
      </c>
      <c r="L1067">
        <v>100</v>
      </c>
      <c r="M1067">
        <v>51</v>
      </c>
      <c r="N1067">
        <v>419</v>
      </c>
      <c r="O1067">
        <v>64</v>
      </c>
      <c r="P1067">
        <v>19</v>
      </c>
      <c r="Q1067">
        <v>12</v>
      </c>
      <c r="R1067">
        <v>115</v>
      </c>
      <c r="S1067">
        <v>1.1499999999999999</v>
      </c>
      <c r="T1067">
        <v>0.6</v>
      </c>
      <c r="U1067">
        <v>1.2749999999999999</v>
      </c>
    </row>
    <row r="1068" spans="1:21" x14ac:dyDescent="0.35">
      <c r="A1068">
        <v>720</v>
      </c>
      <c r="B1068" s="16">
        <v>40360</v>
      </c>
      <c r="C1068" s="15" t="s">
        <v>37</v>
      </c>
      <c r="D1068" s="15" t="s">
        <v>38</v>
      </c>
      <c r="E1068" s="15" t="s">
        <v>56</v>
      </c>
      <c r="F1068" s="15" t="s">
        <v>47</v>
      </c>
      <c r="G1068" s="15" t="s">
        <v>41</v>
      </c>
      <c r="H1068" s="15" t="s">
        <v>42</v>
      </c>
      <c r="I1068">
        <v>40</v>
      </c>
      <c r="J1068">
        <v>50</v>
      </c>
      <c r="K1068">
        <v>20</v>
      </c>
      <c r="L1068">
        <v>90</v>
      </c>
      <c r="M1068">
        <v>50</v>
      </c>
      <c r="N1068">
        <v>1051</v>
      </c>
      <c r="O1068">
        <v>59</v>
      </c>
      <c r="P1068">
        <v>15</v>
      </c>
      <c r="Q1068">
        <v>23</v>
      </c>
      <c r="R1068">
        <v>109</v>
      </c>
      <c r="S1068">
        <v>1.211111111111111</v>
      </c>
      <c r="T1068">
        <v>1.1499999999999999</v>
      </c>
      <c r="U1068">
        <v>1.25</v>
      </c>
    </row>
    <row r="1069" spans="1:21" x14ac:dyDescent="0.35">
      <c r="A1069">
        <v>303</v>
      </c>
      <c r="B1069" s="16">
        <v>40360</v>
      </c>
      <c r="C1069" s="15" t="s">
        <v>37</v>
      </c>
      <c r="D1069" s="15" t="s">
        <v>38</v>
      </c>
      <c r="E1069" s="15" t="s">
        <v>46</v>
      </c>
      <c r="F1069" s="15" t="s">
        <v>47</v>
      </c>
      <c r="G1069" s="15" t="s">
        <v>41</v>
      </c>
      <c r="H1069" s="15" t="s">
        <v>42</v>
      </c>
      <c r="I1069">
        <v>30</v>
      </c>
      <c r="J1069">
        <v>50</v>
      </c>
      <c r="K1069">
        <v>30</v>
      </c>
      <c r="L1069">
        <v>80</v>
      </c>
      <c r="M1069">
        <v>41</v>
      </c>
      <c r="N1069">
        <v>592</v>
      </c>
      <c r="O1069">
        <v>53</v>
      </c>
      <c r="P1069">
        <v>13</v>
      </c>
      <c r="Q1069">
        <v>27</v>
      </c>
      <c r="R1069">
        <v>94</v>
      </c>
      <c r="S1069">
        <v>1.175</v>
      </c>
      <c r="T1069">
        <v>0.9</v>
      </c>
      <c r="U1069">
        <v>1.3666666666666667</v>
      </c>
    </row>
    <row r="1070" spans="1:21" x14ac:dyDescent="0.35">
      <c r="A1070">
        <v>303</v>
      </c>
      <c r="B1070" s="16">
        <v>40360</v>
      </c>
      <c r="C1070" s="15" t="s">
        <v>37</v>
      </c>
      <c r="D1070" s="15" t="s">
        <v>38</v>
      </c>
      <c r="E1070" s="15" t="s">
        <v>48</v>
      </c>
      <c r="F1070" s="15" t="s">
        <v>49</v>
      </c>
      <c r="G1070" s="15" t="s">
        <v>41</v>
      </c>
      <c r="H1070" s="15" t="s">
        <v>42</v>
      </c>
      <c r="I1070">
        <v>100</v>
      </c>
      <c r="J1070">
        <v>170</v>
      </c>
      <c r="K1070">
        <v>140</v>
      </c>
      <c r="L1070">
        <v>270</v>
      </c>
      <c r="M1070">
        <v>94</v>
      </c>
      <c r="N1070">
        <v>608</v>
      </c>
      <c r="O1070">
        <v>136</v>
      </c>
      <c r="P1070">
        <v>26</v>
      </c>
      <c r="Q1070">
        <v>98</v>
      </c>
      <c r="R1070">
        <v>230</v>
      </c>
      <c r="S1070">
        <v>0.85185185185185186</v>
      </c>
      <c r="T1070">
        <v>0.7</v>
      </c>
      <c r="U1070">
        <v>0.94</v>
      </c>
    </row>
    <row r="1071" spans="1:21" x14ac:dyDescent="0.35">
      <c r="A1071">
        <v>303</v>
      </c>
      <c r="B1071" s="16">
        <v>40360</v>
      </c>
      <c r="C1071" s="15" t="s">
        <v>37</v>
      </c>
      <c r="D1071" s="15" t="s">
        <v>38</v>
      </c>
      <c r="E1071" s="15" t="s">
        <v>50</v>
      </c>
      <c r="F1071" s="15" t="s">
        <v>49</v>
      </c>
      <c r="G1071" s="15" t="s">
        <v>41</v>
      </c>
      <c r="H1071" s="15" t="s">
        <v>45</v>
      </c>
      <c r="I1071">
        <v>60</v>
      </c>
      <c r="J1071">
        <v>90</v>
      </c>
      <c r="K1071">
        <v>50</v>
      </c>
      <c r="L1071">
        <v>150</v>
      </c>
      <c r="M1071">
        <v>52</v>
      </c>
      <c r="N1071">
        <v>668</v>
      </c>
      <c r="O1071">
        <v>79</v>
      </c>
      <c r="P1071">
        <v>17</v>
      </c>
      <c r="Q1071">
        <v>31</v>
      </c>
      <c r="R1071">
        <v>131</v>
      </c>
      <c r="S1071">
        <v>0.87333333333333329</v>
      </c>
      <c r="T1071">
        <v>0.62</v>
      </c>
      <c r="U1071">
        <v>0.8666666666666667</v>
      </c>
    </row>
    <row r="1072" spans="1:21" x14ac:dyDescent="0.35">
      <c r="A1072">
        <v>970</v>
      </c>
      <c r="B1072" s="16">
        <v>40360</v>
      </c>
      <c r="C1072" s="15" t="s">
        <v>37</v>
      </c>
      <c r="D1072" s="15" t="s">
        <v>38</v>
      </c>
      <c r="E1072" s="15" t="s">
        <v>44</v>
      </c>
      <c r="F1072" s="15" t="s">
        <v>40</v>
      </c>
      <c r="G1072" s="15" t="s">
        <v>41</v>
      </c>
      <c r="H1072" s="15" t="s">
        <v>45</v>
      </c>
      <c r="I1072">
        <v>130</v>
      </c>
      <c r="J1072">
        <v>190</v>
      </c>
      <c r="K1072">
        <v>150</v>
      </c>
      <c r="L1072">
        <v>320</v>
      </c>
      <c r="M1072">
        <v>127</v>
      </c>
      <c r="N1072">
        <v>1007</v>
      </c>
      <c r="O1072">
        <v>185</v>
      </c>
      <c r="P1072">
        <v>35</v>
      </c>
      <c r="Q1072">
        <v>139</v>
      </c>
      <c r="R1072">
        <v>312</v>
      </c>
      <c r="S1072">
        <v>0.97499999999999998</v>
      </c>
      <c r="T1072">
        <v>0.92666666666666664</v>
      </c>
      <c r="U1072">
        <v>0.97692307692307689</v>
      </c>
    </row>
    <row r="1073" spans="1:21" x14ac:dyDescent="0.35">
      <c r="A1073">
        <v>720</v>
      </c>
      <c r="B1073" s="16">
        <v>40360</v>
      </c>
      <c r="C1073" s="15" t="s">
        <v>37</v>
      </c>
      <c r="D1073" s="15" t="s">
        <v>38</v>
      </c>
      <c r="E1073" s="15" t="s">
        <v>39</v>
      </c>
      <c r="F1073" s="15" t="s">
        <v>40</v>
      </c>
      <c r="G1073" s="15" t="s">
        <v>41</v>
      </c>
      <c r="H1073" s="15" t="s">
        <v>42</v>
      </c>
      <c r="I1073">
        <v>110</v>
      </c>
      <c r="J1073">
        <v>150</v>
      </c>
      <c r="K1073">
        <v>120</v>
      </c>
      <c r="L1073">
        <v>260</v>
      </c>
      <c r="M1073">
        <v>104</v>
      </c>
      <c r="N1073">
        <v>952</v>
      </c>
      <c r="O1073">
        <v>152</v>
      </c>
      <c r="P1073">
        <v>29</v>
      </c>
      <c r="Q1073">
        <v>111</v>
      </c>
      <c r="R1073">
        <v>256</v>
      </c>
      <c r="S1073">
        <v>0.98461538461538467</v>
      </c>
      <c r="T1073">
        <v>0.92500000000000004</v>
      </c>
      <c r="U1073">
        <v>0.94545454545454544</v>
      </c>
    </row>
    <row r="1074" spans="1:21" x14ac:dyDescent="0.35">
      <c r="A1074">
        <v>970</v>
      </c>
      <c r="B1074" s="16">
        <v>40360</v>
      </c>
      <c r="C1074" s="15" t="s">
        <v>37</v>
      </c>
      <c r="D1074" s="15" t="s">
        <v>38</v>
      </c>
      <c r="E1074" s="15" t="s">
        <v>43</v>
      </c>
      <c r="F1074" s="15" t="s">
        <v>40</v>
      </c>
      <c r="G1074" s="15" t="s">
        <v>41</v>
      </c>
      <c r="H1074" s="15" t="s">
        <v>42</v>
      </c>
      <c r="I1074">
        <v>90</v>
      </c>
      <c r="J1074">
        <v>110</v>
      </c>
      <c r="K1074">
        <v>80</v>
      </c>
      <c r="L1074">
        <v>200</v>
      </c>
      <c r="M1074">
        <v>87</v>
      </c>
      <c r="N1074">
        <v>564</v>
      </c>
      <c r="O1074">
        <v>112</v>
      </c>
      <c r="P1074">
        <v>28</v>
      </c>
      <c r="Q1074">
        <v>71</v>
      </c>
      <c r="R1074">
        <v>199</v>
      </c>
      <c r="S1074">
        <v>0.995</v>
      </c>
      <c r="T1074">
        <v>0.88749999999999996</v>
      </c>
      <c r="U1074">
        <v>0.96666666666666667</v>
      </c>
    </row>
    <row r="1075" spans="1:21" x14ac:dyDescent="0.35">
      <c r="A1075">
        <v>312</v>
      </c>
      <c r="B1075" s="16">
        <v>40360</v>
      </c>
      <c r="C1075" s="15" t="s">
        <v>37</v>
      </c>
      <c r="D1075" s="15" t="s">
        <v>38</v>
      </c>
      <c r="E1075" s="15" t="s">
        <v>51</v>
      </c>
      <c r="F1075" s="15" t="s">
        <v>52</v>
      </c>
      <c r="G1075" s="15" t="s">
        <v>57</v>
      </c>
      <c r="H1075" s="15" t="s">
        <v>45</v>
      </c>
      <c r="I1075">
        <v>80</v>
      </c>
      <c r="J1075">
        <v>140</v>
      </c>
      <c r="K1075">
        <v>120</v>
      </c>
      <c r="L1075">
        <v>220</v>
      </c>
      <c r="M1075">
        <v>104</v>
      </c>
      <c r="N1075">
        <v>952</v>
      </c>
      <c r="O1075">
        <v>152</v>
      </c>
      <c r="P1075">
        <v>29</v>
      </c>
      <c r="Q1075">
        <v>111</v>
      </c>
      <c r="R1075">
        <v>256</v>
      </c>
      <c r="S1075">
        <v>1.1636363636363636</v>
      </c>
      <c r="T1075">
        <v>0.92500000000000004</v>
      </c>
      <c r="U1075">
        <v>1.3</v>
      </c>
    </row>
    <row r="1076" spans="1:21" x14ac:dyDescent="0.35">
      <c r="A1076">
        <v>312</v>
      </c>
      <c r="B1076" s="16">
        <v>40360</v>
      </c>
      <c r="C1076" s="15" t="s">
        <v>37</v>
      </c>
      <c r="D1076" s="15" t="s">
        <v>38</v>
      </c>
      <c r="E1076" s="15" t="s">
        <v>53</v>
      </c>
      <c r="F1076" s="15" t="s">
        <v>52</v>
      </c>
      <c r="G1076" s="15" t="s">
        <v>57</v>
      </c>
      <c r="H1076" s="15" t="s">
        <v>45</v>
      </c>
      <c r="I1076">
        <v>70</v>
      </c>
      <c r="J1076">
        <v>100</v>
      </c>
      <c r="K1076">
        <v>70</v>
      </c>
      <c r="L1076">
        <v>170</v>
      </c>
      <c r="M1076">
        <v>87</v>
      </c>
      <c r="N1076">
        <v>564</v>
      </c>
      <c r="O1076">
        <v>112</v>
      </c>
      <c r="P1076">
        <v>28</v>
      </c>
      <c r="Q1076">
        <v>72</v>
      </c>
      <c r="R1076">
        <v>199</v>
      </c>
      <c r="S1076">
        <v>1.1705882352941177</v>
      </c>
      <c r="T1076">
        <v>1.0285714285714285</v>
      </c>
      <c r="U1076">
        <v>1.2428571428571429</v>
      </c>
    </row>
    <row r="1077" spans="1:21" x14ac:dyDescent="0.35">
      <c r="A1077">
        <v>815</v>
      </c>
      <c r="B1077" s="16">
        <v>40360</v>
      </c>
      <c r="C1077" s="15" t="s">
        <v>37</v>
      </c>
      <c r="D1077" s="15" t="s">
        <v>38</v>
      </c>
      <c r="E1077" s="15" t="s">
        <v>54</v>
      </c>
      <c r="F1077" s="15" t="s">
        <v>52</v>
      </c>
      <c r="G1077" s="15" t="s">
        <v>57</v>
      </c>
      <c r="H1077" s="15" t="s">
        <v>45</v>
      </c>
      <c r="I1077">
        <v>100</v>
      </c>
      <c r="J1077">
        <v>170</v>
      </c>
      <c r="K1077">
        <v>150</v>
      </c>
      <c r="L1077">
        <v>270</v>
      </c>
      <c r="M1077">
        <v>127</v>
      </c>
      <c r="N1077">
        <v>1007</v>
      </c>
      <c r="O1077">
        <v>185</v>
      </c>
      <c r="P1077">
        <v>35</v>
      </c>
      <c r="Q1077">
        <v>139</v>
      </c>
      <c r="R1077">
        <v>312</v>
      </c>
      <c r="S1077">
        <v>1.1555555555555554</v>
      </c>
      <c r="T1077">
        <v>0.92666666666666664</v>
      </c>
      <c r="U1077">
        <v>1.27</v>
      </c>
    </row>
    <row r="1078" spans="1:21" x14ac:dyDescent="0.35">
      <c r="A1078">
        <v>815</v>
      </c>
      <c r="B1078" s="16">
        <v>40360</v>
      </c>
      <c r="C1078" s="15" t="s">
        <v>37</v>
      </c>
      <c r="D1078" s="15" t="s">
        <v>38</v>
      </c>
      <c r="E1078" s="15" t="s">
        <v>55</v>
      </c>
      <c r="F1078" s="15" t="s">
        <v>47</v>
      </c>
      <c r="G1078" s="15" t="s">
        <v>57</v>
      </c>
      <c r="H1078" s="15" t="s">
        <v>42</v>
      </c>
      <c r="I1078">
        <v>80</v>
      </c>
      <c r="J1078">
        <v>120</v>
      </c>
      <c r="K1078">
        <v>90</v>
      </c>
      <c r="L1078">
        <v>200</v>
      </c>
      <c r="M1078">
        <v>94</v>
      </c>
      <c r="N1078">
        <v>608</v>
      </c>
      <c r="O1078">
        <v>136</v>
      </c>
      <c r="P1078">
        <v>26</v>
      </c>
      <c r="Q1078">
        <v>99</v>
      </c>
      <c r="R1078">
        <v>230</v>
      </c>
      <c r="S1078">
        <v>1.1499999999999999</v>
      </c>
      <c r="T1078">
        <v>1.1000000000000001</v>
      </c>
      <c r="U1078">
        <v>1.175</v>
      </c>
    </row>
    <row r="1079" spans="1:21" x14ac:dyDescent="0.35">
      <c r="A1079">
        <v>815</v>
      </c>
      <c r="B1079" s="16">
        <v>40360</v>
      </c>
      <c r="C1079" s="15" t="s">
        <v>37</v>
      </c>
      <c r="D1079" s="15" t="s">
        <v>38</v>
      </c>
      <c r="E1079" s="15" t="s">
        <v>56</v>
      </c>
      <c r="F1079" s="15" t="s">
        <v>47</v>
      </c>
      <c r="G1079" s="15" t="s">
        <v>57</v>
      </c>
      <c r="H1079" s="15" t="s">
        <v>42</v>
      </c>
      <c r="I1079">
        <v>40</v>
      </c>
      <c r="J1079">
        <v>70</v>
      </c>
      <c r="K1079">
        <v>30</v>
      </c>
      <c r="L1079">
        <v>110</v>
      </c>
      <c r="M1079">
        <v>52</v>
      </c>
      <c r="N1079">
        <v>668</v>
      </c>
      <c r="O1079">
        <v>79</v>
      </c>
      <c r="P1079">
        <v>17</v>
      </c>
      <c r="Q1079">
        <v>31</v>
      </c>
      <c r="R1079">
        <v>131</v>
      </c>
      <c r="S1079">
        <v>1.1909090909090909</v>
      </c>
      <c r="T1079">
        <v>1.0333333333333334</v>
      </c>
      <c r="U1079">
        <v>1.3</v>
      </c>
    </row>
    <row r="1080" spans="1:21" x14ac:dyDescent="0.35">
      <c r="A1080">
        <v>224</v>
      </c>
      <c r="B1080" s="16">
        <v>40360</v>
      </c>
      <c r="C1080" s="15" t="s">
        <v>37</v>
      </c>
      <c r="D1080" s="15" t="s">
        <v>38</v>
      </c>
      <c r="E1080" s="15" t="s">
        <v>48</v>
      </c>
      <c r="F1080" s="15" t="s">
        <v>49</v>
      </c>
      <c r="G1080" s="15" t="s">
        <v>57</v>
      </c>
      <c r="H1080" s="15" t="s">
        <v>42</v>
      </c>
      <c r="I1080">
        <v>330</v>
      </c>
      <c r="J1080">
        <v>470</v>
      </c>
      <c r="K1080">
        <v>340</v>
      </c>
      <c r="L1080">
        <v>800</v>
      </c>
      <c r="M1080">
        <v>291</v>
      </c>
      <c r="N1080">
        <v>1742</v>
      </c>
      <c r="O1080">
        <v>387</v>
      </c>
      <c r="P1080">
        <v>96</v>
      </c>
      <c r="Q1080">
        <v>259</v>
      </c>
      <c r="R1080">
        <v>678</v>
      </c>
      <c r="S1080">
        <v>0.84750000000000003</v>
      </c>
      <c r="T1080">
        <v>0.7617647058823529</v>
      </c>
      <c r="U1080">
        <v>0.88181818181818183</v>
      </c>
    </row>
    <row r="1081" spans="1:21" x14ac:dyDescent="0.35">
      <c r="A1081">
        <v>312</v>
      </c>
      <c r="B1081" s="16">
        <v>40360</v>
      </c>
      <c r="C1081" s="15" t="s">
        <v>37</v>
      </c>
      <c r="D1081" s="15" t="s">
        <v>38</v>
      </c>
      <c r="E1081" s="15" t="s">
        <v>50</v>
      </c>
      <c r="F1081" s="15" t="s">
        <v>49</v>
      </c>
      <c r="G1081" s="15" t="s">
        <v>57</v>
      </c>
      <c r="H1081" s="15" t="s">
        <v>45</v>
      </c>
      <c r="I1081">
        <v>300</v>
      </c>
      <c r="J1081">
        <v>320</v>
      </c>
      <c r="K1081">
        <v>220</v>
      </c>
      <c r="L1081">
        <v>620</v>
      </c>
      <c r="M1081">
        <v>266</v>
      </c>
      <c r="N1081">
        <v>1819</v>
      </c>
      <c r="O1081">
        <v>266</v>
      </c>
      <c r="P1081">
        <v>74</v>
      </c>
      <c r="Q1081">
        <v>168</v>
      </c>
      <c r="R1081">
        <v>532</v>
      </c>
      <c r="S1081">
        <v>0.85806451612903223</v>
      </c>
      <c r="T1081">
        <v>0.76363636363636367</v>
      </c>
      <c r="U1081">
        <v>0.88666666666666671</v>
      </c>
    </row>
    <row r="1082" spans="1:21" x14ac:dyDescent="0.35">
      <c r="A1082">
        <v>217</v>
      </c>
      <c r="B1082" s="16">
        <v>40360</v>
      </c>
      <c r="C1082" s="15" t="s">
        <v>37</v>
      </c>
      <c r="D1082" s="15" t="s">
        <v>38</v>
      </c>
      <c r="E1082" s="15" t="s">
        <v>44</v>
      </c>
      <c r="F1082" s="15" t="s">
        <v>40</v>
      </c>
      <c r="G1082" s="15" t="s">
        <v>57</v>
      </c>
      <c r="H1082" s="15" t="s">
        <v>45</v>
      </c>
      <c r="I1082">
        <v>160</v>
      </c>
      <c r="J1082">
        <v>230</v>
      </c>
      <c r="K1082">
        <v>170</v>
      </c>
      <c r="L1082">
        <v>390</v>
      </c>
      <c r="M1082">
        <v>154</v>
      </c>
      <c r="N1082">
        <v>833</v>
      </c>
      <c r="O1082">
        <v>222</v>
      </c>
      <c r="P1082">
        <v>49</v>
      </c>
      <c r="Q1082">
        <v>150</v>
      </c>
      <c r="R1082">
        <v>376</v>
      </c>
      <c r="S1082">
        <v>0.96410256410256412</v>
      </c>
      <c r="T1082">
        <v>0.88235294117647056</v>
      </c>
      <c r="U1082">
        <v>0.96250000000000002</v>
      </c>
    </row>
    <row r="1083" spans="1:21" x14ac:dyDescent="0.35">
      <c r="A1083">
        <v>312</v>
      </c>
      <c r="B1083" s="16">
        <v>40360</v>
      </c>
      <c r="C1083" s="15" t="s">
        <v>37</v>
      </c>
      <c r="D1083" s="15" t="s">
        <v>38</v>
      </c>
      <c r="E1083" s="15" t="s">
        <v>43</v>
      </c>
      <c r="F1083" s="15" t="s">
        <v>40</v>
      </c>
      <c r="G1083" s="15" t="s">
        <v>57</v>
      </c>
      <c r="H1083" s="15" t="s">
        <v>42</v>
      </c>
      <c r="I1083">
        <v>250</v>
      </c>
      <c r="J1083">
        <v>340</v>
      </c>
      <c r="K1083">
        <v>230</v>
      </c>
      <c r="L1083">
        <v>590</v>
      </c>
      <c r="M1083">
        <v>238</v>
      </c>
      <c r="N1083">
        <v>1190</v>
      </c>
      <c r="O1083">
        <v>329</v>
      </c>
      <c r="P1083">
        <v>78</v>
      </c>
      <c r="Q1083">
        <v>208</v>
      </c>
      <c r="R1083">
        <v>567</v>
      </c>
      <c r="S1083">
        <v>0.96101694915254232</v>
      </c>
      <c r="T1083">
        <v>0.90434782608695652</v>
      </c>
      <c r="U1083">
        <v>0.95199999999999996</v>
      </c>
    </row>
    <row r="1084" spans="1:21" x14ac:dyDescent="0.35">
      <c r="A1084">
        <v>319</v>
      </c>
      <c r="B1084" s="16">
        <v>40360</v>
      </c>
      <c r="C1084" s="15" t="s">
        <v>37</v>
      </c>
      <c r="D1084" s="15" t="s">
        <v>58</v>
      </c>
      <c r="E1084" s="15" t="s">
        <v>51</v>
      </c>
      <c r="F1084" s="15" t="s">
        <v>52</v>
      </c>
      <c r="G1084" s="15" t="s">
        <v>59</v>
      </c>
      <c r="H1084" s="15" t="s">
        <v>45</v>
      </c>
      <c r="I1084">
        <v>250</v>
      </c>
      <c r="J1084">
        <v>340</v>
      </c>
      <c r="K1084">
        <v>240</v>
      </c>
      <c r="L1084">
        <v>590</v>
      </c>
      <c r="M1084">
        <v>291</v>
      </c>
      <c r="N1084">
        <v>1742</v>
      </c>
      <c r="O1084">
        <v>387</v>
      </c>
      <c r="P1084">
        <v>96</v>
      </c>
      <c r="Q1084">
        <v>258</v>
      </c>
      <c r="R1084">
        <v>678</v>
      </c>
      <c r="S1084">
        <v>1.1491525423728814</v>
      </c>
      <c r="T1084">
        <v>1.075</v>
      </c>
      <c r="U1084">
        <v>1.1639999999999999</v>
      </c>
    </row>
    <row r="1085" spans="1:21" x14ac:dyDescent="0.35">
      <c r="A1085">
        <v>319</v>
      </c>
      <c r="B1085" s="16">
        <v>40360</v>
      </c>
      <c r="C1085" s="15" t="s">
        <v>37</v>
      </c>
      <c r="D1085" s="15" t="s">
        <v>58</v>
      </c>
      <c r="E1085" s="15" t="s">
        <v>53</v>
      </c>
      <c r="F1085" s="15" t="s">
        <v>52</v>
      </c>
      <c r="G1085" s="15" t="s">
        <v>59</v>
      </c>
      <c r="H1085" s="15" t="s">
        <v>45</v>
      </c>
      <c r="I1085">
        <v>130</v>
      </c>
      <c r="J1085">
        <v>200</v>
      </c>
      <c r="K1085">
        <v>150</v>
      </c>
      <c r="L1085">
        <v>330</v>
      </c>
      <c r="M1085">
        <v>154</v>
      </c>
      <c r="N1085">
        <v>833</v>
      </c>
      <c r="O1085">
        <v>222</v>
      </c>
      <c r="P1085">
        <v>49</v>
      </c>
      <c r="Q1085">
        <v>150</v>
      </c>
      <c r="R1085">
        <v>376</v>
      </c>
      <c r="S1085">
        <v>1.1393939393939394</v>
      </c>
      <c r="T1085">
        <v>1</v>
      </c>
      <c r="U1085">
        <v>1.1846153846153846</v>
      </c>
    </row>
    <row r="1086" spans="1:21" x14ac:dyDescent="0.35">
      <c r="A1086">
        <v>515</v>
      </c>
      <c r="B1086" s="16">
        <v>40360</v>
      </c>
      <c r="C1086" s="15" t="s">
        <v>37</v>
      </c>
      <c r="D1086" s="15" t="s">
        <v>58</v>
      </c>
      <c r="E1086" s="15" t="s">
        <v>55</v>
      </c>
      <c r="F1086" s="15" t="s">
        <v>47</v>
      </c>
      <c r="G1086" s="15" t="s">
        <v>59</v>
      </c>
      <c r="H1086" s="15" t="s">
        <v>42</v>
      </c>
      <c r="I1086">
        <v>220</v>
      </c>
      <c r="J1086">
        <v>240</v>
      </c>
      <c r="K1086">
        <v>150</v>
      </c>
      <c r="L1086">
        <v>460</v>
      </c>
      <c r="M1086">
        <v>266</v>
      </c>
      <c r="N1086">
        <v>1819</v>
      </c>
      <c r="O1086">
        <v>266</v>
      </c>
      <c r="P1086">
        <v>74</v>
      </c>
      <c r="Q1086">
        <v>167</v>
      </c>
      <c r="R1086">
        <v>532</v>
      </c>
      <c r="S1086">
        <v>1.1565217391304348</v>
      </c>
      <c r="T1086">
        <v>1.1133333333333333</v>
      </c>
      <c r="U1086">
        <v>1.209090909090909</v>
      </c>
    </row>
    <row r="1087" spans="1:21" x14ac:dyDescent="0.35">
      <c r="A1087">
        <v>319</v>
      </c>
      <c r="B1087" s="16">
        <v>40360</v>
      </c>
      <c r="C1087" s="15" t="s">
        <v>37</v>
      </c>
      <c r="D1087" s="15" t="s">
        <v>58</v>
      </c>
      <c r="E1087" s="15" t="s">
        <v>56</v>
      </c>
      <c r="F1087" s="15" t="s">
        <v>47</v>
      </c>
      <c r="G1087" s="15" t="s">
        <v>59</v>
      </c>
      <c r="H1087" s="15" t="s">
        <v>42</v>
      </c>
      <c r="I1087">
        <v>230</v>
      </c>
      <c r="J1087">
        <v>290</v>
      </c>
      <c r="K1087">
        <v>170</v>
      </c>
      <c r="L1087">
        <v>520</v>
      </c>
      <c r="M1087">
        <v>270</v>
      </c>
      <c r="N1087">
        <v>1834</v>
      </c>
      <c r="O1087">
        <v>332</v>
      </c>
      <c r="P1087">
        <v>102</v>
      </c>
      <c r="Q1087">
        <v>197</v>
      </c>
      <c r="R1087">
        <v>602</v>
      </c>
      <c r="S1087">
        <v>1.1576923076923078</v>
      </c>
      <c r="T1087">
        <v>1.1588235294117648</v>
      </c>
      <c r="U1087">
        <v>1.173913043478261</v>
      </c>
    </row>
    <row r="1088" spans="1:21" x14ac:dyDescent="0.35">
      <c r="A1088">
        <v>641</v>
      </c>
      <c r="B1088" s="16">
        <v>40360</v>
      </c>
      <c r="C1088" s="15" t="s">
        <v>37</v>
      </c>
      <c r="D1088" s="15" t="s">
        <v>58</v>
      </c>
      <c r="E1088" s="15" t="s">
        <v>48</v>
      </c>
      <c r="F1088" s="15" t="s">
        <v>49</v>
      </c>
      <c r="G1088" s="15" t="s">
        <v>59</v>
      </c>
      <c r="H1088" s="15" t="s">
        <v>42</v>
      </c>
      <c r="I1088">
        <v>20</v>
      </c>
      <c r="J1088">
        <v>30</v>
      </c>
      <c r="K1088">
        <v>20</v>
      </c>
      <c r="L1088">
        <v>50</v>
      </c>
      <c r="M1088">
        <v>20</v>
      </c>
      <c r="N1088">
        <v>808</v>
      </c>
      <c r="O1088">
        <v>29</v>
      </c>
      <c r="P1088">
        <v>5</v>
      </c>
      <c r="Q1088">
        <v>13</v>
      </c>
      <c r="R1088">
        <v>49</v>
      </c>
      <c r="S1088">
        <v>0.98</v>
      </c>
      <c r="T1088">
        <v>0.65</v>
      </c>
      <c r="U1088">
        <v>1</v>
      </c>
    </row>
    <row r="1089" spans="1:21" x14ac:dyDescent="0.35">
      <c r="A1089">
        <v>641</v>
      </c>
      <c r="B1089" s="16">
        <v>40360</v>
      </c>
      <c r="C1089" s="15" t="s">
        <v>37</v>
      </c>
      <c r="D1089" s="15" t="s">
        <v>58</v>
      </c>
      <c r="E1089" s="15" t="s">
        <v>50</v>
      </c>
      <c r="F1089" s="15" t="s">
        <v>49</v>
      </c>
      <c r="G1089" s="15" t="s">
        <v>59</v>
      </c>
      <c r="H1089" s="15" t="s">
        <v>45</v>
      </c>
      <c r="I1089">
        <v>0</v>
      </c>
      <c r="J1089">
        <v>50</v>
      </c>
      <c r="K1089">
        <v>40</v>
      </c>
      <c r="L1089">
        <v>50</v>
      </c>
      <c r="M1089">
        <v>0</v>
      </c>
      <c r="N1089">
        <v>559</v>
      </c>
      <c r="O1089">
        <v>43</v>
      </c>
      <c r="P1089">
        <v>0</v>
      </c>
      <c r="Q1089">
        <v>31</v>
      </c>
      <c r="R1089">
        <v>43</v>
      </c>
      <c r="S1089">
        <v>0.86</v>
      </c>
      <c r="T1089">
        <v>0.77500000000000002</v>
      </c>
    </row>
    <row r="1090" spans="1:21" x14ac:dyDescent="0.35">
      <c r="A1090">
        <v>712</v>
      </c>
      <c r="B1090" s="16">
        <v>40360</v>
      </c>
      <c r="C1090" s="15" t="s">
        <v>37</v>
      </c>
      <c r="D1090" s="15" t="s">
        <v>58</v>
      </c>
      <c r="E1090" s="15" t="s">
        <v>44</v>
      </c>
      <c r="F1090" s="15" t="s">
        <v>40</v>
      </c>
      <c r="G1090" s="15" t="s">
        <v>59</v>
      </c>
      <c r="H1090" s="15" t="s">
        <v>45</v>
      </c>
      <c r="I1090">
        <v>20</v>
      </c>
      <c r="J1090">
        <v>30</v>
      </c>
      <c r="K1090">
        <v>20</v>
      </c>
      <c r="L1090">
        <v>50</v>
      </c>
      <c r="M1090">
        <v>23</v>
      </c>
      <c r="N1090">
        <v>605</v>
      </c>
      <c r="O1090">
        <v>31</v>
      </c>
      <c r="P1090">
        <v>7</v>
      </c>
      <c r="Q1090">
        <v>12</v>
      </c>
      <c r="R1090">
        <v>54</v>
      </c>
      <c r="S1090">
        <v>1.08</v>
      </c>
      <c r="T1090">
        <v>0.6</v>
      </c>
      <c r="U1090">
        <v>1.1499999999999999</v>
      </c>
    </row>
    <row r="1091" spans="1:21" x14ac:dyDescent="0.35">
      <c r="A1091">
        <v>319</v>
      </c>
      <c r="B1091" s="16">
        <v>40360</v>
      </c>
      <c r="C1091" s="15" t="s">
        <v>37</v>
      </c>
      <c r="D1091" s="15" t="s">
        <v>58</v>
      </c>
      <c r="E1091" s="15" t="s">
        <v>39</v>
      </c>
      <c r="F1091" s="15" t="s">
        <v>40</v>
      </c>
      <c r="G1091" s="15" t="s">
        <v>59</v>
      </c>
      <c r="H1091" s="15" t="s">
        <v>42</v>
      </c>
      <c r="I1091">
        <v>20</v>
      </c>
      <c r="J1091">
        <v>40</v>
      </c>
      <c r="K1091">
        <v>30</v>
      </c>
      <c r="L1091">
        <v>60</v>
      </c>
      <c r="M1091">
        <v>25</v>
      </c>
      <c r="N1091">
        <v>854</v>
      </c>
      <c r="O1091">
        <v>36</v>
      </c>
      <c r="P1091">
        <v>7</v>
      </c>
      <c r="Q1091">
        <v>17</v>
      </c>
      <c r="R1091">
        <v>61</v>
      </c>
      <c r="S1091">
        <v>1.0166666666666666</v>
      </c>
      <c r="T1091">
        <v>0.56666666666666665</v>
      </c>
      <c r="U1091">
        <v>1.25</v>
      </c>
    </row>
    <row r="1092" spans="1:21" x14ac:dyDescent="0.35">
      <c r="A1092">
        <v>712</v>
      </c>
      <c r="B1092" s="16">
        <v>40360</v>
      </c>
      <c r="C1092" s="15" t="s">
        <v>37</v>
      </c>
      <c r="D1092" s="15" t="s">
        <v>58</v>
      </c>
      <c r="E1092" s="15" t="s">
        <v>43</v>
      </c>
      <c r="F1092" s="15" t="s">
        <v>40</v>
      </c>
      <c r="G1092" s="15" t="s">
        <v>59</v>
      </c>
      <c r="H1092" s="15" t="s">
        <v>42</v>
      </c>
      <c r="I1092">
        <v>30</v>
      </c>
      <c r="J1092">
        <v>40</v>
      </c>
      <c r="K1092">
        <v>20</v>
      </c>
      <c r="L1092">
        <v>70</v>
      </c>
      <c r="M1092">
        <v>34</v>
      </c>
      <c r="N1092">
        <v>1010</v>
      </c>
      <c r="O1092">
        <v>41</v>
      </c>
      <c r="P1092">
        <v>10</v>
      </c>
      <c r="Q1092">
        <v>9</v>
      </c>
      <c r="R1092">
        <v>75</v>
      </c>
      <c r="S1092">
        <v>1.0714285714285714</v>
      </c>
      <c r="T1092">
        <v>0.45</v>
      </c>
      <c r="U1092">
        <v>1.1333333333333333</v>
      </c>
    </row>
    <row r="1093" spans="1:21" x14ac:dyDescent="0.35">
      <c r="A1093">
        <v>816</v>
      </c>
      <c r="B1093" s="16">
        <v>40360</v>
      </c>
      <c r="C1093" s="15" t="s">
        <v>37</v>
      </c>
      <c r="D1093" s="15" t="s">
        <v>58</v>
      </c>
      <c r="E1093" s="15" t="s">
        <v>51</v>
      </c>
      <c r="F1093" s="15" t="s">
        <v>52</v>
      </c>
      <c r="G1093" s="15" t="s">
        <v>60</v>
      </c>
      <c r="H1093" s="15" t="s">
        <v>45</v>
      </c>
      <c r="I1093">
        <v>50</v>
      </c>
      <c r="J1093">
        <v>70</v>
      </c>
      <c r="K1093">
        <v>10</v>
      </c>
      <c r="L1093">
        <v>120</v>
      </c>
      <c r="M1093">
        <v>59</v>
      </c>
      <c r="N1093">
        <v>338</v>
      </c>
      <c r="O1093">
        <v>82</v>
      </c>
      <c r="P1093">
        <v>53</v>
      </c>
      <c r="Q1093">
        <v>-1</v>
      </c>
      <c r="R1093">
        <v>141</v>
      </c>
      <c r="S1093">
        <v>1.175</v>
      </c>
      <c r="T1093">
        <v>-0.1</v>
      </c>
      <c r="U1093">
        <v>1.18</v>
      </c>
    </row>
    <row r="1094" spans="1:21" x14ac:dyDescent="0.35">
      <c r="A1094">
        <v>417</v>
      </c>
      <c r="B1094" s="16">
        <v>40360</v>
      </c>
      <c r="C1094" s="15" t="s">
        <v>37</v>
      </c>
      <c r="D1094" s="15" t="s">
        <v>58</v>
      </c>
      <c r="E1094" s="15" t="s">
        <v>53</v>
      </c>
      <c r="F1094" s="15" t="s">
        <v>52</v>
      </c>
      <c r="G1094" s="15" t="s">
        <v>60</v>
      </c>
      <c r="H1094" s="15" t="s">
        <v>45</v>
      </c>
      <c r="I1094">
        <v>100</v>
      </c>
      <c r="J1094">
        <v>40</v>
      </c>
      <c r="K1094">
        <v>0</v>
      </c>
      <c r="L1094">
        <v>140</v>
      </c>
      <c r="M1094">
        <v>120</v>
      </c>
      <c r="N1094">
        <v>1334</v>
      </c>
      <c r="O1094">
        <v>49</v>
      </c>
      <c r="P1094">
        <v>37</v>
      </c>
      <c r="Q1094">
        <v>-12</v>
      </c>
      <c r="R1094">
        <v>169</v>
      </c>
      <c r="S1094">
        <v>1.2071428571428571</v>
      </c>
      <c r="U1094">
        <v>1.2</v>
      </c>
    </row>
    <row r="1095" spans="1:21" x14ac:dyDescent="0.35">
      <c r="A1095">
        <v>636</v>
      </c>
      <c r="B1095" s="16">
        <v>40360</v>
      </c>
      <c r="C1095" s="15" t="s">
        <v>37</v>
      </c>
      <c r="D1095" s="15" t="s">
        <v>58</v>
      </c>
      <c r="E1095" s="15" t="s">
        <v>55</v>
      </c>
      <c r="F1095" s="15" t="s">
        <v>47</v>
      </c>
      <c r="G1095" s="15" t="s">
        <v>60</v>
      </c>
      <c r="H1095" s="15" t="s">
        <v>42</v>
      </c>
      <c r="I1095">
        <v>30</v>
      </c>
      <c r="J1095">
        <v>60</v>
      </c>
      <c r="K1095">
        <v>30</v>
      </c>
      <c r="L1095">
        <v>90</v>
      </c>
      <c r="M1095">
        <v>44</v>
      </c>
      <c r="N1095">
        <v>258</v>
      </c>
      <c r="O1095">
        <v>59</v>
      </c>
      <c r="P1095">
        <v>14</v>
      </c>
      <c r="Q1095">
        <v>17</v>
      </c>
      <c r="R1095">
        <v>103</v>
      </c>
      <c r="S1095">
        <v>1.1444444444444444</v>
      </c>
      <c r="T1095">
        <v>0.56666666666666665</v>
      </c>
      <c r="U1095">
        <v>1.4666666666666666</v>
      </c>
    </row>
    <row r="1096" spans="1:21" x14ac:dyDescent="0.35">
      <c r="A1096">
        <v>816</v>
      </c>
      <c r="B1096" s="16">
        <v>40360</v>
      </c>
      <c r="C1096" s="15" t="s">
        <v>37</v>
      </c>
      <c r="D1096" s="15" t="s">
        <v>58</v>
      </c>
      <c r="E1096" s="15" t="s">
        <v>56</v>
      </c>
      <c r="F1096" s="15" t="s">
        <v>47</v>
      </c>
      <c r="G1096" s="15" t="s">
        <v>60</v>
      </c>
      <c r="H1096" s="15" t="s">
        <v>42</v>
      </c>
      <c r="I1096">
        <v>30</v>
      </c>
      <c r="J1096">
        <v>40</v>
      </c>
      <c r="K1096">
        <v>0</v>
      </c>
      <c r="L1096">
        <v>70</v>
      </c>
      <c r="M1096">
        <v>40</v>
      </c>
      <c r="N1096">
        <v>219</v>
      </c>
      <c r="O1096">
        <v>49</v>
      </c>
      <c r="P1096">
        <v>15</v>
      </c>
      <c r="Q1096">
        <v>1</v>
      </c>
      <c r="R1096">
        <v>89</v>
      </c>
      <c r="S1096">
        <v>1.2714285714285714</v>
      </c>
      <c r="U1096">
        <v>1.3333333333333333</v>
      </c>
    </row>
    <row r="1097" spans="1:21" x14ac:dyDescent="0.35">
      <c r="A1097">
        <v>816</v>
      </c>
      <c r="B1097" s="16">
        <v>40360</v>
      </c>
      <c r="C1097" s="15" t="s">
        <v>37</v>
      </c>
      <c r="D1097" s="15" t="s">
        <v>58</v>
      </c>
      <c r="E1097" s="15" t="s">
        <v>46</v>
      </c>
      <c r="F1097" s="15" t="s">
        <v>47</v>
      </c>
      <c r="G1097" s="15" t="s">
        <v>60</v>
      </c>
      <c r="H1097" s="15" t="s">
        <v>42</v>
      </c>
      <c r="I1097">
        <v>30</v>
      </c>
      <c r="J1097">
        <v>40</v>
      </c>
      <c r="K1097">
        <v>0</v>
      </c>
      <c r="L1097">
        <v>70</v>
      </c>
      <c r="M1097">
        <v>36</v>
      </c>
      <c r="N1097">
        <v>252</v>
      </c>
      <c r="O1097">
        <v>46</v>
      </c>
      <c r="P1097">
        <v>13</v>
      </c>
      <c r="Q1097">
        <v>0</v>
      </c>
      <c r="R1097">
        <v>82</v>
      </c>
      <c r="S1097">
        <v>1.1714285714285715</v>
      </c>
      <c r="U1097">
        <v>1.2</v>
      </c>
    </row>
    <row r="1098" spans="1:21" x14ac:dyDescent="0.35">
      <c r="A1098">
        <v>573</v>
      </c>
      <c r="B1098" s="16">
        <v>40360</v>
      </c>
      <c r="C1098" s="15" t="s">
        <v>37</v>
      </c>
      <c r="D1098" s="15" t="s">
        <v>58</v>
      </c>
      <c r="E1098" s="15" t="s">
        <v>48</v>
      </c>
      <c r="F1098" s="15" t="s">
        <v>49</v>
      </c>
      <c r="G1098" s="15" t="s">
        <v>60</v>
      </c>
      <c r="H1098" s="15" t="s">
        <v>42</v>
      </c>
      <c r="I1098">
        <v>40</v>
      </c>
      <c r="J1098">
        <v>60</v>
      </c>
      <c r="K1098">
        <v>40</v>
      </c>
      <c r="L1098">
        <v>100</v>
      </c>
      <c r="M1098">
        <v>35</v>
      </c>
      <c r="N1098">
        <v>894</v>
      </c>
      <c r="O1098">
        <v>52</v>
      </c>
      <c r="P1098">
        <v>9</v>
      </c>
      <c r="Q1098">
        <v>32</v>
      </c>
      <c r="R1098">
        <v>87</v>
      </c>
      <c r="S1098">
        <v>0.87</v>
      </c>
      <c r="T1098">
        <v>0.8</v>
      </c>
      <c r="U1098">
        <v>0.875</v>
      </c>
    </row>
    <row r="1099" spans="1:21" x14ac:dyDescent="0.35">
      <c r="A1099">
        <v>314</v>
      </c>
      <c r="B1099" s="16">
        <v>40360</v>
      </c>
      <c r="C1099" s="15" t="s">
        <v>37</v>
      </c>
      <c r="D1099" s="15" t="s">
        <v>58</v>
      </c>
      <c r="E1099" s="15" t="s">
        <v>50</v>
      </c>
      <c r="F1099" s="15" t="s">
        <v>49</v>
      </c>
      <c r="G1099" s="15" t="s">
        <v>60</v>
      </c>
      <c r="H1099" s="15" t="s">
        <v>45</v>
      </c>
      <c r="I1099">
        <v>40</v>
      </c>
      <c r="J1099">
        <v>70</v>
      </c>
      <c r="K1099">
        <v>50</v>
      </c>
      <c r="L1099">
        <v>110</v>
      </c>
      <c r="M1099">
        <v>39</v>
      </c>
      <c r="N1099">
        <v>845</v>
      </c>
      <c r="O1099">
        <v>57</v>
      </c>
      <c r="P1099">
        <v>10</v>
      </c>
      <c r="Q1099">
        <v>35</v>
      </c>
      <c r="R1099">
        <v>96</v>
      </c>
      <c r="S1099">
        <v>0.87272727272727268</v>
      </c>
      <c r="T1099">
        <v>0.7</v>
      </c>
      <c r="U1099">
        <v>0.97499999999999998</v>
      </c>
    </row>
    <row r="1100" spans="1:21" x14ac:dyDescent="0.35">
      <c r="A1100">
        <v>314</v>
      </c>
      <c r="B1100" s="16">
        <v>40360</v>
      </c>
      <c r="C1100" s="15" t="s">
        <v>37</v>
      </c>
      <c r="D1100" s="15" t="s">
        <v>58</v>
      </c>
      <c r="E1100" s="15" t="s">
        <v>44</v>
      </c>
      <c r="F1100" s="15" t="s">
        <v>40</v>
      </c>
      <c r="G1100" s="15" t="s">
        <v>60</v>
      </c>
      <c r="H1100" s="15" t="s">
        <v>45</v>
      </c>
      <c r="I1100">
        <v>60</v>
      </c>
      <c r="J1100">
        <v>70</v>
      </c>
      <c r="K1100">
        <v>40</v>
      </c>
      <c r="L1100">
        <v>130</v>
      </c>
      <c r="M1100">
        <v>60</v>
      </c>
      <c r="N1100">
        <v>1070</v>
      </c>
      <c r="O1100">
        <v>72</v>
      </c>
      <c r="P1100">
        <v>18</v>
      </c>
      <c r="Q1100">
        <v>32</v>
      </c>
      <c r="R1100">
        <v>132</v>
      </c>
      <c r="S1100">
        <v>1.0153846153846153</v>
      </c>
      <c r="T1100">
        <v>0.8</v>
      </c>
      <c r="U1100">
        <v>1</v>
      </c>
    </row>
    <row r="1101" spans="1:21" x14ac:dyDescent="0.35">
      <c r="A1101">
        <v>636</v>
      </c>
      <c r="B1101" s="16">
        <v>40360</v>
      </c>
      <c r="C1101" s="15" t="s">
        <v>37</v>
      </c>
      <c r="D1101" s="15" t="s">
        <v>58</v>
      </c>
      <c r="E1101" s="15" t="s">
        <v>43</v>
      </c>
      <c r="F1101" s="15" t="s">
        <v>40</v>
      </c>
      <c r="G1101" s="15" t="s">
        <v>60</v>
      </c>
      <c r="H1101" s="15" t="s">
        <v>42</v>
      </c>
      <c r="I1101">
        <v>80</v>
      </c>
      <c r="J1101">
        <v>90</v>
      </c>
      <c r="K1101">
        <v>40</v>
      </c>
      <c r="L1101">
        <v>170</v>
      </c>
      <c r="M1101">
        <v>76</v>
      </c>
      <c r="N1101">
        <v>613</v>
      </c>
      <c r="O1101">
        <v>93</v>
      </c>
      <c r="P1101">
        <v>28</v>
      </c>
      <c r="Q1101">
        <v>31</v>
      </c>
      <c r="R1101">
        <v>169</v>
      </c>
      <c r="S1101">
        <v>0.99411764705882355</v>
      </c>
      <c r="T1101">
        <v>0.77500000000000002</v>
      </c>
      <c r="U1101">
        <v>0.95</v>
      </c>
    </row>
    <row r="1102" spans="1:21" x14ac:dyDescent="0.35">
      <c r="A1102">
        <v>740</v>
      </c>
      <c r="B1102" s="16">
        <v>40360</v>
      </c>
      <c r="C1102" s="15" t="s">
        <v>37</v>
      </c>
      <c r="D1102" s="15" t="s">
        <v>38</v>
      </c>
      <c r="E1102" s="15" t="s">
        <v>51</v>
      </c>
      <c r="F1102" s="15" t="s">
        <v>52</v>
      </c>
      <c r="G1102" s="15" t="s">
        <v>61</v>
      </c>
      <c r="H1102" s="15" t="s">
        <v>45</v>
      </c>
      <c r="I1102">
        <v>10</v>
      </c>
      <c r="J1102">
        <v>20</v>
      </c>
      <c r="K1102">
        <v>20</v>
      </c>
      <c r="L1102">
        <v>30</v>
      </c>
      <c r="M1102">
        <v>18</v>
      </c>
      <c r="N1102">
        <v>486</v>
      </c>
      <c r="O1102">
        <v>26</v>
      </c>
      <c r="P1102">
        <v>5</v>
      </c>
      <c r="Q1102">
        <v>9</v>
      </c>
      <c r="R1102">
        <v>44</v>
      </c>
      <c r="S1102">
        <v>1.4666666666666666</v>
      </c>
      <c r="T1102">
        <v>0.45</v>
      </c>
      <c r="U1102">
        <v>1.8</v>
      </c>
    </row>
    <row r="1103" spans="1:21" x14ac:dyDescent="0.35">
      <c r="A1103">
        <v>614</v>
      </c>
      <c r="B1103" s="16">
        <v>40360</v>
      </c>
      <c r="C1103" s="15" t="s">
        <v>37</v>
      </c>
      <c r="D1103" s="15" t="s">
        <v>38</v>
      </c>
      <c r="E1103" s="15" t="s">
        <v>53</v>
      </c>
      <c r="F1103" s="15" t="s">
        <v>52</v>
      </c>
      <c r="G1103" s="15" t="s">
        <v>61</v>
      </c>
      <c r="H1103" s="15" t="s">
        <v>45</v>
      </c>
      <c r="I1103">
        <v>10</v>
      </c>
      <c r="J1103">
        <v>40</v>
      </c>
      <c r="K1103">
        <v>40</v>
      </c>
      <c r="L1103">
        <v>50</v>
      </c>
      <c r="M1103">
        <v>23</v>
      </c>
      <c r="N1103">
        <v>868</v>
      </c>
      <c r="O1103">
        <v>34</v>
      </c>
      <c r="P1103">
        <v>6</v>
      </c>
      <c r="Q1103">
        <v>16</v>
      </c>
      <c r="R1103">
        <v>57</v>
      </c>
      <c r="S1103">
        <v>1.1399999999999999</v>
      </c>
      <c r="T1103">
        <v>0.4</v>
      </c>
      <c r="U1103">
        <v>2.2999999999999998</v>
      </c>
    </row>
    <row r="1104" spans="1:21" x14ac:dyDescent="0.35">
      <c r="A1104">
        <v>740</v>
      </c>
      <c r="B1104" s="16">
        <v>40360</v>
      </c>
      <c r="C1104" s="15" t="s">
        <v>37</v>
      </c>
      <c r="D1104" s="15" t="s">
        <v>38</v>
      </c>
      <c r="E1104" s="15" t="s">
        <v>55</v>
      </c>
      <c r="F1104" s="15" t="s">
        <v>47</v>
      </c>
      <c r="G1104" s="15" t="s">
        <v>61</v>
      </c>
      <c r="H1104" s="15" t="s">
        <v>42</v>
      </c>
      <c r="I1104">
        <v>90</v>
      </c>
      <c r="J1104">
        <v>160</v>
      </c>
      <c r="K1104">
        <v>100</v>
      </c>
      <c r="L1104">
        <v>250</v>
      </c>
      <c r="M1104">
        <v>114</v>
      </c>
      <c r="N1104">
        <v>822</v>
      </c>
      <c r="O1104">
        <v>172</v>
      </c>
      <c r="P1104">
        <v>37</v>
      </c>
      <c r="Q1104">
        <v>104</v>
      </c>
      <c r="R1104">
        <v>286</v>
      </c>
      <c r="S1104">
        <v>1.1439999999999999</v>
      </c>
      <c r="T1104">
        <v>1.04</v>
      </c>
      <c r="U1104">
        <v>1.2666666666666666</v>
      </c>
    </row>
    <row r="1105" spans="1:21" x14ac:dyDescent="0.35">
      <c r="A1105">
        <v>513</v>
      </c>
      <c r="B1105" s="16">
        <v>40360</v>
      </c>
      <c r="C1105" s="15" t="s">
        <v>37</v>
      </c>
      <c r="D1105" s="15" t="s">
        <v>38</v>
      </c>
      <c r="E1105" s="15" t="s">
        <v>56</v>
      </c>
      <c r="F1105" s="15" t="s">
        <v>47</v>
      </c>
      <c r="G1105" s="15" t="s">
        <v>61</v>
      </c>
      <c r="H1105" s="15" t="s">
        <v>42</v>
      </c>
      <c r="I1105">
        <v>120</v>
      </c>
      <c r="J1105">
        <v>170</v>
      </c>
      <c r="K1105">
        <v>110</v>
      </c>
      <c r="L1105">
        <v>290</v>
      </c>
      <c r="M1105">
        <v>141</v>
      </c>
      <c r="N1105">
        <v>692</v>
      </c>
      <c r="O1105">
        <v>195</v>
      </c>
      <c r="P1105">
        <v>43</v>
      </c>
      <c r="Q1105">
        <v>128</v>
      </c>
      <c r="R1105">
        <v>336</v>
      </c>
      <c r="S1105">
        <v>1.1586206896551725</v>
      </c>
      <c r="T1105">
        <v>1.1636363636363636</v>
      </c>
      <c r="U1105">
        <v>1.175</v>
      </c>
    </row>
    <row r="1106" spans="1:21" x14ac:dyDescent="0.35">
      <c r="A1106">
        <v>216</v>
      </c>
      <c r="B1106" s="16">
        <v>40360</v>
      </c>
      <c r="C1106" s="15" t="s">
        <v>37</v>
      </c>
      <c r="D1106" s="15" t="s">
        <v>38</v>
      </c>
      <c r="E1106" s="15" t="s">
        <v>48</v>
      </c>
      <c r="F1106" s="15" t="s">
        <v>49</v>
      </c>
      <c r="G1106" s="15" t="s">
        <v>61</v>
      </c>
      <c r="H1106" s="15" t="s">
        <v>42</v>
      </c>
      <c r="I1106">
        <v>160</v>
      </c>
      <c r="J1106">
        <v>180</v>
      </c>
      <c r="K1106">
        <v>120</v>
      </c>
      <c r="L1106">
        <v>340</v>
      </c>
      <c r="M1106">
        <v>145</v>
      </c>
      <c r="N1106">
        <v>1304</v>
      </c>
      <c r="O1106">
        <v>146</v>
      </c>
      <c r="P1106">
        <v>40</v>
      </c>
      <c r="Q1106">
        <v>81</v>
      </c>
      <c r="R1106">
        <v>291</v>
      </c>
      <c r="S1106">
        <v>0.85588235294117643</v>
      </c>
      <c r="T1106">
        <v>0.67500000000000004</v>
      </c>
      <c r="U1106">
        <v>0.90625</v>
      </c>
    </row>
    <row r="1107" spans="1:21" x14ac:dyDescent="0.35">
      <c r="A1107">
        <v>513</v>
      </c>
      <c r="B1107" s="16">
        <v>40360</v>
      </c>
      <c r="C1107" s="15" t="s">
        <v>37</v>
      </c>
      <c r="D1107" s="15" t="s">
        <v>38</v>
      </c>
      <c r="E1107" s="15" t="s">
        <v>50</v>
      </c>
      <c r="F1107" s="15" t="s">
        <v>49</v>
      </c>
      <c r="G1107" s="15" t="s">
        <v>61</v>
      </c>
      <c r="H1107" s="15" t="s">
        <v>45</v>
      </c>
      <c r="I1107">
        <v>50</v>
      </c>
      <c r="J1107">
        <v>80</v>
      </c>
      <c r="K1107">
        <v>30</v>
      </c>
      <c r="L1107">
        <v>130</v>
      </c>
      <c r="M1107">
        <v>51</v>
      </c>
      <c r="N1107">
        <v>419</v>
      </c>
      <c r="O1107">
        <v>64</v>
      </c>
      <c r="P1107">
        <v>19</v>
      </c>
      <c r="Q1107">
        <v>11</v>
      </c>
      <c r="R1107">
        <v>115</v>
      </c>
      <c r="S1107">
        <v>0.88461538461538458</v>
      </c>
      <c r="T1107">
        <v>0.36666666666666664</v>
      </c>
      <c r="U1107">
        <v>1.02</v>
      </c>
    </row>
    <row r="1108" spans="1:21" x14ac:dyDescent="0.35">
      <c r="A1108">
        <v>614</v>
      </c>
      <c r="B1108" s="16">
        <v>40360</v>
      </c>
      <c r="C1108" s="15" t="s">
        <v>37</v>
      </c>
      <c r="D1108" s="15" t="s">
        <v>38</v>
      </c>
      <c r="E1108" s="15" t="s">
        <v>39</v>
      </c>
      <c r="F1108" s="15" t="s">
        <v>40</v>
      </c>
      <c r="G1108" s="15" t="s">
        <v>61</v>
      </c>
      <c r="H1108" s="15" t="s">
        <v>42</v>
      </c>
      <c r="I1108">
        <v>40</v>
      </c>
      <c r="J1108">
        <v>70</v>
      </c>
      <c r="K1108">
        <v>40</v>
      </c>
      <c r="L1108">
        <v>110</v>
      </c>
      <c r="M1108">
        <v>47</v>
      </c>
      <c r="N1108">
        <v>420</v>
      </c>
      <c r="O1108">
        <v>63</v>
      </c>
      <c r="P1108">
        <v>15</v>
      </c>
      <c r="Q1108">
        <v>20</v>
      </c>
      <c r="R1108">
        <v>110</v>
      </c>
      <c r="S1108">
        <v>1</v>
      </c>
      <c r="T1108">
        <v>0.5</v>
      </c>
      <c r="U1108">
        <v>1.175</v>
      </c>
    </row>
    <row r="1109" spans="1:21" x14ac:dyDescent="0.35">
      <c r="A1109">
        <v>513</v>
      </c>
      <c r="B1109" s="16">
        <v>40360</v>
      </c>
      <c r="C1109" s="15" t="s">
        <v>37</v>
      </c>
      <c r="D1109" s="15" t="s">
        <v>38</v>
      </c>
      <c r="E1109" s="15" t="s">
        <v>43</v>
      </c>
      <c r="F1109" s="15" t="s">
        <v>40</v>
      </c>
      <c r="G1109" s="15" t="s">
        <v>61</v>
      </c>
      <c r="H1109" s="15" t="s">
        <v>42</v>
      </c>
      <c r="I1109">
        <v>30</v>
      </c>
      <c r="J1109">
        <v>50</v>
      </c>
      <c r="K1109">
        <v>30</v>
      </c>
      <c r="L1109">
        <v>80</v>
      </c>
      <c r="M1109">
        <v>34</v>
      </c>
      <c r="N1109">
        <v>432</v>
      </c>
      <c r="O1109">
        <v>51</v>
      </c>
      <c r="P1109">
        <v>10</v>
      </c>
      <c r="Q1109">
        <v>18</v>
      </c>
      <c r="R1109">
        <v>85</v>
      </c>
      <c r="S1109">
        <v>1.0625</v>
      </c>
      <c r="T1109">
        <v>0.6</v>
      </c>
      <c r="U1109">
        <v>1.1333333333333333</v>
      </c>
    </row>
    <row r="1110" spans="1:21" x14ac:dyDescent="0.35">
      <c r="A1110">
        <v>330</v>
      </c>
      <c r="B1110" s="16">
        <v>40360</v>
      </c>
      <c r="C1110" s="15" t="s">
        <v>37</v>
      </c>
      <c r="D1110" s="15" t="s">
        <v>38</v>
      </c>
      <c r="E1110" s="15" t="s">
        <v>44</v>
      </c>
      <c r="F1110" s="15" t="s">
        <v>40</v>
      </c>
      <c r="G1110" s="15" t="s">
        <v>61</v>
      </c>
      <c r="H1110" s="15" t="s">
        <v>45</v>
      </c>
      <c r="I1110">
        <v>40</v>
      </c>
      <c r="J1110">
        <v>50</v>
      </c>
      <c r="K1110">
        <v>0</v>
      </c>
      <c r="L1110">
        <v>90</v>
      </c>
      <c r="M1110">
        <v>39</v>
      </c>
      <c r="N1110">
        <v>517</v>
      </c>
      <c r="O1110">
        <v>56</v>
      </c>
      <c r="P1110">
        <v>36</v>
      </c>
      <c r="Q1110">
        <v>-9</v>
      </c>
      <c r="R1110">
        <v>95</v>
      </c>
      <c r="S1110">
        <v>1.0555555555555556</v>
      </c>
      <c r="U1110">
        <v>0.97499999999999998</v>
      </c>
    </row>
    <row r="1111" spans="1:21" x14ac:dyDescent="0.35">
      <c r="A1111">
        <v>920</v>
      </c>
      <c r="B1111" s="16">
        <v>40360</v>
      </c>
      <c r="C1111" s="15" t="s">
        <v>37</v>
      </c>
      <c r="D1111" s="15" t="s">
        <v>58</v>
      </c>
      <c r="E1111" s="15" t="s">
        <v>51</v>
      </c>
      <c r="F1111" s="15" t="s">
        <v>52</v>
      </c>
      <c r="G1111" s="15" t="s">
        <v>62</v>
      </c>
      <c r="H1111" s="15" t="s">
        <v>45</v>
      </c>
      <c r="I1111">
        <v>30</v>
      </c>
      <c r="J1111">
        <v>60</v>
      </c>
      <c r="K1111">
        <v>40</v>
      </c>
      <c r="L1111">
        <v>90</v>
      </c>
      <c r="M1111">
        <v>39</v>
      </c>
      <c r="N1111">
        <v>380</v>
      </c>
      <c r="O1111">
        <v>65</v>
      </c>
      <c r="P1111">
        <v>12</v>
      </c>
      <c r="Q1111">
        <v>29</v>
      </c>
      <c r="R1111">
        <v>104</v>
      </c>
      <c r="S1111">
        <v>1.1555555555555554</v>
      </c>
      <c r="T1111">
        <v>0.72499999999999998</v>
      </c>
      <c r="U1111">
        <v>1.3</v>
      </c>
    </row>
    <row r="1112" spans="1:21" x14ac:dyDescent="0.35">
      <c r="A1112">
        <v>262</v>
      </c>
      <c r="B1112" s="16">
        <v>40360</v>
      </c>
      <c r="C1112" s="15" t="s">
        <v>37</v>
      </c>
      <c r="D1112" s="15" t="s">
        <v>58</v>
      </c>
      <c r="E1112" s="15" t="s">
        <v>53</v>
      </c>
      <c r="F1112" s="15" t="s">
        <v>52</v>
      </c>
      <c r="G1112" s="15" t="s">
        <v>62</v>
      </c>
      <c r="H1112" s="15" t="s">
        <v>45</v>
      </c>
      <c r="I1112">
        <v>50</v>
      </c>
      <c r="J1112">
        <v>70</v>
      </c>
      <c r="K1112">
        <v>60</v>
      </c>
      <c r="L1112">
        <v>120</v>
      </c>
      <c r="M1112">
        <v>59</v>
      </c>
      <c r="N1112">
        <v>870</v>
      </c>
      <c r="O1112">
        <v>85</v>
      </c>
      <c r="P1112">
        <v>16</v>
      </c>
      <c r="Q1112">
        <v>58</v>
      </c>
      <c r="R1112">
        <v>144</v>
      </c>
      <c r="S1112">
        <v>1.2</v>
      </c>
      <c r="T1112">
        <v>0.96666666666666667</v>
      </c>
      <c r="U1112">
        <v>1.18</v>
      </c>
    </row>
    <row r="1113" spans="1:21" x14ac:dyDescent="0.35">
      <c r="A1113">
        <v>920</v>
      </c>
      <c r="B1113" s="16">
        <v>40360</v>
      </c>
      <c r="C1113" s="15" t="s">
        <v>37</v>
      </c>
      <c r="D1113" s="15" t="s">
        <v>58</v>
      </c>
      <c r="E1113" s="15" t="s">
        <v>55</v>
      </c>
      <c r="F1113" s="15" t="s">
        <v>47</v>
      </c>
      <c r="G1113" s="15" t="s">
        <v>62</v>
      </c>
      <c r="H1113" s="15" t="s">
        <v>42</v>
      </c>
      <c r="I1113">
        <v>30</v>
      </c>
      <c r="J1113">
        <v>40</v>
      </c>
      <c r="K1113">
        <v>10</v>
      </c>
      <c r="L1113">
        <v>70</v>
      </c>
      <c r="M1113">
        <v>36</v>
      </c>
      <c r="N1113">
        <v>462</v>
      </c>
      <c r="O1113">
        <v>54</v>
      </c>
      <c r="P1113">
        <v>11</v>
      </c>
      <c r="Q1113">
        <v>21</v>
      </c>
      <c r="R1113">
        <v>90</v>
      </c>
      <c r="S1113">
        <v>1.2857142857142858</v>
      </c>
      <c r="T1113">
        <v>2.1</v>
      </c>
      <c r="U1113">
        <v>1.2</v>
      </c>
    </row>
    <row r="1114" spans="1:21" x14ac:dyDescent="0.35">
      <c r="A1114">
        <v>608</v>
      </c>
      <c r="B1114" s="16">
        <v>40360</v>
      </c>
      <c r="C1114" s="15" t="s">
        <v>37</v>
      </c>
      <c r="D1114" s="15" t="s">
        <v>58</v>
      </c>
      <c r="E1114" s="15" t="s">
        <v>56</v>
      </c>
      <c r="F1114" s="15" t="s">
        <v>47</v>
      </c>
      <c r="G1114" s="15" t="s">
        <v>62</v>
      </c>
      <c r="H1114" s="15" t="s">
        <v>42</v>
      </c>
      <c r="I1114">
        <v>40</v>
      </c>
      <c r="J1114">
        <v>50</v>
      </c>
      <c r="K1114">
        <v>0</v>
      </c>
      <c r="L1114">
        <v>90</v>
      </c>
      <c r="M1114">
        <v>47</v>
      </c>
      <c r="N1114">
        <v>622</v>
      </c>
      <c r="O1114">
        <v>66</v>
      </c>
      <c r="P1114">
        <v>42</v>
      </c>
      <c r="Q1114">
        <v>-6</v>
      </c>
      <c r="R1114">
        <v>113</v>
      </c>
      <c r="S1114">
        <v>1.2555555555555555</v>
      </c>
      <c r="U1114">
        <v>1.175</v>
      </c>
    </row>
    <row r="1115" spans="1:21" x14ac:dyDescent="0.35">
      <c r="A1115">
        <v>608</v>
      </c>
      <c r="B1115" s="16">
        <v>40360</v>
      </c>
      <c r="C1115" s="15" t="s">
        <v>37</v>
      </c>
      <c r="D1115" s="15" t="s">
        <v>58</v>
      </c>
      <c r="E1115" s="15" t="s">
        <v>48</v>
      </c>
      <c r="F1115" s="15" t="s">
        <v>49</v>
      </c>
      <c r="G1115" s="15" t="s">
        <v>62</v>
      </c>
      <c r="H1115" s="15" t="s">
        <v>42</v>
      </c>
      <c r="I1115">
        <v>90</v>
      </c>
      <c r="J1115">
        <v>130</v>
      </c>
      <c r="K1115">
        <v>90</v>
      </c>
      <c r="L1115">
        <v>220</v>
      </c>
      <c r="M1115">
        <v>86</v>
      </c>
      <c r="N1115">
        <v>1081</v>
      </c>
      <c r="O1115">
        <v>103</v>
      </c>
      <c r="P1115">
        <v>26</v>
      </c>
      <c r="Q1115">
        <v>56</v>
      </c>
      <c r="R1115">
        <v>189</v>
      </c>
      <c r="S1115">
        <v>0.85909090909090913</v>
      </c>
      <c r="T1115">
        <v>0.62222222222222223</v>
      </c>
      <c r="U1115">
        <v>0.9555555555555556</v>
      </c>
    </row>
    <row r="1116" spans="1:21" x14ac:dyDescent="0.35">
      <c r="A1116">
        <v>920</v>
      </c>
      <c r="B1116" s="16">
        <v>40360</v>
      </c>
      <c r="C1116" s="15" t="s">
        <v>37</v>
      </c>
      <c r="D1116" s="15" t="s">
        <v>58</v>
      </c>
      <c r="E1116" s="15" t="s">
        <v>50</v>
      </c>
      <c r="F1116" s="15" t="s">
        <v>49</v>
      </c>
      <c r="G1116" s="15" t="s">
        <v>62</v>
      </c>
      <c r="H1116" s="15" t="s">
        <v>45</v>
      </c>
      <c r="I1116">
        <v>50</v>
      </c>
      <c r="J1116">
        <v>80</v>
      </c>
      <c r="K1116">
        <v>60</v>
      </c>
      <c r="L1116">
        <v>130</v>
      </c>
      <c r="M1116">
        <v>50</v>
      </c>
      <c r="N1116">
        <v>587</v>
      </c>
      <c r="O1116">
        <v>65</v>
      </c>
      <c r="P1116">
        <v>16</v>
      </c>
      <c r="Q1116">
        <v>36</v>
      </c>
      <c r="R1116">
        <v>115</v>
      </c>
      <c r="S1116">
        <v>0.88461538461538458</v>
      </c>
      <c r="T1116">
        <v>0.6</v>
      </c>
      <c r="U1116">
        <v>1</v>
      </c>
    </row>
    <row r="1117" spans="1:21" x14ac:dyDescent="0.35">
      <c r="A1117">
        <v>920</v>
      </c>
      <c r="B1117" s="16">
        <v>40360</v>
      </c>
      <c r="C1117" s="15" t="s">
        <v>37</v>
      </c>
      <c r="D1117" s="15" t="s">
        <v>58</v>
      </c>
      <c r="E1117" s="15" t="s">
        <v>39</v>
      </c>
      <c r="F1117" s="15" t="s">
        <v>40</v>
      </c>
      <c r="G1117" s="15" t="s">
        <v>62</v>
      </c>
      <c r="H1117" s="15" t="s">
        <v>42</v>
      </c>
      <c r="I1117">
        <v>60</v>
      </c>
      <c r="J1117">
        <v>70</v>
      </c>
      <c r="K1117">
        <v>20</v>
      </c>
      <c r="L1117">
        <v>130</v>
      </c>
      <c r="M1117">
        <v>59</v>
      </c>
      <c r="N1117">
        <v>403</v>
      </c>
      <c r="O1117">
        <v>74</v>
      </c>
      <c r="P1117">
        <v>22</v>
      </c>
      <c r="Q1117">
        <v>18</v>
      </c>
      <c r="R1117">
        <v>133</v>
      </c>
      <c r="S1117">
        <v>1.023076923076923</v>
      </c>
      <c r="T1117">
        <v>0.9</v>
      </c>
      <c r="U1117">
        <v>0.98333333333333328</v>
      </c>
    </row>
    <row r="1118" spans="1:21" x14ac:dyDescent="0.35">
      <c r="A1118">
        <v>262</v>
      </c>
      <c r="B1118" s="16">
        <v>40360</v>
      </c>
      <c r="C1118" s="15" t="s">
        <v>37</v>
      </c>
      <c r="D1118" s="15" t="s">
        <v>58</v>
      </c>
      <c r="E1118" s="15" t="s">
        <v>43</v>
      </c>
      <c r="F1118" s="15" t="s">
        <v>40</v>
      </c>
      <c r="G1118" s="15" t="s">
        <v>62</v>
      </c>
      <c r="H1118" s="15" t="s">
        <v>42</v>
      </c>
      <c r="I1118">
        <v>130</v>
      </c>
      <c r="J1118">
        <v>180</v>
      </c>
      <c r="K1118">
        <v>60</v>
      </c>
      <c r="L1118">
        <v>310</v>
      </c>
      <c r="M1118">
        <v>124</v>
      </c>
      <c r="N1118">
        <v>717</v>
      </c>
      <c r="O1118">
        <v>173</v>
      </c>
      <c r="P1118">
        <v>112</v>
      </c>
      <c r="Q1118">
        <v>32</v>
      </c>
      <c r="R1118">
        <v>297</v>
      </c>
      <c r="S1118">
        <v>0.95806451612903221</v>
      </c>
      <c r="T1118">
        <v>0.53333333333333333</v>
      </c>
      <c r="U1118">
        <v>0.9538461538461539</v>
      </c>
    </row>
    <row r="1119" spans="1:21" x14ac:dyDescent="0.35">
      <c r="A1119">
        <v>920</v>
      </c>
      <c r="B1119" s="16">
        <v>40360</v>
      </c>
      <c r="C1119" s="15" t="s">
        <v>37</v>
      </c>
      <c r="D1119" s="15" t="s">
        <v>58</v>
      </c>
      <c r="E1119" s="15" t="s">
        <v>44</v>
      </c>
      <c r="F1119" s="15" t="s">
        <v>40</v>
      </c>
      <c r="G1119" s="15" t="s">
        <v>62</v>
      </c>
      <c r="H1119" s="15" t="s">
        <v>45</v>
      </c>
      <c r="I1119">
        <v>100</v>
      </c>
      <c r="J1119">
        <v>130</v>
      </c>
      <c r="K1119">
        <v>80</v>
      </c>
      <c r="L1119">
        <v>230</v>
      </c>
      <c r="M1119">
        <v>97</v>
      </c>
      <c r="N1119">
        <v>575</v>
      </c>
      <c r="O1119">
        <v>130</v>
      </c>
      <c r="P1119">
        <v>32</v>
      </c>
      <c r="Q1119">
        <v>71</v>
      </c>
      <c r="R1119">
        <v>227</v>
      </c>
      <c r="S1119">
        <v>0.9869565217391304</v>
      </c>
      <c r="T1119">
        <v>0.88749999999999996</v>
      </c>
      <c r="U1119">
        <v>0.97</v>
      </c>
    </row>
    <row r="1120" spans="1:21" x14ac:dyDescent="0.35">
      <c r="A1120">
        <v>203</v>
      </c>
      <c r="B1120" s="16">
        <v>40360</v>
      </c>
      <c r="C1120" s="15" t="s">
        <v>63</v>
      </c>
      <c r="D1120" s="15" t="s">
        <v>58</v>
      </c>
      <c r="E1120" s="15" t="s">
        <v>55</v>
      </c>
      <c r="F1120" s="15" t="s">
        <v>47</v>
      </c>
      <c r="G1120" s="15" t="s">
        <v>64</v>
      </c>
      <c r="H1120" s="15" t="s">
        <v>42</v>
      </c>
      <c r="I1120">
        <v>30</v>
      </c>
      <c r="J1120">
        <v>60</v>
      </c>
      <c r="K1120">
        <v>50</v>
      </c>
      <c r="L1120">
        <v>90</v>
      </c>
      <c r="M1120">
        <v>35</v>
      </c>
      <c r="N1120">
        <v>894</v>
      </c>
      <c r="O1120">
        <v>52</v>
      </c>
      <c r="P1120">
        <v>9</v>
      </c>
      <c r="Q1120">
        <v>32</v>
      </c>
      <c r="R1120">
        <v>87</v>
      </c>
      <c r="S1120">
        <v>0.96666666666666667</v>
      </c>
      <c r="T1120">
        <v>0.64</v>
      </c>
      <c r="U1120">
        <v>1.1666666666666667</v>
      </c>
    </row>
    <row r="1121" spans="1:21" x14ac:dyDescent="0.35">
      <c r="A1121">
        <v>860</v>
      </c>
      <c r="B1121" s="16">
        <v>40360</v>
      </c>
      <c r="C1121" s="15" t="s">
        <v>63</v>
      </c>
      <c r="D1121" s="15" t="s">
        <v>58</v>
      </c>
      <c r="E1121" s="15" t="s">
        <v>46</v>
      </c>
      <c r="F1121" s="15" t="s">
        <v>47</v>
      </c>
      <c r="G1121" s="15" t="s">
        <v>64</v>
      </c>
      <c r="H1121" s="15" t="s">
        <v>42</v>
      </c>
      <c r="I1121">
        <v>20</v>
      </c>
      <c r="J1121">
        <v>30</v>
      </c>
      <c r="K1121">
        <v>20</v>
      </c>
      <c r="L1121">
        <v>50</v>
      </c>
      <c r="M1121">
        <v>20</v>
      </c>
      <c r="N1121">
        <v>814</v>
      </c>
      <c r="O1121">
        <v>31</v>
      </c>
      <c r="P1121">
        <v>5</v>
      </c>
      <c r="Q1121">
        <v>15</v>
      </c>
      <c r="R1121">
        <v>51</v>
      </c>
      <c r="S1121">
        <v>1.02</v>
      </c>
      <c r="T1121">
        <v>0.75</v>
      </c>
      <c r="U1121">
        <v>1</v>
      </c>
    </row>
    <row r="1122" spans="1:21" x14ac:dyDescent="0.35">
      <c r="A1122">
        <v>959</v>
      </c>
      <c r="B1122" s="16">
        <v>40360</v>
      </c>
      <c r="C1122" s="15" t="s">
        <v>63</v>
      </c>
      <c r="D1122" s="15" t="s">
        <v>58</v>
      </c>
      <c r="E1122" s="15" t="s">
        <v>53</v>
      </c>
      <c r="F1122" s="15" t="s">
        <v>52</v>
      </c>
      <c r="G1122" s="15" t="s">
        <v>64</v>
      </c>
      <c r="H1122" s="15" t="s">
        <v>45</v>
      </c>
      <c r="I1122">
        <v>50</v>
      </c>
      <c r="J1122">
        <v>80</v>
      </c>
      <c r="K1122">
        <v>40</v>
      </c>
      <c r="L1122">
        <v>130</v>
      </c>
      <c r="M1122">
        <v>76</v>
      </c>
      <c r="N1122">
        <v>613</v>
      </c>
      <c r="O1122">
        <v>93</v>
      </c>
      <c r="P1122">
        <v>28</v>
      </c>
      <c r="Q1122">
        <v>32</v>
      </c>
      <c r="R1122">
        <v>169</v>
      </c>
      <c r="S1122">
        <v>1.3</v>
      </c>
      <c r="T1122">
        <v>0.8</v>
      </c>
      <c r="U1122">
        <v>1.52</v>
      </c>
    </row>
    <row r="1123" spans="1:21" x14ac:dyDescent="0.35">
      <c r="A1123">
        <v>959</v>
      </c>
      <c r="B1123" s="16">
        <v>40360</v>
      </c>
      <c r="C1123" s="15" t="s">
        <v>63</v>
      </c>
      <c r="D1123" s="15" t="s">
        <v>58</v>
      </c>
      <c r="E1123" s="15" t="s">
        <v>54</v>
      </c>
      <c r="F1123" s="15" t="s">
        <v>52</v>
      </c>
      <c r="G1123" s="15" t="s">
        <v>64</v>
      </c>
      <c r="H1123" s="15" t="s">
        <v>45</v>
      </c>
      <c r="I1123">
        <v>40</v>
      </c>
      <c r="J1123">
        <v>60</v>
      </c>
      <c r="K1123">
        <v>40</v>
      </c>
      <c r="L1123">
        <v>100</v>
      </c>
      <c r="M1123">
        <v>60</v>
      </c>
      <c r="N1123">
        <v>1070</v>
      </c>
      <c r="O1123">
        <v>72</v>
      </c>
      <c r="P1123">
        <v>18</v>
      </c>
      <c r="Q1123">
        <v>33</v>
      </c>
      <c r="R1123">
        <v>132</v>
      </c>
      <c r="S1123">
        <v>1.32</v>
      </c>
      <c r="T1123">
        <v>0.82499999999999996</v>
      </c>
      <c r="U1123">
        <v>1.5</v>
      </c>
    </row>
    <row r="1124" spans="1:21" x14ac:dyDescent="0.35">
      <c r="A1124">
        <v>860</v>
      </c>
      <c r="B1124" s="16">
        <v>40360</v>
      </c>
      <c r="C1124" s="15" t="s">
        <v>63</v>
      </c>
      <c r="D1124" s="15" t="s">
        <v>58</v>
      </c>
      <c r="E1124" s="15" t="s">
        <v>48</v>
      </c>
      <c r="F1124" s="15" t="s">
        <v>49</v>
      </c>
      <c r="G1124" s="15" t="s">
        <v>64</v>
      </c>
      <c r="H1124" s="15" t="s">
        <v>42</v>
      </c>
      <c r="I1124">
        <v>40</v>
      </c>
      <c r="J1124">
        <v>70</v>
      </c>
      <c r="K1124">
        <v>20</v>
      </c>
      <c r="L1124">
        <v>110</v>
      </c>
      <c r="M1124">
        <v>47</v>
      </c>
      <c r="N1124">
        <v>622</v>
      </c>
      <c r="O1124">
        <v>66</v>
      </c>
      <c r="P1124">
        <v>42</v>
      </c>
      <c r="Q1124">
        <v>-5</v>
      </c>
      <c r="R1124">
        <v>113</v>
      </c>
      <c r="S1124">
        <v>1.0272727272727273</v>
      </c>
      <c r="T1124">
        <v>-0.25</v>
      </c>
      <c r="U1124">
        <v>1.175</v>
      </c>
    </row>
    <row r="1125" spans="1:21" x14ac:dyDescent="0.35">
      <c r="A1125">
        <v>203</v>
      </c>
      <c r="B1125" s="16">
        <v>40360</v>
      </c>
      <c r="C1125" s="15" t="s">
        <v>63</v>
      </c>
      <c r="D1125" s="15" t="s">
        <v>58</v>
      </c>
      <c r="E1125" s="15" t="s">
        <v>50</v>
      </c>
      <c r="F1125" s="15" t="s">
        <v>49</v>
      </c>
      <c r="G1125" s="15" t="s">
        <v>64</v>
      </c>
      <c r="H1125" s="15" t="s">
        <v>45</v>
      </c>
      <c r="I1125">
        <v>40</v>
      </c>
      <c r="J1125">
        <v>50</v>
      </c>
      <c r="K1125">
        <v>20</v>
      </c>
      <c r="L1125">
        <v>90</v>
      </c>
      <c r="M1125">
        <v>43</v>
      </c>
      <c r="N1125">
        <v>388</v>
      </c>
      <c r="O1125">
        <v>57</v>
      </c>
      <c r="P1125">
        <v>14</v>
      </c>
      <c r="Q1125">
        <v>16</v>
      </c>
      <c r="R1125">
        <v>100</v>
      </c>
      <c r="S1125">
        <v>1.1111111111111112</v>
      </c>
      <c r="T1125">
        <v>0.8</v>
      </c>
      <c r="U1125">
        <v>1.075</v>
      </c>
    </row>
    <row r="1126" spans="1:21" x14ac:dyDescent="0.35">
      <c r="A1126">
        <v>203</v>
      </c>
      <c r="B1126" s="16">
        <v>40360</v>
      </c>
      <c r="C1126" s="15" t="s">
        <v>63</v>
      </c>
      <c r="D1126" s="15" t="s">
        <v>58</v>
      </c>
      <c r="E1126" s="15" t="s">
        <v>43</v>
      </c>
      <c r="F1126" s="15" t="s">
        <v>40</v>
      </c>
      <c r="G1126" s="15" t="s">
        <v>64</v>
      </c>
      <c r="H1126" s="15" t="s">
        <v>42</v>
      </c>
      <c r="I1126">
        <v>80</v>
      </c>
      <c r="J1126">
        <v>130</v>
      </c>
      <c r="K1126">
        <v>90</v>
      </c>
      <c r="L1126">
        <v>210</v>
      </c>
      <c r="M1126">
        <v>90</v>
      </c>
      <c r="N1126">
        <v>1148</v>
      </c>
      <c r="O1126">
        <v>135</v>
      </c>
      <c r="P1126">
        <v>29</v>
      </c>
      <c r="Q1126">
        <v>75</v>
      </c>
      <c r="R1126">
        <v>225</v>
      </c>
      <c r="S1126">
        <v>1.0714285714285714</v>
      </c>
      <c r="T1126">
        <v>0.83333333333333337</v>
      </c>
      <c r="U1126">
        <v>1.125</v>
      </c>
    </row>
    <row r="1127" spans="1:21" x14ac:dyDescent="0.35">
      <c r="A1127">
        <v>386</v>
      </c>
      <c r="B1127" s="16">
        <v>40360</v>
      </c>
      <c r="C1127" s="15" t="s">
        <v>63</v>
      </c>
      <c r="D1127" s="15" t="s">
        <v>38</v>
      </c>
      <c r="E1127" s="15" t="s">
        <v>55</v>
      </c>
      <c r="F1127" s="15" t="s">
        <v>47</v>
      </c>
      <c r="G1127" s="15" t="s">
        <v>65</v>
      </c>
      <c r="H1127" s="15" t="s">
        <v>42</v>
      </c>
      <c r="I1127">
        <v>40</v>
      </c>
      <c r="J1127">
        <v>70</v>
      </c>
      <c r="K1127">
        <v>50</v>
      </c>
      <c r="L1127">
        <v>110</v>
      </c>
      <c r="M1127">
        <v>45</v>
      </c>
      <c r="N1127">
        <v>885</v>
      </c>
      <c r="O1127">
        <v>65</v>
      </c>
      <c r="P1127">
        <v>12</v>
      </c>
      <c r="Q1127">
        <v>41</v>
      </c>
      <c r="R1127">
        <v>110</v>
      </c>
      <c r="S1127">
        <v>1</v>
      </c>
      <c r="T1127">
        <v>0.82</v>
      </c>
      <c r="U1127">
        <v>1.125</v>
      </c>
    </row>
    <row r="1128" spans="1:21" x14ac:dyDescent="0.35">
      <c r="A1128">
        <v>954</v>
      </c>
      <c r="B1128" s="16">
        <v>40360</v>
      </c>
      <c r="C1128" s="15" t="s">
        <v>63</v>
      </c>
      <c r="D1128" s="15" t="s">
        <v>38</v>
      </c>
      <c r="E1128" s="15" t="s">
        <v>46</v>
      </c>
      <c r="F1128" s="15" t="s">
        <v>47</v>
      </c>
      <c r="G1128" s="15" t="s">
        <v>65</v>
      </c>
      <c r="H1128" s="15" t="s">
        <v>42</v>
      </c>
      <c r="I1128">
        <v>60</v>
      </c>
      <c r="J1128">
        <v>90</v>
      </c>
      <c r="K1128">
        <v>70</v>
      </c>
      <c r="L1128">
        <v>150</v>
      </c>
      <c r="M1128">
        <v>59</v>
      </c>
      <c r="N1128">
        <v>870</v>
      </c>
      <c r="O1128">
        <v>85</v>
      </c>
      <c r="P1128">
        <v>16</v>
      </c>
      <c r="Q1128">
        <v>58</v>
      </c>
      <c r="R1128">
        <v>144</v>
      </c>
      <c r="S1128">
        <v>0.96</v>
      </c>
      <c r="T1128">
        <v>0.82857142857142863</v>
      </c>
      <c r="U1128">
        <v>0.98333333333333328</v>
      </c>
    </row>
    <row r="1129" spans="1:21" x14ac:dyDescent="0.35">
      <c r="A1129">
        <v>863</v>
      </c>
      <c r="B1129" s="16">
        <v>40360</v>
      </c>
      <c r="C1129" s="15" t="s">
        <v>63</v>
      </c>
      <c r="D1129" s="15" t="s">
        <v>38</v>
      </c>
      <c r="E1129" s="15" t="s">
        <v>51</v>
      </c>
      <c r="F1129" s="15" t="s">
        <v>52</v>
      </c>
      <c r="G1129" s="15" t="s">
        <v>65</v>
      </c>
      <c r="H1129" s="15" t="s">
        <v>45</v>
      </c>
      <c r="I1129">
        <v>30</v>
      </c>
      <c r="J1129">
        <v>50</v>
      </c>
      <c r="K1129">
        <v>30</v>
      </c>
      <c r="L1129">
        <v>80</v>
      </c>
      <c r="M1129">
        <v>50</v>
      </c>
      <c r="N1129">
        <v>587</v>
      </c>
      <c r="O1129">
        <v>65</v>
      </c>
      <c r="P1129">
        <v>16</v>
      </c>
      <c r="Q1129">
        <v>36</v>
      </c>
      <c r="R1129">
        <v>115</v>
      </c>
      <c r="S1129">
        <v>1.4375</v>
      </c>
      <c r="T1129">
        <v>1.2</v>
      </c>
      <c r="U1129">
        <v>1.6666666666666667</v>
      </c>
    </row>
    <row r="1130" spans="1:21" x14ac:dyDescent="0.35">
      <c r="A1130">
        <v>904</v>
      </c>
      <c r="B1130" s="16">
        <v>40360</v>
      </c>
      <c r="C1130" s="15" t="s">
        <v>63</v>
      </c>
      <c r="D1130" s="15" t="s">
        <v>38</v>
      </c>
      <c r="E1130" s="15" t="s">
        <v>53</v>
      </c>
      <c r="F1130" s="15" t="s">
        <v>52</v>
      </c>
      <c r="G1130" s="15" t="s">
        <v>65</v>
      </c>
      <c r="H1130" s="15" t="s">
        <v>45</v>
      </c>
      <c r="I1130">
        <v>40</v>
      </c>
      <c r="J1130">
        <v>60</v>
      </c>
      <c r="K1130">
        <v>30</v>
      </c>
      <c r="L1130">
        <v>100</v>
      </c>
      <c r="M1130">
        <v>59</v>
      </c>
      <c r="N1130">
        <v>403</v>
      </c>
      <c r="O1130">
        <v>74</v>
      </c>
      <c r="P1130">
        <v>22</v>
      </c>
      <c r="Q1130">
        <v>19</v>
      </c>
      <c r="R1130">
        <v>133</v>
      </c>
      <c r="S1130">
        <v>1.33</v>
      </c>
      <c r="T1130">
        <v>0.6333333333333333</v>
      </c>
      <c r="U1130">
        <v>1.4750000000000001</v>
      </c>
    </row>
    <row r="1131" spans="1:21" x14ac:dyDescent="0.35">
      <c r="A1131">
        <v>904</v>
      </c>
      <c r="B1131" s="16">
        <v>40360</v>
      </c>
      <c r="C1131" s="15" t="s">
        <v>63</v>
      </c>
      <c r="D1131" s="15" t="s">
        <v>38</v>
      </c>
      <c r="E1131" s="15" t="s">
        <v>54</v>
      </c>
      <c r="F1131" s="15" t="s">
        <v>52</v>
      </c>
      <c r="G1131" s="15" t="s">
        <v>65</v>
      </c>
      <c r="H1131" s="15" t="s">
        <v>45</v>
      </c>
      <c r="I1131">
        <v>60</v>
      </c>
      <c r="J1131">
        <v>80</v>
      </c>
      <c r="K1131">
        <v>50</v>
      </c>
      <c r="L1131">
        <v>140</v>
      </c>
      <c r="M1131">
        <v>86</v>
      </c>
      <c r="N1131">
        <v>1081</v>
      </c>
      <c r="O1131">
        <v>103</v>
      </c>
      <c r="P1131">
        <v>26</v>
      </c>
      <c r="Q1131">
        <v>55</v>
      </c>
      <c r="R1131">
        <v>189</v>
      </c>
      <c r="S1131">
        <v>1.35</v>
      </c>
      <c r="T1131">
        <v>1.1000000000000001</v>
      </c>
      <c r="U1131">
        <v>1.4333333333333333</v>
      </c>
    </row>
    <row r="1132" spans="1:21" x14ac:dyDescent="0.35">
      <c r="A1132">
        <v>386</v>
      </c>
      <c r="B1132" s="16">
        <v>40360</v>
      </c>
      <c r="C1132" s="15" t="s">
        <v>63</v>
      </c>
      <c r="D1132" s="15" t="s">
        <v>38</v>
      </c>
      <c r="E1132" s="15" t="s">
        <v>48</v>
      </c>
      <c r="F1132" s="15" t="s">
        <v>49</v>
      </c>
      <c r="G1132" s="15" t="s">
        <v>65</v>
      </c>
      <c r="H1132" s="15" t="s">
        <v>42</v>
      </c>
      <c r="I1132">
        <v>110</v>
      </c>
      <c r="J1132">
        <v>180</v>
      </c>
      <c r="K1132">
        <v>60</v>
      </c>
      <c r="L1132">
        <v>290</v>
      </c>
      <c r="M1132">
        <v>124</v>
      </c>
      <c r="N1132">
        <v>717</v>
      </c>
      <c r="O1132">
        <v>173</v>
      </c>
      <c r="P1132">
        <v>112</v>
      </c>
      <c r="Q1132">
        <v>32</v>
      </c>
      <c r="R1132">
        <v>297</v>
      </c>
      <c r="S1132">
        <v>1.0241379310344827</v>
      </c>
      <c r="T1132">
        <v>0.53333333333333333</v>
      </c>
      <c r="U1132">
        <v>1.1272727272727272</v>
      </c>
    </row>
    <row r="1133" spans="1:21" x14ac:dyDescent="0.35">
      <c r="A1133">
        <v>863</v>
      </c>
      <c r="B1133" s="16">
        <v>40360</v>
      </c>
      <c r="C1133" s="15" t="s">
        <v>63</v>
      </c>
      <c r="D1133" s="15" t="s">
        <v>38</v>
      </c>
      <c r="E1133" s="15" t="s">
        <v>50</v>
      </c>
      <c r="F1133" s="15" t="s">
        <v>49</v>
      </c>
      <c r="G1133" s="15" t="s">
        <v>65</v>
      </c>
      <c r="H1133" s="15" t="s">
        <v>45</v>
      </c>
      <c r="I1133">
        <v>90</v>
      </c>
      <c r="J1133">
        <v>130</v>
      </c>
      <c r="K1133">
        <v>80</v>
      </c>
      <c r="L1133">
        <v>220</v>
      </c>
      <c r="M1133">
        <v>97</v>
      </c>
      <c r="N1133">
        <v>575</v>
      </c>
      <c r="O1133">
        <v>130</v>
      </c>
      <c r="P1133">
        <v>32</v>
      </c>
      <c r="Q1133">
        <v>71</v>
      </c>
      <c r="R1133">
        <v>227</v>
      </c>
      <c r="S1133">
        <v>1.0318181818181817</v>
      </c>
      <c r="T1133">
        <v>0.88749999999999996</v>
      </c>
      <c r="U1133">
        <v>1.0777777777777777</v>
      </c>
    </row>
    <row r="1134" spans="1:21" x14ac:dyDescent="0.35">
      <c r="A1134">
        <v>904</v>
      </c>
      <c r="B1134" s="16">
        <v>40360</v>
      </c>
      <c r="C1134" s="15" t="s">
        <v>63</v>
      </c>
      <c r="D1134" s="15" t="s">
        <v>38</v>
      </c>
      <c r="E1134" s="15" t="s">
        <v>43</v>
      </c>
      <c r="F1134" s="15" t="s">
        <v>40</v>
      </c>
      <c r="G1134" s="15" t="s">
        <v>65</v>
      </c>
      <c r="H1134" s="15" t="s">
        <v>42</v>
      </c>
      <c r="I1134">
        <v>100</v>
      </c>
      <c r="J1134">
        <v>170</v>
      </c>
      <c r="K1134">
        <v>120</v>
      </c>
      <c r="L1134">
        <v>270</v>
      </c>
      <c r="M1134">
        <v>114</v>
      </c>
      <c r="N1134">
        <v>822</v>
      </c>
      <c r="O1134">
        <v>172</v>
      </c>
      <c r="P1134">
        <v>37</v>
      </c>
      <c r="Q1134">
        <v>104</v>
      </c>
      <c r="R1134">
        <v>286</v>
      </c>
      <c r="S1134">
        <v>1.0592592592592593</v>
      </c>
      <c r="T1134">
        <v>0.8666666666666667</v>
      </c>
      <c r="U1134">
        <v>1.1399999999999999</v>
      </c>
    </row>
    <row r="1135" spans="1:21" x14ac:dyDescent="0.35">
      <c r="A1135">
        <v>727</v>
      </c>
      <c r="B1135" s="16">
        <v>40360</v>
      </c>
      <c r="C1135" s="15" t="s">
        <v>63</v>
      </c>
      <c r="D1135" s="15" t="s">
        <v>38</v>
      </c>
      <c r="E1135" s="15" t="s">
        <v>44</v>
      </c>
      <c r="F1135" s="15" t="s">
        <v>40</v>
      </c>
      <c r="G1135" s="15" t="s">
        <v>65</v>
      </c>
      <c r="H1135" s="15" t="s">
        <v>45</v>
      </c>
      <c r="I1135">
        <v>130</v>
      </c>
      <c r="J1135">
        <v>180</v>
      </c>
      <c r="K1135">
        <v>130</v>
      </c>
      <c r="L1135">
        <v>310</v>
      </c>
      <c r="M1135">
        <v>141</v>
      </c>
      <c r="N1135">
        <v>692</v>
      </c>
      <c r="O1135">
        <v>195</v>
      </c>
      <c r="P1135">
        <v>43</v>
      </c>
      <c r="Q1135">
        <v>129</v>
      </c>
      <c r="R1135">
        <v>336</v>
      </c>
      <c r="S1135">
        <v>1.0838709677419356</v>
      </c>
      <c r="T1135">
        <v>0.99230769230769234</v>
      </c>
      <c r="U1135">
        <v>1.0846153846153845</v>
      </c>
    </row>
    <row r="1136" spans="1:21" x14ac:dyDescent="0.35">
      <c r="A1136">
        <v>413</v>
      </c>
      <c r="B1136" s="16">
        <v>40360</v>
      </c>
      <c r="C1136" s="15" t="s">
        <v>63</v>
      </c>
      <c r="D1136" s="15" t="s">
        <v>38</v>
      </c>
      <c r="E1136" s="15" t="s">
        <v>55</v>
      </c>
      <c r="F1136" s="15" t="s">
        <v>47</v>
      </c>
      <c r="G1136" s="15" t="s">
        <v>66</v>
      </c>
      <c r="H1136" s="15" t="s">
        <v>42</v>
      </c>
      <c r="I1136">
        <v>20</v>
      </c>
      <c r="J1136">
        <v>40</v>
      </c>
      <c r="K1136">
        <v>30</v>
      </c>
      <c r="L1136">
        <v>60</v>
      </c>
      <c r="M1136">
        <v>23</v>
      </c>
      <c r="N1136">
        <v>868</v>
      </c>
      <c r="O1136">
        <v>34</v>
      </c>
      <c r="P1136">
        <v>6</v>
      </c>
      <c r="Q1136">
        <v>16</v>
      </c>
      <c r="R1136">
        <v>57</v>
      </c>
      <c r="S1136">
        <v>0.95</v>
      </c>
      <c r="T1136">
        <v>0.53333333333333333</v>
      </c>
      <c r="U1136">
        <v>1.1499999999999999</v>
      </c>
    </row>
    <row r="1137" spans="1:21" x14ac:dyDescent="0.35">
      <c r="A1137">
        <v>339</v>
      </c>
      <c r="B1137" s="16">
        <v>40360</v>
      </c>
      <c r="C1137" s="15" t="s">
        <v>63</v>
      </c>
      <c r="D1137" s="15" t="s">
        <v>38</v>
      </c>
      <c r="E1137" s="15" t="s">
        <v>46</v>
      </c>
      <c r="F1137" s="15" t="s">
        <v>47</v>
      </c>
      <c r="G1137" s="15" t="s">
        <v>66</v>
      </c>
      <c r="H1137" s="15" t="s">
        <v>42</v>
      </c>
      <c r="I1137">
        <v>10</v>
      </c>
      <c r="J1137">
        <v>30</v>
      </c>
      <c r="K1137">
        <v>20</v>
      </c>
      <c r="L1137">
        <v>40</v>
      </c>
      <c r="M1137">
        <v>18</v>
      </c>
      <c r="N1137">
        <v>486</v>
      </c>
      <c r="O1137">
        <v>26</v>
      </c>
      <c r="P1137">
        <v>5</v>
      </c>
      <c r="Q1137">
        <v>9</v>
      </c>
      <c r="R1137">
        <v>44</v>
      </c>
      <c r="S1137">
        <v>1.1000000000000001</v>
      </c>
      <c r="T1137">
        <v>0.45</v>
      </c>
      <c r="U1137">
        <v>1.8</v>
      </c>
    </row>
    <row r="1138" spans="1:21" x14ac:dyDescent="0.35">
      <c r="A1138">
        <v>978</v>
      </c>
      <c r="B1138" s="16">
        <v>40360</v>
      </c>
      <c r="C1138" s="15" t="s">
        <v>63</v>
      </c>
      <c r="D1138" s="15" t="s">
        <v>38</v>
      </c>
      <c r="E1138" s="15" t="s">
        <v>53</v>
      </c>
      <c r="F1138" s="15" t="s">
        <v>52</v>
      </c>
      <c r="G1138" s="15" t="s">
        <v>66</v>
      </c>
      <c r="H1138" s="15" t="s">
        <v>45</v>
      </c>
      <c r="I1138">
        <v>30</v>
      </c>
      <c r="J1138">
        <v>50</v>
      </c>
      <c r="K1138">
        <v>20</v>
      </c>
      <c r="L1138">
        <v>80</v>
      </c>
      <c r="M1138">
        <v>51</v>
      </c>
      <c r="N1138">
        <v>419</v>
      </c>
      <c r="O1138">
        <v>64</v>
      </c>
      <c r="P1138">
        <v>19</v>
      </c>
      <c r="Q1138">
        <v>11</v>
      </c>
      <c r="R1138">
        <v>115</v>
      </c>
      <c r="S1138">
        <v>1.4375</v>
      </c>
      <c r="T1138">
        <v>0.55000000000000004</v>
      </c>
      <c r="U1138">
        <v>1.7</v>
      </c>
    </row>
    <row r="1139" spans="1:21" x14ac:dyDescent="0.35">
      <c r="A1139">
        <v>978</v>
      </c>
      <c r="B1139" s="16">
        <v>40360</v>
      </c>
      <c r="C1139" s="15" t="s">
        <v>63</v>
      </c>
      <c r="D1139" s="15" t="s">
        <v>38</v>
      </c>
      <c r="E1139" s="15" t="s">
        <v>48</v>
      </c>
      <c r="F1139" s="15" t="s">
        <v>49</v>
      </c>
      <c r="G1139" s="15" t="s">
        <v>66</v>
      </c>
      <c r="H1139" s="15" t="s">
        <v>42</v>
      </c>
      <c r="I1139">
        <v>30</v>
      </c>
      <c r="J1139">
        <v>70</v>
      </c>
      <c r="K1139">
        <v>20</v>
      </c>
      <c r="L1139">
        <v>100</v>
      </c>
      <c r="M1139">
        <v>39</v>
      </c>
      <c r="N1139">
        <v>560</v>
      </c>
      <c r="O1139">
        <v>72</v>
      </c>
      <c r="P1139">
        <v>36</v>
      </c>
      <c r="Q1139">
        <v>7</v>
      </c>
      <c r="R1139">
        <v>111</v>
      </c>
      <c r="S1139">
        <v>1.1100000000000001</v>
      </c>
      <c r="T1139">
        <v>0.35</v>
      </c>
      <c r="U1139">
        <v>1.3</v>
      </c>
    </row>
    <row r="1140" spans="1:21" x14ac:dyDescent="0.35">
      <c r="A1140">
        <v>617</v>
      </c>
      <c r="B1140" s="16">
        <v>40360</v>
      </c>
      <c r="C1140" s="15" t="s">
        <v>63</v>
      </c>
      <c r="D1140" s="15" t="s">
        <v>38</v>
      </c>
      <c r="E1140" s="15" t="s">
        <v>67</v>
      </c>
      <c r="F1140" s="15" t="s">
        <v>49</v>
      </c>
      <c r="G1140" s="15" t="s">
        <v>66</v>
      </c>
      <c r="H1140" s="15" t="s">
        <v>42</v>
      </c>
      <c r="I1140">
        <v>130</v>
      </c>
      <c r="J1140">
        <v>150</v>
      </c>
      <c r="K1140">
        <v>100</v>
      </c>
      <c r="L1140">
        <v>280</v>
      </c>
      <c r="M1140">
        <v>145</v>
      </c>
      <c r="N1140">
        <v>1304</v>
      </c>
      <c r="O1140">
        <v>146</v>
      </c>
      <c r="P1140">
        <v>40</v>
      </c>
      <c r="Q1140">
        <v>81</v>
      </c>
      <c r="R1140">
        <v>291</v>
      </c>
      <c r="S1140">
        <v>1.0392857142857144</v>
      </c>
      <c r="T1140">
        <v>0.81</v>
      </c>
      <c r="U1140">
        <v>1.1153846153846154</v>
      </c>
    </row>
    <row r="1141" spans="1:21" x14ac:dyDescent="0.35">
      <c r="A1141">
        <v>508</v>
      </c>
      <c r="B1141" s="16">
        <v>40360</v>
      </c>
      <c r="C1141" s="15" t="s">
        <v>63</v>
      </c>
      <c r="D1141" s="15" t="s">
        <v>38</v>
      </c>
      <c r="E1141" s="15" t="s">
        <v>43</v>
      </c>
      <c r="F1141" s="15" t="s">
        <v>40</v>
      </c>
      <c r="G1141" s="15" t="s">
        <v>66</v>
      </c>
      <c r="H1141" s="15" t="s">
        <v>42</v>
      </c>
      <c r="I1141">
        <v>40</v>
      </c>
      <c r="J1141">
        <v>590</v>
      </c>
      <c r="K1141">
        <v>560</v>
      </c>
      <c r="L1141">
        <v>630</v>
      </c>
      <c r="M1141">
        <v>52</v>
      </c>
      <c r="N1141">
        <v>-1493</v>
      </c>
      <c r="O1141">
        <v>613</v>
      </c>
      <c r="P1141">
        <v>17</v>
      </c>
      <c r="Q1141">
        <v>564</v>
      </c>
      <c r="R1141">
        <v>665</v>
      </c>
      <c r="S1141">
        <v>1.0555555555555556</v>
      </c>
      <c r="T1141">
        <v>1.0071428571428571</v>
      </c>
      <c r="U1141">
        <v>1.3</v>
      </c>
    </row>
    <row r="1142" spans="1:21" x14ac:dyDescent="0.35">
      <c r="A1142">
        <v>603</v>
      </c>
      <c r="B1142" s="16">
        <v>40360</v>
      </c>
      <c r="C1142" s="15" t="s">
        <v>63</v>
      </c>
      <c r="D1142" s="15" t="s">
        <v>58</v>
      </c>
      <c r="E1142" s="15" t="s">
        <v>55</v>
      </c>
      <c r="F1142" s="15" t="s">
        <v>47</v>
      </c>
      <c r="G1142" s="15" t="s">
        <v>68</v>
      </c>
      <c r="H1142" s="15" t="s">
        <v>42</v>
      </c>
      <c r="I1142">
        <v>20</v>
      </c>
      <c r="J1142">
        <v>40</v>
      </c>
      <c r="K1142">
        <v>30</v>
      </c>
      <c r="L1142">
        <v>60</v>
      </c>
      <c r="M1142">
        <v>25</v>
      </c>
      <c r="N1142">
        <v>854</v>
      </c>
      <c r="O1142">
        <v>36</v>
      </c>
      <c r="P1142">
        <v>7</v>
      </c>
      <c r="Q1142">
        <v>17</v>
      </c>
      <c r="R1142">
        <v>61</v>
      </c>
      <c r="S1142">
        <v>1.0166666666666666</v>
      </c>
      <c r="T1142">
        <v>0.56666666666666665</v>
      </c>
      <c r="U1142">
        <v>1.25</v>
      </c>
    </row>
    <row r="1143" spans="1:21" x14ac:dyDescent="0.35">
      <c r="A1143">
        <v>603</v>
      </c>
      <c r="B1143" s="16">
        <v>40360</v>
      </c>
      <c r="C1143" s="15" t="s">
        <v>63</v>
      </c>
      <c r="D1143" s="15" t="s">
        <v>58</v>
      </c>
      <c r="E1143" s="15" t="s">
        <v>46</v>
      </c>
      <c r="F1143" s="15" t="s">
        <v>47</v>
      </c>
      <c r="G1143" s="15" t="s">
        <v>68</v>
      </c>
      <c r="H1143" s="15" t="s">
        <v>42</v>
      </c>
      <c r="I1143">
        <v>0</v>
      </c>
      <c r="J1143">
        <v>40</v>
      </c>
      <c r="K1143">
        <v>30</v>
      </c>
      <c r="L1143">
        <v>40</v>
      </c>
      <c r="M1143">
        <v>0</v>
      </c>
      <c r="N1143">
        <v>559</v>
      </c>
      <c r="O1143">
        <v>43</v>
      </c>
      <c r="P1143">
        <v>0</v>
      </c>
      <c r="Q1143">
        <v>31</v>
      </c>
      <c r="R1143">
        <v>43</v>
      </c>
      <c r="S1143">
        <v>1.075</v>
      </c>
      <c r="T1143">
        <v>1.0333333333333334</v>
      </c>
    </row>
    <row r="1144" spans="1:21" x14ac:dyDescent="0.35">
      <c r="A1144">
        <v>603</v>
      </c>
      <c r="B1144" s="16">
        <v>40360</v>
      </c>
      <c r="C1144" s="15" t="s">
        <v>63</v>
      </c>
      <c r="D1144" s="15" t="s">
        <v>58</v>
      </c>
      <c r="E1144" s="15" t="s">
        <v>53</v>
      </c>
      <c r="F1144" s="15" t="s">
        <v>52</v>
      </c>
      <c r="G1144" s="15" t="s">
        <v>68</v>
      </c>
      <c r="H1144" s="15" t="s">
        <v>45</v>
      </c>
      <c r="I1144">
        <v>20</v>
      </c>
      <c r="J1144">
        <v>40</v>
      </c>
      <c r="K1144">
        <v>10</v>
      </c>
      <c r="L1144">
        <v>60</v>
      </c>
      <c r="M1144">
        <v>36</v>
      </c>
      <c r="N1144">
        <v>252</v>
      </c>
      <c r="O1144">
        <v>46</v>
      </c>
      <c r="P1144">
        <v>13</v>
      </c>
      <c r="Q1144">
        <v>0</v>
      </c>
      <c r="R1144">
        <v>82</v>
      </c>
      <c r="S1144">
        <v>1.3666666666666667</v>
      </c>
      <c r="T1144">
        <v>0</v>
      </c>
      <c r="U1144">
        <v>1.8</v>
      </c>
    </row>
    <row r="1145" spans="1:21" x14ac:dyDescent="0.35">
      <c r="A1145">
        <v>603</v>
      </c>
      <c r="B1145" s="16">
        <v>40360</v>
      </c>
      <c r="C1145" s="15" t="s">
        <v>63</v>
      </c>
      <c r="D1145" s="15" t="s">
        <v>58</v>
      </c>
      <c r="E1145" s="15" t="s">
        <v>48</v>
      </c>
      <c r="F1145" s="15" t="s">
        <v>49</v>
      </c>
      <c r="G1145" s="15" t="s">
        <v>68</v>
      </c>
      <c r="H1145" s="15" t="s">
        <v>42</v>
      </c>
      <c r="I1145">
        <v>50</v>
      </c>
      <c r="J1145">
        <v>80</v>
      </c>
      <c r="K1145">
        <v>10</v>
      </c>
      <c r="L1145">
        <v>130</v>
      </c>
      <c r="M1145">
        <v>59</v>
      </c>
      <c r="N1145">
        <v>338</v>
      </c>
      <c r="O1145">
        <v>82</v>
      </c>
      <c r="P1145">
        <v>53</v>
      </c>
      <c r="Q1145">
        <v>-1</v>
      </c>
      <c r="R1145">
        <v>141</v>
      </c>
      <c r="S1145">
        <v>1.0846153846153845</v>
      </c>
      <c r="T1145">
        <v>-0.1</v>
      </c>
      <c r="U1145">
        <v>1.18</v>
      </c>
    </row>
    <row r="1146" spans="1:21" x14ac:dyDescent="0.35">
      <c r="A1146">
        <v>603</v>
      </c>
      <c r="B1146" s="16">
        <v>40360</v>
      </c>
      <c r="C1146" s="15" t="s">
        <v>63</v>
      </c>
      <c r="D1146" s="15" t="s">
        <v>58</v>
      </c>
      <c r="E1146" s="15" t="s">
        <v>67</v>
      </c>
      <c r="F1146" s="15" t="s">
        <v>49</v>
      </c>
      <c r="G1146" s="15" t="s">
        <v>68</v>
      </c>
      <c r="H1146" s="15" t="s">
        <v>42</v>
      </c>
      <c r="I1146">
        <v>30</v>
      </c>
      <c r="J1146">
        <v>50</v>
      </c>
      <c r="K1146">
        <v>10</v>
      </c>
      <c r="L1146">
        <v>80</v>
      </c>
      <c r="M1146">
        <v>40</v>
      </c>
      <c r="N1146">
        <v>219</v>
      </c>
      <c r="O1146">
        <v>49</v>
      </c>
      <c r="P1146">
        <v>15</v>
      </c>
      <c r="Q1146">
        <v>0</v>
      </c>
      <c r="R1146">
        <v>89</v>
      </c>
      <c r="S1146">
        <v>1.1125</v>
      </c>
      <c r="T1146">
        <v>0</v>
      </c>
      <c r="U1146">
        <v>1.3333333333333333</v>
      </c>
    </row>
    <row r="1147" spans="1:21" x14ac:dyDescent="0.35">
      <c r="A1147">
        <v>603</v>
      </c>
      <c r="B1147" s="16">
        <v>40360</v>
      </c>
      <c r="C1147" s="15" t="s">
        <v>63</v>
      </c>
      <c r="D1147" s="15" t="s">
        <v>58</v>
      </c>
      <c r="E1147" s="15" t="s">
        <v>39</v>
      </c>
      <c r="F1147" s="15" t="s">
        <v>40</v>
      </c>
      <c r="G1147" s="15" t="s">
        <v>68</v>
      </c>
      <c r="H1147" s="15" t="s">
        <v>42</v>
      </c>
      <c r="I1147">
        <v>50</v>
      </c>
      <c r="J1147">
        <v>90</v>
      </c>
      <c r="K1147">
        <v>70</v>
      </c>
      <c r="L1147">
        <v>140</v>
      </c>
      <c r="M1147">
        <v>61</v>
      </c>
      <c r="N1147">
        <v>329</v>
      </c>
      <c r="O1147">
        <v>90</v>
      </c>
      <c r="P1147">
        <v>19</v>
      </c>
      <c r="Q1147">
        <v>49</v>
      </c>
      <c r="R1147">
        <v>151</v>
      </c>
      <c r="S1147">
        <v>1.0785714285714285</v>
      </c>
      <c r="T1147">
        <v>0.7</v>
      </c>
      <c r="U1147">
        <v>1.22</v>
      </c>
    </row>
    <row r="1148" spans="1:21" x14ac:dyDescent="0.35">
      <c r="A1148">
        <v>603</v>
      </c>
      <c r="B1148" s="16">
        <v>40360</v>
      </c>
      <c r="C1148" s="15" t="s">
        <v>63</v>
      </c>
      <c r="D1148" s="15" t="s">
        <v>58</v>
      </c>
      <c r="E1148" s="15" t="s">
        <v>43</v>
      </c>
      <c r="F1148" s="15" t="s">
        <v>40</v>
      </c>
      <c r="G1148" s="15" t="s">
        <v>68</v>
      </c>
      <c r="H1148" s="15" t="s">
        <v>42</v>
      </c>
      <c r="I1148">
        <v>60</v>
      </c>
      <c r="J1148">
        <v>90</v>
      </c>
      <c r="K1148">
        <v>60</v>
      </c>
      <c r="L1148">
        <v>150</v>
      </c>
      <c r="M1148">
        <v>64</v>
      </c>
      <c r="N1148">
        <v>467</v>
      </c>
      <c r="O1148">
        <v>96</v>
      </c>
      <c r="P1148">
        <v>21</v>
      </c>
      <c r="Q1148">
        <v>43</v>
      </c>
      <c r="R1148">
        <v>160</v>
      </c>
      <c r="S1148">
        <v>1.0666666666666667</v>
      </c>
      <c r="T1148">
        <v>0.71666666666666667</v>
      </c>
      <c r="U1148">
        <v>1.0666666666666667</v>
      </c>
    </row>
    <row r="1149" spans="1:21" x14ac:dyDescent="0.35">
      <c r="A1149">
        <v>212</v>
      </c>
      <c r="B1149" s="16">
        <v>40360</v>
      </c>
      <c r="C1149" s="15" t="s">
        <v>63</v>
      </c>
      <c r="D1149" s="15" t="s">
        <v>38</v>
      </c>
      <c r="E1149" s="15" t="s">
        <v>55</v>
      </c>
      <c r="F1149" s="15" t="s">
        <v>47</v>
      </c>
      <c r="G1149" s="15" t="s">
        <v>69</v>
      </c>
      <c r="H1149" s="15" t="s">
        <v>42</v>
      </c>
      <c r="I1149">
        <v>130</v>
      </c>
      <c r="J1149">
        <v>200</v>
      </c>
      <c r="K1149">
        <v>160</v>
      </c>
      <c r="L1149">
        <v>330</v>
      </c>
      <c r="M1149">
        <v>127</v>
      </c>
      <c r="N1149">
        <v>1007</v>
      </c>
      <c r="O1149">
        <v>185</v>
      </c>
      <c r="P1149">
        <v>35</v>
      </c>
      <c r="Q1149">
        <v>138</v>
      </c>
      <c r="R1149">
        <v>312</v>
      </c>
      <c r="S1149">
        <v>0.94545454545454544</v>
      </c>
      <c r="T1149">
        <v>0.86250000000000004</v>
      </c>
      <c r="U1149">
        <v>0.97692307692307689</v>
      </c>
    </row>
    <row r="1150" spans="1:21" x14ac:dyDescent="0.35">
      <c r="A1150">
        <v>518</v>
      </c>
      <c r="B1150" s="16">
        <v>40360</v>
      </c>
      <c r="C1150" s="15" t="s">
        <v>63</v>
      </c>
      <c r="D1150" s="15" t="s">
        <v>38</v>
      </c>
      <c r="E1150" s="15" t="s">
        <v>56</v>
      </c>
      <c r="F1150" s="15" t="s">
        <v>47</v>
      </c>
      <c r="G1150" s="15" t="s">
        <v>69</v>
      </c>
      <c r="H1150" s="15" t="s">
        <v>42</v>
      </c>
      <c r="I1150">
        <v>110</v>
      </c>
      <c r="J1150">
        <v>160</v>
      </c>
      <c r="K1150">
        <v>120</v>
      </c>
      <c r="L1150">
        <v>270</v>
      </c>
      <c r="M1150">
        <v>104</v>
      </c>
      <c r="N1150">
        <v>952</v>
      </c>
      <c r="O1150">
        <v>152</v>
      </c>
      <c r="P1150">
        <v>29</v>
      </c>
      <c r="Q1150">
        <v>111</v>
      </c>
      <c r="R1150">
        <v>256</v>
      </c>
      <c r="S1150">
        <v>0.94814814814814818</v>
      </c>
      <c r="T1150">
        <v>0.92500000000000004</v>
      </c>
      <c r="U1150">
        <v>0.94545454545454544</v>
      </c>
    </row>
    <row r="1151" spans="1:21" x14ac:dyDescent="0.35">
      <c r="A1151">
        <v>315</v>
      </c>
      <c r="B1151" s="16">
        <v>40360</v>
      </c>
      <c r="C1151" s="15" t="s">
        <v>63</v>
      </c>
      <c r="D1151" s="15" t="s">
        <v>38</v>
      </c>
      <c r="E1151" s="15" t="s">
        <v>46</v>
      </c>
      <c r="F1151" s="15" t="s">
        <v>47</v>
      </c>
      <c r="G1151" s="15" t="s">
        <v>69</v>
      </c>
      <c r="H1151" s="15" t="s">
        <v>42</v>
      </c>
      <c r="I1151">
        <v>90</v>
      </c>
      <c r="J1151">
        <v>150</v>
      </c>
      <c r="K1151">
        <v>120</v>
      </c>
      <c r="L1151">
        <v>240</v>
      </c>
      <c r="M1151">
        <v>94</v>
      </c>
      <c r="N1151">
        <v>608</v>
      </c>
      <c r="O1151">
        <v>136</v>
      </c>
      <c r="P1151">
        <v>26</v>
      </c>
      <c r="Q1151">
        <v>98</v>
      </c>
      <c r="R1151">
        <v>230</v>
      </c>
      <c r="S1151">
        <v>0.95833333333333337</v>
      </c>
      <c r="T1151">
        <v>0.81666666666666665</v>
      </c>
      <c r="U1151">
        <v>1.0444444444444445</v>
      </c>
    </row>
    <row r="1152" spans="1:21" x14ac:dyDescent="0.35">
      <c r="A1152">
        <v>516</v>
      </c>
      <c r="B1152" s="16">
        <v>40360</v>
      </c>
      <c r="C1152" s="15" t="s">
        <v>63</v>
      </c>
      <c r="D1152" s="15" t="s">
        <v>38</v>
      </c>
      <c r="E1152" s="15" t="s">
        <v>53</v>
      </c>
      <c r="F1152" s="15" t="s">
        <v>52</v>
      </c>
      <c r="G1152" s="15" t="s">
        <v>69</v>
      </c>
      <c r="H1152" s="15" t="s">
        <v>45</v>
      </c>
      <c r="I1152">
        <v>200</v>
      </c>
      <c r="J1152">
        <v>410</v>
      </c>
      <c r="K1152">
        <v>310</v>
      </c>
      <c r="L1152">
        <v>610</v>
      </c>
      <c r="M1152">
        <v>270</v>
      </c>
      <c r="N1152">
        <v>1781</v>
      </c>
      <c r="O1152">
        <v>523</v>
      </c>
      <c r="P1152">
        <v>102</v>
      </c>
      <c r="Q1152">
        <v>388</v>
      </c>
      <c r="R1152">
        <v>793</v>
      </c>
      <c r="S1152">
        <v>1.3</v>
      </c>
      <c r="T1152">
        <v>1.2516129032258065</v>
      </c>
      <c r="U1152">
        <v>1.35</v>
      </c>
    </row>
    <row r="1153" spans="1:21" x14ac:dyDescent="0.35">
      <c r="A1153">
        <v>716</v>
      </c>
      <c r="B1153" s="16">
        <v>40360</v>
      </c>
      <c r="C1153" s="15" t="s">
        <v>63</v>
      </c>
      <c r="D1153" s="15" t="s">
        <v>38</v>
      </c>
      <c r="E1153" s="15" t="s">
        <v>54</v>
      </c>
      <c r="F1153" s="15" t="s">
        <v>52</v>
      </c>
      <c r="G1153" s="15" t="s">
        <v>69</v>
      </c>
      <c r="H1153" s="15" t="s">
        <v>45</v>
      </c>
      <c r="I1153">
        <v>190</v>
      </c>
      <c r="J1153">
        <v>-40</v>
      </c>
      <c r="K1153">
        <v>-110</v>
      </c>
      <c r="L1153">
        <v>150</v>
      </c>
      <c r="M1153">
        <v>260</v>
      </c>
      <c r="N1153">
        <v>3076</v>
      </c>
      <c r="O1153">
        <v>-62</v>
      </c>
      <c r="P1153">
        <v>80</v>
      </c>
      <c r="Q1153">
        <v>-164</v>
      </c>
      <c r="R1153">
        <v>198</v>
      </c>
      <c r="S1153">
        <v>1.32</v>
      </c>
      <c r="T1153">
        <v>1.490909090909091</v>
      </c>
      <c r="U1153">
        <v>1.368421052631579</v>
      </c>
    </row>
    <row r="1154" spans="1:21" x14ac:dyDescent="0.35">
      <c r="A1154">
        <v>585</v>
      </c>
      <c r="B1154" s="16">
        <v>40360</v>
      </c>
      <c r="C1154" s="15" t="s">
        <v>63</v>
      </c>
      <c r="D1154" s="15" t="s">
        <v>38</v>
      </c>
      <c r="E1154" s="15" t="s">
        <v>67</v>
      </c>
      <c r="F1154" s="15" t="s">
        <v>49</v>
      </c>
      <c r="G1154" s="15" t="s">
        <v>69</v>
      </c>
      <c r="H1154" s="15" t="s">
        <v>42</v>
      </c>
      <c r="I1154">
        <v>250</v>
      </c>
      <c r="J1154">
        <v>280</v>
      </c>
      <c r="K1154">
        <v>190</v>
      </c>
      <c r="L1154">
        <v>530</v>
      </c>
      <c r="M1154">
        <v>266</v>
      </c>
      <c r="N1154">
        <v>1355</v>
      </c>
      <c r="O1154">
        <v>280</v>
      </c>
      <c r="P1154">
        <v>74</v>
      </c>
      <c r="Q1154">
        <v>182</v>
      </c>
      <c r="R1154">
        <v>546</v>
      </c>
      <c r="S1154">
        <v>1.030188679245283</v>
      </c>
      <c r="T1154">
        <v>0.95789473684210524</v>
      </c>
      <c r="U1154">
        <v>1.0640000000000001</v>
      </c>
    </row>
    <row r="1155" spans="1:21" x14ac:dyDescent="0.35">
      <c r="A1155">
        <v>347</v>
      </c>
      <c r="B1155" s="16">
        <v>40360</v>
      </c>
      <c r="C1155" s="15" t="s">
        <v>63</v>
      </c>
      <c r="D1155" s="15" t="s">
        <v>38</v>
      </c>
      <c r="E1155" s="15" t="s">
        <v>48</v>
      </c>
      <c r="F1155" s="15" t="s">
        <v>49</v>
      </c>
      <c r="G1155" s="15" t="s">
        <v>69</v>
      </c>
      <c r="H1155" s="15" t="s">
        <v>42</v>
      </c>
      <c r="I1155">
        <v>150</v>
      </c>
      <c r="J1155">
        <v>-80</v>
      </c>
      <c r="K1155">
        <v>-240</v>
      </c>
      <c r="L1155">
        <v>70</v>
      </c>
      <c r="M1155">
        <v>162</v>
      </c>
      <c r="N1155">
        <v>2321</v>
      </c>
      <c r="O1155">
        <v>-85</v>
      </c>
      <c r="P1155">
        <v>147</v>
      </c>
      <c r="Q1155">
        <v>-266</v>
      </c>
      <c r="R1155">
        <v>77</v>
      </c>
      <c r="S1155">
        <v>1.1000000000000001</v>
      </c>
      <c r="T1155">
        <v>1.1083333333333334</v>
      </c>
      <c r="U1155">
        <v>1.08</v>
      </c>
    </row>
    <row r="1156" spans="1:21" x14ac:dyDescent="0.35">
      <c r="A1156">
        <v>845</v>
      </c>
      <c r="B1156" s="16">
        <v>40360</v>
      </c>
      <c r="C1156" s="15" t="s">
        <v>63</v>
      </c>
      <c r="D1156" s="15" t="s">
        <v>38</v>
      </c>
      <c r="E1156" s="15" t="s">
        <v>43</v>
      </c>
      <c r="F1156" s="15" t="s">
        <v>40</v>
      </c>
      <c r="G1156" s="15" t="s">
        <v>69</v>
      </c>
      <c r="H1156" s="15" t="s">
        <v>42</v>
      </c>
      <c r="I1156">
        <v>340</v>
      </c>
      <c r="J1156">
        <v>520</v>
      </c>
      <c r="K1156">
        <v>370</v>
      </c>
      <c r="L1156">
        <v>860</v>
      </c>
      <c r="M1156">
        <v>364</v>
      </c>
      <c r="N1156">
        <v>2654</v>
      </c>
      <c r="O1156">
        <v>548</v>
      </c>
      <c r="P1156">
        <v>127</v>
      </c>
      <c r="Q1156">
        <v>370</v>
      </c>
      <c r="R1156">
        <v>912</v>
      </c>
      <c r="S1156">
        <v>1.0604651162790697</v>
      </c>
      <c r="T1156">
        <v>1</v>
      </c>
      <c r="U1156">
        <v>1.0705882352941176</v>
      </c>
    </row>
    <row r="1157" spans="1:21" x14ac:dyDescent="0.35">
      <c r="A1157">
        <v>318</v>
      </c>
      <c r="B1157" s="16">
        <v>40360</v>
      </c>
      <c r="C1157" s="15" t="s">
        <v>70</v>
      </c>
      <c r="D1157" s="15" t="s">
        <v>58</v>
      </c>
      <c r="E1157" s="15" t="s">
        <v>44</v>
      </c>
      <c r="F1157" s="15" t="s">
        <v>40</v>
      </c>
      <c r="G1157" s="15" t="s">
        <v>71</v>
      </c>
      <c r="H1157" s="15" t="s">
        <v>45</v>
      </c>
      <c r="I1157">
        <v>70</v>
      </c>
      <c r="J1157">
        <v>110</v>
      </c>
      <c r="K1157">
        <v>90</v>
      </c>
      <c r="L1157">
        <v>180</v>
      </c>
      <c r="M1157">
        <v>59</v>
      </c>
      <c r="N1157">
        <v>870</v>
      </c>
      <c r="O1157">
        <v>85</v>
      </c>
      <c r="P1157">
        <v>16</v>
      </c>
      <c r="Q1157">
        <v>58</v>
      </c>
      <c r="R1157">
        <v>144</v>
      </c>
      <c r="S1157">
        <v>0.8</v>
      </c>
      <c r="T1157">
        <v>0.64444444444444449</v>
      </c>
      <c r="U1157">
        <v>0.84285714285714286</v>
      </c>
    </row>
    <row r="1158" spans="1:21" x14ac:dyDescent="0.35">
      <c r="A1158">
        <v>318</v>
      </c>
      <c r="B1158" s="16">
        <v>40360</v>
      </c>
      <c r="C1158" s="15" t="s">
        <v>70</v>
      </c>
      <c r="D1158" s="15" t="s">
        <v>58</v>
      </c>
      <c r="E1158" s="15" t="s">
        <v>43</v>
      </c>
      <c r="F1158" s="15" t="s">
        <v>40</v>
      </c>
      <c r="G1158" s="15" t="s">
        <v>71</v>
      </c>
      <c r="H1158" s="15" t="s">
        <v>42</v>
      </c>
      <c r="I1158">
        <v>50</v>
      </c>
      <c r="J1158">
        <v>70</v>
      </c>
      <c r="K1158">
        <v>50</v>
      </c>
      <c r="L1158">
        <v>120</v>
      </c>
      <c r="M1158">
        <v>40</v>
      </c>
      <c r="N1158">
        <v>843</v>
      </c>
      <c r="O1158">
        <v>59</v>
      </c>
      <c r="P1158">
        <v>11</v>
      </c>
      <c r="Q1158">
        <v>36</v>
      </c>
      <c r="R1158">
        <v>99</v>
      </c>
      <c r="S1158">
        <v>0.82499999999999996</v>
      </c>
      <c r="T1158">
        <v>0.72</v>
      </c>
      <c r="U1158">
        <v>0.8</v>
      </c>
    </row>
    <row r="1159" spans="1:21" x14ac:dyDescent="0.35">
      <c r="A1159">
        <v>318</v>
      </c>
      <c r="B1159" s="16">
        <v>40360</v>
      </c>
      <c r="C1159" s="15" t="s">
        <v>70</v>
      </c>
      <c r="D1159" s="15" t="s">
        <v>58</v>
      </c>
      <c r="E1159" s="15" t="s">
        <v>51</v>
      </c>
      <c r="F1159" s="15" t="s">
        <v>52</v>
      </c>
      <c r="G1159" s="15" t="s">
        <v>71</v>
      </c>
      <c r="H1159" s="15" t="s">
        <v>45</v>
      </c>
      <c r="I1159">
        <v>40</v>
      </c>
      <c r="J1159">
        <v>60</v>
      </c>
      <c r="K1159">
        <v>40</v>
      </c>
      <c r="L1159">
        <v>100</v>
      </c>
      <c r="M1159">
        <v>46</v>
      </c>
      <c r="N1159">
        <v>587</v>
      </c>
      <c r="O1159">
        <v>60</v>
      </c>
      <c r="P1159">
        <v>15</v>
      </c>
      <c r="Q1159">
        <v>32</v>
      </c>
      <c r="R1159">
        <v>106</v>
      </c>
      <c r="S1159">
        <v>1.06</v>
      </c>
      <c r="T1159">
        <v>0.8</v>
      </c>
      <c r="U1159">
        <v>1.1499999999999999</v>
      </c>
    </row>
    <row r="1160" spans="1:21" x14ac:dyDescent="0.35">
      <c r="A1160">
        <v>318</v>
      </c>
      <c r="B1160" s="16">
        <v>40360</v>
      </c>
      <c r="C1160" s="15" t="s">
        <v>70</v>
      </c>
      <c r="D1160" s="15" t="s">
        <v>58</v>
      </c>
      <c r="E1160" s="15" t="s">
        <v>53</v>
      </c>
      <c r="F1160" s="15" t="s">
        <v>52</v>
      </c>
      <c r="G1160" s="15" t="s">
        <v>71</v>
      </c>
      <c r="H1160" s="15" t="s">
        <v>45</v>
      </c>
      <c r="I1160">
        <v>70</v>
      </c>
      <c r="J1160">
        <v>90</v>
      </c>
      <c r="K1160">
        <v>40</v>
      </c>
      <c r="L1160">
        <v>160</v>
      </c>
      <c r="M1160">
        <v>76</v>
      </c>
      <c r="N1160">
        <v>613</v>
      </c>
      <c r="O1160">
        <v>93</v>
      </c>
      <c r="P1160">
        <v>28</v>
      </c>
      <c r="Q1160">
        <v>31</v>
      </c>
      <c r="R1160">
        <v>169</v>
      </c>
      <c r="S1160">
        <v>1.0562499999999999</v>
      </c>
      <c r="T1160">
        <v>0.77500000000000002</v>
      </c>
      <c r="U1160">
        <v>1.0857142857142856</v>
      </c>
    </row>
    <row r="1161" spans="1:21" x14ac:dyDescent="0.35">
      <c r="A1161">
        <v>985</v>
      </c>
      <c r="B1161" s="16">
        <v>40360</v>
      </c>
      <c r="C1161" s="15" t="s">
        <v>70</v>
      </c>
      <c r="D1161" s="15" t="s">
        <v>58</v>
      </c>
      <c r="E1161" s="15" t="s">
        <v>72</v>
      </c>
      <c r="F1161" s="15" t="s">
        <v>49</v>
      </c>
      <c r="G1161" s="15" t="s">
        <v>71</v>
      </c>
      <c r="H1161" s="15" t="s">
        <v>42</v>
      </c>
      <c r="I1161">
        <v>40</v>
      </c>
      <c r="J1161">
        <v>50</v>
      </c>
      <c r="K1161">
        <v>0</v>
      </c>
      <c r="L1161">
        <v>90</v>
      </c>
      <c r="M1161">
        <v>47</v>
      </c>
      <c r="N1161">
        <v>-395</v>
      </c>
      <c r="O1161">
        <v>66</v>
      </c>
      <c r="P1161">
        <v>42</v>
      </c>
      <c r="Q1161">
        <v>-6</v>
      </c>
      <c r="R1161">
        <v>113</v>
      </c>
      <c r="S1161">
        <v>1.2555555555555555</v>
      </c>
      <c r="U1161">
        <v>1.175</v>
      </c>
    </row>
    <row r="1162" spans="1:21" x14ac:dyDescent="0.35">
      <c r="A1162">
        <v>225</v>
      </c>
      <c r="B1162" s="16">
        <v>40360</v>
      </c>
      <c r="C1162" s="15" t="s">
        <v>70</v>
      </c>
      <c r="D1162" s="15" t="s">
        <v>58</v>
      </c>
      <c r="E1162" s="15" t="s">
        <v>48</v>
      </c>
      <c r="F1162" s="15" t="s">
        <v>49</v>
      </c>
      <c r="G1162" s="15" t="s">
        <v>71</v>
      </c>
      <c r="H1162" s="15" t="s">
        <v>42</v>
      </c>
      <c r="I1162">
        <v>30</v>
      </c>
      <c r="J1162">
        <v>50</v>
      </c>
      <c r="K1162">
        <v>30</v>
      </c>
      <c r="L1162">
        <v>80</v>
      </c>
      <c r="M1162">
        <v>39</v>
      </c>
      <c r="N1162">
        <v>380</v>
      </c>
      <c r="O1162">
        <v>65</v>
      </c>
      <c r="P1162">
        <v>12</v>
      </c>
      <c r="Q1162">
        <v>30</v>
      </c>
      <c r="R1162">
        <v>104</v>
      </c>
      <c r="S1162">
        <v>1.3</v>
      </c>
      <c r="T1162">
        <v>1</v>
      </c>
      <c r="U1162">
        <v>1.3</v>
      </c>
    </row>
    <row r="1163" spans="1:21" x14ac:dyDescent="0.35">
      <c r="A1163">
        <v>225</v>
      </c>
      <c r="B1163" s="16">
        <v>40360</v>
      </c>
      <c r="C1163" s="15" t="s">
        <v>70</v>
      </c>
      <c r="D1163" s="15" t="s">
        <v>58</v>
      </c>
      <c r="E1163" s="15" t="s">
        <v>50</v>
      </c>
      <c r="F1163" s="15" t="s">
        <v>49</v>
      </c>
      <c r="G1163" s="15" t="s">
        <v>71</v>
      </c>
      <c r="H1163" s="15" t="s">
        <v>45</v>
      </c>
      <c r="I1163">
        <v>30</v>
      </c>
      <c r="J1163">
        <v>40</v>
      </c>
      <c r="K1163">
        <v>20</v>
      </c>
      <c r="L1163">
        <v>70</v>
      </c>
      <c r="M1163">
        <v>36</v>
      </c>
      <c r="N1163">
        <v>462</v>
      </c>
      <c r="O1163">
        <v>54</v>
      </c>
      <c r="P1163">
        <v>11</v>
      </c>
      <c r="Q1163">
        <v>21</v>
      </c>
      <c r="R1163">
        <v>90</v>
      </c>
      <c r="S1163">
        <v>1.2857142857142858</v>
      </c>
      <c r="T1163">
        <v>1.05</v>
      </c>
      <c r="U1163">
        <v>1.2</v>
      </c>
    </row>
    <row r="1164" spans="1:21" x14ac:dyDescent="0.35">
      <c r="A1164">
        <v>505</v>
      </c>
      <c r="B1164" s="16">
        <v>40360</v>
      </c>
      <c r="C1164" s="15" t="s">
        <v>70</v>
      </c>
      <c r="D1164" s="15" t="s">
        <v>58</v>
      </c>
      <c r="E1164" s="15" t="s">
        <v>44</v>
      </c>
      <c r="F1164" s="15" t="s">
        <v>40</v>
      </c>
      <c r="G1164" s="15" t="s">
        <v>73</v>
      </c>
      <c r="H1164" s="15" t="s">
        <v>45</v>
      </c>
      <c r="I1164">
        <v>150</v>
      </c>
      <c r="J1164">
        <v>60</v>
      </c>
      <c r="K1164">
        <v>10</v>
      </c>
      <c r="L1164">
        <v>210</v>
      </c>
      <c r="M1164">
        <v>120</v>
      </c>
      <c r="N1164">
        <v>1334</v>
      </c>
      <c r="O1164">
        <v>49</v>
      </c>
      <c r="P1164">
        <v>37</v>
      </c>
      <c r="Q1164">
        <v>-11</v>
      </c>
      <c r="R1164">
        <v>169</v>
      </c>
      <c r="S1164">
        <v>0.80476190476190479</v>
      </c>
      <c r="T1164">
        <v>-1.1000000000000001</v>
      </c>
      <c r="U1164">
        <v>0.8</v>
      </c>
    </row>
    <row r="1165" spans="1:21" x14ac:dyDescent="0.35">
      <c r="A1165">
        <v>505</v>
      </c>
      <c r="B1165" s="16">
        <v>40360</v>
      </c>
      <c r="C1165" s="15" t="s">
        <v>70</v>
      </c>
      <c r="D1165" s="15" t="s">
        <v>58</v>
      </c>
      <c r="E1165" s="15" t="s">
        <v>43</v>
      </c>
      <c r="F1165" s="15" t="s">
        <v>40</v>
      </c>
      <c r="G1165" s="15" t="s">
        <v>73</v>
      </c>
      <c r="H1165" s="15" t="s">
        <v>42</v>
      </c>
      <c r="I1165">
        <v>80</v>
      </c>
      <c r="J1165">
        <v>120</v>
      </c>
      <c r="K1165">
        <v>70</v>
      </c>
      <c r="L1165">
        <v>200</v>
      </c>
      <c r="M1165">
        <v>64</v>
      </c>
      <c r="N1165">
        <v>467</v>
      </c>
      <c r="O1165">
        <v>96</v>
      </c>
      <c r="P1165">
        <v>21</v>
      </c>
      <c r="Q1165">
        <v>44</v>
      </c>
      <c r="R1165">
        <v>160</v>
      </c>
      <c r="S1165">
        <v>0.8</v>
      </c>
      <c r="T1165">
        <v>0.62857142857142856</v>
      </c>
      <c r="U1165">
        <v>0.8</v>
      </c>
    </row>
    <row r="1166" spans="1:21" x14ac:dyDescent="0.35">
      <c r="A1166">
        <v>505</v>
      </c>
      <c r="B1166" s="16">
        <v>40360</v>
      </c>
      <c r="C1166" s="15" t="s">
        <v>70</v>
      </c>
      <c r="D1166" s="15" t="s">
        <v>58</v>
      </c>
      <c r="E1166" s="15" t="s">
        <v>51</v>
      </c>
      <c r="F1166" s="15" t="s">
        <v>52</v>
      </c>
      <c r="G1166" s="15" t="s">
        <v>73</v>
      </c>
      <c r="H1166" s="15" t="s">
        <v>45</v>
      </c>
      <c r="I1166">
        <v>20</v>
      </c>
      <c r="J1166">
        <v>30</v>
      </c>
      <c r="K1166">
        <v>20</v>
      </c>
      <c r="L1166">
        <v>50</v>
      </c>
      <c r="M1166">
        <v>25</v>
      </c>
      <c r="N1166">
        <v>854</v>
      </c>
      <c r="O1166">
        <v>36</v>
      </c>
      <c r="P1166">
        <v>7</v>
      </c>
      <c r="Q1166">
        <v>17</v>
      </c>
      <c r="R1166">
        <v>61</v>
      </c>
      <c r="S1166">
        <v>1.22</v>
      </c>
      <c r="T1166">
        <v>0.85</v>
      </c>
      <c r="U1166">
        <v>1.25</v>
      </c>
    </row>
    <row r="1167" spans="1:21" x14ac:dyDescent="0.35">
      <c r="A1167">
        <v>505</v>
      </c>
      <c r="B1167" s="16">
        <v>40360</v>
      </c>
      <c r="C1167" s="15" t="s">
        <v>70</v>
      </c>
      <c r="D1167" s="15" t="s">
        <v>58</v>
      </c>
      <c r="E1167" s="15" t="s">
        <v>53</v>
      </c>
      <c r="F1167" s="15" t="s">
        <v>52</v>
      </c>
      <c r="G1167" s="15" t="s">
        <v>73</v>
      </c>
      <c r="H1167" s="15" t="s">
        <v>45</v>
      </c>
      <c r="I1167">
        <v>30</v>
      </c>
      <c r="J1167">
        <v>40</v>
      </c>
      <c r="K1167">
        <v>20</v>
      </c>
      <c r="L1167">
        <v>70</v>
      </c>
      <c r="M1167">
        <v>34</v>
      </c>
      <c r="N1167">
        <v>1010</v>
      </c>
      <c r="O1167">
        <v>41</v>
      </c>
      <c r="P1167">
        <v>10</v>
      </c>
      <c r="Q1167">
        <v>10</v>
      </c>
      <c r="R1167">
        <v>75</v>
      </c>
      <c r="S1167">
        <v>1.0714285714285714</v>
      </c>
      <c r="T1167">
        <v>0.5</v>
      </c>
      <c r="U1167">
        <v>1.1333333333333333</v>
      </c>
    </row>
    <row r="1168" spans="1:21" x14ac:dyDescent="0.35">
      <c r="A1168">
        <v>505</v>
      </c>
      <c r="B1168" s="16">
        <v>40360</v>
      </c>
      <c r="C1168" s="15" t="s">
        <v>70</v>
      </c>
      <c r="D1168" s="15" t="s">
        <v>58</v>
      </c>
      <c r="E1168" s="15" t="s">
        <v>72</v>
      </c>
      <c r="F1168" s="15" t="s">
        <v>49</v>
      </c>
      <c r="G1168" s="15" t="s">
        <v>73</v>
      </c>
      <c r="H1168" s="15" t="s">
        <v>42</v>
      </c>
      <c r="I1168">
        <v>30</v>
      </c>
      <c r="J1168">
        <v>40</v>
      </c>
      <c r="K1168">
        <v>10</v>
      </c>
      <c r="L1168">
        <v>70</v>
      </c>
      <c r="M1168">
        <v>40</v>
      </c>
      <c r="N1168">
        <v>-258</v>
      </c>
      <c r="O1168">
        <v>49</v>
      </c>
      <c r="P1168">
        <v>15</v>
      </c>
      <c r="Q1168">
        <v>1</v>
      </c>
      <c r="R1168">
        <v>89</v>
      </c>
      <c r="S1168">
        <v>1.2714285714285714</v>
      </c>
      <c r="T1168">
        <v>0.1</v>
      </c>
      <c r="U1168">
        <v>1.3333333333333333</v>
      </c>
    </row>
    <row r="1169" spans="1:21" x14ac:dyDescent="0.35">
      <c r="A1169">
        <v>505</v>
      </c>
      <c r="B1169" s="16">
        <v>40360</v>
      </c>
      <c r="C1169" s="15" t="s">
        <v>70</v>
      </c>
      <c r="D1169" s="15" t="s">
        <v>58</v>
      </c>
      <c r="E1169" s="15" t="s">
        <v>48</v>
      </c>
      <c r="F1169" s="15" t="s">
        <v>49</v>
      </c>
      <c r="G1169" s="15" t="s">
        <v>73</v>
      </c>
      <c r="H1169" s="15" t="s">
        <v>42</v>
      </c>
      <c r="I1169">
        <v>50</v>
      </c>
      <c r="J1169">
        <v>70</v>
      </c>
      <c r="K1169">
        <v>0</v>
      </c>
      <c r="L1169">
        <v>120</v>
      </c>
      <c r="M1169">
        <v>59</v>
      </c>
      <c r="N1169">
        <v>338</v>
      </c>
      <c r="O1169">
        <v>82</v>
      </c>
      <c r="P1169">
        <v>53</v>
      </c>
      <c r="Q1169">
        <v>-1</v>
      </c>
      <c r="R1169">
        <v>141</v>
      </c>
      <c r="S1169">
        <v>1.175</v>
      </c>
      <c r="U1169">
        <v>1.18</v>
      </c>
    </row>
    <row r="1170" spans="1:21" x14ac:dyDescent="0.35">
      <c r="A1170">
        <v>505</v>
      </c>
      <c r="B1170" s="16">
        <v>40360</v>
      </c>
      <c r="C1170" s="15" t="s">
        <v>70</v>
      </c>
      <c r="D1170" s="15" t="s">
        <v>58</v>
      </c>
      <c r="E1170" s="15" t="s">
        <v>50</v>
      </c>
      <c r="F1170" s="15" t="s">
        <v>49</v>
      </c>
      <c r="G1170" s="15" t="s">
        <v>73</v>
      </c>
      <c r="H1170" s="15" t="s">
        <v>45</v>
      </c>
      <c r="I1170">
        <v>30</v>
      </c>
      <c r="J1170">
        <v>50</v>
      </c>
      <c r="K1170">
        <v>20</v>
      </c>
      <c r="L1170">
        <v>80</v>
      </c>
      <c r="M1170">
        <v>44</v>
      </c>
      <c r="N1170">
        <v>258</v>
      </c>
      <c r="O1170">
        <v>59</v>
      </c>
      <c r="P1170">
        <v>14</v>
      </c>
      <c r="Q1170">
        <v>18</v>
      </c>
      <c r="R1170">
        <v>103</v>
      </c>
      <c r="S1170">
        <v>1.2875000000000001</v>
      </c>
      <c r="T1170">
        <v>0.9</v>
      </c>
      <c r="U1170">
        <v>1.4666666666666666</v>
      </c>
    </row>
    <row r="1171" spans="1:21" x14ac:dyDescent="0.35">
      <c r="A1171">
        <v>405</v>
      </c>
      <c r="B1171" s="16">
        <v>40360</v>
      </c>
      <c r="C1171" s="15" t="s">
        <v>70</v>
      </c>
      <c r="D1171" s="15" t="s">
        <v>58</v>
      </c>
      <c r="E1171" s="15" t="s">
        <v>44</v>
      </c>
      <c r="F1171" s="15" t="s">
        <v>40</v>
      </c>
      <c r="G1171" s="15" t="s">
        <v>74</v>
      </c>
      <c r="H1171" s="15" t="s">
        <v>45</v>
      </c>
      <c r="I1171">
        <v>20</v>
      </c>
      <c r="J1171">
        <v>50</v>
      </c>
      <c r="K1171">
        <v>40</v>
      </c>
      <c r="L1171">
        <v>70</v>
      </c>
      <c r="M1171">
        <v>23</v>
      </c>
      <c r="N1171">
        <v>868</v>
      </c>
      <c r="O1171">
        <v>34</v>
      </c>
      <c r="P1171">
        <v>6</v>
      </c>
      <c r="Q1171">
        <v>16</v>
      </c>
      <c r="R1171">
        <v>57</v>
      </c>
      <c r="S1171">
        <v>0.81428571428571428</v>
      </c>
      <c r="T1171">
        <v>0.4</v>
      </c>
      <c r="U1171">
        <v>1.1499999999999999</v>
      </c>
    </row>
    <row r="1172" spans="1:21" x14ac:dyDescent="0.35">
      <c r="A1172">
        <v>580</v>
      </c>
      <c r="B1172" s="16">
        <v>40360</v>
      </c>
      <c r="C1172" s="15" t="s">
        <v>70</v>
      </c>
      <c r="D1172" s="15" t="s">
        <v>58</v>
      </c>
      <c r="E1172" s="15" t="s">
        <v>43</v>
      </c>
      <c r="F1172" s="15" t="s">
        <v>40</v>
      </c>
      <c r="G1172" s="15" t="s">
        <v>74</v>
      </c>
      <c r="H1172" s="15" t="s">
        <v>42</v>
      </c>
      <c r="I1172">
        <v>50</v>
      </c>
      <c r="J1172">
        <v>60</v>
      </c>
      <c r="K1172">
        <v>40</v>
      </c>
      <c r="L1172">
        <v>110</v>
      </c>
      <c r="M1172">
        <v>41</v>
      </c>
      <c r="N1172">
        <v>592</v>
      </c>
      <c r="O1172">
        <v>53</v>
      </c>
      <c r="P1172">
        <v>13</v>
      </c>
      <c r="Q1172">
        <v>28</v>
      </c>
      <c r="R1172">
        <v>94</v>
      </c>
      <c r="S1172">
        <v>0.8545454545454545</v>
      </c>
      <c r="T1172">
        <v>0.7</v>
      </c>
      <c r="U1172">
        <v>0.82</v>
      </c>
    </row>
    <row r="1173" spans="1:21" x14ac:dyDescent="0.35">
      <c r="A1173">
        <v>405</v>
      </c>
      <c r="B1173" s="16">
        <v>40360</v>
      </c>
      <c r="C1173" s="15" t="s">
        <v>70</v>
      </c>
      <c r="D1173" s="15" t="s">
        <v>58</v>
      </c>
      <c r="E1173" s="15" t="s">
        <v>53</v>
      </c>
      <c r="F1173" s="15" t="s">
        <v>52</v>
      </c>
      <c r="G1173" s="15" t="s">
        <v>74</v>
      </c>
      <c r="H1173" s="15" t="s">
        <v>45</v>
      </c>
      <c r="I1173">
        <v>110</v>
      </c>
      <c r="J1173">
        <v>180</v>
      </c>
      <c r="K1173">
        <v>60</v>
      </c>
      <c r="L1173">
        <v>290</v>
      </c>
      <c r="M1173">
        <v>124</v>
      </c>
      <c r="N1173">
        <v>717</v>
      </c>
      <c r="O1173">
        <v>173</v>
      </c>
      <c r="P1173">
        <v>112</v>
      </c>
      <c r="Q1173">
        <v>32</v>
      </c>
      <c r="R1173">
        <v>297</v>
      </c>
      <c r="S1173">
        <v>1.0241379310344827</v>
      </c>
      <c r="T1173">
        <v>0.53333333333333333</v>
      </c>
      <c r="U1173">
        <v>1.1272727272727272</v>
      </c>
    </row>
    <row r="1174" spans="1:21" x14ac:dyDescent="0.35">
      <c r="A1174">
        <v>405</v>
      </c>
      <c r="B1174" s="16">
        <v>40360</v>
      </c>
      <c r="C1174" s="15" t="s">
        <v>70</v>
      </c>
      <c r="D1174" s="15" t="s">
        <v>58</v>
      </c>
      <c r="E1174" s="15" t="s">
        <v>51</v>
      </c>
      <c r="F1174" s="15" t="s">
        <v>52</v>
      </c>
      <c r="G1174" s="15" t="s">
        <v>74</v>
      </c>
      <c r="H1174" s="15" t="s">
        <v>45</v>
      </c>
      <c r="I1174">
        <v>50</v>
      </c>
      <c r="J1174">
        <v>80</v>
      </c>
      <c r="K1174">
        <v>30</v>
      </c>
      <c r="L1174">
        <v>130</v>
      </c>
      <c r="M1174">
        <v>59</v>
      </c>
      <c r="N1174">
        <v>403</v>
      </c>
      <c r="O1174">
        <v>74</v>
      </c>
      <c r="P1174">
        <v>22</v>
      </c>
      <c r="Q1174">
        <v>19</v>
      </c>
      <c r="R1174">
        <v>133</v>
      </c>
      <c r="S1174">
        <v>1.023076923076923</v>
      </c>
      <c r="T1174">
        <v>0.6333333333333333</v>
      </c>
      <c r="U1174">
        <v>1.18</v>
      </c>
    </row>
    <row r="1175" spans="1:21" x14ac:dyDescent="0.35">
      <c r="A1175">
        <v>580</v>
      </c>
      <c r="B1175" s="16">
        <v>40360</v>
      </c>
      <c r="C1175" s="15" t="s">
        <v>70</v>
      </c>
      <c r="D1175" s="15" t="s">
        <v>58</v>
      </c>
      <c r="E1175" s="15" t="s">
        <v>72</v>
      </c>
      <c r="F1175" s="15" t="s">
        <v>49</v>
      </c>
      <c r="G1175" s="15" t="s">
        <v>74</v>
      </c>
      <c r="H1175" s="15" t="s">
        <v>42</v>
      </c>
      <c r="I1175">
        <v>120</v>
      </c>
      <c r="J1175">
        <v>160</v>
      </c>
      <c r="K1175">
        <v>110</v>
      </c>
      <c r="L1175">
        <v>280</v>
      </c>
      <c r="M1175">
        <v>141</v>
      </c>
      <c r="N1175">
        <v>-942</v>
      </c>
      <c r="O1175">
        <v>195</v>
      </c>
      <c r="P1175">
        <v>43</v>
      </c>
      <c r="Q1175">
        <v>128</v>
      </c>
      <c r="R1175">
        <v>336</v>
      </c>
      <c r="S1175">
        <v>1.2</v>
      </c>
      <c r="T1175">
        <v>1.1636363636363636</v>
      </c>
      <c r="U1175">
        <v>1.175</v>
      </c>
    </row>
    <row r="1176" spans="1:21" x14ac:dyDescent="0.35">
      <c r="A1176">
        <v>918</v>
      </c>
      <c r="B1176" s="16">
        <v>40360</v>
      </c>
      <c r="C1176" s="15" t="s">
        <v>70</v>
      </c>
      <c r="D1176" s="15" t="s">
        <v>58</v>
      </c>
      <c r="E1176" s="15" t="s">
        <v>48</v>
      </c>
      <c r="F1176" s="15" t="s">
        <v>49</v>
      </c>
      <c r="G1176" s="15" t="s">
        <v>74</v>
      </c>
      <c r="H1176" s="15" t="s">
        <v>42</v>
      </c>
      <c r="I1176">
        <v>10</v>
      </c>
      <c r="J1176">
        <v>20</v>
      </c>
      <c r="K1176">
        <v>20</v>
      </c>
      <c r="L1176">
        <v>30</v>
      </c>
      <c r="M1176">
        <v>18</v>
      </c>
      <c r="N1176">
        <v>486</v>
      </c>
      <c r="O1176">
        <v>26</v>
      </c>
      <c r="P1176">
        <v>5</v>
      </c>
      <c r="Q1176">
        <v>9</v>
      </c>
      <c r="R1176">
        <v>44</v>
      </c>
      <c r="S1176">
        <v>1.4666666666666666</v>
      </c>
      <c r="T1176">
        <v>0.45</v>
      </c>
      <c r="U1176">
        <v>1.8</v>
      </c>
    </row>
    <row r="1177" spans="1:21" x14ac:dyDescent="0.35">
      <c r="A1177">
        <v>580</v>
      </c>
      <c r="B1177" s="16">
        <v>40360</v>
      </c>
      <c r="C1177" s="15" t="s">
        <v>70</v>
      </c>
      <c r="D1177" s="15" t="s">
        <v>58</v>
      </c>
      <c r="E1177" s="15" t="s">
        <v>50</v>
      </c>
      <c r="F1177" s="15" t="s">
        <v>49</v>
      </c>
      <c r="G1177" s="15" t="s">
        <v>74</v>
      </c>
      <c r="H1177" s="15" t="s">
        <v>45</v>
      </c>
      <c r="I1177">
        <v>90</v>
      </c>
      <c r="J1177">
        <v>150</v>
      </c>
      <c r="K1177">
        <v>100</v>
      </c>
      <c r="L1177">
        <v>240</v>
      </c>
      <c r="M1177">
        <v>114</v>
      </c>
      <c r="N1177">
        <v>822</v>
      </c>
      <c r="O1177">
        <v>172</v>
      </c>
      <c r="P1177">
        <v>37</v>
      </c>
      <c r="Q1177">
        <v>103</v>
      </c>
      <c r="R1177">
        <v>286</v>
      </c>
      <c r="S1177">
        <v>1.1916666666666667</v>
      </c>
      <c r="T1177">
        <v>1.03</v>
      </c>
      <c r="U1177">
        <v>1.2666666666666666</v>
      </c>
    </row>
    <row r="1178" spans="1:21" x14ac:dyDescent="0.35">
      <c r="A1178">
        <v>325</v>
      </c>
      <c r="B1178" s="16">
        <v>40360</v>
      </c>
      <c r="C1178" s="15" t="s">
        <v>70</v>
      </c>
      <c r="D1178" s="15" t="s">
        <v>38</v>
      </c>
      <c r="E1178" s="15" t="s">
        <v>44</v>
      </c>
      <c r="F1178" s="15" t="s">
        <v>40</v>
      </c>
      <c r="G1178" s="15" t="s">
        <v>75</v>
      </c>
      <c r="H1178" s="15" t="s">
        <v>45</v>
      </c>
      <c r="I1178">
        <v>100</v>
      </c>
      <c r="J1178">
        <v>140</v>
      </c>
      <c r="K1178">
        <v>110</v>
      </c>
      <c r="L1178">
        <v>240</v>
      </c>
      <c r="M1178">
        <v>87</v>
      </c>
      <c r="N1178">
        <v>564</v>
      </c>
      <c r="O1178">
        <v>112</v>
      </c>
      <c r="P1178">
        <v>28</v>
      </c>
      <c r="Q1178">
        <v>71</v>
      </c>
      <c r="R1178">
        <v>199</v>
      </c>
      <c r="S1178">
        <v>0.82916666666666672</v>
      </c>
      <c r="T1178">
        <v>0.6454545454545455</v>
      </c>
      <c r="U1178">
        <v>0.87</v>
      </c>
    </row>
    <row r="1179" spans="1:21" x14ac:dyDescent="0.35">
      <c r="A1179">
        <v>430</v>
      </c>
      <c r="B1179" s="16">
        <v>40360</v>
      </c>
      <c r="C1179" s="15" t="s">
        <v>70</v>
      </c>
      <c r="D1179" s="15" t="s">
        <v>38</v>
      </c>
      <c r="E1179" s="15" t="s">
        <v>43</v>
      </c>
      <c r="F1179" s="15" t="s">
        <v>40</v>
      </c>
      <c r="G1179" s="15" t="s">
        <v>75</v>
      </c>
      <c r="H1179" s="15" t="s">
        <v>42</v>
      </c>
      <c r="I1179">
        <v>320</v>
      </c>
      <c r="J1179">
        <v>380</v>
      </c>
      <c r="K1179">
        <v>290</v>
      </c>
      <c r="L1179">
        <v>700</v>
      </c>
      <c r="M1179">
        <v>260</v>
      </c>
      <c r="N1179">
        <v>1319</v>
      </c>
      <c r="O1179">
        <v>307</v>
      </c>
      <c r="P1179">
        <v>80</v>
      </c>
      <c r="Q1179">
        <v>206</v>
      </c>
      <c r="R1179">
        <v>567</v>
      </c>
      <c r="S1179">
        <v>0.81</v>
      </c>
      <c r="T1179">
        <v>0.71034482758620687</v>
      </c>
      <c r="U1179">
        <v>0.8125</v>
      </c>
    </row>
    <row r="1180" spans="1:21" x14ac:dyDescent="0.35">
      <c r="A1180">
        <v>281</v>
      </c>
      <c r="B1180" s="16">
        <v>40360</v>
      </c>
      <c r="C1180" s="15" t="s">
        <v>70</v>
      </c>
      <c r="D1180" s="15" t="s">
        <v>38</v>
      </c>
      <c r="E1180" s="15" t="s">
        <v>53</v>
      </c>
      <c r="F1180" s="15" t="s">
        <v>52</v>
      </c>
      <c r="G1180" s="15" t="s">
        <v>75</v>
      </c>
      <c r="H1180" s="15" t="s">
        <v>45</v>
      </c>
      <c r="I1180">
        <v>30</v>
      </c>
      <c r="J1180">
        <v>50</v>
      </c>
      <c r="K1180">
        <v>30</v>
      </c>
      <c r="L1180">
        <v>80</v>
      </c>
      <c r="M1180">
        <v>34</v>
      </c>
      <c r="N1180">
        <v>432</v>
      </c>
      <c r="O1180">
        <v>51</v>
      </c>
      <c r="P1180">
        <v>10</v>
      </c>
      <c r="Q1180">
        <v>19</v>
      </c>
      <c r="R1180">
        <v>85</v>
      </c>
      <c r="S1180">
        <v>1.0625</v>
      </c>
      <c r="T1180">
        <v>0.6333333333333333</v>
      </c>
      <c r="U1180">
        <v>1.1333333333333333</v>
      </c>
    </row>
    <row r="1181" spans="1:21" x14ac:dyDescent="0.35">
      <c r="A1181">
        <v>903</v>
      </c>
      <c r="B1181" s="16">
        <v>40360</v>
      </c>
      <c r="C1181" s="15" t="s">
        <v>70</v>
      </c>
      <c r="D1181" s="15" t="s">
        <v>38</v>
      </c>
      <c r="E1181" s="15" t="s">
        <v>51</v>
      </c>
      <c r="F1181" s="15" t="s">
        <v>52</v>
      </c>
      <c r="G1181" s="15" t="s">
        <v>75</v>
      </c>
      <c r="H1181" s="15" t="s">
        <v>45</v>
      </c>
      <c r="I1181">
        <v>40</v>
      </c>
      <c r="J1181">
        <v>60</v>
      </c>
      <c r="K1181">
        <v>30</v>
      </c>
      <c r="L1181">
        <v>100</v>
      </c>
      <c r="M1181">
        <v>47</v>
      </c>
      <c r="N1181">
        <v>420</v>
      </c>
      <c r="O1181">
        <v>63</v>
      </c>
      <c r="P1181">
        <v>15</v>
      </c>
      <c r="Q1181">
        <v>20</v>
      </c>
      <c r="R1181">
        <v>110</v>
      </c>
      <c r="S1181">
        <v>1.1000000000000001</v>
      </c>
      <c r="T1181">
        <v>0.66666666666666663</v>
      </c>
      <c r="U1181">
        <v>1.175</v>
      </c>
    </row>
    <row r="1182" spans="1:21" x14ac:dyDescent="0.35">
      <c r="A1182">
        <v>281</v>
      </c>
      <c r="B1182" s="16">
        <v>40360</v>
      </c>
      <c r="C1182" s="15" t="s">
        <v>70</v>
      </c>
      <c r="D1182" s="15" t="s">
        <v>38</v>
      </c>
      <c r="E1182" s="15" t="s">
        <v>72</v>
      </c>
      <c r="F1182" s="15" t="s">
        <v>49</v>
      </c>
      <c r="G1182" s="15" t="s">
        <v>75</v>
      </c>
      <c r="H1182" s="15" t="s">
        <v>42</v>
      </c>
      <c r="I1182">
        <v>40</v>
      </c>
      <c r="J1182">
        <v>70</v>
      </c>
      <c r="K1182">
        <v>40</v>
      </c>
      <c r="L1182">
        <v>110</v>
      </c>
      <c r="M1182">
        <v>52</v>
      </c>
      <c r="N1182">
        <v>-456</v>
      </c>
      <c r="O1182">
        <v>79</v>
      </c>
      <c r="P1182">
        <v>17</v>
      </c>
      <c r="Q1182">
        <v>30</v>
      </c>
      <c r="R1182">
        <v>131</v>
      </c>
      <c r="S1182">
        <v>1.1909090909090909</v>
      </c>
      <c r="T1182">
        <v>0.75</v>
      </c>
      <c r="U1182">
        <v>1.3</v>
      </c>
    </row>
    <row r="1183" spans="1:21" x14ac:dyDescent="0.35">
      <c r="A1183">
        <v>210</v>
      </c>
      <c r="B1183" s="16">
        <v>40360</v>
      </c>
      <c r="C1183" s="15" t="s">
        <v>70</v>
      </c>
      <c r="D1183" s="15" t="s">
        <v>38</v>
      </c>
      <c r="E1183" s="15" t="s">
        <v>48</v>
      </c>
      <c r="F1183" s="15" t="s">
        <v>49</v>
      </c>
      <c r="G1183" s="15" t="s">
        <v>75</v>
      </c>
      <c r="H1183" s="15" t="s">
        <v>42</v>
      </c>
      <c r="I1183">
        <v>80</v>
      </c>
      <c r="J1183">
        <v>140</v>
      </c>
      <c r="K1183">
        <v>120</v>
      </c>
      <c r="L1183">
        <v>220</v>
      </c>
      <c r="M1183">
        <v>104</v>
      </c>
      <c r="N1183">
        <v>952</v>
      </c>
      <c r="O1183">
        <v>152</v>
      </c>
      <c r="P1183">
        <v>29</v>
      </c>
      <c r="Q1183">
        <v>112</v>
      </c>
      <c r="R1183">
        <v>256</v>
      </c>
      <c r="S1183">
        <v>1.1636363636363636</v>
      </c>
      <c r="T1183">
        <v>0.93333333333333335</v>
      </c>
      <c r="U1183">
        <v>1.3</v>
      </c>
    </row>
    <row r="1184" spans="1:21" x14ac:dyDescent="0.35">
      <c r="A1184">
        <v>832</v>
      </c>
      <c r="B1184" s="16">
        <v>40360</v>
      </c>
      <c r="C1184" s="15" t="s">
        <v>70</v>
      </c>
      <c r="D1184" s="15" t="s">
        <v>38</v>
      </c>
      <c r="E1184" s="15" t="s">
        <v>50</v>
      </c>
      <c r="F1184" s="15" t="s">
        <v>49</v>
      </c>
      <c r="G1184" s="15" t="s">
        <v>75</v>
      </c>
      <c r="H1184" s="15" t="s">
        <v>45</v>
      </c>
      <c r="I1184">
        <v>80</v>
      </c>
      <c r="J1184">
        <v>110</v>
      </c>
      <c r="K1184">
        <v>90</v>
      </c>
      <c r="L1184">
        <v>190</v>
      </c>
      <c r="M1184">
        <v>94</v>
      </c>
      <c r="N1184">
        <v>608</v>
      </c>
      <c r="O1184">
        <v>136</v>
      </c>
      <c r="P1184">
        <v>26</v>
      </c>
      <c r="Q1184">
        <v>98</v>
      </c>
      <c r="R1184">
        <v>230</v>
      </c>
      <c r="S1184">
        <v>1.2105263157894737</v>
      </c>
      <c r="T1184">
        <v>1.0888888888888888</v>
      </c>
      <c r="U1184">
        <v>1.175</v>
      </c>
    </row>
    <row r="1185" spans="1:21" x14ac:dyDescent="0.35">
      <c r="A1185">
        <v>435</v>
      </c>
      <c r="B1185" s="16">
        <v>40360</v>
      </c>
      <c r="C1185" s="15" t="s">
        <v>76</v>
      </c>
      <c r="D1185" s="15" t="s">
        <v>58</v>
      </c>
      <c r="E1185" s="15" t="s">
        <v>39</v>
      </c>
      <c r="F1185" s="15" t="s">
        <v>40</v>
      </c>
      <c r="G1185" s="15" t="s">
        <v>77</v>
      </c>
      <c r="H1185" s="15" t="s">
        <v>42</v>
      </c>
      <c r="I1185">
        <v>70</v>
      </c>
      <c r="J1185">
        <v>90</v>
      </c>
      <c r="K1185">
        <v>60</v>
      </c>
      <c r="L1185">
        <v>160</v>
      </c>
      <c r="M1185">
        <v>60</v>
      </c>
      <c r="N1185">
        <v>1070</v>
      </c>
      <c r="O1185">
        <v>72</v>
      </c>
      <c r="P1185">
        <v>18</v>
      </c>
      <c r="Q1185">
        <v>32</v>
      </c>
      <c r="R1185">
        <v>132</v>
      </c>
      <c r="S1185">
        <v>0.82499999999999996</v>
      </c>
      <c r="T1185">
        <v>0.53333333333333333</v>
      </c>
      <c r="U1185">
        <v>0.8571428571428571</v>
      </c>
    </row>
    <row r="1186" spans="1:21" x14ac:dyDescent="0.35">
      <c r="A1186">
        <v>801</v>
      </c>
      <c r="B1186" s="16">
        <v>40360</v>
      </c>
      <c r="C1186" s="15" t="s">
        <v>76</v>
      </c>
      <c r="D1186" s="15" t="s">
        <v>58</v>
      </c>
      <c r="E1186" s="15" t="s">
        <v>43</v>
      </c>
      <c r="F1186" s="15" t="s">
        <v>40</v>
      </c>
      <c r="G1186" s="15" t="s">
        <v>77</v>
      </c>
      <c r="H1186" s="15" t="s">
        <v>42</v>
      </c>
      <c r="I1186">
        <v>50</v>
      </c>
      <c r="J1186">
        <v>70</v>
      </c>
      <c r="K1186">
        <v>40</v>
      </c>
      <c r="L1186">
        <v>120</v>
      </c>
      <c r="M1186">
        <v>43</v>
      </c>
      <c r="N1186">
        <v>388</v>
      </c>
      <c r="O1186">
        <v>57</v>
      </c>
      <c r="P1186">
        <v>14</v>
      </c>
      <c r="Q1186">
        <v>16</v>
      </c>
      <c r="R1186">
        <v>100</v>
      </c>
      <c r="S1186">
        <v>0.83333333333333337</v>
      </c>
      <c r="T1186">
        <v>0.4</v>
      </c>
      <c r="U1186">
        <v>0.86</v>
      </c>
    </row>
    <row r="1187" spans="1:21" x14ac:dyDescent="0.35">
      <c r="A1187">
        <v>435</v>
      </c>
      <c r="B1187" s="16">
        <v>40360</v>
      </c>
      <c r="C1187" s="15" t="s">
        <v>76</v>
      </c>
      <c r="D1187" s="15" t="s">
        <v>58</v>
      </c>
      <c r="E1187" s="15" t="s">
        <v>51</v>
      </c>
      <c r="F1187" s="15" t="s">
        <v>52</v>
      </c>
      <c r="G1187" s="15" t="s">
        <v>77</v>
      </c>
      <c r="H1187" s="15" t="s">
        <v>45</v>
      </c>
      <c r="I1187">
        <v>50</v>
      </c>
      <c r="J1187">
        <v>80</v>
      </c>
      <c r="K1187">
        <v>60</v>
      </c>
      <c r="L1187">
        <v>130</v>
      </c>
      <c r="M1187">
        <v>61</v>
      </c>
      <c r="N1187">
        <v>329</v>
      </c>
      <c r="O1187">
        <v>90</v>
      </c>
      <c r="P1187">
        <v>19</v>
      </c>
      <c r="Q1187">
        <v>48</v>
      </c>
      <c r="R1187">
        <v>151</v>
      </c>
      <c r="S1187">
        <v>1.1615384615384616</v>
      </c>
      <c r="T1187">
        <v>0.8</v>
      </c>
      <c r="U1187">
        <v>1.22</v>
      </c>
    </row>
    <row r="1188" spans="1:21" x14ac:dyDescent="0.35">
      <c r="A1188">
        <v>435</v>
      </c>
      <c r="B1188" s="16">
        <v>40360</v>
      </c>
      <c r="C1188" s="15" t="s">
        <v>76</v>
      </c>
      <c r="D1188" s="15" t="s">
        <v>58</v>
      </c>
      <c r="E1188" s="15" t="s">
        <v>53</v>
      </c>
      <c r="F1188" s="15" t="s">
        <v>52</v>
      </c>
      <c r="G1188" s="15" t="s">
        <v>77</v>
      </c>
      <c r="H1188" s="15" t="s">
        <v>45</v>
      </c>
      <c r="I1188">
        <v>50</v>
      </c>
      <c r="J1188">
        <v>90</v>
      </c>
      <c r="K1188">
        <v>60</v>
      </c>
      <c r="L1188">
        <v>140</v>
      </c>
      <c r="M1188">
        <v>64</v>
      </c>
      <c r="N1188">
        <v>467</v>
      </c>
      <c r="O1188">
        <v>96</v>
      </c>
      <c r="P1188">
        <v>21</v>
      </c>
      <c r="Q1188">
        <v>44</v>
      </c>
      <c r="R1188">
        <v>160</v>
      </c>
      <c r="S1188">
        <v>1.1428571428571428</v>
      </c>
      <c r="T1188">
        <v>0.73333333333333328</v>
      </c>
      <c r="U1188">
        <v>1.28</v>
      </c>
    </row>
    <row r="1189" spans="1:21" x14ac:dyDescent="0.35">
      <c r="A1189">
        <v>801</v>
      </c>
      <c r="B1189" s="16">
        <v>40360</v>
      </c>
      <c r="C1189" s="15" t="s">
        <v>76</v>
      </c>
      <c r="D1189" s="15" t="s">
        <v>58</v>
      </c>
      <c r="E1189" s="15" t="s">
        <v>54</v>
      </c>
      <c r="F1189" s="15" t="s">
        <v>52</v>
      </c>
      <c r="G1189" s="15" t="s">
        <v>77</v>
      </c>
      <c r="H1189" s="15" t="s">
        <v>45</v>
      </c>
      <c r="I1189">
        <v>100</v>
      </c>
      <c r="J1189">
        <v>40</v>
      </c>
      <c r="K1189">
        <v>-10</v>
      </c>
      <c r="L1189">
        <v>140</v>
      </c>
      <c r="M1189">
        <v>120</v>
      </c>
      <c r="N1189">
        <v>1334</v>
      </c>
      <c r="O1189">
        <v>49</v>
      </c>
      <c r="P1189">
        <v>37</v>
      </c>
      <c r="Q1189">
        <v>-12</v>
      </c>
      <c r="R1189">
        <v>169</v>
      </c>
      <c r="S1189">
        <v>1.2071428571428571</v>
      </c>
      <c r="T1189">
        <v>1.2</v>
      </c>
      <c r="U1189">
        <v>1.2</v>
      </c>
    </row>
    <row r="1190" spans="1:21" x14ac:dyDescent="0.35">
      <c r="A1190">
        <v>435</v>
      </c>
      <c r="B1190" s="16">
        <v>40360</v>
      </c>
      <c r="C1190" s="15" t="s">
        <v>76</v>
      </c>
      <c r="D1190" s="15" t="s">
        <v>58</v>
      </c>
      <c r="E1190" s="15" t="s">
        <v>55</v>
      </c>
      <c r="F1190" s="15" t="s">
        <v>47</v>
      </c>
      <c r="G1190" s="15" t="s">
        <v>77</v>
      </c>
      <c r="H1190" s="15" t="s">
        <v>42</v>
      </c>
      <c r="I1190">
        <v>30</v>
      </c>
      <c r="J1190">
        <v>60</v>
      </c>
      <c r="K1190">
        <v>10</v>
      </c>
      <c r="L1190">
        <v>90</v>
      </c>
      <c r="M1190">
        <v>59</v>
      </c>
      <c r="N1190">
        <v>338</v>
      </c>
      <c r="O1190">
        <v>82</v>
      </c>
      <c r="P1190">
        <v>53</v>
      </c>
      <c r="Q1190">
        <v>0</v>
      </c>
      <c r="R1190">
        <v>141</v>
      </c>
      <c r="S1190">
        <v>1.5666666666666667</v>
      </c>
      <c r="T1190">
        <v>0</v>
      </c>
      <c r="U1190">
        <v>1.9666666666666666</v>
      </c>
    </row>
    <row r="1191" spans="1:21" x14ac:dyDescent="0.35">
      <c r="A1191">
        <v>435</v>
      </c>
      <c r="B1191" s="16">
        <v>40360</v>
      </c>
      <c r="C1191" s="15" t="s">
        <v>76</v>
      </c>
      <c r="D1191" s="15" t="s">
        <v>58</v>
      </c>
      <c r="E1191" s="15" t="s">
        <v>56</v>
      </c>
      <c r="F1191" s="15" t="s">
        <v>47</v>
      </c>
      <c r="G1191" s="15" t="s">
        <v>77</v>
      </c>
      <c r="H1191" s="15" t="s">
        <v>42</v>
      </c>
      <c r="I1191">
        <v>20</v>
      </c>
      <c r="J1191">
        <v>50</v>
      </c>
      <c r="K1191">
        <v>30</v>
      </c>
      <c r="L1191">
        <v>70</v>
      </c>
      <c r="M1191">
        <v>44</v>
      </c>
      <c r="N1191">
        <v>258</v>
      </c>
      <c r="O1191">
        <v>59</v>
      </c>
      <c r="P1191">
        <v>14</v>
      </c>
      <c r="Q1191">
        <v>17</v>
      </c>
      <c r="R1191">
        <v>103</v>
      </c>
      <c r="S1191">
        <v>1.4714285714285715</v>
      </c>
      <c r="T1191">
        <v>0.56666666666666665</v>
      </c>
      <c r="U1191">
        <v>2.2000000000000002</v>
      </c>
    </row>
    <row r="1192" spans="1:21" x14ac:dyDescent="0.35">
      <c r="A1192">
        <v>435</v>
      </c>
      <c r="B1192" s="16">
        <v>40360</v>
      </c>
      <c r="C1192" s="15" t="s">
        <v>76</v>
      </c>
      <c r="D1192" s="15" t="s">
        <v>58</v>
      </c>
      <c r="E1192" s="15" t="s">
        <v>46</v>
      </c>
      <c r="F1192" s="15" t="s">
        <v>47</v>
      </c>
      <c r="G1192" s="15" t="s">
        <v>77</v>
      </c>
      <c r="H1192" s="15" t="s">
        <v>42</v>
      </c>
      <c r="I1192">
        <v>20</v>
      </c>
      <c r="J1192">
        <v>40</v>
      </c>
      <c r="K1192">
        <v>20</v>
      </c>
      <c r="L1192">
        <v>60</v>
      </c>
      <c r="M1192">
        <v>40</v>
      </c>
      <c r="N1192">
        <v>219</v>
      </c>
      <c r="O1192">
        <v>49</v>
      </c>
      <c r="P1192">
        <v>15</v>
      </c>
      <c r="Q1192">
        <v>1</v>
      </c>
      <c r="R1192">
        <v>89</v>
      </c>
      <c r="S1192">
        <v>1.4833333333333334</v>
      </c>
      <c r="T1192">
        <v>0.05</v>
      </c>
      <c r="U1192">
        <v>2</v>
      </c>
    </row>
    <row r="1193" spans="1:21" x14ac:dyDescent="0.35">
      <c r="A1193">
        <v>435</v>
      </c>
      <c r="B1193" s="16">
        <v>40360</v>
      </c>
      <c r="C1193" s="15" t="s">
        <v>76</v>
      </c>
      <c r="D1193" s="15" t="s">
        <v>58</v>
      </c>
      <c r="E1193" s="15" t="s">
        <v>44</v>
      </c>
      <c r="F1193" s="15" t="s">
        <v>40</v>
      </c>
      <c r="G1193" s="15" t="s">
        <v>77</v>
      </c>
      <c r="H1193" s="15" t="s">
        <v>45</v>
      </c>
      <c r="I1193">
        <v>90</v>
      </c>
      <c r="J1193">
        <v>120</v>
      </c>
      <c r="K1193">
        <v>70</v>
      </c>
      <c r="L1193">
        <v>210</v>
      </c>
      <c r="M1193">
        <v>76</v>
      </c>
      <c r="N1193">
        <v>613</v>
      </c>
      <c r="O1193">
        <v>93</v>
      </c>
      <c r="P1193">
        <v>28</v>
      </c>
      <c r="Q1193">
        <v>31</v>
      </c>
      <c r="R1193">
        <v>169</v>
      </c>
      <c r="S1193">
        <v>0.80476190476190479</v>
      </c>
      <c r="T1193">
        <v>0.44285714285714284</v>
      </c>
      <c r="U1193">
        <v>0.84444444444444444</v>
      </c>
    </row>
    <row r="1194" spans="1:21" x14ac:dyDescent="0.35">
      <c r="A1194">
        <v>801</v>
      </c>
      <c r="B1194" s="16">
        <v>40360</v>
      </c>
      <c r="C1194" s="15" t="s">
        <v>76</v>
      </c>
      <c r="D1194" s="15" t="s">
        <v>58</v>
      </c>
      <c r="E1194" s="15" t="s">
        <v>72</v>
      </c>
      <c r="F1194" s="15" t="s">
        <v>49</v>
      </c>
      <c r="G1194" s="15" t="s">
        <v>77</v>
      </c>
      <c r="H1194" s="15" t="s">
        <v>42</v>
      </c>
      <c r="I1194">
        <v>30</v>
      </c>
      <c r="J1194">
        <v>60</v>
      </c>
      <c r="K1194">
        <v>50</v>
      </c>
      <c r="L1194">
        <v>90</v>
      </c>
      <c r="M1194">
        <v>39</v>
      </c>
      <c r="N1194">
        <v>845</v>
      </c>
      <c r="O1194">
        <v>57</v>
      </c>
      <c r="P1194">
        <v>10</v>
      </c>
      <c r="Q1194">
        <v>36</v>
      </c>
      <c r="R1194">
        <v>96</v>
      </c>
      <c r="S1194">
        <v>1.0666666666666667</v>
      </c>
      <c r="T1194">
        <v>0.72</v>
      </c>
      <c r="U1194">
        <v>1.3</v>
      </c>
    </row>
    <row r="1195" spans="1:21" x14ac:dyDescent="0.35">
      <c r="A1195">
        <v>801</v>
      </c>
      <c r="B1195" s="16">
        <v>40360</v>
      </c>
      <c r="C1195" s="15" t="s">
        <v>76</v>
      </c>
      <c r="D1195" s="15" t="s">
        <v>58</v>
      </c>
      <c r="E1195" s="15" t="s">
        <v>48</v>
      </c>
      <c r="F1195" s="15" t="s">
        <v>49</v>
      </c>
      <c r="G1195" s="15" t="s">
        <v>77</v>
      </c>
      <c r="H1195" s="15" t="s">
        <v>42</v>
      </c>
      <c r="I1195">
        <v>40</v>
      </c>
      <c r="J1195">
        <v>60</v>
      </c>
      <c r="K1195">
        <v>40</v>
      </c>
      <c r="L1195">
        <v>100</v>
      </c>
      <c r="M1195">
        <v>46</v>
      </c>
      <c r="N1195">
        <v>587</v>
      </c>
      <c r="O1195">
        <v>60</v>
      </c>
      <c r="P1195">
        <v>15</v>
      </c>
      <c r="Q1195">
        <v>32</v>
      </c>
      <c r="R1195">
        <v>106</v>
      </c>
      <c r="S1195">
        <v>1.06</v>
      </c>
      <c r="T1195">
        <v>0.8</v>
      </c>
      <c r="U1195">
        <v>1.1499999999999999</v>
      </c>
    </row>
    <row r="1196" spans="1:21" x14ac:dyDescent="0.35">
      <c r="A1196">
        <v>801</v>
      </c>
      <c r="B1196" s="16">
        <v>40360</v>
      </c>
      <c r="C1196" s="15" t="s">
        <v>76</v>
      </c>
      <c r="D1196" s="15" t="s">
        <v>58</v>
      </c>
      <c r="E1196" s="15" t="s">
        <v>50</v>
      </c>
      <c r="F1196" s="15" t="s">
        <v>49</v>
      </c>
      <c r="G1196" s="15" t="s">
        <v>77</v>
      </c>
      <c r="H1196" s="15" t="s">
        <v>45</v>
      </c>
      <c r="I1196">
        <v>30</v>
      </c>
      <c r="J1196">
        <v>50</v>
      </c>
      <c r="K1196">
        <v>40</v>
      </c>
      <c r="L1196">
        <v>80</v>
      </c>
      <c r="M1196">
        <v>35</v>
      </c>
      <c r="N1196">
        <v>894</v>
      </c>
      <c r="O1196">
        <v>52</v>
      </c>
      <c r="P1196">
        <v>9</v>
      </c>
      <c r="Q1196">
        <v>31</v>
      </c>
      <c r="R1196">
        <v>87</v>
      </c>
      <c r="S1196">
        <v>1.0874999999999999</v>
      </c>
      <c r="T1196">
        <v>0.77500000000000002</v>
      </c>
      <c r="U1196">
        <v>1.1666666666666667</v>
      </c>
    </row>
    <row r="1197" spans="1:21" x14ac:dyDescent="0.35">
      <c r="A1197">
        <v>209</v>
      </c>
      <c r="B1197" s="16">
        <v>40360</v>
      </c>
      <c r="C1197" s="15" t="s">
        <v>76</v>
      </c>
      <c r="D1197" s="15" t="s">
        <v>38</v>
      </c>
      <c r="E1197" s="15" t="s">
        <v>39</v>
      </c>
      <c r="F1197" s="15" t="s">
        <v>40</v>
      </c>
      <c r="G1197" s="15" t="s">
        <v>78</v>
      </c>
      <c r="H1197" s="15" t="s">
        <v>42</v>
      </c>
      <c r="I1197">
        <v>190</v>
      </c>
      <c r="J1197">
        <v>-90</v>
      </c>
      <c r="K1197">
        <v>-150</v>
      </c>
      <c r="L1197">
        <v>100</v>
      </c>
      <c r="M1197">
        <v>154</v>
      </c>
      <c r="N1197">
        <v>1832</v>
      </c>
      <c r="O1197">
        <v>-67</v>
      </c>
      <c r="P1197">
        <v>49</v>
      </c>
      <c r="Q1197">
        <v>-138</v>
      </c>
      <c r="R1197">
        <v>87</v>
      </c>
      <c r="S1197">
        <v>0.87</v>
      </c>
      <c r="T1197">
        <v>0.92</v>
      </c>
      <c r="U1197">
        <v>0.81052631578947365</v>
      </c>
    </row>
    <row r="1198" spans="1:21" x14ac:dyDescent="0.35">
      <c r="A1198">
        <v>707</v>
      </c>
      <c r="B1198" s="16">
        <v>40360</v>
      </c>
      <c r="C1198" s="15" t="s">
        <v>76</v>
      </c>
      <c r="D1198" s="15" t="s">
        <v>38</v>
      </c>
      <c r="E1198" s="15" t="s">
        <v>43</v>
      </c>
      <c r="F1198" s="15" t="s">
        <v>40</v>
      </c>
      <c r="G1198" s="15" t="s">
        <v>78</v>
      </c>
      <c r="H1198" s="15" t="s">
        <v>42</v>
      </c>
      <c r="I1198">
        <v>450</v>
      </c>
      <c r="J1198">
        <v>690</v>
      </c>
      <c r="K1198">
        <v>530</v>
      </c>
      <c r="L1198">
        <v>1140</v>
      </c>
      <c r="M1198">
        <v>364</v>
      </c>
      <c r="N1198">
        <v>2654</v>
      </c>
      <c r="O1198">
        <v>548</v>
      </c>
      <c r="P1198">
        <v>127</v>
      </c>
      <c r="Q1198">
        <v>370</v>
      </c>
      <c r="R1198">
        <v>912</v>
      </c>
      <c r="S1198">
        <v>0.8</v>
      </c>
      <c r="T1198">
        <v>0.69811320754716977</v>
      </c>
      <c r="U1198">
        <v>0.80888888888888888</v>
      </c>
    </row>
    <row r="1199" spans="1:21" x14ac:dyDescent="0.35">
      <c r="A1199">
        <v>805</v>
      </c>
      <c r="B1199" s="16">
        <v>40360</v>
      </c>
      <c r="C1199" s="15" t="s">
        <v>76</v>
      </c>
      <c r="D1199" s="15" t="s">
        <v>38</v>
      </c>
      <c r="E1199" s="15" t="s">
        <v>51</v>
      </c>
      <c r="F1199" s="15" t="s">
        <v>52</v>
      </c>
      <c r="G1199" s="15" t="s">
        <v>78</v>
      </c>
      <c r="H1199" s="15" t="s">
        <v>45</v>
      </c>
      <c r="I1199">
        <v>100</v>
      </c>
      <c r="J1199">
        <v>170</v>
      </c>
      <c r="K1199">
        <v>150</v>
      </c>
      <c r="L1199">
        <v>270</v>
      </c>
      <c r="M1199">
        <v>127</v>
      </c>
      <c r="N1199">
        <v>1007</v>
      </c>
      <c r="O1199">
        <v>185</v>
      </c>
      <c r="P1199">
        <v>35</v>
      </c>
      <c r="Q1199">
        <v>139</v>
      </c>
      <c r="R1199">
        <v>312</v>
      </c>
      <c r="S1199">
        <v>1.1555555555555554</v>
      </c>
      <c r="T1199">
        <v>0.92666666666666664</v>
      </c>
      <c r="U1199">
        <v>1.27</v>
      </c>
    </row>
    <row r="1200" spans="1:21" x14ac:dyDescent="0.35">
      <c r="A1200">
        <v>650</v>
      </c>
      <c r="B1200" s="16">
        <v>40360</v>
      </c>
      <c r="C1200" s="15" t="s">
        <v>76</v>
      </c>
      <c r="D1200" s="15" t="s">
        <v>38</v>
      </c>
      <c r="E1200" s="15" t="s">
        <v>53</v>
      </c>
      <c r="F1200" s="15" t="s">
        <v>52</v>
      </c>
      <c r="G1200" s="15" t="s">
        <v>78</v>
      </c>
      <c r="H1200" s="15" t="s">
        <v>45</v>
      </c>
      <c r="I1200">
        <v>220</v>
      </c>
      <c r="J1200">
        <v>270</v>
      </c>
      <c r="K1200">
        <v>200</v>
      </c>
      <c r="L1200">
        <v>490</v>
      </c>
      <c r="M1200">
        <v>260</v>
      </c>
      <c r="N1200">
        <v>1319</v>
      </c>
      <c r="O1200">
        <v>307</v>
      </c>
      <c r="P1200">
        <v>80</v>
      </c>
      <c r="Q1200">
        <v>205</v>
      </c>
      <c r="R1200">
        <v>567</v>
      </c>
      <c r="S1200">
        <v>1.1571428571428573</v>
      </c>
      <c r="T1200">
        <v>1.0249999999999999</v>
      </c>
      <c r="U1200">
        <v>1.1818181818181819</v>
      </c>
    </row>
    <row r="1201" spans="1:21" x14ac:dyDescent="0.35">
      <c r="A1201">
        <v>831</v>
      </c>
      <c r="B1201" s="16">
        <v>40360</v>
      </c>
      <c r="C1201" s="15" t="s">
        <v>76</v>
      </c>
      <c r="D1201" s="15" t="s">
        <v>38</v>
      </c>
      <c r="E1201" s="15" t="s">
        <v>54</v>
      </c>
      <c r="F1201" s="15" t="s">
        <v>52</v>
      </c>
      <c r="G1201" s="15" t="s">
        <v>78</v>
      </c>
      <c r="H1201" s="15" t="s">
        <v>45</v>
      </c>
      <c r="I1201">
        <v>70</v>
      </c>
      <c r="J1201">
        <v>100</v>
      </c>
      <c r="K1201">
        <v>70</v>
      </c>
      <c r="L1201">
        <v>170</v>
      </c>
      <c r="M1201">
        <v>87</v>
      </c>
      <c r="N1201">
        <v>564</v>
      </c>
      <c r="O1201">
        <v>112</v>
      </c>
      <c r="P1201">
        <v>28</v>
      </c>
      <c r="Q1201">
        <v>72</v>
      </c>
      <c r="R1201">
        <v>199</v>
      </c>
      <c r="S1201">
        <v>1.1705882352941177</v>
      </c>
      <c r="T1201">
        <v>1.0285714285714285</v>
      </c>
      <c r="U1201">
        <v>1.2428571428571429</v>
      </c>
    </row>
    <row r="1202" spans="1:21" x14ac:dyDescent="0.35">
      <c r="A1202">
        <v>562</v>
      </c>
      <c r="B1202" s="16">
        <v>40360</v>
      </c>
      <c r="C1202" s="15" t="s">
        <v>76</v>
      </c>
      <c r="D1202" s="15" t="s">
        <v>38</v>
      </c>
      <c r="E1202" s="15" t="s">
        <v>55</v>
      </c>
      <c r="F1202" s="15" t="s">
        <v>47</v>
      </c>
      <c r="G1202" s="15" t="s">
        <v>78</v>
      </c>
      <c r="H1202" s="15" t="s">
        <v>42</v>
      </c>
      <c r="I1202">
        <v>60</v>
      </c>
      <c r="J1202">
        <v>110</v>
      </c>
      <c r="K1202">
        <v>100</v>
      </c>
      <c r="L1202">
        <v>170</v>
      </c>
      <c r="M1202">
        <v>104</v>
      </c>
      <c r="N1202">
        <v>952</v>
      </c>
      <c r="O1202">
        <v>152</v>
      </c>
      <c r="P1202">
        <v>29</v>
      </c>
      <c r="Q1202">
        <v>112</v>
      </c>
      <c r="R1202">
        <v>256</v>
      </c>
      <c r="S1202">
        <v>1.5058823529411764</v>
      </c>
      <c r="T1202">
        <v>1.1200000000000001</v>
      </c>
      <c r="U1202">
        <v>1.7333333333333334</v>
      </c>
    </row>
    <row r="1203" spans="1:21" x14ac:dyDescent="0.35">
      <c r="A1203">
        <v>831</v>
      </c>
      <c r="B1203" s="16">
        <v>40360</v>
      </c>
      <c r="C1203" s="15" t="s">
        <v>76</v>
      </c>
      <c r="D1203" s="15" t="s">
        <v>38</v>
      </c>
      <c r="E1203" s="15" t="s">
        <v>56</v>
      </c>
      <c r="F1203" s="15" t="s">
        <v>47</v>
      </c>
      <c r="G1203" s="15" t="s">
        <v>78</v>
      </c>
      <c r="H1203" s="15" t="s">
        <v>42</v>
      </c>
      <c r="I1203">
        <v>60</v>
      </c>
      <c r="J1203">
        <v>90</v>
      </c>
      <c r="K1203">
        <v>80</v>
      </c>
      <c r="L1203">
        <v>150</v>
      </c>
      <c r="M1203">
        <v>94</v>
      </c>
      <c r="N1203">
        <v>608</v>
      </c>
      <c r="O1203">
        <v>136</v>
      </c>
      <c r="P1203">
        <v>26</v>
      </c>
      <c r="Q1203">
        <v>98</v>
      </c>
      <c r="R1203">
        <v>230</v>
      </c>
      <c r="S1203">
        <v>1.5333333333333334</v>
      </c>
      <c r="T1203">
        <v>1.2250000000000001</v>
      </c>
      <c r="U1203">
        <v>1.5666666666666667</v>
      </c>
    </row>
    <row r="1204" spans="1:21" x14ac:dyDescent="0.35">
      <c r="A1204">
        <v>415</v>
      </c>
      <c r="B1204" s="16">
        <v>40360</v>
      </c>
      <c r="C1204" s="15" t="s">
        <v>76</v>
      </c>
      <c r="D1204" s="15" t="s">
        <v>38</v>
      </c>
      <c r="E1204" s="15" t="s">
        <v>46</v>
      </c>
      <c r="F1204" s="15" t="s">
        <v>47</v>
      </c>
      <c r="G1204" s="15" t="s">
        <v>78</v>
      </c>
      <c r="H1204" s="15" t="s">
        <v>42</v>
      </c>
      <c r="I1204">
        <v>30</v>
      </c>
      <c r="J1204">
        <v>50</v>
      </c>
      <c r="K1204">
        <v>20</v>
      </c>
      <c r="L1204">
        <v>80</v>
      </c>
      <c r="M1204">
        <v>52</v>
      </c>
      <c r="N1204">
        <v>668</v>
      </c>
      <c r="O1204">
        <v>79</v>
      </c>
      <c r="P1204">
        <v>17</v>
      </c>
      <c r="Q1204">
        <v>30</v>
      </c>
      <c r="R1204">
        <v>131</v>
      </c>
      <c r="S1204">
        <v>1.6375</v>
      </c>
      <c r="T1204">
        <v>1.5</v>
      </c>
      <c r="U1204">
        <v>1.7333333333333334</v>
      </c>
    </row>
    <row r="1205" spans="1:21" x14ac:dyDescent="0.35">
      <c r="A1205">
        <v>707</v>
      </c>
      <c r="B1205" s="16">
        <v>40360</v>
      </c>
      <c r="C1205" s="15" t="s">
        <v>76</v>
      </c>
      <c r="D1205" s="15" t="s">
        <v>38</v>
      </c>
      <c r="E1205" s="15" t="s">
        <v>44</v>
      </c>
      <c r="F1205" s="15" t="s">
        <v>40</v>
      </c>
      <c r="G1205" s="15" t="s">
        <v>78</v>
      </c>
      <c r="H1205" s="15" t="s">
        <v>45</v>
      </c>
      <c r="I1205">
        <v>290</v>
      </c>
      <c r="J1205">
        <v>-40</v>
      </c>
      <c r="K1205">
        <v>-150</v>
      </c>
      <c r="L1205">
        <v>250</v>
      </c>
      <c r="M1205">
        <v>238</v>
      </c>
      <c r="N1205">
        <v>2797</v>
      </c>
      <c r="O1205">
        <v>-36</v>
      </c>
      <c r="P1205">
        <v>78</v>
      </c>
      <c r="Q1205">
        <v>-157</v>
      </c>
      <c r="R1205">
        <v>202</v>
      </c>
      <c r="S1205">
        <v>0.80800000000000005</v>
      </c>
      <c r="T1205">
        <v>1.0466666666666666</v>
      </c>
      <c r="U1205">
        <v>0.82068965517241377</v>
      </c>
    </row>
    <row r="1206" spans="1:21" x14ac:dyDescent="0.35">
      <c r="A1206">
        <v>818</v>
      </c>
      <c r="B1206" s="16">
        <v>40360</v>
      </c>
      <c r="C1206" s="15" t="s">
        <v>76</v>
      </c>
      <c r="D1206" s="15" t="s">
        <v>38</v>
      </c>
      <c r="E1206" s="15" t="s">
        <v>72</v>
      </c>
      <c r="F1206" s="15" t="s">
        <v>49</v>
      </c>
      <c r="G1206" s="15" t="s">
        <v>78</v>
      </c>
      <c r="H1206" s="15" t="s">
        <v>42</v>
      </c>
      <c r="I1206">
        <v>250</v>
      </c>
      <c r="J1206">
        <v>260</v>
      </c>
      <c r="K1206">
        <v>170</v>
      </c>
      <c r="L1206">
        <v>510</v>
      </c>
      <c r="M1206">
        <v>266</v>
      </c>
      <c r="N1206">
        <v>1819</v>
      </c>
      <c r="O1206">
        <v>266</v>
      </c>
      <c r="P1206">
        <v>74</v>
      </c>
      <c r="Q1206">
        <v>167</v>
      </c>
      <c r="R1206">
        <v>532</v>
      </c>
      <c r="S1206">
        <v>1.0431372549019609</v>
      </c>
      <c r="T1206">
        <v>0.98235294117647054</v>
      </c>
      <c r="U1206">
        <v>1.0640000000000001</v>
      </c>
    </row>
    <row r="1207" spans="1:21" x14ac:dyDescent="0.35">
      <c r="A1207">
        <v>562</v>
      </c>
      <c r="B1207" s="16">
        <v>40360</v>
      </c>
      <c r="C1207" s="15" t="s">
        <v>76</v>
      </c>
      <c r="D1207" s="15" t="s">
        <v>38</v>
      </c>
      <c r="E1207" s="15" t="s">
        <v>48</v>
      </c>
      <c r="F1207" s="15" t="s">
        <v>49</v>
      </c>
      <c r="G1207" s="15" t="s">
        <v>78</v>
      </c>
      <c r="H1207" s="15" t="s">
        <v>42</v>
      </c>
      <c r="I1207">
        <v>150</v>
      </c>
      <c r="J1207">
        <v>220</v>
      </c>
      <c r="K1207">
        <v>60</v>
      </c>
      <c r="L1207">
        <v>370</v>
      </c>
      <c r="M1207">
        <v>162</v>
      </c>
      <c r="N1207">
        <v>943</v>
      </c>
      <c r="O1207">
        <v>225</v>
      </c>
      <c r="P1207">
        <v>147</v>
      </c>
      <c r="Q1207">
        <v>45</v>
      </c>
      <c r="R1207">
        <v>387</v>
      </c>
      <c r="S1207">
        <v>1.0459459459459459</v>
      </c>
      <c r="T1207">
        <v>0.75</v>
      </c>
      <c r="U1207">
        <v>1.08</v>
      </c>
    </row>
    <row r="1208" spans="1:21" x14ac:dyDescent="0.35">
      <c r="A1208">
        <v>650</v>
      </c>
      <c r="B1208" s="16">
        <v>40360</v>
      </c>
      <c r="C1208" s="15" t="s">
        <v>76</v>
      </c>
      <c r="D1208" s="15" t="s">
        <v>38</v>
      </c>
      <c r="E1208" s="15" t="s">
        <v>50</v>
      </c>
      <c r="F1208" s="15" t="s">
        <v>49</v>
      </c>
      <c r="G1208" s="15" t="s">
        <v>78</v>
      </c>
      <c r="H1208" s="15" t="s">
        <v>45</v>
      </c>
      <c r="I1208">
        <v>270</v>
      </c>
      <c r="J1208">
        <v>380</v>
      </c>
      <c r="K1208">
        <v>260</v>
      </c>
      <c r="L1208">
        <v>650</v>
      </c>
      <c r="M1208">
        <v>291</v>
      </c>
      <c r="N1208">
        <v>1742</v>
      </c>
      <c r="O1208">
        <v>387</v>
      </c>
      <c r="P1208">
        <v>96</v>
      </c>
      <c r="Q1208">
        <v>259</v>
      </c>
      <c r="R1208">
        <v>678</v>
      </c>
      <c r="S1208">
        <v>1.043076923076923</v>
      </c>
      <c r="T1208">
        <v>0.99615384615384617</v>
      </c>
      <c r="U1208">
        <v>1.0777777777777777</v>
      </c>
    </row>
    <row r="1209" spans="1:21" x14ac:dyDescent="0.35">
      <c r="A1209">
        <v>775</v>
      </c>
      <c r="B1209" s="16">
        <v>40360</v>
      </c>
      <c r="C1209" s="15" t="s">
        <v>76</v>
      </c>
      <c r="D1209" s="15" t="s">
        <v>58</v>
      </c>
      <c r="E1209" s="15" t="s">
        <v>43</v>
      </c>
      <c r="F1209" s="15" t="s">
        <v>40</v>
      </c>
      <c r="G1209" s="15" t="s">
        <v>79</v>
      </c>
      <c r="H1209" s="15" t="s">
        <v>42</v>
      </c>
      <c r="I1209">
        <v>40</v>
      </c>
      <c r="J1209">
        <v>60</v>
      </c>
      <c r="K1209">
        <v>20</v>
      </c>
      <c r="L1209">
        <v>100</v>
      </c>
      <c r="M1209">
        <v>36</v>
      </c>
      <c r="N1209">
        <v>252</v>
      </c>
      <c r="O1209">
        <v>46</v>
      </c>
      <c r="P1209">
        <v>13</v>
      </c>
      <c r="Q1209">
        <v>-1</v>
      </c>
      <c r="R1209">
        <v>82</v>
      </c>
      <c r="S1209">
        <v>0.82</v>
      </c>
      <c r="T1209">
        <v>-0.05</v>
      </c>
      <c r="U1209">
        <v>0.9</v>
      </c>
    </row>
    <row r="1210" spans="1:21" x14ac:dyDescent="0.35">
      <c r="A1210">
        <v>775</v>
      </c>
      <c r="B1210" s="16">
        <v>40360</v>
      </c>
      <c r="C1210" s="15" t="s">
        <v>76</v>
      </c>
      <c r="D1210" s="15" t="s">
        <v>58</v>
      </c>
      <c r="E1210" s="15" t="s">
        <v>51</v>
      </c>
      <c r="F1210" s="15" t="s">
        <v>52</v>
      </c>
      <c r="G1210" s="15" t="s">
        <v>79</v>
      </c>
      <c r="H1210" s="15" t="s">
        <v>45</v>
      </c>
      <c r="I1210">
        <v>130</v>
      </c>
      <c r="J1210">
        <v>210</v>
      </c>
      <c r="K1210">
        <v>70</v>
      </c>
      <c r="L1210">
        <v>340</v>
      </c>
      <c r="M1210">
        <v>162</v>
      </c>
      <c r="N1210">
        <v>943</v>
      </c>
      <c r="O1210">
        <v>225</v>
      </c>
      <c r="P1210">
        <v>147</v>
      </c>
      <c r="Q1210">
        <v>45</v>
      </c>
      <c r="R1210">
        <v>387</v>
      </c>
      <c r="S1210">
        <v>1.138235294117647</v>
      </c>
      <c r="T1210">
        <v>0.6428571428571429</v>
      </c>
      <c r="U1210">
        <v>1.2461538461538462</v>
      </c>
    </row>
    <row r="1211" spans="1:21" x14ac:dyDescent="0.35">
      <c r="A1211">
        <v>775</v>
      </c>
      <c r="B1211" s="16">
        <v>40360</v>
      </c>
      <c r="C1211" s="15" t="s">
        <v>76</v>
      </c>
      <c r="D1211" s="15" t="s">
        <v>58</v>
      </c>
      <c r="E1211" s="15" t="s">
        <v>53</v>
      </c>
      <c r="F1211" s="15" t="s">
        <v>52</v>
      </c>
      <c r="G1211" s="15" t="s">
        <v>79</v>
      </c>
      <c r="H1211" s="15" t="s">
        <v>45</v>
      </c>
      <c r="I1211">
        <v>200</v>
      </c>
      <c r="J1211">
        <v>290</v>
      </c>
      <c r="K1211">
        <v>200</v>
      </c>
      <c r="L1211">
        <v>490</v>
      </c>
      <c r="M1211">
        <v>238</v>
      </c>
      <c r="N1211">
        <v>1190</v>
      </c>
      <c r="O1211">
        <v>329</v>
      </c>
      <c r="P1211">
        <v>78</v>
      </c>
      <c r="Q1211">
        <v>208</v>
      </c>
      <c r="R1211">
        <v>567</v>
      </c>
      <c r="S1211">
        <v>1.1571428571428573</v>
      </c>
      <c r="T1211">
        <v>1.04</v>
      </c>
      <c r="U1211">
        <v>1.19</v>
      </c>
    </row>
    <row r="1212" spans="1:21" x14ac:dyDescent="0.35">
      <c r="A1212">
        <v>775</v>
      </c>
      <c r="B1212" s="16">
        <v>40360</v>
      </c>
      <c r="C1212" s="15" t="s">
        <v>76</v>
      </c>
      <c r="D1212" s="15" t="s">
        <v>58</v>
      </c>
      <c r="E1212" s="15" t="s">
        <v>54</v>
      </c>
      <c r="F1212" s="15" t="s">
        <v>52</v>
      </c>
      <c r="G1212" s="15" t="s">
        <v>79</v>
      </c>
      <c r="H1212" s="15" t="s">
        <v>45</v>
      </c>
      <c r="I1212">
        <v>130</v>
      </c>
      <c r="J1212">
        <v>200</v>
      </c>
      <c r="K1212">
        <v>150</v>
      </c>
      <c r="L1212">
        <v>330</v>
      </c>
      <c r="M1212">
        <v>154</v>
      </c>
      <c r="N1212">
        <v>833</v>
      </c>
      <c r="O1212">
        <v>222</v>
      </c>
      <c r="P1212">
        <v>49</v>
      </c>
      <c r="Q1212">
        <v>150</v>
      </c>
      <c r="R1212">
        <v>376</v>
      </c>
      <c r="S1212">
        <v>1.1393939393939394</v>
      </c>
      <c r="T1212">
        <v>1</v>
      </c>
      <c r="U1212">
        <v>1.1846153846153846</v>
      </c>
    </row>
    <row r="1213" spans="1:21" x14ac:dyDescent="0.35">
      <c r="A1213">
        <v>702</v>
      </c>
      <c r="B1213" s="16">
        <v>40360</v>
      </c>
      <c r="C1213" s="15" t="s">
        <v>76</v>
      </c>
      <c r="D1213" s="15" t="s">
        <v>58</v>
      </c>
      <c r="E1213" s="15" t="s">
        <v>55</v>
      </c>
      <c r="F1213" s="15" t="s">
        <v>47</v>
      </c>
      <c r="G1213" s="15" t="s">
        <v>79</v>
      </c>
      <c r="H1213" s="15" t="s">
        <v>42</v>
      </c>
      <c r="I1213">
        <v>190</v>
      </c>
      <c r="J1213">
        <v>270</v>
      </c>
      <c r="K1213">
        <v>190</v>
      </c>
      <c r="L1213">
        <v>460</v>
      </c>
      <c r="M1213">
        <v>291</v>
      </c>
      <c r="N1213">
        <v>1742</v>
      </c>
      <c r="O1213">
        <v>387</v>
      </c>
      <c r="P1213">
        <v>96</v>
      </c>
      <c r="Q1213">
        <v>258</v>
      </c>
      <c r="R1213">
        <v>678</v>
      </c>
      <c r="S1213">
        <v>1.4739130434782608</v>
      </c>
      <c r="T1213">
        <v>1.3578947368421053</v>
      </c>
      <c r="U1213">
        <v>1.5315789473684212</v>
      </c>
    </row>
    <row r="1214" spans="1:21" x14ac:dyDescent="0.35">
      <c r="A1214">
        <v>775</v>
      </c>
      <c r="B1214" s="16">
        <v>40360</v>
      </c>
      <c r="C1214" s="15" t="s">
        <v>76</v>
      </c>
      <c r="D1214" s="15" t="s">
        <v>58</v>
      </c>
      <c r="E1214" s="15" t="s">
        <v>56</v>
      </c>
      <c r="F1214" s="15" t="s">
        <v>47</v>
      </c>
      <c r="G1214" s="15" t="s">
        <v>79</v>
      </c>
      <c r="H1214" s="15" t="s">
        <v>42</v>
      </c>
      <c r="I1214">
        <v>170</v>
      </c>
      <c r="J1214">
        <v>190</v>
      </c>
      <c r="K1214">
        <v>130</v>
      </c>
      <c r="L1214">
        <v>360</v>
      </c>
      <c r="M1214">
        <v>266</v>
      </c>
      <c r="N1214">
        <v>1819</v>
      </c>
      <c r="O1214">
        <v>266</v>
      </c>
      <c r="P1214">
        <v>74</v>
      </c>
      <c r="Q1214">
        <v>168</v>
      </c>
      <c r="R1214">
        <v>532</v>
      </c>
      <c r="S1214">
        <v>1.4777777777777779</v>
      </c>
      <c r="T1214">
        <v>1.2923076923076924</v>
      </c>
      <c r="U1214">
        <v>1.5647058823529412</v>
      </c>
    </row>
    <row r="1215" spans="1:21" x14ac:dyDescent="0.35">
      <c r="A1215">
        <v>702</v>
      </c>
      <c r="B1215" s="16">
        <v>40360</v>
      </c>
      <c r="C1215" s="15" t="s">
        <v>76</v>
      </c>
      <c r="D1215" s="15" t="s">
        <v>58</v>
      </c>
      <c r="E1215" s="15" t="s">
        <v>46</v>
      </c>
      <c r="F1215" s="15" t="s">
        <v>47</v>
      </c>
      <c r="G1215" s="15" t="s">
        <v>79</v>
      </c>
      <c r="H1215" s="15" t="s">
        <v>42</v>
      </c>
      <c r="I1215">
        <v>170</v>
      </c>
      <c r="J1215">
        <v>-170</v>
      </c>
      <c r="K1215">
        <v>-250</v>
      </c>
      <c r="L1215">
        <v>0</v>
      </c>
      <c r="M1215">
        <v>270</v>
      </c>
      <c r="N1215">
        <v>5230</v>
      </c>
      <c r="O1215">
        <v>-270</v>
      </c>
      <c r="P1215">
        <v>102</v>
      </c>
      <c r="Q1215">
        <v>-378</v>
      </c>
      <c r="R1215">
        <v>27</v>
      </c>
      <c r="T1215">
        <v>1.512</v>
      </c>
      <c r="U1215">
        <v>1.588235294117647</v>
      </c>
    </row>
    <row r="1216" spans="1:21" x14ac:dyDescent="0.35">
      <c r="A1216">
        <v>775</v>
      </c>
      <c r="B1216" s="16">
        <v>40360</v>
      </c>
      <c r="C1216" s="15" t="s">
        <v>76</v>
      </c>
      <c r="D1216" s="15" t="s">
        <v>58</v>
      </c>
      <c r="E1216" s="15" t="s">
        <v>44</v>
      </c>
      <c r="F1216" s="15" t="s">
        <v>40</v>
      </c>
      <c r="G1216" s="15" t="s">
        <v>79</v>
      </c>
      <c r="H1216" s="15" t="s">
        <v>45</v>
      </c>
      <c r="I1216">
        <v>40</v>
      </c>
      <c r="J1216">
        <v>50</v>
      </c>
      <c r="K1216">
        <v>30</v>
      </c>
      <c r="L1216">
        <v>90</v>
      </c>
      <c r="M1216">
        <v>34</v>
      </c>
      <c r="N1216">
        <v>1010</v>
      </c>
      <c r="O1216">
        <v>41</v>
      </c>
      <c r="P1216">
        <v>10</v>
      </c>
      <c r="Q1216">
        <v>9</v>
      </c>
      <c r="R1216">
        <v>75</v>
      </c>
      <c r="S1216">
        <v>0.83333333333333337</v>
      </c>
      <c r="T1216">
        <v>0.3</v>
      </c>
      <c r="U1216">
        <v>0.85</v>
      </c>
    </row>
    <row r="1217" spans="1:21" x14ac:dyDescent="0.35">
      <c r="A1217">
        <v>702</v>
      </c>
      <c r="B1217" s="16">
        <v>40360</v>
      </c>
      <c r="C1217" s="15" t="s">
        <v>76</v>
      </c>
      <c r="D1217" s="15" t="s">
        <v>58</v>
      </c>
      <c r="E1217" s="15" t="s">
        <v>72</v>
      </c>
      <c r="F1217" s="15" t="s">
        <v>49</v>
      </c>
      <c r="G1217" s="15" t="s">
        <v>79</v>
      </c>
      <c r="H1217" s="15" t="s">
        <v>42</v>
      </c>
      <c r="I1217">
        <v>0</v>
      </c>
      <c r="J1217">
        <v>40</v>
      </c>
      <c r="K1217">
        <v>30</v>
      </c>
      <c r="L1217">
        <v>40</v>
      </c>
      <c r="M1217">
        <v>0</v>
      </c>
      <c r="N1217">
        <v>559</v>
      </c>
      <c r="O1217">
        <v>43</v>
      </c>
      <c r="P1217">
        <v>0</v>
      </c>
      <c r="Q1217">
        <v>32</v>
      </c>
      <c r="R1217">
        <v>43</v>
      </c>
      <c r="S1217">
        <v>1.075</v>
      </c>
      <c r="T1217">
        <v>1.0666666666666667</v>
      </c>
    </row>
    <row r="1218" spans="1:21" x14ac:dyDescent="0.35">
      <c r="A1218">
        <v>775</v>
      </c>
      <c r="B1218" s="16">
        <v>40360</v>
      </c>
      <c r="C1218" s="15" t="s">
        <v>76</v>
      </c>
      <c r="D1218" s="15" t="s">
        <v>58</v>
      </c>
      <c r="E1218" s="15" t="s">
        <v>48</v>
      </c>
      <c r="F1218" s="15" t="s">
        <v>49</v>
      </c>
      <c r="G1218" s="15" t="s">
        <v>79</v>
      </c>
      <c r="H1218" s="15" t="s">
        <v>42</v>
      </c>
      <c r="I1218">
        <v>20</v>
      </c>
      <c r="J1218">
        <v>30</v>
      </c>
      <c r="K1218">
        <v>20</v>
      </c>
      <c r="L1218">
        <v>50</v>
      </c>
      <c r="M1218">
        <v>25</v>
      </c>
      <c r="N1218">
        <v>854</v>
      </c>
      <c r="O1218">
        <v>36</v>
      </c>
      <c r="P1218">
        <v>7</v>
      </c>
      <c r="Q1218">
        <v>17</v>
      </c>
      <c r="R1218">
        <v>61</v>
      </c>
      <c r="S1218">
        <v>1.22</v>
      </c>
      <c r="T1218">
        <v>0.85</v>
      </c>
      <c r="U1218">
        <v>1.25</v>
      </c>
    </row>
    <row r="1219" spans="1:21" x14ac:dyDescent="0.35">
      <c r="A1219">
        <v>702</v>
      </c>
      <c r="B1219" s="16">
        <v>40360</v>
      </c>
      <c r="C1219" s="15" t="s">
        <v>76</v>
      </c>
      <c r="D1219" s="15" t="s">
        <v>58</v>
      </c>
      <c r="E1219" s="15" t="s">
        <v>50</v>
      </c>
      <c r="F1219" s="15" t="s">
        <v>49</v>
      </c>
      <c r="G1219" s="15" t="s">
        <v>79</v>
      </c>
      <c r="H1219" s="15" t="s">
        <v>45</v>
      </c>
      <c r="I1219">
        <v>10</v>
      </c>
      <c r="J1219">
        <v>30</v>
      </c>
      <c r="K1219">
        <v>20</v>
      </c>
      <c r="L1219">
        <v>40</v>
      </c>
      <c r="M1219">
        <v>20</v>
      </c>
      <c r="N1219">
        <v>808</v>
      </c>
      <c r="O1219">
        <v>29</v>
      </c>
      <c r="P1219">
        <v>5</v>
      </c>
      <c r="Q1219">
        <v>12</v>
      </c>
      <c r="R1219">
        <v>49</v>
      </c>
      <c r="S1219">
        <v>1.2250000000000001</v>
      </c>
      <c r="T1219">
        <v>0.6</v>
      </c>
      <c r="U1219">
        <v>2</v>
      </c>
    </row>
    <row r="1220" spans="1:21" x14ac:dyDescent="0.35">
      <c r="A1220">
        <v>971</v>
      </c>
      <c r="B1220" s="16">
        <v>40360</v>
      </c>
      <c r="C1220" s="15" t="s">
        <v>76</v>
      </c>
      <c r="D1220" s="15" t="s">
        <v>58</v>
      </c>
      <c r="E1220" s="15" t="s">
        <v>39</v>
      </c>
      <c r="F1220" s="15" t="s">
        <v>40</v>
      </c>
      <c r="G1220" s="15" t="s">
        <v>80</v>
      </c>
      <c r="H1220" s="15" t="s">
        <v>42</v>
      </c>
      <c r="I1220">
        <v>40</v>
      </c>
      <c r="J1220">
        <v>70</v>
      </c>
      <c r="K1220">
        <v>20</v>
      </c>
      <c r="L1220">
        <v>110</v>
      </c>
      <c r="M1220">
        <v>39</v>
      </c>
      <c r="N1220">
        <v>517</v>
      </c>
      <c r="O1220">
        <v>56</v>
      </c>
      <c r="P1220">
        <v>36</v>
      </c>
      <c r="Q1220">
        <v>-10</v>
      </c>
      <c r="R1220">
        <v>95</v>
      </c>
      <c r="S1220">
        <v>0.86363636363636365</v>
      </c>
      <c r="T1220">
        <v>-0.5</v>
      </c>
      <c r="U1220">
        <v>0.97499999999999998</v>
      </c>
    </row>
    <row r="1221" spans="1:21" x14ac:dyDescent="0.35">
      <c r="A1221">
        <v>971</v>
      </c>
      <c r="B1221" s="16">
        <v>40360</v>
      </c>
      <c r="C1221" s="15" t="s">
        <v>76</v>
      </c>
      <c r="D1221" s="15" t="s">
        <v>58</v>
      </c>
      <c r="E1221" s="15" t="s">
        <v>43</v>
      </c>
      <c r="F1221" s="15" t="s">
        <v>40</v>
      </c>
      <c r="G1221" s="15" t="s">
        <v>80</v>
      </c>
      <c r="H1221" s="15" t="s">
        <v>42</v>
      </c>
      <c r="I1221">
        <v>40</v>
      </c>
      <c r="J1221">
        <v>70</v>
      </c>
      <c r="K1221">
        <v>20</v>
      </c>
      <c r="L1221">
        <v>110</v>
      </c>
      <c r="M1221">
        <v>39</v>
      </c>
      <c r="N1221">
        <v>478</v>
      </c>
      <c r="O1221">
        <v>55</v>
      </c>
      <c r="P1221">
        <v>12</v>
      </c>
      <c r="Q1221">
        <v>0</v>
      </c>
      <c r="R1221">
        <v>94</v>
      </c>
      <c r="S1221">
        <v>0.8545454545454545</v>
      </c>
      <c r="T1221">
        <v>0</v>
      </c>
      <c r="U1221">
        <v>0.97499999999999998</v>
      </c>
    </row>
    <row r="1222" spans="1:21" x14ac:dyDescent="0.35">
      <c r="A1222">
        <v>503</v>
      </c>
      <c r="B1222" s="16">
        <v>40360</v>
      </c>
      <c r="C1222" s="15" t="s">
        <v>76</v>
      </c>
      <c r="D1222" s="15" t="s">
        <v>58</v>
      </c>
      <c r="E1222" s="15" t="s">
        <v>51</v>
      </c>
      <c r="F1222" s="15" t="s">
        <v>52</v>
      </c>
      <c r="G1222" s="15" t="s">
        <v>80</v>
      </c>
      <c r="H1222" s="15" t="s">
        <v>45</v>
      </c>
      <c r="I1222">
        <v>20</v>
      </c>
      <c r="J1222">
        <v>40</v>
      </c>
      <c r="K1222">
        <v>40</v>
      </c>
      <c r="L1222">
        <v>60</v>
      </c>
      <c r="M1222">
        <v>30</v>
      </c>
      <c r="N1222">
        <v>829</v>
      </c>
      <c r="O1222">
        <v>44</v>
      </c>
      <c r="P1222">
        <v>8</v>
      </c>
      <c r="Q1222">
        <v>24</v>
      </c>
      <c r="R1222">
        <v>74</v>
      </c>
      <c r="S1222">
        <v>1.2333333333333334</v>
      </c>
      <c r="T1222">
        <v>0.6</v>
      </c>
      <c r="U1222">
        <v>1.5</v>
      </c>
    </row>
    <row r="1223" spans="1:21" x14ac:dyDescent="0.35">
      <c r="A1223">
        <v>503</v>
      </c>
      <c r="B1223" s="16">
        <v>40360</v>
      </c>
      <c r="C1223" s="15" t="s">
        <v>76</v>
      </c>
      <c r="D1223" s="15" t="s">
        <v>58</v>
      </c>
      <c r="E1223" s="15" t="s">
        <v>53</v>
      </c>
      <c r="F1223" s="15" t="s">
        <v>52</v>
      </c>
      <c r="G1223" s="15" t="s">
        <v>80</v>
      </c>
      <c r="H1223" s="15" t="s">
        <v>45</v>
      </c>
      <c r="I1223">
        <v>30</v>
      </c>
      <c r="J1223">
        <v>50</v>
      </c>
      <c r="K1223">
        <v>30</v>
      </c>
      <c r="L1223">
        <v>80</v>
      </c>
      <c r="M1223">
        <v>41</v>
      </c>
      <c r="N1223">
        <v>592</v>
      </c>
      <c r="O1223">
        <v>53</v>
      </c>
      <c r="P1223">
        <v>13</v>
      </c>
      <c r="Q1223">
        <v>27</v>
      </c>
      <c r="R1223">
        <v>94</v>
      </c>
      <c r="S1223">
        <v>1.175</v>
      </c>
      <c r="T1223">
        <v>0.9</v>
      </c>
      <c r="U1223">
        <v>1.3666666666666667</v>
      </c>
    </row>
    <row r="1224" spans="1:21" x14ac:dyDescent="0.35">
      <c r="A1224">
        <v>541</v>
      </c>
      <c r="B1224" s="16">
        <v>40360</v>
      </c>
      <c r="C1224" s="15" t="s">
        <v>76</v>
      </c>
      <c r="D1224" s="15" t="s">
        <v>58</v>
      </c>
      <c r="E1224" s="15" t="s">
        <v>55</v>
      </c>
      <c r="F1224" s="15" t="s">
        <v>47</v>
      </c>
      <c r="G1224" s="15" t="s">
        <v>80</v>
      </c>
      <c r="H1224" s="15" t="s">
        <v>42</v>
      </c>
      <c r="I1224">
        <v>10</v>
      </c>
      <c r="J1224">
        <v>10</v>
      </c>
      <c r="K1224">
        <v>10</v>
      </c>
      <c r="L1224">
        <v>20</v>
      </c>
      <c r="M1224">
        <v>18</v>
      </c>
      <c r="N1224">
        <v>486</v>
      </c>
      <c r="O1224">
        <v>26</v>
      </c>
      <c r="P1224">
        <v>5</v>
      </c>
      <c r="Q1224">
        <v>9</v>
      </c>
      <c r="R1224">
        <v>44</v>
      </c>
      <c r="S1224">
        <v>2.2000000000000002</v>
      </c>
      <c r="T1224">
        <v>0.9</v>
      </c>
      <c r="U1224">
        <v>1.8</v>
      </c>
    </row>
    <row r="1225" spans="1:21" x14ac:dyDescent="0.35">
      <c r="A1225">
        <v>503</v>
      </c>
      <c r="B1225" s="16">
        <v>40360</v>
      </c>
      <c r="C1225" s="15" t="s">
        <v>76</v>
      </c>
      <c r="D1225" s="15" t="s">
        <v>58</v>
      </c>
      <c r="E1225" s="15" t="s">
        <v>56</v>
      </c>
      <c r="F1225" s="15" t="s">
        <v>47</v>
      </c>
      <c r="G1225" s="15" t="s">
        <v>80</v>
      </c>
      <c r="H1225" s="15" t="s">
        <v>42</v>
      </c>
      <c r="I1225">
        <v>70</v>
      </c>
      <c r="J1225">
        <v>120</v>
      </c>
      <c r="K1225">
        <v>80</v>
      </c>
      <c r="L1225">
        <v>190</v>
      </c>
      <c r="M1225">
        <v>114</v>
      </c>
      <c r="N1225">
        <v>822</v>
      </c>
      <c r="O1225">
        <v>172</v>
      </c>
      <c r="P1225">
        <v>37</v>
      </c>
      <c r="Q1225">
        <v>104</v>
      </c>
      <c r="R1225">
        <v>286</v>
      </c>
      <c r="S1225">
        <v>1.5052631578947369</v>
      </c>
      <c r="T1225">
        <v>1.3</v>
      </c>
      <c r="U1225">
        <v>1.6285714285714286</v>
      </c>
    </row>
    <row r="1226" spans="1:21" x14ac:dyDescent="0.35">
      <c r="A1226">
        <v>503</v>
      </c>
      <c r="B1226" s="16">
        <v>40360</v>
      </c>
      <c r="C1226" s="15" t="s">
        <v>76</v>
      </c>
      <c r="D1226" s="15" t="s">
        <v>58</v>
      </c>
      <c r="E1226" s="15" t="s">
        <v>46</v>
      </c>
      <c r="F1226" s="15" t="s">
        <v>47</v>
      </c>
      <c r="G1226" s="15" t="s">
        <v>80</v>
      </c>
      <c r="H1226" s="15" t="s">
        <v>42</v>
      </c>
      <c r="I1226">
        <v>90</v>
      </c>
      <c r="J1226">
        <v>130</v>
      </c>
      <c r="K1226">
        <v>90</v>
      </c>
      <c r="L1226">
        <v>220</v>
      </c>
      <c r="M1226">
        <v>141</v>
      </c>
      <c r="N1226">
        <v>692</v>
      </c>
      <c r="O1226">
        <v>195</v>
      </c>
      <c r="P1226">
        <v>43</v>
      </c>
      <c r="Q1226">
        <v>129</v>
      </c>
      <c r="R1226">
        <v>336</v>
      </c>
      <c r="S1226">
        <v>1.5272727272727273</v>
      </c>
      <c r="T1226">
        <v>1.4333333333333333</v>
      </c>
      <c r="U1226">
        <v>1.5666666666666667</v>
      </c>
    </row>
    <row r="1227" spans="1:21" x14ac:dyDescent="0.35">
      <c r="A1227">
        <v>503</v>
      </c>
      <c r="B1227" s="16">
        <v>40360</v>
      </c>
      <c r="C1227" s="15" t="s">
        <v>76</v>
      </c>
      <c r="D1227" s="15" t="s">
        <v>58</v>
      </c>
      <c r="E1227" s="15" t="s">
        <v>44</v>
      </c>
      <c r="F1227" s="15" t="s">
        <v>40</v>
      </c>
      <c r="G1227" s="15" t="s">
        <v>80</v>
      </c>
      <c r="H1227" s="15" t="s">
        <v>45</v>
      </c>
      <c r="I1227">
        <v>40</v>
      </c>
      <c r="J1227">
        <v>60</v>
      </c>
      <c r="K1227">
        <v>40</v>
      </c>
      <c r="L1227">
        <v>100</v>
      </c>
      <c r="M1227">
        <v>34</v>
      </c>
      <c r="N1227">
        <v>432</v>
      </c>
      <c r="O1227">
        <v>51</v>
      </c>
      <c r="P1227">
        <v>10</v>
      </c>
      <c r="Q1227">
        <v>18</v>
      </c>
      <c r="R1227">
        <v>85</v>
      </c>
      <c r="S1227">
        <v>0.85</v>
      </c>
      <c r="T1227">
        <v>0.45</v>
      </c>
      <c r="U1227">
        <v>0.85</v>
      </c>
    </row>
    <row r="1228" spans="1:21" x14ac:dyDescent="0.35">
      <c r="A1228">
        <v>971</v>
      </c>
      <c r="B1228" s="16">
        <v>40360</v>
      </c>
      <c r="C1228" s="15" t="s">
        <v>76</v>
      </c>
      <c r="D1228" s="15" t="s">
        <v>58</v>
      </c>
      <c r="E1228" s="15" t="s">
        <v>72</v>
      </c>
      <c r="F1228" s="15" t="s">
        <v>49</v>
      </c>
      <c r="G1228" s="15" t="s">
        <v>80</v>
      </c>
      <c r="H1228" s="15" t="s">
        <v>42</v>
      </c>
      <c r="I1228">
        <v>40</v>
      </c>
      <c r="J1228">
        <v>70</v>
      </c>
      <c r="K1228">
        <v>30</v>
      </c>
      <c r="L1228">
        <v>110</v>
      </c>
      <c r="M1228">
        <v>51</v>
      </c>
      <c r="N1228">
        <v>419</v>
      </c>
      <c r="O1228">
        <v>64</v>
      </c>
      <c r="P1228">
        <v>19</v>
      </c>
      <c r="Q1228">
        <v>12</v>
      </c>
      <c r="R1228">
        <v>115</v>
      </c>
      <c r="S1228">
        <v>1.0454545454545454</v>
      </c>
      <c r="T1228">
        <v>0.4</v>
      </c>
      <c r="U1228">
        <v>1.2749999999999999</v>
      </c>
    </row>
    <row r="1229" spans="1:21" x14ac:dyDescent="0.35">
      <c r="A1229">
        <v>503</v>
      </c>
      <c r="B1229" s="16">
        <v>40360</v>
      </c>
      <c r="C1229" s="15" t="s">
        <v>76</v>
      </c>
      <c r="D1229" s="15" t="s">
        <v>58</v>
      </c>
      <c r="E1229" s="15" t="s">
        <v>48</v>
      </c>
      <c r="F1229" s="15" t="s">
        <v>49</v>
      </c>
      <c r="G1229" s="15" t="s">
        <v>80</v>
      </c>
      <c r="H1229" s="15" t="s">
        <v>42</v>
      </c>
      <c r="I1229">
        <v>40</v>
      </c>
      <c r="J1229">
        <v>60</v>
      </c>
      <c r="K1229">
        <v>30</v>
      </c>
      <c r="L1229">
        <v>100</v>
      </c>
      <c r="M1229">
        <v>47</v>
      </c>
      <c r="N1229">
        <v>420</v>
      </c>
      <c r="O1229">
        <v>63</v>
      </c>
      <c r="P1229">
        <v>15</v>
      </c>
      <c r="Q1229">
        <v>20</v>
      </c>
      <c r="R1229">
        <v>110</v>
      </c>
      <c r="S1229">
        <v>1.1000000000000001</v>
      </c>
      <c r="T1229">
        <v>0.66666666666666663</v>
      </c>
      <c r="U1229">
        <v>1.175</v>
      </c>
    </row>
    <row r="1230" spans="1:21" x14ac:dyDescent="0.35">
      <c r="A1230">
        <v>541</v>
      </c>
      <c r="B1230" s="16">
        <v>40360</v>
      </c>
      <c r="C1230" s="15" t="s">
        <v>76</v>
      </c>
      <c r="D1230" s="15" t="s">
        <v>58</v>
      </c>
      <c r="E1230" s="15" t="s">
        <v>50</v>
      </c>
      <c r="F1230" s="15" t="s">
        <v>49</v>
      </c>
      <c r="G1230" s="15" t="s">
        <v>80</v>
      </c>
      <c r="H1230" s="15" t="s">
        <v>45</v>
      </c>
      <c r="I1230">
        <v>130</v>
      </c>
      <c r="J1230">
        <v>140</v>
      </c>
      <c r="K1230">
        <v>90</v>
      </c>
      <c r="L1230">
        <v>270</v>
      </c>
      <c r="M1230">
        <v>145</v>
      </c>
      <c r="N1230">
        <v>1304</v>
      </c>
      <c r="O1230">
        <v>146</v>
      </c>
      <c r="P1230">
        <v>40</v>
      </c>
      <c r="Q1230">
        <v>81</v>
      </c>
      <c r="R1230">
        <v>291</v>
      </c>
      <c r="S1230">
        <v>1.0777777777777777</v>
      </c>
      <c r="T1230">
        <v>0.9</v>
      </c>
      <c r="U1230">
        <v>1.1153846153846154</v>
      </c>
    </row>
    <row r="1231" spans="1:21" x14ac:dyDescent="0.35">
      <c r="A1231">
        <v>425</v>
      </c>
      <c r="B1231" s="16">
        <v>40360</v>
      </c>
      <c r="C1231" s="15" t="s">
        <v>76</v>
      </c>
      <c r="D1231" s="15" t="s">
        <v>58</v>
      </c>
      <c r="E1231" s="15" t="s">
        <v>51</v>
      </c>
      <c r="F1231" s="15" t="s">
        <v>52</v>
      </c>
      <c r="G1231" s="15" t="s">
        <v>81</v>
      </c>
      <c r="H1231" s="15" t="s">
        <v>45</v>
      </c>
      <c r="I1231">
        <v>70</v>
      </c>
      <c r="J1231">
        <v>120</v>
      </c>
      <c r="K1231">
        <v>80</v>
      </c>
      <c r="L1231">
        <v>190</v>
      </c>
      <c r="M1231">
        <v>90</v>
      </c>
      <c r="N1231">
        <v>1148</v>
      </c>
      <c r="O1231">
        <v>135</v>
      </c>
      <c r="P1231">
        <v>29</v>
      </c>
      <c r="Q1231">
        <v>75</v>
      </c>
      <c r="R1231">
        <v>225</v>
      </c>
      <c r="S1231">
        <v>1.1842105263157894</v>
      </c>
      <c r="T1231">
        <v>0.9375</v>
      </c>
      <c r="U1231">
        <v>1.2857142857142858</v>
      </c>
    </row>
    <row r="1232" spans="1:21" x14ac:dyDescent="0.35">
      <c r="A1232">
        <v>509</v>
      </c>
      <c r="B1232" s="16">
        <v>40360</v>
      </c>
      <c r="C1232" s="15" t="s">
        <v>76</v>
      </c>
      <c r="D1232" s="15" t="s">
        <v>58</v>
      </c>
      <c r="E1232" s="15" t="s">
        <v>53</v>
      </c>
      <c r="F1232" s="15" t="s">
        <v>52</v>
      </c>
      <c r="G1232" s="15" t="s">
        <v>81</v>
      </c>
      <c r="H1232" s="15" t="s">
        <v>45</v>
      </c>
      <c r="I1232">
        <v>30</v>
      </c>
      <c r="J1232">
        <v>50</v>
      </c>
      <c r="K1232">
        <v>50</v>
      </c>
      <c r="L1232">
        <v>80</v>
      </c>
      <c r="M1232">
        <v>40</v>
      </c>
      <c r="N1232">
        <v>843</v>
      </c>
      <c r="O1232">
        <v>59</v>
      </c>
      <c r="P1232">
        <v>11</v>
      </c>
      <c r="Q1232">
        <v>37</v>
      </c>
      <c r="R1232">
        <v>99</v>
      </c>
      <c r="S1232">
        <v>1.2375</v>
      </c>
      <c r="T1232">
        <v>0.74</v>
      </c>
      <c r="U1232">
        <v>1.3333333333333333</v>
      </c>
    </row>
    <row r="1233" spans="1:21" x14ac:dyDescent="0.35">
      <c r="A1233">
        <v>509</v>
      </c>
      <c r="B1233" s="16">
        <v>40360</v>
      </c>
      <c r="C1233" s="15" t="s">
        <v>76</v>
      </c>
      <c r="D1233" s="15" t="s">
        <v>58</v>
      </c>
      <c r="E1233" s="15" t="s">
        <v>55</v>
      </c>
      <c r="F1233" s="15" t="s">
        <v>47</v>
      </c>
      <c r="G1233" s="15" t="s">
        <v>81</v>
      </c>
      <c r="H1233" s="15" t="s">
        <v>42</v>
      </c>
      <c r="I1233">
        <v>20</v>
      </c>
      <c r="J1233">
        <v>50</v>
      </c>
      <c r="K1233">
        <v>30</v>
      </c>
      <c r="L1233">
        <v>70</v>
      </c>
      <c r="M1233">
        <v>39</v>
      </c>
      <c r="N1233">
        <v>380</v>
      </c>
      <c r="O1233">
        <v>65</v>
      </c>
      <c r="P1233">
        <v>12</v>
      </c>
      <c r="Q1233">
        <v>29</v>
      </c>
      <c r="R1233">
        <v>104</v>
      </c>
      <c r="S1233">
        <v>1.4857142857142858</v>
      </c>
      <c r="T1233">
        <v>0.96666666666666667</v>
      </c>
      <c r="U1233">
        <v>1.95</v>
      </c>
    </row>
    <row r="1234" spans="1:21" x14ac:dyDescent="0.35">
      <c r="A1234">
        <v>509</v>
      </c>
      <c r="B1234" s="16">
        <v>40360</v>
      </c>
      <c r="C1234" s="15" t="s">
        <v>76</v>
      </c>
      <c r="D1234" s="15" t="s">
        <v>58</v>
      </c>
      <c r="E1234" s="15" t="s">
        <v>56</v>
      </c>
      <c r="F1234" s="15" t="s">
        <v>47</v>
      </c>
      <c r="G1234" s="15" t="s">
        <v>81</v>
      </c>
      <c r="H1234" s="15" t="s">
        <v>42</v>
      </c>
      <c r="I1234">
        <v>20</v>
      </c>
      <c r="J1234">
        <v>40</v>
      </c>
      <c r="K1234">
        <v>30</v>
      </c>
      <c r="L1234">
        <v>60</v>
      </c>
      <c r="M1234">
        <v>36</v>
      </c>
      <c r="N1234">
        <v>462</v>
      </c>
      <c r="O1234">
        <v>54</v>
      </c>
      <c r="P1234">
        <v>11</v>
      </c>
      <c r="Q1234">
        <v>20</v>
      </c>
      <c r="R1234">
        <v>90</v>
      </c>
      <c r="S1234">
        <v>1.5</v>
      </c>
      <c r="T1234">
        <v>0.66666666666666663</v>
      </c>
      <c r="U1234">
        <v>1.8</v>
      </c>
    </row>
    <row r="1235" spans="1:21" x14ac:dyDescent="0.35">
      <c r="A1235">
        <v>253</v>
      </c>
      <c r="B1235" s="16">
        <v>40360</v>
      </c>
      <c r="C1235" s="15" t="s">
        <v>76</v>
      </c>
      <c r="D1235" s="15" t="s">
        <v>58</v>
      </c>
      <c r="E1235" s="15" t="s">
        <v>46</v>
      </c>
      <c r="F1235" s="15" t="s">
        <v>47</v>
      </c>
      <c r="G1235" s="15" t="s">
        <v>81</v>
      </c>
      <c r="H1235" s="15" t="s">
        <v>42</v>
      </c>
      <c r="I1235">
        <v>30</v>
      </c>
      <c r="J1235">
        <v>40</v>
      </c>
      <c r="K1235">
        <v>0</v>
      </c>
      <c r="L1235">
        <v>70</v>
      </c>
      <c r="M1235">
        <v>47</v>
      </c>
      <c r="N1235">
        <v>622</v>
      </c>
      <c r="O1235">
        <v>66</v>
      </c>
      <c r="P1235">
        <v>42</v>
      </c>
      <c r="Q1235">
        <v>-5</v>
      </c>
      <c r="R1235">
        <v>113</v>
      </c>
      <c r="S1235">
        <v>1.6142857142857143</v>
      </c>
      <c r="U1235">
        <v>1.5666666666666667</v>
      </c>
    </row>
    <row r="1236" spans="1:21" x14ac:dyDescent="0.35">
      <c r="A1236">
        <v>425</v>
      </c>
      <c r="B1236" s="16">
        <v>40360</v>
      </c>
      <c r="C1236" s="15" t="s">
        <v>76</v>
      </c>
      <c r="D1236" s="15" t="s">
        <v>58</v>
      </c>
      <c r="E1236" s="15" t="s">
        <v>43</v>
      </c>
      <c r="F1236" s="15" t="s">
        <v>40</v>
      </c>
      <c r="G1236" s="15" t="s">
        <v>81</v>
      </c>
      <c r="H1236" s="15" t="s">
        <v>42</v>
      </c>
      <c r="I1236">
        <v>100</v>
      </c>
      <c r="J1236">
        <v>160</v>
      </c>
      <c r="K1236">
        <v>120</v>
      </c>
      <c r="L1236">
        <v>260</v>
      </c>
      <c r="M1236">
        <v>86</v>
      </c>
      <c r="N1236">
        <v>463</v>
      </c>
      <c r="O1236">
        <v>125</v>
      </c>
      <c r="P1236">
        <v>27</v>
      </c>
      <c r="Q1236">
        <v>75</v>
      </c>
      <c r="R1236">
        <v>211</v>
      </c>
      <c r="S1236">
        <v>0.81153846153846154</v>
      </c>
      <c r="T1236">
        <v>0.625</v>
      </c>
      <c r="U1236">
        <v>0.86</v>
      </c>
    </row>
    <row r="1237" spans="1:21" x14ac:dyDescent="0.35">
      <c r="A1237">
        <v>360</v>
      </c>
      <c r="B1237" s="16">
        <v>40360</v>
      </c>
      <c r="C1237" s="15" t="s">
        <v>76</v>
      </c>
      <c r="D1237" s="15" t="s">
        <v>58</v>
      </c>
      <c r="E1237" s="15" t="s">
        <v>44</v>
      </c>
      <c r="F1237" s="15" t="s">
        <v>40</v>
      </c>
      <c r="G1237" s="15" t="s">
        <v>81</v>
      </c>
      <c r="H1237" s="15" t="s">
        <v>45</v>
      </c>
      <c r="I1237">
        <v>150</v>
      </c>
      <c r="J1237">
        <v>220</v>
      </c>
      <c r="K1237">
        <v>100</v>
      </c>
      <c r="L1237">
        <v>370</v>
      </c>
      <c r="M1237">
        <v>124</v>
      </c>
      <c r="N1237">
        <v>717</v>
      </c>
      <c r="O1237">
        <v>173</v>
      </c>
      <c r="P1237">
        <v>112</v>
      </c>
      <c r="Q1237">
        <v>31</v>
      </c>
      <c r="R1237">
        <v>297</v>
      </c>
      <c r="S1237">
        <v>0.80270270270270272</v>
      </c>
      <c r="T1237">
        <v>0.31</v>
      </c>
      <c r="U1237">
        <v>0.82666666666666666</v>
      </c>
    </row>
    <row r="1238" spans="1:21" x14ac:dyDescent="0.35">
      <c r="A1238">
        <v>206</v>
      </c>
      <c r="B1238" s="16">
        <v>40360</v>
      </c>
      <c r="C1238" s="15" t="s">
        <v>76</v>
      </c>
      <c r="D1238" s="15" t="s">
        <v>58</v>
      </c>
      <c r="E1238" s="15" t="s">
        <v>72</v>
      </c>
      <c r="F1238" s="15" t="s">
        <v>49</v>
      </c>
      <c r="G1238" s="15" t="s">
        <v>81</v>
      </c>
      <c r="H1238" s="15" t="s">
        <v>42</v>
      </c>
      <c r="I1238">
        <v>40</v>
      </c>
      <c r="J1238">
        <v>70</v>
      </c>
      <c r="K1238">
        <v>50</v>
      </c>
      <c r="L1238">
        <v>110</v>
      </c>
      <c r="M1238">
        <v>50</v>
      </c>
      <c r="N1238">
        <v>587</v>
      </c>
      <c r="O1238">
        <v>65</v>
      </c>
      <c r="P1238">
        <v>16</v>
      </c>
      <c r="Q1238">
        <v>36</v>
      </c>
      <c r="R1238">
        <v>115</v>
      </c>
      <c r="S1238">
        <v>1.0454545454545454</v>
      </c>
      <c r="T1238">
        <v>0.72</v>
      </c>
      <c r="U1238">
        <v>1.25</v>
      </c>
    </row>
    <row r="1239" spans="1:21" x14ac:dyDescent="0.35">
      <c r="A1239">
        <v>206</v>
      </c>
      <c r="B1239" s="16">
        <v>40360</v>
      </c>
      <c r="C1239" s="15" t="s">
        <v>76</v>
      </c>
      <c r="D1239" s="15" t="s">
        <v>58</v>
      </c>
      <c r="E1239" s="15" t="s">
        <v>48</v>
      </c>
      <c r="F1239" s="15" t="s">
        <v>49</v>
      </c>
      <c r="G1239" s="15" t="s">
        <v>81</v>
      </c>
      <c r="H1239" s="15" t="s">
        <v>42</v>
      </c>
      <c r="I1239">
        <v>50</v>
      </c>
      <c r="J1239">
        <v>70</v>
      </c>
      <c r="K1239">
        <v>20</v>
      </c>
      <c r="L1239">
        <v>120</v>
      </c>
      <c r="M1239">
        <v>59</v>
      </c>
      <c r="N1239">
        <v>403</v>
      </c>
      <c r="O1239">
        <v>74</v>
      </c>
      <c r="P1239">
        <v>22</v>
      </c>
      <c r="Q1239">
        <v>18</v>
      </c>
      <c r="R1239">
        <v>133</v>
      </c>
      <c r="S1239">
        <v>1.1083333333333334</v>
      </c>
      <c r="T1239">
        <v>0.9</v>
      </c>
      <c r="U1239">
        <v>1.18</v>
      </c>
    </row>
    <row r="1240" spans="1:21" x14ac:dyDescent="0.35">
      <c r="A1240">
        <v>253</v>
      </c>
      <c r="B1240" s="16">
        <v>40360</v>
      </c>
      <c r="C1240" s="15" t="s">
        <v>76</v>
      </c>
      <c r="D1240" s="15" t="s">
        <v>58</v>
      </c>
      <c r="E1240" s="15" t="s">
        <v>50</v>
      </c>
      <c r="F1240" s="15" t="s">
        <v>49</v>
      </c>
      <c r="G1240" s="15" t="s">
        <v>81</v>
      </c>
      <c r="H1240" s="15" t="s">
        <v>45</v>
      </c>
      <c r="I1240">
        <v>80</v>
      </c>
      <c r="J1240">
        <v>100</v>
      </c>
      <c r="K1240">
        <v>70</v>
      </c>
      <c r="L1240">
        <v>180</v>
      </c>
      <c r="M1240">
        <v>86</v>
      </c>
      <c r="N1240">
        <v>1081</v>
      </c>
      <c r="O1240">
        <v>103</v>
      </c>
      <c r="P1240">
        <v>26</v>
      </c>
      <c r="Q1240">
        <v>56</v>
      </c>
      <c r="R1240">
        <v>189</v>
      </c>
      <c r="S1240">
        <v>1.05</v>
      </c>
      <c r="T1240">
        <v>0.8</v>
      </c>
      <c r="U1240">
        <v>1.075</v>
      </c>
    </row>
    <row r="1241" spans="1:21" x14ac:dyDescent="0.35">
      <c r="A1241">
        <v>303</v>
      </c>
      <c r="B1241" s="16">
        <v>40391</v>
      </c>
      <c r="C1241" s="15" t="s">
        <v>37</v>
      </c>
      <c r="D1241" s="15" t="s">
        <v>38</v>
      </c>
      <c r="E1241" s="15" t="s">
        <v>51</v>
      </c>
      <c r="F1241" s="15" t="s">
        <v>52</v>
      </c>
      <c r="G1241" s="15" t="s">
        <v>41</v>
      </c>
      <c r="H1241" s="15" t="s">
        <v>45</v>
      </c>
      <c r="I1241">
        <v>120</v>
      </c>
      <c r="J1241">
        <v>130</v>
      </c>
      <c r="K1241">
        <v>80</v>
      </c>
      <c r="L1241">
        <v>250</v>
      </c>
      <c r="M1241">
        <v>145</v>
      </c>
      <c r="N1241">
        <v>1292</v>
      </c>
      <c r="O1241">
        <v>146</v>
      </c>
      <c r="P1241">
        <v>40</v>
      </c>
      <c r="Q1241">
        <v>82</v>
      </c>
      <c r="R1241">
        <v>291</v>
      </c>
      <c r="S1241">
        <v>1.1639999999999999</v>
      </c>
      <c r="T1241">
        <v>1.0249999999999999</v>
      </c>
      <c r="U1241">
        <v>1.2083333333333333</v>
      </c>
    </row>
    <row r="1242" spans="1:21" x14ac:dyDescent="0.35">
      <c r="A1242">
        <v>970</v>
      </c>
      <c r="B1242" s="16">
        <v>40391</v>
      </c>
      <c r="C1242" s="15" t="s">
        <v>37</v>
      </c>
      <c r="D1242" s="15" t="s">
        <v>38</v>
      </c>
      <c r="E1242" s="15" t="s">
        <v>53</v>
      </c>
      <c r="F1242" s="15" t="s">
        <v>52</v>
      </c>
      <c r="G1242" s="15" t="s">
        <v>41</v>
      </c>
      <c r="H1242" s="15" t="s">
        <v>45</v>
      </c>
      <c r="I1242">
        <v>30</v>
      </c>
      <c r="J1242">
        <v>40</v>
      </c>
      <c r="K1242">
        <v>0</v>
      </c>
      <c r="L1242">
        <v>70</v>
      </c>
      <c r="M1242">
        <v>37</v>
      </c>
      <c r="N1242">
        <v>513</v>
      </c>
      <c r="O1242">
        <v>52</v>
      </c>
      <c r="P1242">
        <v>33</v>
      </c>
      <c r="Q1242">
        <v>-10</v>
      </c>
      <c r="R1242">
        <v>89</v>
      </c>
      <c r="S1242">
        <v>1.2714285714285714</v>
      </c>
      <c r="U1242">
        <v>1.2333333333333334</v>
      </c>
    </row>
    <row r="1243" spans="1:21" x14ac:dyDescent="0.35">
      <c r="A1243">
        <v>303</v>
      </c>
      <c r="B1243" s="16">
        <v>40391</v>
      </c>
      <c r="C1243" s="15" t="s">
        <v>37</v>
      </c>
      <c r="D1243" s="15" t="s">
        <v>38</v>
      </c>
      <c r="E1243" s="15" t="s">
        <v>54</v>
      </c>
      <c r="F1243" s="15" t="s">
        <v>52</v>
      </c>
      <c r="G1243" s="15" t="s">
        <v>41</v>
      </c>
      <c r="H1243" s="15" t="s">
        <v>45</v>
      </c>
      <c r="I1243">
        <v>30</v>
      </c>
      <c r="J1243">
        <v>60</v>
      </c>
      <c r="K1243">
        <v>30</v>
      </c>
      <c r="L1243">
        <v>90</v>
      </c>
      <c r="M1243">
        <v>46</v>
      </c>
      <c r="N1243">
        <v>415</v>
      </c>
      <c r="O1243">
        <v>62</v>
      </c>
      <c r="P1243">
        <v>15</v>
      </c>
      <c r="Q1243">
        <v>20</v>
      </c>
      <c r="R1243">
        <v>108</v>
      </c>
      <c r="S1243">
        <v>1.2</v>
      </c>
      <c r="T1243">
        <v>0.66666666666666663</v>
      </c>
      <c r="U1243">
        <v>1.5333333333333334</v>
      </c>
    </row>
    <row r="1244" spans="1:21" x14ac:dyDescent="0.35">
      <c r="A1244">
        <v>720</v>
      </c>
      <c r="B1244" s="16">
        <v>40391</v>
      </c>
      <c r="C1244" s="15" t="s">
        <v>37</v>
      </c>
      <c r="D1244" s="15" t="s">
        <v>38</v>
      </c>
      <c r="E1244" s="15" t="s">
        <v>55</v>
      </c>
      <c r="F1244" s="15" t="s">
        <v>47</v>
      </c>
      <c r="G1244" s="15" t="s">
        <v>41</v>
      </c>
      <c r="H1244" s="15" t="s">
        <v>42</v>
      </c>
      <c r="I1244">
        <v>40</v>
      </c>
      <c r="J1244">
        <v>50</v>
      </c>
      <c r="K1244">
        <v>10</v>
      </c>
      <c r="L1244">
        <v>90</v>
      </c>
      <c r="M1244">
        <v>49</v>
      </c>
      <c r="N1244">
        <v>414</v>
      </c>
      <c r="O1244">
        <v>60</v>
      </c>
      <c r="P1244">
        <v>18</v>
      </c>
      <c r="Q1244">
        <v>9</v>
      </c>
      <c r="R1244">
        <v>109</v>
      </c>
      <c r="S1244">
        <v>1.211111111111111</v>
      </c>
      <c r="T1244">
        <v>0.9</v>
      </c>
      <c r="U1244">
        <v>1.2250000000000001</v>
      </c>
    </row>
    <row r="1245" spans="1:21" x14ac:dyDescent="0.35">
      <c r="A1245">
        <v>970</v>
      </c>
      <c r="B1245" s="16">
        <v>40391</v>
      </c>
      <c r="C1245" s="15" t="s">
        <v>37</v>
      </c>
      <c r="D1245" s="15" t="s">
        <v>38</v>
      </c>
      <c r="E1245" s="15" t="s">
        <v>56</v>
      </c>
      <c r="F1245" s="15" t="s">
        <v>47</v>
      </c>
      <c r="G1245" s="15" t="s">
        <v>41</v>
      </c>
      <c r="H1245" s="15" t="s">
        <v>42</v>
      </c>
      <c r="I1245">
        <v>30</v>
      </c>
      <c r="J1245">
        <v>50</v>
      </c>
      <c r="K1245">
        <v>20</v>
      </c>
      <c r="L1245">
        <v>80</v>
      </c>
      <c r="M1245">
        <v>41</v>
      </c>
      <c r="N1245">
        <v>1046</v>
      </c>
      <c r="O1245">
        <v>50</v>
      </c>
      <c r="P1245">
        <v>12</v>
      </c>
      <c r="Q1245">
        <v>16</v>
      </c>
      <c r="R1245">
        <v>91</v>
      </c>
      <c r="S1245">
        <v>1.1375</v>
      </c>
      <c r="T1245">
        <v>0.8</v>
      </c>
      <c r="U1245">
        <v>1.3666666666666667</v>
      </c>
    </row>
    <row r="1246" spans="1:21" x14ac:dyDescent="0.35">
      <c r="A1246">
        <v>719</v>
      </c>
      <c r="B1246" s="16">
        <v>40391</v>
      </c>
      <c r="C1246" s="15" t="s">
        <v>37</v>
      </c>
      <c r="D1246" s="15" t="s">
        <v>38</v>
      </c>
      <c r="E1246" s="15" t="s">
        <v>46</v>
      </c>
      <c r="F1246" s="15" t="s">
        <v>47</v>
      </c>
      <c r="G1246" s="15" t="s">
        <v>41</v>
      </c>
      <c r="H1246" s="15" t="s">
        <v>42</v>
      </c>
      <c r="I1246">
        <v>50</v>
      </c>
      <c r="J1246">
        <v>80</v>
      </c>
      <c r="K1246">
        <v>50</v>
      </c>
      <c r="L1246">
        <v>130</v>
      </c>
      <c r="M1246">
        <v>68</v>
      </c>
      <c r="N1246">
        <v>587</v>
      </c>
      <c r="O1246">
        <v>87</v>
      </c>
      <c r="P1246">
        <v>22</v>
      </c>
      <c r="Q1246">
        <v>53</v>
      </c>
      <c r="R1246">
        <v>155</v>
      </c>
      <c r="S1246">
        <v>1.1923076923076923</v>
      </c>
      <c r="T1246">
        <v>1.06</v>
      </c>
      <c r="U1246">
        <v>1.36</v>
      </c>
    </row>
    <row r="1247" spans="1:21" x14ac:dyDescent="0.35">
      <c r="A1247">
        <v>720</v>
      </c>
      <c r="B1247" s="16">
        <v>40391</v>
      </c>
      <c r="C1247" s="15" t="s">
        <v>37</v>
      </c>
      <c r="D1247" s="15" t="s">
        <v>38</v>
      </c>
      <c r="E1247" s="15" t="s">
        <v>48</v>
      </c>
      <c r="F1247" s="15" t="s">
        <v>49</v>
      </c>
      <c r="G1247" s="15" t="s">
        <v>41</v>
      </c>
      <c r="H1247" s="15" t="s">
        <v>42</v>
      </c>
      <c r="I1247">
        <v>110</v>
      </c>
      <c r="J1247">
        <v>170</v>
      </c>
      <c r="K1247">
        <v>130</v>
      </c>
      <c r="L1247">
        <v>280</v>
      </c>
      <c r="M1247">
        <v>100</v>
      </c>
      <c r="N1247">
        <v>598</v>
      </c>
      <c r="O1247">
        <v>145</v>
      </c>
      <c r="P1247">
        <v>28</v>
      </c>
      <c r="Q1247">
        <v>105</v>
      </c>
      <c r="R1247">
        <v>245</v>
      </c>
      <c r="S1247">
        <v>0.875</v>
      </c>
      <c r="T1247">
        <v>0.80769230769230771</v>
      </c>
      <c r="U1247">
        <v>0.90909090909090906</v>
      </c>
    </row>
    <row r="1248" spans="1:21" x14ac:dyDescent="0.35">
      <c r="A1248">
        <v>719</v>
      </c>
      <c r="B1248" s="16">
        <v>40391</v>
      </c>
      <c r="C1248" s="15" t="s">
        <v>37</v>
      </c>
      <c r="D1248" s="15" t="s">
        <v>38</v>
      </c>
      <c r="E1248" s="15" t="s">
        <v>50</v>
      </c>
      <c r="F1248" s="15" t="s">
        <v>49</v>
      </c>
      <c r="G1248" s="15" t="s">
        <v>41</v>
      </c>
      <c r="H1248" s="15" t="s">
        <v>45</v>
      </c>
      <c r="I1248">
        <v>60</v>
      </c>
      <c r="J1248">
        <v>90</v>
      </c>
      <c r="K1248">
        <v>50</v>
      </c>
      <c r="L1248">
        <v>150</v>
      </c>
      <c r="M1248">
        <v>52</v>
      </c>
      <c r="N1248">
        <v>662</v>
      </c>
      <c r="O1248">
        <v>79</v>
      </c>
      <c r="P1248">
        <v>17</v>
      </c>
      <c r="Q1248">
        <v>30</v>
      </c>
      <c r="R1248">
        <v>131</v>
      </c>
      <c r="S1248">
        <v>0.87333333333333329</v>
      </c>
      <c r="T1248">
        <v>0.6</v>
      </c>
      <c r="U1248">
        <v>0.8666666666666667</v>
      </c>
    </row>
    <row r="1249" spans="1:21" x14ac:dyDescent="0.35">
      <c r="A1249">
        <v>719</v>
      </c>
      <c r="B1249" s="16">
        <v>40391</v>
      </c>
      <c r="C1249" s="15" t="s">
        <v>37</v>
      </c>
      <c r="D1249" s="15" t="s">
        <v>38</v>
      </c>
      <c r="E1249" s="15" t="s">
        <v>44</v>
      </c>
      <c r="F1249" s="15" t="s">
        <v>40</v>
      </c>
      <c r="G1249" s="15" t="s">
        <v>41</v>
      </c>
      <c r="H1249" s="15" t="s">
        <v>45</v>
      </c>
      <c r="I1249">
        <v>130</v>
      </c>
      <c r="J1249">
        <v>200</v>
      </c>
      <c r="K1249">
        <v>160</v>
      </c>
      <c r="L1249">
        <v>330</v>
      </c>
      <c r="M1249">
        <v>132</v>
      </c>
      <c r="N1249">
        <v>994</v>
      </c>
      <c r="O1249">
        <v>191</v>
      </c>
      <c r="P1249">
        <v>36</v>
      </c>
      <c r="Q1249">
        <v>144</v>
      </c>
      <c r="R1249">
        <v>323</v>
      </c>
      <c r="S1249">
        <v>0.97878787878787876</v>
      </c>
      <c r="T1249">
        <v>0.9</v>
      </c>
      <c r="U1249">
        <v>1.0153846153846153</v>
      </c>
    </row>
    <row r="1250" spans="1:21" x14ac:dyDescent="0.35">
      <c r="A1250">
        <v>720</v>
      </c>
      <c r="B1250" s="16">
        <v>40391</v>
      </c>
      <c r="C1250" s="15" t="s">
        <v>37</v>
      </c>
      <c r="D1250" s="15" t="s">
        <v>38</v>
      </c>
      <c r="E1250" s="15" t="s">
        <v>39</v>
      </c>
      <c r="F1250" s="15" t="s">
        <v>40</v>
      </c>
      <c r="G1250" s="15" t="s">
        <v>41</v>
      </c>
      <c r="H1250" s="15" t="s">
        <v>42</v>
      </c>
      <c r="I1250">
        <v>130</v>
      </c>
      <c r="J1250">
        <v>180</v>
      </c>
      <c r="K1250">
        <v>140</v>
      </c>
      <c r="L1250">
        <v>310</v>
      </c>
      <c r="M1250">
        <v>123</v>
      </c>
      <c r="N1250">
        <v>941</v>
      </c>
      <c r="O1250">
        <v>178</v>
      </c>
      <c r="P1250">
        <v>34</v>
      </c>
      <c r="Q1250">
        <v>133</v>
      </c>
      <c r="R1250">
        <v>301</v>
      </c>
      <c r="S1250">
        <v>0.97096774193548385</v>
      </c>
      <c r="T1250">
        <v>0.95</v>
      </c>
      <c r="U1250">
        <v>0.94615384615384612</v>
      </c>
    </row>
    <row r="1251" spans="1:21" x14ac:dyDescent="0.35">
      <c r="A1251">
        <v>719</v>
      </c>
      <c r="B1251" s="16">
        <v>40391</v>
      </c>
      <c r="C1251" s="15" t="s">
        <v>37</v>
      </c>
      <c r="D1251" s="15" t="s">
        <v>38</v>
      </c>
      <c r="E1251" s="15" t="s">
        <v>43</v>
      </c>
      <c r="F1251" s="15" t="s">
        <v>40</v>
      </c>
      <c r="G1251" s="15" t="s">
        <v>41</v>
      </c>
      <c r="H1251" s="15" t="s">
        <v>42</v>
      </c>
      <c r="I1251">
        <v>50</v>
      </c>
      <c r="J1251">
        <v>70</v>
      </c>
      <c r="K1251">
        <v>50</v>
      </c>
      <c r="L1251">
        <v>120</v>
      </c>
      <c r="M1251">
        <v>52</v>
      </c>
      <c r="N1251">
        <v>554</v>
      </c>
      <c r="O1251">
        <v>68</v>
      </c>
      <c r="P1251">
        <v>17</v>
      </c>
      <c r="Q1251">
        <v>39</v>
      </c>
      <c r="R1251">
        <v>120</v>
      </c>
      <c r="S1251">
        <v>1</v>
      </c>
      <c r="T1251">
        <v>0.78</v>
      </c>
      <c r="U1251">
        <v>1.04</v>
      </c>
    </row>
    <row r="1252" spans="1:21" x14ac:dyDescent="0.35">
      <c r="A1252">
        <v>630</v>
      </c>
      <c r="B1252" s="16">
        <v>40391</v>
      </c>
      <c r="C1252" s="15" t="s">
        <v>37</v>
      </c>
      <c r="D1252" s="15" t="s">
        <v>38</v>
      </c>
      <c r="E1252" s="15" t="s">
        <v>51</v>
      </c>
      <c r="F1252" s="15" t="s">
        <v>52</v>
      </c>
      <c r="G1252" s="15" t="s">
        <v>57</v>
      </c>
      <c r="H1252" s="15" t="s">
        <v>45</v>
      </c>
      <c r="I1252">
        <v>100</v>
      </c>
      <c r="J1252">
        <v>160</v>
      </c>
      <c r="K1252">
        <v>140</v>
      </c>
      <c r="L1252">
        <v>260</v>
      </c>
      <c r="M1252">
        <v>123</v>
      </c>
      <c r="N1252">
        <v>941</v>
      </c>
      <c r="O1252">
        <v>178</v>
      </c>
      <c r="P1252">
        <v>34</v>
      </c>
      <c r="Q1252">
        <v>132</v>
      </c>
      <c r="R1252">
        <v>301</v>
      </c>
      <c r="S1252">
        <v>1.1576923076923078</v>
      </c>
      <c r="T1252">
        <v>0.94285714285714284</v>
      </c>
      <c r="U1252">
        <v>1.23</v>
      </c>
    </row>
    <row r="1253" spans="1:21" x14ac:dyDescent="0.35">
      <c r="A1253">
        <v>847</v>
      </c>
      <c r="B1253" s="16">
        <v>40391</v>
      </c>
      <c r="C1253" s="15" t="s">
        <v>37</v>
      </c>
      <c r="D1253" s="15" t="s">
        <v>38</v>
      </c>
      <c r="E1253" s="15" t="s">
        <v>53</v>
      </c>
      <c r="F1253" s="15" t="s">
        <v>52</v>
      </c>
      <c r="G1253" s="15" t="s">
        <v>57</v>
      </c>
      <c r="H1253" s="15" t="s">
        <v>45</v>
      </c>
      <c r="I1253">
        <v>40</v>
      </c>
      <c r="J1253">
        <v>60</v>
      </c>
      <c r="K1253">
        <v>40</v>
      </c>
      <c r="L1253">
        <v>100</v>
      </c>
      <c r="M1253">
        <v>52</v>
      </c>
      <c r="N1253">
        <v>554</v>
      </c>
      <c r="O1253">
        <v>68</v>
      </c>
      <c r="P1253">
        <v>17</v>
      </c>
      <c r="Q1253">
        <v>39</v>
      </c>
      <c r="R1253">
        <v>120</v>
      </c>
      <c r="S1253">
        <v>1.2</v>
      </c>
      <c r="T1253">
        <v>0.97499999999999998</v>
      </c>
      <c r="U1253">
        <v>1.3</v>
      </c>
    </row>
    <row r="1254" spans="1:21" x14ac:dyDescent="0.35">
      <c r="A1254">
        <v>309</v>
      </c>
      <c r="B1254" s="16">
        <v>40391</v>
      </c>
      <c r="C1254" s="15" t="s">
        <v>37</v>
      </c>
      <c r="D1254" s="15" t="s">
        <v>38</v>
      </c>
      <c r="E1254" s="15" t="s">
        <v>54</v>
      </c>
      <c r="F1254" s="15" t="s">
        <v>52</v>
      </c>
      <c r="G1254" s="15" t="s">
        <v>57</v>
      </c>
      <c r="H1254" s="15" t="s">
        <v>45</v>
      </c>
      <c r="I1254">
        <v>110</v>
      </c>
      <c r="J1254">
        <v>170</v>
      </c>
      <c r="K1254">
        <v>140</v>
      </c>
      <c r="L1254">
        <v>280</v>
      </c>
      <c r="M1254">
        <v>132</v>
      </c>
      <c r="N1254">
        <v>994</v>
      </c>
      <c r="O1254">
        <v>191</v>
      </c>
      <c r="P1254">
        <v>36</v>
      </c>
      <c r="Q1254">
        <v>143</v>
      </c>
      <c r="R1254">
        <v>323</v>
      </c>
      <c r="S1254">
        <v>1.1535714285714285</v>
      </c>
      <c r="T1254">
        <v>1.0214285714285714</v>
      </c>
      <c r="U1254">
        <v>1.2</v>
      </c>
    </row>
    <row r="1255" spans="1:21" x14ac:dyDescent="0.35">
      <c r="A1255">
        <v>217</v>
      </c>
      <c r="B1255" s="16">
        <v>40391</v>
      </c>
      <c r="C1255" s="15" t="s">
        <v>37</v>
      </c>
      <c r="D1255" s="15" t="s">
        <v>38</v>
      </c>
      <c r="E1255" s="15" t="s">
        <v>55</v>
      </c>
      <c r="F1255" s="15" t="s">
        <v>47</v>
      </c>
      <c r="G1255" s="15" t="s">
        <v>57</v>
      </c>
      <c r="H1255" s="15" t="s">
        <v>42</v>
      </c>
      <c r="I1255">
        <v>80</v>
      </c>
      <c r="J1255">
        <v>130</v>
      </c>
      <c r="K1255">
        <v>100</v>
      </c>
      <c r="L1255">
        <v>210</v>
      </c>
      <c r="M1255">
        <v>100</v>
      </c>
      <c r="N1255">
        <v>598</v>
      </c>
      <c r="O1255">
        <v>145</v>
      </c>
      <c r="P1255">
        <v>28</v>
      </c>
      <c r="Q1255">
        <v>105</v>
      </c>
      <c r="R1255">
        <v>245</v>
      </c>
      <c r="S1255">
        <v>1.1666666666666667</v>
      </c>
      <c r="T1255">
        <v>1.05</v>
      </c>
      <c r="U1255">
        <v>1.25</v>
      </c>
    </row>
    <row r="1256" spans="1:21" x14ac:dyDescent="0.35">
      <c r="A1256">
        <v>618</v>
      </c>
      <c r="B1256" s="16">
        <v>40391</v>
      </c>
      <c r="C1256" s="15" t="s">
        <v>37</v>
      </c>
      <c r="D1256" s="15" t="s">
        <v>38</v>
      </c>
      <c r="E1256" s="15" t="s">
        <v>56</v>
      </c>
      <c r="F1256" s="15" t="s">
        <v>47</v>
      </c>
      <c r="G1256" s="15" t="s">
        <v>57</v>
      </c>
      <c r="H1256" s="15" t="s">
        <v>42</v>
      </c>
      <c r="I1256">
        <v>40</v>
      </c>
      <c r="J1256">
        <v>70</v>
      </c>
      <c r="K1256">
        <v>30</v>
      </c>
      <c r="L1256">
        <v>110</v>
      </c>
      <c r="M1256">
        <v>52</v>
      </c>
      <c r="N1256">
        <v>662</v>
      </c>
      <c r="O1256">
        <v>79</v>
      </c>
      <c r="P1256">
        <v>17</v>
      </c>
      <c r="Q1256">
        <v>30</v>
      </c>
      <c r="R1256">
        <v>131</v>
      </c>
      <c r="S1256">
        <v>1.1909090909090909</v>
      </c>
      <c r="T1256">
        <v>1</v>
      </c>
      <c r="U1256">
        <v>1.3</v>
      </c>
    </row>
    <row r="1257" spans="1:21" x14ac:dyDescent="0.35">
      <c r="A1257">
        <v>630</v>
      </c>
      <c r="B1257" s="16">
        <v>40391</v>
      </c>
      <c r="C1257" s="15" t="s">
        <v>37</v>
      </c>
      <c r="D1257" s="15" t="s">
        <v>38</v>
      </c>
      <c r="E1257" s="15" t="s">
        <v>48</v>
      </c>
      <c r="F1257" s="15" t="s">
        <v>49</v>
      </c>
      <c r="G1257" s="15" t="s">
        <v>57</v>
      </c>
      <c r="H1257" s="15" t="s">
        <v>42</v>
      </c>
      <c r="I1257">
        <v>340</v>
      </c>
      <c r="J1257">
        <v>470</v>
      </c>
      <c r="K1257">
        <v>340</v>
      </c>
      <c r="L1257">
        <v>810</v>
      </c>
      <c r="M1257">
        <v>295</v>
      </c>
      <c r="N1257">
        <v>1714</v>
      </c>
      <c r="O1257">
        <v>392</v>
      </c>
      <c r="P1257">
        <v>97</v>
      </c>
      <c r="Q1257">
        <v>262</v>
      </c>
      <c r="R1257">
        <v>687</v>
      </c>
      <c r="S1257">
        <v>0.8481481481481481</v>
      </c>
      <c r="T1257">
        <v>0.77058823529411768</v>
      </c>
      <c r="U1257">
        <v>0.86764705882352944</v>
      </c>
    </row>
    <row r="1258" spans="1:21" x14ac:dyDescent="0.35">
      <c r="A1258">
        <v>847</v>
      </c>
      <c r="B1258" s="16">
        <v>40391</v>
      </c>
      <c r="C1258" s="15" t="s">
        <v>37</v>
      </c>
      <c r="D1258" s="15" t="s">
        <v>38</v>
      </c>
      <c r="E1258" s="15" t="s">
        <v>50</v>
      </c>
      <c r="F1258" s="15" t="s">
        <v>49</v>
      </c>
      <c r="G1258" s="15" t="s">
        <v>57</v>
      </c>
      <c r="H1258" s="15" t="s">
        <v>45</v>
      </c>
      <c r="I1258">
        <v>300</v>
      </c>
      <c r="J1258">
        <v>320</v>
      </c>
      <c r="K1258">
        <v>220</v>
      </c>
      <c r="L1258">
        <v>620</v>
      </c>
      <c r="M1258">
        <v>266</v>
      </c>
      <c r="N1258">
        <v>1797</v>
      </c>
      <c r="O1258">
        <v>266</v>
      </c>
      <c r="P1258">
        <v>74</v>
      </c>
      <c r="Q1258">
        <v>167</v>
      </c>
      <c r="R1258">
        <v>532</v>
      </c>
      <c r="S1258">
        <v>0.85806451612903223</v>
      </c>
      <c r="T1258">
        <v>0.75909090909090904</v>
      </c>
      <c r="U1258">
        <v>0.88666666666666671</v>
      </c>
    </row>
    <row r="1259" spans="1:21" x14ac:dyDescent="0.35">
      <c r="A1259">
        <v>630</v>
      </c>
      <c r="B1259" s="16">
        <v>40391</v>
      </c>
      <c r="C1259" s="15" t="s">
        <v>37</v>
      </c>
      <c r="D1259" s="15" t="s">
        <v>38</v>
      </c>
      <c r="E1259" s="15" t="s">
        <v>44</v>
      </c>
      <c r="F1259" s="15" t="s">
        <v>40</v>
      </c>
      <c r="G1259" s="15" t="s">
        <v>57</v>
      </c>
      <c r="H1259" s="15" t="s">
        <v>45</v>
      </c>
      <c r="I1259">
        <v>160</v>
      </c>
      <c r="J1259">
        <v>230</v>
      </c>
      <c r="K1259">
        <v>170</v>
      </c>
      <c r="L1259">
        <v>390</v>
      </c>
      <c r="M1259">
        <v>154</v>
      </c>
      <c r="N1259">
        <v>817</v>
      </c>
      <c r="O1259">
        <v>222</v>
      </c>
      <c r="P1259">
        <v>49</v>
      </c>
      <c r="Q1259">
        <v>150</v>
      </c>
      <c r="R1259">
        <v>376</v>
      </c>
      <c r="S1259">
        <v>0.96410256410256412</v>
      </c>
      <c r="T1259">
        <v>0.88235294117647056</v>
      </c>
      <c r="U1259">
        <v>0.96250000000000002</v>
      </c>
    </row>
    <row r="1260" spans="1:21" x14ac:dyDescent="0.35">
      <c r="A1260">
        <v>847</v>
      </c>
      <c r="B1260" s="16">
        <v>40391</v>
      </c>
      <c r="C1260" s="15" t="s">
        <v>37</v>
      </c>
      <c r="D1260" s="15" t="s">
        <v>38</v>
      </c>
      <c r="E1260" s="15" t="s">
        <v>43</v>
      </c>
      <c r="F1260" s="15" t="s">
        <v>40</v>
      </c>
      <c r="G1260" s="15" t="s">
        <v>57</v>
      </c>
      <c r="H1260" s="15" t="s">
        <v>42</v>
      </c>
      <c r="I1260">
        <v>200</v>
      </c>
      <c r="J1260">
        <v>290</v>
      </c>
      <c r="K1260">
        <v>190</v>
      </c>
      <c r="L1260">
        <v>490</v>
      </c>
      <c r="M1260">
        <v>196</v>
      </c>
      <c r="N1260">
        <v>1167</v>
      </c>
      <c r="O1260">
        <v>271</v>
      </c>
      <c r="P1260">
        <v>64</v>
      </c>
      <c r="Q1260">
        <v>163</v>
      </c>
      <c r="R1260">
        <v>467</v>
      </c>
      <c r="S1260">
        <v>0.95306122448979591</v>
      </c>
      <c r="T1260">
        <v>0.85789473684210527</v>
      </c>
      <c r="U1260">
        <v>0.98</v>
      </c>
    </row>
    <row r="1261" spans="1:21" x14ac:dyDescent="0.35">
      <c r="A1261">
        <v>712</v>
      </c>
      <c r="B1261" s="16">
        <v>40391</v>
      </c>
      <c r="C1261" s="15" t="s">
        <v>37</v>
      </c>
      <c r="D1261" s="15" t="s">
        <v>58</v>
      </c>
      <c r="E1261" s="15" t="s">
        <v>51</v>
      </c>
      <c r="F1261" s="15" t="s">
        <v>52</v>
      </c>
      <c r="G1261" s="15" t="s">
        <v>59</v>
      </c>
      <c r="H1261" s="15" t="s">
        <v>45</v>
      </c>
      <c r="I1261">
        <v>250</v>
      </c>
      <c r="J1261">
        <v>350</v>
      </c>
      <c r="K1261">
        <v>250</v>
      </c>
      <c r="L1261">
        <v>600</v>
      </c>
      <c r="M1261">
        <v>295</v>
      </c>
      <c r="N1261">
        <v>1714</v>
      </c>
      <c r="O1261">
        <v>392</v>
      </c>
      <c r="P1261">
        <v>97</v>
      </c>
      <c r="Q1261">
        <v>262</v>
      </c>
      <c r="R1261">
        <v>687</v>
      </c>
      <c r="S1261">
        <v>1.145</v>
      </c>
      <c r="T1261">
        <v>1.048</v>
      </c>
      <c r="U1261">
        <v>1.18</v>
      </c>
    </row>
    <row r="1262" spans="1:21" x14ac:dyDescent="0.35">
      <c r="A1262">
        <v>712</v>
      </c>
      <c r="B1262" s="16">
        <v>40391</v>
      </c>
      <c r="C1262" s="15" t="s">
        <v>37</v>
      </c>
      <c r="D1262" s="15" t="s">
        <v>58</v>
      </c>
      <c r="E1262" s="15" t="s">
        <v>53</v>
      </c>
      <c r="F1262" s="15" t="s">
        <v>52</v>
      </c>
      <c r="G1262" s="15" t="s">
        <v>59</v>
      </c>
      <c r="H1262" s="15" t="s">
        <v>45</v>
      </c>
      <c r="I1262">
        <v>130</v>
      </c>
      <c r="J1262">
        <v>200</v>
      </c>
      <c r="K1262">
        <v>150</v>
      </c>
      <c r="L1262">
        <v>330</v>
      </c>
      <c r="M1262">
        <v>154</v>
      </c>
      <c r="N1262">
        <v>817</v>
      </c>
      <c r="O1262">
        <v>222</v>
      </c>
      <c r="P1262">
        <v>49</v>
      </c>
      <c r="Q1262">
        <v>151</v>
      </c>
      <c r="R1262">
        <v>376</v>
      </c>
      <c r="S1262">
        <v>1.1393939393939394</v>
      </c>
      <c r="T1262">
        <v>1.0066666666666666</v>
      </c>
      <c r="U1262">
        <v>1.1846153846153846</v>
      </c>
    </row>
    <row r="1263" spans="1:21" x14ac:dyDescent="0.35">
      <c r="A1263">
        <v>515</v>
      </c>
      <c r="B1263" s="16">
        <v>40391</v>
      </c>
      <c r="C1263" s="15" t="s">
        <v>37</v>
      </c>
      <c r="D1263" s="15" t="s">
        <v>58</v>
      </c>
      <c r="E1263" s="15" t="s">
        <v>55</v>
      </c>
      <c r="F1263" s="15" t="s">
        <v>47</v>
      </c>
      <c r="G1263" s="15" t="s">
        <v>59</v>
      </c>
      <c r="H1263" s="15" t="s">
        <v>42</v>
      </c>
      <c r="I1263">
        <v>220</v>
      </c>
      <c r="J1263">
        <v>240</v>
      </c>
      <c r="K1263">
        <v>150</v>
      </c>
      <c r="L1263">
        <v>460</v>
      </c>
      <c r="M1263">
        <v>266</v>
      </c>
      <c r="N1263">
        <v>1797</v>
      </c>
      <c r="O1263">
        <v>266</v>
      </c>
      <c r="P1263">
        <v>74</v>
      </c>
      <c r="Q1263">
        <v>167</v>
      </c>
      <c r="R1263">
        <v>532</v>
      </c>
      <c r="S1263">
        <v>1.1565217391304348</v>
      </c>
      <c r="T1263">
        <v>1.1133333333333333</v>
      </c>
      <c r="U1263">
        <v>1.209090909090909</v>
      </c>
    </row>
    <row r="1264" spans="1:21" x14ac:dyDescent="0.35">
      <c r="A1264">
        <v>515</v>
      </c>
      <c r="B1264" s="16">
        <v>40391</v>
      </c>
      <c r="C1264" s="15" t="s">
        <v>37</v>
      </c>
      <c r="D1264" s="15" t="s">
        <v>58</v>
      </c>
      <c r="E1264" s="15" t="s">
        <v>56</v>
      </c>
      <c r="F1264" s="15" t="s">
        <v>47</v>
      </c>
      <c r="G1264" s="15" t="s">
        <v>59</v>
      </c>
      <c r="H1264" s="15" t="s">
        <v>42</v>
      </c>
      <c r="I1264">
        <v>240</v>
      </c>
      <c r="J1264">
        <v>310</v>
      </c>
      <c r="K1264">
        <v>180</v>
      </c>
      <c r="L1264">
        <v>550</v>
      </c>
      <c r="M1264">
        <v>284</v>
      </c>
      <c r="N1264">
        <v>1809</v>
      </c>
      <c r="O1264">
        <v>348</v>
      </c>
      <c r="P1264">
        <v>107</v>
      </c>
      <c r="Q1264">
        <v>207</v>
      </c>
      <c r="R1264">
        <v>632</v>
      </c>
      <c r="S1264">
        <v>1.1490909090909092</v>
      </c>
      <c r="T1264">
        <v>1.1499999999999999</v>
      </c>
      <c r="U1264">
        <v>1.1833333333333333</v>
      </c>
    </row>
    <row r="1265" spans="1:21" x14ac:dyDescent="0.35">
      <c r="A1265">
        <v>712</v>
      </c>
      <c r="B1265" s="16">
        <v>40391</v>
      </c>
      <c r="C1265" s="15" t="s">
        <v>37</v>
      </c>
      <c r="D1265" s="15" t="s">
        <v>58</v>
      </c>
      <c r="E1265" s="15" t="s">
        <v>48</v>
      </c>
      <c r="F1265" s="15" t="s">
        <v>49</v>
      </c>
      <c r="G1265" s="15" t="s">
        <v>59</v>
      </c>
      <c r="H1265" s="15" t="s">
        <v>42</v>
      </c>
      <c r="I1265">
        <v>20</v>
      </c>
      <c r="J1265">
        <v>40</v>
      </c>
      <c r="K1265">
        <v>30</v>
      </c>
      <c r="L1265">
        <v>60</v>
      </c>
      <c r="M1265">
        <v>23</v>
      </c>
      <c r="N1265">
        <v>806</v>
      </c>
      <c r="O1265">
        <v>35</v>
      </c>
      <c r="P1265">
        <v>6</v>
      </c>
      <c r="Q1265">
        <v>18</v>
      </c>
      <c r="R1265">
        <v>58</v>
      </c>
      <c r="S1265">
        <v>0.96666666666666667</v>
      </c>
      <c r="T1265">
        <v>0.6</v>
      </c>
      <c r="U1265">
        <v>1.1499999999999999</v>
      </c>
    </row>
    <row r="1266" spans="1:21" x14ac:dyDescent="0.35">
      <c r="A1266">
        <v>515</v>
      </c>
      <c r="B1266" s="16">
        <v>40391</v>
      </c>
      <c r="C1266" s="15" t="s">
        <v>37</v>
      </c>
      <c r="D1266" s="15" t="s">
        <v>58</v>
      </c>
      <c r="E1266" s="15" t="s">
        <v>50</v>
      </c>
      <c r="F1266" s="15" t="s">
        <v>49</v>
      </c>
      <c r="G1266" s="15" t="s">
        <v>59</v>
      </c>
      <c r="H1266" s="15" t="s">
        <v>45</v>
      </c>
      <c r="I1266">
        <v>0</v>
      </c>
      <c r="J1266">
        <v>50</v>
      </c>
      <c r="K1266">
        <v>40</v>
      </c>
      <c r="L1266">
        <v>50</v>
      </c>
      <c r="M1266">
        <v>0</v>
      </c>
      <c r="N1266">
        <v>516</v>
      </c>
      <c r="O1266">
        <v>43</v>
      </c>
      <c r="P1266">
        <v>0</v>
      </c>
      <c r="Q1266">
        <v>31</v>
      </c>
      <c r="R1266">
        <v>43</v>
      </c>
      <c r="S1266">
        <v>0.86</v>
      </c>
      <c r="T1266">
        <v>0.77500000000000002</v>
      </c>
    </row>
    <row r="1267" spans="1:21" x14ac:dyDescent="0.35">
      <c r="A1267">
        <v>563</v>
      </c>
      <c r="B1267" s="16">
        <v>40391</v>
      </c>
      <c r="C1267" s="15" t="s">
        <v>37</v>
      </c>
      <c r="D1267" s="15" t="s">
        <v>58</v>
      </c>
      <c r="E1267" s="15" t="s">
        <v>43</v>
      </c>
      <c r="F1267" s="15" t="s">
        <v>40</v>
      </c>
      <c r="G1267" s="15" t="s">
        <v>59</v>
      </c>
      <c r="H1267" s="15" t="s">
        <v>42</v>
      </c>
      <c r="I1267">
        <v>40</v>
      </c>
      <c r="J1267">
        <v>50</v>
      </c>
      <c r="K1267">
        <v>20</v>
      </c>
      <c r="L1267">
        <v>90</v>
      </c>
      <c r="M1267">
        <v>41</v>
      </c>
      <c r="N1267">
        <v>1007</v>
      </c>
      <c r="O1267">
        <v>49</v>
      </c>
      <c r="P1267">
        <v>12</v>
      </c>
      <c r="Q1267">
        <v>15</v>
      </c>
      <c r="R1267">
        <v>90</v>
      </c>
      <c r="S1267">
        <v>1</v>
      </c>
      <c r="T1267">
        <v>0.75</v>
      </c>
      <c r="U1267">
        <v>1.0249999999999999</v>
      </c>
    </row>
    <row r="1268" spans="1:21" x14ac:dyDescent="0.35">
      <c r="A1268">
        <v>641</v>
      </c>
      <c r="B1268" s="16">
        <v>40391</v>
      </c>
      <c r="C1268" s="15" t="s">
        <v>37</v>
      </c>
      <c r="D1268" s="15" t="s">
        <v>58</v>
      </c>
      <c r="E1268" s="15" t="s">
        <v>44</v>
      </c>
      <c r="F1268" s="15" t="s">
        <v>40</v>
      </c>
      <c r="G1268" s="15" t="s">
        <v>59</v>
      </c>
      <c r="H1268" s="15" t="s">
        <v>45</v>
      </c>
      <c r="I1268">
        <v>10</v>
      </c>
      <c r="J1268">
        <v>20</v>
      </c>
      <c r="K1268">
        <v>10</v>
      </c>
      <c r="L1268">
        <v>30</v>
      </c>
      <c r="M1268">
        <v>14</v>
      </c>
      <c r="N1268">
        <v>602</v>
      </c>
      <c r="O1268">
        <v>18</v>
      </c>
      <c r="P1268">
        <v>4</v>
      </c>
      <c r="Q1268">
        <v>1</v>
      </c>
      <c r="R1268">
        <v>32</v>
      </c>
      <c r="S1268">
        <v>1.0666666666666667</v>
      </c>
      <c r="T1268">
        <v>0.1</v>
      </c>
      <c r="U1268">
        <v>1.4</v>
      </c>
    </row>
    <row r="1269" spans="1:21" x14ac:dyDescent="0.35">
      <c r="A1269">
        <v>641</v>
      </c>
      <c r="B1269" s="16">
        <v>40391</v>
      </c>
      <c r="C1269" s="15" t="s">
        <v>37</v>
      </c>
      <c r="D1269" s="15" t="s">
        <v>58</v>
      </c>
      <c r="E1269" s="15" t="s">
        <v>39</v>
      </c>
      <c r="F1269" s="15" t="s">
        <v>40</v>
      </c>
      <c r="G1269" s="15" t="s">
        <v>59</v>
      </c>
      <c r="H1269" s="15" t="s">
        <v>42</v>
      </c>
      <c r="I1269">
        <v>20</v>
      </c>
      <c r="J1269">
        <v>40</v>
      </c>
      <c r="K1269">
        <v>30</v>
      </c>
      <c r="L1269">
        <v>60</v>
      </c>
      <c r="M1269">
        <v>25</v>
      </c>
      <c r="N1269">
        <v>851</v>
      </c>
      <c r="O1269">
        <v>38</v>
      </c>
      <c r="P1269">
        <v>7</v>
      </c>
      <c r="Q1269">
        <v>19</v>
      </c>
      <c r="R1269">
        <v>63</v>
      </c>
      <c r="S1269">
        <v>1.05</v>
      </c>
      <c r="T1269">
        <v>0.6333333333333333</v>
      </c>
      <c r="U1269">
        <v>1.25</v>
      </c>
    </row>
    <row r="1270" spans="1:21" x14ac:dyDescent="0.35">
      <c r="A1270">
        <v>314</v>
      </c>
      <c r="B1270" s="16">
        <v>40391</v>
      </c>
      <c r="C1270" s="15" t="s">
        <v>37</v>
      </c>
      <c r="D1270" s="15" t="s">
        <v>58</v>
      </c>
      <c r="E1270" s="15" t="s">
        <v>51</v>
      </c>
      <c r="F1270" s="15" t="s">
        <v>52</v>
      </c>
      <c r="G1270" s="15" t="s">
        <v>60</v>
      </c>
      <c r="H1270" s="15" t="s">
        <v>45</v>
      </c>
      <c r="I1270">
        <v>50</v>
      </c>
      <c r="J1270">
        <v>80</v>
      </c>
      <c r="K1270">
        <v>20</v>
      </c>
      <c r="L1270">
        <v>130</v>
      </c>
      <c r="M1270">
        <v>63</v>
      </c>
      <c r="N1270">
        <v>332</v>
      </c>
      <c r="O1270">
        <v>88</v>
      </c>
      <c r="P1270">
        <v>57</v>
      </c>
      <c r="Q1270">
        <v>2</v>
      </c>
      <c r="R1270">
        <v>151</v>
      </c>
      <c r="S1270">
        <v>1.1615384615384616</v>
      </c>
      <c r="T1270">
        <v>0.1</v>
      </c>
      <c r="U1270">
        <v>1.26</v>
      </c>
    </row>
    <row r="1271" spans="1:21" x14ac:dyDescent="0.35">
      <c r="A1271">
        <v>573</v>
      </c>
      <c r="B1271" s="16">
        <v>40391</v>
      </c>
      <c r="C1271" s="15" t="s">
        <v>37</v>
      </c>
      <c r="D1271" s="15" t="s">
        <v>58</v>
      </c>
      <c r="E1271" s="15" t="s">
        <v>53</v>
      </c>
      <c r="F1271" s="15" t="s">
        <v>52</v>
      </c>
      <c r="G1271" s="15" t="s">
        <v>60</v>
      </c>
      <c r="H1271" s="15" t="s">
        <v>45</v>
      </c>
      <c r="I1271">
        <v>100</v>
      </c>
      <c r="J1271">
        <v>20</v>
      </c>
      <c r="K1271">
        <v>-20</v>
      </c>
      <c r="L1271">
        <v>120</v>
      </c>
      <c r="M1271">
        <v>120</v>
      </c>
      <c r="N1271">
        <v>1439</v>
      </c>
      <c r="O1271">
        <v>19</v>
      </c>
      <c r="P1271">
        <v>37</v>
      </c>
      <c r="Q1271">
        <v>-41</v>
      </c>
      <c r="R1271">
        <v>139</v>
      </c>
      <c r="S1271">
        <v>1.1583333333333334</v>
      </c>
      <c r="T1271">
        <v>2.0499999999999998</v>
      </c>
      <c r="U1271">
        <v>1.2</v>
      </c>
    </row>
    <row r="1272" spans="1:21" x14ac:dyDescent="0.35">
      <c r="A1272">
        <v>816</v>
      </c>
      <c r="B1272" s="16">
        <v>40391</v>
      </c>
      <c r="C1272" s="15" t="s">
        <v>37</v>
      </c>
      <c r="D1272" s="15" t="s">
        <v>58</v>
      </c>
      <c r="E1272" s="15" t="s">
        <v>55</v>
      </c>
      <c r="F1272" s="15" t="s">
        <v>47</v>
      </c>
      <c r="G1272" s="15" t="s">
        <v>60</v>
      </c>
      <c r="H1272" s="15" t="s">
        <v>42</v>
      </c>
      <c r="I1272">
        <v>30</v>
      </c>
      <c r="J1272">
        <v>60</v>
      </c>
      <c r="K1272">
        <v>30</v>
      </c>
      <c r="L1272">
        <v>90</v>
      </c>
      <c r="M1272">
        <v>45</v>
      </c>
      <c r="N1272">
        <v>253</v>
      </c>
      <c r="O1272">
        <v>60</v>
      </c>
      <c r="P1272">
        <v>14</v>
      </c>
      <c r="Q1272">
        <v>19</v>
      </c>
      <c r="R1272">
        <v>105</v>
      </c>
      <c r="S1272">
        <v>1.1666666666666667</v>
      </c>
      <c r="T1272">
        <v>0.6333333333333333</v>
      </c>
      <c r="U1272">
        <v>1.5</v>
      </c>
    </row>
    <row r="1273" spans="1:21" x14ac:dyDescent="0.35">
      <c r="A1273">
        <v>660</v>
      </c>
      <c r="B1273" s="16">
        <v>40391</v>
      </c>
      <c r="C1273" s="15" t="s">
        <v>37</v>
      </c>
      <c r="D1273" s="15" t="s">
        <v>58</v>
      </c>
      <c r="E1273" s="15" t="s">
        <v>56</v>
      </c>
      <c r="F1273" s="15" t="s">
        <v>47</v>
      </c>
      <c r="G1273" s="15" t="s">
        <v>60</v>
      </c>
      <c r="H1273" s="15" t="s">
        <v>42</v>
      </c>
      <c r="I1273">
        <v>20</v>
      </c>
      <c r="J1273">
        <v>30</v>
      </c>
      <c r="K1273">
        <v>-10</v>
      </c>
      <c r="L1273">
        <v>50</v>
      </c>
      <c r="M1273">
        <v>29</v>
      </c>
      <c r="N1273">
        <v>215</v>
      </c>
      <c r="O1273">
        <v>36</v>
      </c>
      <c r="P1273">
        <v>11</v>
      </c>
      <c r="Q1273">
        <v>-9</v>
      </c>
      <c r="R1273">
        <v>65</v>
      </c>
      <c r="S1273">
        <v>1.3</v>
      </c>
      <c r="T1273">
        <v>0.9</v>
      </c>
      <c r="U1273">
        <v>1.45</v>
      </c>
    </row>
    <row r="1274" spans="1:21" x14ac:dyDescent="0.35">
      <c r="A1274">
        <v>417</v>
      </c>
      <c r="B1274" s="16">
        <v>40391</v>
      </c>
      <c r="C1274" s="15" t="s">
        <v>37</v>
      </c>
      <c r="D1274" s="15" t="s">
        <v>58</v>
      </c>
      <c r="E1274" s="15" t="s">
        <v>46</v>
      </c>
      <c r="F1274" s="15" t="s">
        <v>47</v>
      </c>
      <c r="G1274" s="15" t="s">
        <v>60</v>
      </c>
      <c r="H1274" s="15" t="s">
        <v>42</v>
      </c>
      <c r="I1274">
        <v>30</v>
      </c>
      <c r="J1274">
        <v>40</v>
      </c>
      <c r="K1274">
        <v>0</v>
      </c>
      <c r="L1274">
        <v>70</v>
      </c>
      <c r="M1274">
        <v>38</v>
      </c>
      <c r="N1274">
        <v>248</v>
      </c>
      <c r="O1274">
        <v>48</v>
      </c>
      <c r="P1274">
        <v>14</v>
      </c>
      <c r="Q1274">
        <v>1</v>
      </c>
      <c r="R1274">
        <v>86</v>
      </c>
      <c r="S1274">
        <v>1.2285714285714286</v>
      </c>
      <c r="U1274">
        <v>1.2666666666666666</v>
      </c>
    </row>
    <row r="1275" spans="1:21" x14ac:dyDescent="0.35">
      <c r="A1275">
        <v>314</v>
      </c>
      <c r="B1275" s="16">
        <v>40391</v>
      </c>
      <c r="C1275" s="15" t="s">
        <v>37</v>
      </c>
      <c r="D1275" s="15" t="s">
        <v>58</v>
      </c>
      <c r="E1275" s="15" t="s">
        <v>48</v>
      </c>
      <c r="F1275" s="15" t="s">
        <v>49</v>
      </c>
      <c r="G1275" s="15" t="s">
        <v>60</v>
      </c>
      <c r="H1275" s="15" t="s">
        <v>42</v>
      </c>
      <c r="I1275">
        <v>30</v>
      </c>
      <c r="J1275">
        <v>60</v>
      </c>
      <c r="K1275">
        <v>40</v>
      </c>
      <c r="L1275">
        <v>90</v>
      </c>
      <c r="M1275">
        <v>34</v>
      </c>
      <c r="N1275">
        <v>890</v>
      </c>
      <c r="O1275">
        <v>49</v>
      </c>
      <c r="P1275">
        <v>9</v>
      </c>
      <c r="Q1275">
        <v>29</v>
      </c>
      <c r="R1275">
        <v>83</v>
      </c>
      <c r="S1275">
        <v>0.92222222222222228</v>
      </c>
      <c r="T1275">
        <v>0.72499999999999998</v>
      </c>
      <c r="U1275">
        <v>1.1333333333333333</v>
      </c>
    </row>
    <row r="1276" spans="1:21" x14ac:dyDescent="0.35">
      <c r="A1276">
        <v>417</v>
      </c>
      <c r="B1276" s="16">
        <v>40391</v>
      </c>
      <c r="C1276" s="15" t="s">
        <v>37</v>
      </c>
      <c r="D1276" s="15" t="s">
        <v>58</v>
      </c>
      <c r="E1276" s="15" t="s">
        <v>50</v>
      </c>
      <c r="F1276" s="15" t="s">
        <v>49</v>
      </c>
      <c r="G1276" s="15" t="s">
        <v>60</v>
      </c>
      <c r="H1276" s="15" t="s">
        <v>45</v>
      </c>
      <c r="I1276">
        <v>30</v>
      </c>
      <c r="J1276">
        <v>60</v>
      </c>
      <c r="K1276">
        <v>50</v>
      </c>
      <c r="L1276">
        <v>90</v>
      </c>
      <c r="M1276">
        <v>32</v>
      </c>
      <c r="N1276">
        <v>841</v>
      </c>
      <c r="O1276">
        <v>48</v>
      </c>
      <c r="P1276">
        <v>8</v>
      </c>
      <c r="Q1276">
        <v>28</v>
      </c>
      <c r="R1276">
        <v>80</v>
      </c>
      <c r="S1276">
        <v>0.88888888888888884</v>
      </c>
      <c r="T1276">
        <v>0.56000000000000005</v>
      </c>
      <c r="U1276">
        <v>1.0666666666666667</v>
      </c>
    </row>
    <row r="1277" spans="1:21" x14ac:dyDescent="0.35">
      <c r="A1277">
        <v>417</v>
      </c>
      <c r="B1277" s="16">
        <v>40391</v>
      </c>
      <c r="C1277" s="15" t="s">
        <v>37</v>
      </c>
      <c r="D1277" s="15" t="s">
        <v>58</v>
      </c>
      <c r="E1277" s="15" t="s">
        <v>43</v>
      </c>
      <c r="F1277" s="15" t="s">
        <v>40</v>
      </c>
      <c r="G1277" s="15" t="s">
        <v>60</v>
      </c>
      <c r="H1277" s="15" t="s">
        <v>42</v>
      </c>
      <c r="I1277">
        <v>70</v>
      </c>
      <c r="J1277">
        <v>90</v>
      </c>
      <c r="K1277">
        <v>40</v>
      </c>
      <c r="L1277">
        <v>160</v>
      </c>
      <c r="M1277">
        <v>72</v>
      </c>
      <c r="N1277">
        <v>606</v>
      </c>
      <c r="O1277">
        <v>88</v>
      </c>
      <c r="P1277">
        <v>27</v>
      </c>
      <c r="Q1277">
        <v>27</v>
      </c>
      <c r="R1277">
        <v>160</v>
      </c>
      <c r="S1277">
        <v>1</v>
      </c>
      <c r="T1277">
        <v>0.67500000000000004</v>
      </c>
      <c r="U1277">
        <v>1.0285714285714285</v>
      </c>
    </row>
    <row r="1278" spans="1:21" x14ac:dyDescent="0.35">
      <c r="A1278">
        <v>816</v>
      </c>
      <c r="B1278" s="16">
        <v>40391</v>
      </c>
      <c r="C1278" s="15" t="s">
        <v>37</v>
      </c>
      <c r="D1278" s="15" t="s">
        <v>58</v>
      </c>
      <c r="E1278" s="15" t="s">
        <v>44</v>
      </c>
      <c r="F1278" s="15" t="s">
        <v>40</v>
      </c>
      <c r="G1278" s="15" t="s">
        <v>60</v>
      </c>
      <c r="H1278" s="15" t="s">
        <v>45</v>
      </c>
      <c r="I1278">
        <v>50</v>
      </c>
      <c r="J1278">
        <v>60</v>
      </c>
      <c r="K1278">
        <v>30</v>
      </c>
      <c r="L1278">
        <v>110</v>
      </c>
      <c r="M1278">
        <v>50</v>
      </c>
      <c r="N1278">
        <v>1064</v>
      </c>
      <c r="O1278">
        <v>60</v>
      </c>
      <c r="P1278">
        <v>15</v>
      </c>
      <c r="Q1278">
        <v>24</v>
      </c>
      <c r="R1278">
        <v>110</v>
      </c>
      <c r="S1278">
        <v>1</v>
      </c>
      <c r="T1278">
        <v>0.8</v>
      </c>
      <c r="U1278">
        <v>1</v>
      </c>
    </row>
    <row r="1279" spans="1:21" x14ac:dyDescent="0.35">
      <c r="A1279">
        <v>567</v>
      </c>
      <c r="B1279" s="16">
        <v>40391</v>
      </c>
      <c r="C1279" s="15" t="s">
        <v>37</v>
      </c>
      <c r="D1279" s="15" t="s">
        <v>38</v>
      </c>
      <c r="E1279" s="15" t="s">
        <v>51</v>
      </c>
      <c r="F1279" s="15" t="s">
        <v>52</v>
      </c>
      <c r="G1279" s="15" t="s">
        <v>61</v>
      </c>
      <c r="H1279" s="15" t="s">
        <v>45</v>
      </c>
      <c r="I1279">
        <v>10</v>
      </c>
      <c r="J1279">
        <v>20</v>
      </c>
      <c r="K1279">
        <v>20</v>
      </c>
      <c r="L1279">
        <v>30</v>
      </c>
      <c r="M1279">
        <v>16</v>
      </c>
      <c r="N1279">
        <v>484</v>
      </c>
      <c r="O1279">
        <v>25</v>
      </c>
      <c r="P1279">
        <v>4</v>
      </c>
      <c r="Q1279">
        <v>9</v>
      </c>
      <c r="R1279">
        <v>41</v>
      </c>
      <c r="S1279">
        <v>1.3666666666666667</v>
      </c>
      <c r="T1279">
        <v>0.45</v>
      </c>
      <c r="U1279">
        <v>1.6</v>
      </c>
    </row>
    <row r="1280" spans="1:21" x14ac:dyDescent="0.35">
      <c r="A1280">
        <v>330</v>
      </c>
      <c r="B1280" s="16">
        <v>40391</v>
      </c>
      <c r="C1280" s="15" t="s">
        <v>37</v>
      </c>
      <c r="D1280" s="15" t="s">
        <v>38</v>
      </c>
      <c r="E1280" s="15" t="s">
        <v>53</v>
      </c>
      <c r="F1280" s="15" t="s">
        <v>52</v>
      </c>
      <c r="G1280" s="15" t="s">
        <v>61</v>
      </c>
      <c r="H1280" s="15" t="s">
        <v>45</v>
      </c>
      <c r="I1280">
        <v>10</v>
      </c>
      <c r="J1280">
        <v>30</v>
      </c>
      <c r="K1280">
        <v>30</v>
      </c>
      <c r="L1280">
        <v>40</v>
      </c>
      <c r="M1280">
        <v>22</v>
      </c>
      <c r="N1280">
        <v>865</v>
      </c>
      <c r="O1280">
        <v>33</v>
      </c>
      <c r="P1280">
        <v>6</v>
      </c>
      <c r="Q1280">
        <v>16</v>
      </c>
      <c r="R1280">
        <v>55</v>
      </c>
      <c r="S1280">
        <v>1.375</v>
      </c>
      <c r="T1280">
        <v>0.53333333333333333</v>
      </c>
      <c r="U1280">
        <v>2.2000000000000002</v>
      </c>
    </row>
    <row r="1281" spans="1:21" x14ac:dyDescent="0.35">
      <c r="A1281">
        <v>234</v>
      </c>
      <c r="B1281" s="16">
        <v>40391</v>
      </c>
      <c r="C1281" s="15" t="s">
        <v>37</v>
      </c>
      <c r="D1281" s="15" t="s">
        <v>38</v>
      </c>
      <c r="E1281" s="15" t="s">
        <v>55</v>
      </c>
      <c r="F1281" s="15" t="s">
        <v>47</v>
      </c>
      <c r="G1281" s="15" t="s">
        <v>61</v>
      </c>
      <c r="H1281" s="15" t="s">
        <v>42</v>
      </c>
      <c r="I1281">
        <v>90</v>
      </c>
      <c r="J1281">
        <v>160</v>
      </c>
      <c r="K1281">
        <v>100</v>
      </c>
      <c r="L1281">
        <v>250</v>
      </c>
      <c r="M1281">
        <v>114</v>
      </c>
      <c r="N1281">
        <v>810</v>
      </c>
      <c r="O1281">
        <v>172</v>
      </c>
      <c r="P1281">
        <v>37</v>
      </c>
      <c r="Q1281">
        <v>103</v>
      </c>
      <c r="R1281">
        <v>286</v>
      </c>
      <c r="S1281">
        <v>1.1439999999999999</v>
      </c>
      <c r="T1281">
        <v>1.03</v>
      </c>
      <c r="U1281">
        <v>1.2666666666666666</v>
      </c>
    </row>
    <row r="1282" spans="1:21" x14ac:dyDescent="0.35">
      <c r="A1282">
        <v>330</v>
      </c>
      <c r="B1282" s="16">
        <v>40391</v>
      </c>
      <c r="C1282" s="15" t="s">
        <v>37</v>
      </c>
      <c r="D1282" s="15" t="s">
        <v>38</v>
      </c>
      <c r="E1282" s="15" t="s">
        <v>56</v>
      </c>
      <c r="F1282" s="15" t="s">
        <v>47</v>
      </c>
      <c r="G1282" s="15" t="s">
        <v>61</v>
      </c>
      <c r="H1282" s="15" t="s">
        <v>42</v>
      </c>
      <c r="I1282">
        <v>90</v>
      </c>
      <c r="J1282">
        <v>150</v>
      </c>
      <c r="K1282">
        <v>100</v>
      </c>
      <c r="L1282">
        <v>240</v>
      </c>
      <c r="M1282">
        <v>116</v>
      </c>
      <c r="N1282">
        <v>678</v>
      </c>
      <c r="O1282">
        <v>161</v>
      </c>
      <c r="P1282">
        <v>35</v>
      </c>
      <c r="Q1282">
        <v>103</v>
      </c>
      <c r="R1282">
        <v>277</v>
      </c>
      <c r="S1282">
        <v>1.1541666666666666</v>
      </c>
      <c r="T1282">
        <v>1.03</v>
      </c>
      <c r="U1282">
        <v>1.288888888888889</v>
      </c>
    </row>
    <row r="1283" spans="1:21" x14ac:dyDescent="0.35">
      <c r="A1283">
        <v>513</v>
      </c>
      <c r="B1283" s="16">
        <v>40391</v>
      </c>
      <c r="C1283" s="15" t="s">
        <v>37</v>
      </c>
      <c r="D1283" s="15" t="s">
        <v>38</v>
      </c>
      <c r="E1283" s="15" t="s">
        <v>48</v>
      </c>
      <c r="F1283" s="15" t="s">
        <v>49</v>
      </c>
      <c r="G1283" s="15" t="s">
        <v>61</v>
      </c>
      <c r="H1283" s="15" t="s">
        <v>42</v>
      </c>
      <c r="I1283">
        <v>160</v>
      </c>
      <c r="J1283">
        <v>180</v>
      </c>
      <c r="K1283">
        <v>120</v>
      </c>
      <c r="L1283">
        <v>340</v>
      </c>
      <c r="M1283">
        <v>145</v>
      </c>
      <c r="N1283">
        <v>1292</v>
      </c>
      <c r="O1283">
        <v>146</v>
      </c>
      <c r="P1283">
        <v>40</v>
      </c>
      <c r="Q1283">
        <v>81</v>
      </c>
      <c r="R1283">
        <v>291</v>
      </c>
      <c r="S1283">
        <v>0.85588235294117643</v>
      </c>
      <c r="T1283">
        <v>0.67500000000000004</v>
      </c>
      <c r="U1283">
        <v>0.90625</v>
      </c>
    </row>
    <row r="1284" spans="1:21" x14ac:dyDescent="0.35">
      <c r="A1284">
        <v>937</v>
      </c>
      <c r="B1284" s="16">
        <v>40391</v>
      </c>
      <c r="C1284" s="15" t="s">
        <v>37</v>
      </c>
      <c r="D1284" s="15" t="s">
        <v>38</v>
      </c>
      <c r="E1284" s="15" t="s">
        <v>50</v>
      </c>
      <c r="F1284" s="15" t="s">
        <v>49</v>
      </c>
      <c r="G1284" s="15" t="s">
        <v>61</v>
      </c>
      <c r="H1284" s="15" t="s">
        <v>45</v>
      </c>
      <c r="I1284">
        <v>50</v>
      </c>
      <c r="J1284">
        <v>70</v>
      </c>
      <c r="K1284">
        <v>20</v>
      </c>
      <c r="L1284">
        <v>120</v>
      </c>
      <c r="M1284">
        <v>49</v>
      </c>
      <c r="N1284">
        <v>414</v>
      </c>
      <c r="O1284">
        <v>60</v>
      </c>
      <c r="P1284">
        <v>18</v>
      </c>
      <c r="Q1284">
        <v>8</v>
      </c>
      <c r="R1284">
        <v>109</v>
      </c>
      <c r="S1284">
        <v>0.90833333333333333</v>
      </c>
      <c r="T1284">
        <v>0.4</v>
      </c>
      <c r="U1284">
        <v>0.98</v>
      </c>
    </row>
    <row r="1285" spans="1:21" x14ac:dyDescent="0.35">
      <c r="A1285">
        <v>234</v>
      </c>
      <c r="B1285" s="16">
        <v>40391</v>
      </c>
      <c r="C1285" s="15" t="s">
        <v>37</v>
      </c>
      <c r="D1285" s="15" t="s">
        <v>38</v>
      </c>
      <c r="E1285" s="15" t="s">
        <v>39</v>
      </c>
      <c r="F1285" s="15" t="s">
        <v>40</v>
      </c>
      <c r="G1285" s="15" t="s">
        <v>61</v>
      </c>
      <c r="H1285" s="15" t="s">
        <v>42</v>
      </c>
      <c r="I1285">
        <v>40</v>
      </c>
      <c r="J1285">
        <v>70</v>
      </c>
      <c r="K1285">
        <v>40</v>
      </c>
      <c r="L1285">
        <v>110</v>
      </c>
      <c r="M1285">
        <v>46</v>
      </c>
      <c r="N1285">
        <v>415</v>
      </c>
      <c r="O1285">
        <v>62</v>
      </c>
      <c r="P1285">
        <v>15</v>
      </c>
      <c r="Q1285">
        <v>19</v>
      </c>
      <c r="R1285">
        <v>108</v>
      </c>
      <c r="S1285">
        <v>0.98181818181818181</v>
      </c>
      <c r="T1285">
        <v>0.47499999999999998</v>
      </c>
      <c r="U1285">
        <v>1.1499999999999999</v>
      </c>
    </row>
    <row r="1286" spans="1:21" x14ac:dyDescent="0.35">
      <c r="A1286">
        <v>234</v>
      </c>
      <c r="B1286" s="16">
        <v>40391</v>
      </c>
      <c r="C1286" s="15" t="s">
        <v>37</v>
      </c>
      <c r="D1286" s="15" t="s">
        <v>38</v>
      </c>
      <c r="E1286" s="15" t="s">
        <v>43</v>
      </c>
      <c r="F1286" s="15" t="s">
        <v>40</v>
      </c>
      <c r="G1286" s="15" t="s">
        <v>61</v>
      </c>
      <c r="H1286" s="15" t="s">
        <v>42</v>
      </c>
      <c r="I1286">
        <v>30</v>
      </c>
      <c r="J1286">
        <v>50</v>
      </c>
      <c r="K1286">
        <v>30</v>
      </c>
      <c r="L1286">
        <v>80</v>
      </c>
      <c r="M1286">
        <v>34</v>
      </c>
      <c r="N1286">
        <v>428</v>
      </c>
      <c r="O1286">
        <v>51</v>
      </c>
      <c r="P1286">
        <v>10</v>
      </c>
      <c r="Q1286">
        <v>19</v>
      </c>
      <c r="R1286">
        <v>85</v>
      </c>
      <c r="S1286">
        <v>1.0625</v>
      </c>
      <c r="T1286">
        <v>0.6333333333333333</v>
      </c>
      <c r="U1286">
        <v>1.1333333333333333</v>
      </c>
    </row>
    <row r="1287" spans="1:21" x14ac:dyDescent="0.35">
      <c r="A1287">
        <v>614</v>
      </c>
      <c r="B1287" s="16">
        <v>40391</v>
      </c>
      <c r="C1287" s="15" t="s">
        <v>37</v>
      </c>
      <c r="D1287" s="15" t="s">
        <v>38</v>
      </c>
      <c r="E1287" s="15" t="s">
        <v>44</v>
      </c>
      <c r="F1287" s="15" t="s">
        <v>40</v>
      </c>
      <c r="G1287" s="15" t="s">
        <v>61</v>
      </c>
      <c r="H1287" s="15" t="s">
        <v>45</v>
      </c>
      <c r="I1287">
        <v>30</v>
      </c>
      <c r="J1287">
        <v>60</v>
      </c>
      <c r="K1287">
        <v>10</v>
      </c>
      <c r="L1287">
        <v>90</v>
      </c>
      <c r="M1287">
        <v>37</v>
      </c>
      <c r="N1287">
        <v>513</v>
      </c>
      <c r="O1287">
        <v>52</v>
      </c>
      <c r="P1287">
        <v>33</v>
      </c>
      <c r="Q1287">
        <v>-11</v>
      </c>
      <c r="R1287">
        <v>89</v>
      </c>
      <c r="S1287">
        <v>0.98888888888888893</v>
      </c>
      <c r="T1287">
        <v>-1.1000000000000001</v>
      </c>
      <c r="U1287">
        <v>1.2333333333333334</v>
      </c>
    </row>
    <row r="1288" spans="1:21" x14ac:dyDescent="0.35">
      <c r="A1288">
        <v>715</v>
      </c>
      <c r="B1288" s="16">
        <v>40391</v>
      </c>
      <c r="C1288" s="15" t="s">
        <v>37</v>
      </c>
      <c r="D1288" s="15" t="s">
        <v>58</v>
      </c>
      <c r="E1288" s="15" t="s">
        <v>51</v>
      </c>
      <c r="F1288" s="15" t="s">
        <v>52</v>
      </c>
      <c r="G1288" s="15" t="s">
        <v>62</v>
      </c>
      <c r="H1288" s="15" t="s">
        <v>45</v>
      </c>
      <c r="I1288">
        <v>40</v>
      </c>
      <c r="J1288">
        <v>70</v>
      </c>
      <c r="K1288">
        <v>50</v>
      </c>
      <c r="L1288">
        <v>110</v>
      </c>
      <c r="M1288">
        <v>47</v>
      </c>
      <c r="N1288">
        <v>366</v>
      </c>
      <c r="O1288">
        <v>79</v>
      </c>
      <c r="P1288">
        <v>14</v>
      </c>
      <c r="Q1288">
        <v>41</v>
      </c>
      <c r="R1288">
        <v>126</v>
      </c>
      <c r="S1288">
        <v>1.1454545454545455</v>
      </c>
      <c r="T1288">
        <v>0.82</v>
      </c>
      <c r="U1288">
        <v>1.175</v>
      </c>
    </row>
    <row r="1289" spans="1:21" x14ac:dyDescent="0.35">
      <c r="A1289">
        <v>262</v>
      </c>
      <c r="B1289" s="16">
        <v>40391</v>
      </c>
      <c r="C1289" s="15" t="s">
        <v>37</v>
      </c>
      <c r="D1289" s="15" t="s">
        <v>58</v>
      </c>
      <c r="E1289" s="15" t="s">
        <v>53</v>
      </c>
      <c r="F1289" s="15" t="s">
        <v>52</v>
      </c>
      <c r="G1289" s="15" t="s">
        <v>62</v>
      </c>
      <c r="H1289" s="15" t="s">
        <v>45</v>
      </c>
      <c r="I1289">
        <v>50</v>
      </c>
      <c r="J1289">
        <v>80</v>
      </c>
      <c r="K1289">
        <v>70</v>
      </c>
      <c r="L1289">
        <v>130</v>
      </c>
      <c r="M1289">
        <v>63</v>
      </c>
      <c r="N1289">
        <v>864</v>
      </c>
      <c r="O1289">
        <v>91</v>
      </c>
      <c r="P1289">
        <v>17</v>
      </c>
      <c r="Q1289">
        <v>63</v>
      </c>
      <c r="R1289">
        <v>154</v>
      </c>
      <c r="S1289">
        <v>1.1846153846153846</v>
      </c>
      <c r="T1289">
        <v>0.9</v>
      </c>
      <c r="U1289">
        <v>1.26</v>
      </c>
    </row>
    <row r="1290" spans="1:21" x14ac:dyDescent="0.35">
      <c r="A1290">
        <v>920</v>
      </c>
      <c r="B1290" s="16">
        <v>40391</v>
      </c>
      <c r="C1290" s="15" t="s">
        <v>37</v>
      </c>
      <c r="D1290" s="15" t="s">
        <v>58</v>
      </c>
      <c r="E1290" s="15" t="s">
        <v>55</v>
      </c>
      <c r="F1290" s="15" t="s">
        <v>47</v>
      </c>
      <c r="G1290" s="15" t="s">
        <v>62</v>
      </c>
      <c r="H1290" s="15" t="s">
        <v>42</v>
      </c>
      <c r="I1290">
        <v>30</v>
      </c>
      <c r="J1290">
        <v>40</v>
      </c>
      <c r="K1290">
        <v>10</v>
      </c>
      <c r="L1290">
        <v>70</v>
      </c>
      <c r="M1290">
        <v>36</v>
      </c>
      <c r="N1290">
        <v>458</v>
      </c>
      <c r="O1290">
        <v>54</v>
      </c>
      <c r="P1290">
        <v>11</v>
      </c>
      <c r="Q1290">
        <v>20</v>
      </c>
      <c r="R1290">
        <v>90</v>
      </c>
      <c r="S1290">
        <v>1.2857142857142858</v>
      </c>
      <c r="T1290">
        <v>2</v>
      </c>
      <c r="U1290">
        <v>1.2</v>
      </c>
    </row>
    <row r="1291" spans="1:21" x14ac:dyDescent="0.35">
      <c r="A1291">
        <v>715</v>
      </c>
      <c r="B1291" s="16">
        <v>40391</v>
      </c>
      <c r="C1291" s="15" t="s">
        <v>37</v>
      </c>
      <c r="D1291" s="15" t="s">
        <v>58</v>
      </c>
      <c r="E1291" s="15" t="s">
        <v>56</v>
      </c>
      <c r="F1291" s="15" t="s">
        <v>47</v>
      </c>
      <c r="G1291" s="15" t="s">
        <v>62</v>
      </c>
      <c r="H1291" s="15" t="s">
        <v>42</v>
      </c>
      <c r="I1291">
        <v>30</v>
      </c>
      <c r="J1291">
        <v>60</v>
      </c>
      <c r="K1291">
        <v>10</v>
      </c>
      <c r="L1291">
        <v>90</v>
      </c>
      <c r="M1291">
        <v>44</v>
      </c>
      <c r="N1291">
        <v>617</v>
      </c>
      <c r="O1291">
        <v>61</v>
      </c>
      <c r="P1291">
        <v>39</v>
      </c>
      <c r="Q1291">
        <v>-7</v>
      </c>
      <c r="R1291">
        <v>105</v>
      </c>
      <c r="S1291">
        <v>1.1666666666666667</v>
      </c>
      <c r="T1291">
        <v>-0.7</v>
      </c>
      <c r="U1291">
        <v>1.4666666666666666</v>
      </c>
    </row>
    <row r="1292" spans="1:21" x14ac:dyDescent="0.35">
      <c r="A1292">
        <v>920</v>
      </c>
      <c r="B1292" s="16">
        <v>40391</v>
      </c>
      <c r="C1292" s="15" t="s">
        <v>37</v>
      </c>
      <c r="D1292" s="15" t="s">
        <v>58</v>
      </c>
      <c r="E1292" s="15" t="s">
        <v>48</v>
      </c>
      <c r="F1292" s="15" t="s">
        <v>49</v>
      </c>
      <c r="G1292" s="15" t="s">
        <v>62</v>
      </c>
      <c r="H1292" s="15" t="s">
        <v>42</v>
      </c>
      <c r="I1292">
        <v>110</v>
      </c>
      <c r="J1292">
        <v>150</v>
      </c>
      <c r="K1292">
        <v>100</v>
      </c>
      <c r="L1292">
        <v>260</v>
      </c>
      <c r="M1292">
        <v>103</v>
      </c>
      <c r="N1292">
        <v>1073</v>
      </c>
      <c r="O1292">
        <v>123</v>
      </c>
      <c r="P1292">
        <v>31</v>
      </c>
      <c r="Q1292">
        <v>70</v>
      </c>
      <c r="R1292">
        <v>226</v>
      </c>
      <c r="S1292">
        <v>0.86923076923076925</v>
      </c>
      <c r="T1292">
        <v>0.7</v>
      </c>
      <c r="U1292">
        <v>0.9363636363636364</v>
      </c>
    </row>
    <row r="1293" spans="1:21" x14ac:dyDescent="0.35">
      <c r="A1293">
        <v>262</v>
      </c>
      <c r="B1293" s="16">
        <v>40391</v>
      </c>
      <c r="C1293" s="15" t="s">
        <v>37</v>
      </c>
      <c r="D1293" s="15" t="s">
        <v>58</v>
      </c>
      <c r="E1293" s="15" t="s">
        <v>50</v>
      </c>
      <c r="F1293" s="15" t="s">
        <v>49</v>
      </c>
      <c r="G1293" s="15" t="s">
        <v>62</v>
      </c>
      <c r="H1293" s="15" t="s">
        <v>45</v>
      </c>
      <c r="I1293">
        <v>30</v>
      </c>
      <c r="J1293">
        <v>50</v>
      </c>
      <c r="K1293">
        <v>30</v>
      </c>
      <c r="L1293">
        <v>80</v>
      </c>
      <c r="M1293">
        <v>30</v>
      </c>
      <c r="N1293">
        <v>581</v>
      </c>
      <c r="O1293">
        <v>39</v>
      </c>
      <c r="P1293">
        <v>9</v>
      </c>
      <c r="Q1293">
        <v>18</v>
      </c>
      <c r="R1293">
        <v>69</v>
      </c>
      <c r="S1293">
        <v>0.86250000000000004</v>
      </c>
      <c r="T1293">
        <v>0.6</v>
      </c>
      <c r="U1293">
        <v>1</v>
      </c>
    </row>
    <row r="1294" spans="1:21" x14ac:dyDescent="0.35">
      <c r="A1294">
        <v>715</v>
      </c>
      <c r="B1294" s="16">
        <v>40391</v>
      </c>
      <c r="C1294" s="15" t="s">
        <v>37</v>
      </c>
      <c r="D1294" s="15" t="s">
        <v>58</v>
      </c>
      <c r="E1294" s="15" t="s">
        <v>39</v>
      </c>
      <c r="F1294" s="15" t="s">
        <v>40</v>
      </c>
      <c r="G1294" s="15" t="s">
        <v>62</v>
      </c>
      <c r="H1294" s="15" t="s">
        <v>42</v>
      </c>
      <c r="I1294">
        <v>60</v>
      </c>
      <c r="J1294">
        <v>80</v>
      </c>
      <c r="K1294">
        <v>30</v>
      </c>
      <c r="L1294">
        <v>140</v>
      </c>
      <c r="M1294">
        <v>63</v>
      </c>
      <c r="N1294">
        <v>397</v>
      </c>
      <c r="O1294">
        <v>77</v>
      </c>
      <c r="P1294">
        <v>23</v>
      </c>
      <c r="Q1294">
        <v>21</v>
      </c>
      <c r="R1294">
        <v>140</v>
      </c>
      <c r="S1294">
        <v>1</v>
      </c>
      <c r="T1294">
        <v>0.7</v>
      </c>
      <c r="U1294">
        <v>1.05</v>
      </c>
    </row>
    <row r="1295" spans="1:21" x14ac:dyDescent="0.35">
      <c r="A1295">
        <v>608</v>
      </c>
      <c r="B1295" s="16">
        <v>40391</v>
      </c>
      <c r="C1295" s="15" t="s">
        <v>37</v>
      </c>
      <c r="D1295" s="15" t="s">
        <v>58</v>
      </c>
      <c r="E1295" s="15" t="s">
        <v>43</v>
      </c>
      <c r="F1295" s="15" t="s">
        <v>40</v>
      </c>
      <c r="G1295" s="15" t="s">
        <v>62</v>
      </c>
      <c r="H1295" s="15" t="s">
        <v>42</v>
      </c>
      <c r="I1295">
        <v>140</v>
      </c>
      <c r="J1295">
        <v>190</v>
      </c>
      <c r="K1295">
        <v>60</v>
      </c>
      <c r="L1295">
        <v>330</v>
      </c>
      <c r="M1295">
        <v>133</v>
      </c>
      <c r="N1295">
        <v>705</v>
      </c>
      <c r="O1295">
        <v>184</v>
      </c>
      <c r="P1295">
        <v>120</v>
      </c>
      <c r="Q1295">
        <v>35</v>
      </c>
      <c r="R1295">
        <v>317</v>
      </c>
      <c r="S1295">
        <v>0.96060606060606057</v>
      </c>
      <c r="T1295">
        <v>0.58333333333333337</v>
      </c>
      <c r="U1295">
        <v>0.95</v>
      </c>
    </row>
    <row r="1296" spans="1:21" x14ac:dyDescent="0.35">
      <c r="A1296">
        <v>414</v>
      </c>
      <c r="B1296" s="16">
        <v>40391</v>
      </c>
      <c r="C1296" s="15" t="s">
        <v>37</v>
      </c>
      <c r="D1296" s="15" t="s">
        <v>58</v>
      </c>
      <c r="E1296" s="15" t="s">
        <v>44</v>
      </c>
      <c r="F1296" s="15" t="s">
        <v>40</v>
      </c>
      <c r="G1296" s="15" t="s">
        <v>62</v>
      </c>
      <c r="H1296" s="15" t="s">
        <v>45</v>
      </c>
      <c r="I1296">
        <v>100</v>
      </c>
      <c r="J1296">
        <v>140</v>
      </c>
      <c r="K1296">
        <v>90</v>
      </c>
      <c r="L1296">
        <v>240</v>
      </c>
      <c r="M1296">
        <v>99</v>
      </c>
      <c r="N1296">
        <v>565</v>
      </c>
      <c r="O1296">
        <v>132</v>
      </c>
      <c r="P1296">
        <v>32</v>
      </c>
      <c r="Q1296">
        <v>73</v>
      </c>
      <c r="R1296">
        <v>231</v>
      </c>
      <c r="S1296">
        <v>0.96250000000000002</v>
      </c>
      <c r="T1296">
        <v>0.81111111111111112</v>
      </c>
      <c r="U1296">
        <v>0.99</v>
      </c>
    </row>
    <row r="1297" spans="1:21" x14ac:dyDescent="0.35">
      <c r="A1297">
        <v>203</v>
      </c>
      <c r="B1297" s="16">
        <v>40391</v>
      </c>
      <c r="C1297" s="15" t="s">
        <v>63</v>
      </c>
      <c r="D1297" s="15" t="s">
        <v>58</v>
      </c>
      <c r="E1297" s="15" t="s">
        <v>55</v>
      </c>
      <c r="F1297" s="15" t="s">
        <v>47</v>
      </c>
      <c r="G1297" s="15" t="s">
        <v>64</v>
      </c>
      <c r="H1297" s="15" t="s">
        <v>42</v>
      </c>
      <c r="I1297">
        <v>30</v>
      </c>
      <c r="J1297">
        <v>50</v>
      </c>
      <c r="K1297">
        <v>40</v>
      </c>
      <c r="L1297">
        <v>80</v>
      </c>
      <c r="M1297">
        <v>34</v>
      </c>
      <c r="N1297">
        <v>890</v>
      </c>
      <c r="O1297">
        <v>49</v>
      </c>
      <c r="P1297">
        <v>9</v>
      </c>
      <c r="Q1297">
        <v>28</v>
      </c>
      <c r="R1297">
        <v>83</v>
      </c>
      <c r="S1297">
        <v>1.0375000000000001</v>
      </c>
      <c r="T1297">
        <v>0.7</v>
      </c>
      <c r="U1297">
        <v>1.1333333333333333</v>
      </c>
    </row>
    <row r="1298" spans="1:21" x14ac:dyDescent="0.35">
      <c r="A1298">
        <v>959</v>
      </c>
      <c r="B1298" s="16">
        <v>40391</v>
      </c>
      <c r="C1298" s="15" t="s">
        <v>63</v>
      </c>
      <c r="D1298" s="15" t="s">
        <v>58</v>
      </c>
      <c r="E1298" s="15" t="s">
        <v>46</v>
      </c>
      <c r="F1298" s="15" t="s">
        <v>47</v>
      </c>
      <c r="G1298" s="15" t="s">
        <v>64</v>
      </c>
      <c r="H1298" s="15" t="s">
        <v>42</v>
      </c>
      <c r="I1298">
        <v>20</v>
      </c>
      <c r="J1298">
        <v>30</v>
      </c>
      <c r="K1298">
        <v>20</v>
      </c>
      <c r="L1298">
        <v>50</v>
      </c>
      <c r="M1298">
        <v>19</v>
      </c>
      <c r="N1298">
        <v>811</v>
      </c>
      <c r="O1298">
        <v>28</v>
      </c>
      <c r="P1298">
        <v>5</v>
      </c>
      <c r="Q1298">
        <v>12</v>
      </c>
      <c r="R1298">
        <v>47</v>
      </c>
      <c r="S1298">
        <v>0.94</v>
      </c>
      <c r="T1298">
        <v>0.6</v>
      </c>
      <c r="U1298">
        <v>0.95</v>
      </c>
    </row>
    <row r="1299" spans="1:21" x14ac:dyDescent="0.35">
      <c r="A1299">
        <v>860</v>
      </c>
      <c r="B1299" s="16">
        <v>40391</v>
      </c>
      <c r="C1299" s="15" t="s">
        <v>63</v>
      </c>
      <c r="D1299" s="15" t="s">
        <v>58</v>
      </c>
      <c r="E1299" s="15" t="s">
        <v>53</v>
      </c>
      <c r="F1299" s="15" t="s">
        <v>52</v>
      </c>
      <c r="G1299" s="15" t="s">
        <v>64</v>
      </c>
      <c r="H1299" s="15" t="s">
        <v>45</v>
      </c>
      <c r="I1299">
        <v>50</v>
      </c>
      <c r="J1299">
        <v>70</v>
      </c>
      <c r="K1299">
        <v>30</v>
      </c>
      <c r="L1299">
        <v>120</v>
      </c>
      <c r="M1299">
        <v>72</v>
      </c>
      <c r="N1299">
        <v>606</v>
      </c>
      <c r="O1299">
        <v>88</v>
      </c>
      <c r="P1299">
        <v>27</v>
      </c>
      <c r="Q1299">
        <v>28</v>
      </c>
      <c r="R1299">
        <v>160</v>
      </c>
      <c r="S1299">
        <v>1.3333333333333333</v>
      </c>
      <c r="T1299">
        <v>0.93333333333333335</v>
      </c>
      <c r="U1299">
        <v>1.44</v>
      </c>
    </row>
    <row r="1300" spans="1:21" x14ac:dyDescent="0.35">
      <c r="A1300">
        <v>959</v>
      </c>
      <c r="B1300" s="16">
        <v>40391</v>
      </c>
      <c r="C1300" s="15" t="s">
        <v>63</v>
      </c>
      <c r="D1300" s="15" t="s">
        <v>58</v>
      </c>
      <c r="E1300" s="15" t="s">
        <v>54</v>
      </c>
      <c r="F1300" s="15" t="s">
        <v>52</v>
      </c>
      <c r="G1300" s="15" t="s">
        <v>64</v>
      </c>
      <c r="H1300" s="15" t="s">
        <v>45</v>
      </c>
      <c r="I1300">
        <v>30</v>
      </c>
      <c r="J1300">
        <v>50</v>
      </c>
      <c r="K1300">
        <v>30</v>
      </c>
      <c r="L1300">
        <v>80</v>
      </c>
      <c r="M1300">
        <v>50</v>
      </c>
      <c r="N1300">
        <v>1064</v>
      </c>
      <c r="O1300">
        <v>60</v>
      </c>
      <c r="P1300">
        <v>15</v>
      </c>
      <c r="Q1300">
        <v>24</v>
      </c>
      <c r="R1300">
        <v>110</v>
      </c>
      <c r="S1300">
        <v>1.375</v>
      </c>
      <c r="T1300">
        <v>0.8</v>
      </c>
      <c r="U1300">
        <v>1.6666666666666667</v>
      </c>
    </row>
    <row r="1301" spans="1:21" x14ac:dyDescent="0.35">
      <c r="A1301">
        <v>860</v>
      </c>
      <c r="B1301" s="16">
        <v>40391</v>
      </c>
      <c r="C1301" s="15" t="s">
        <v>63</v>
      </c>
      <c r="D1301" s="15" t="s">
        <v>58</v>
      </c>
      <c r="E1301" s="15" t="s">
        <v>48</v>
      </c>
      <c r="F1301" s="15" t="s">
        <v>49</v>
      </c>
      <c r="G1301" s="15" t="s">
        <v>64</v>
      </c>
      <c r="H1301" s="15" t="s">
        <v>42</v>
      </c>
      <c r="I1301">
        <v>40</v>
      </c>
      <c r="J1301">
        <v>60</v>
      </c>
      <c r="K1301">
        <v>10</v>
      </c>
      <c r="L1301">
        <v>100</v>
      </c>
      <c r="M1301">
        <v>44</v>
      </c>
      <c r="N1301">
        <v>617</v>
      </c>
      <c r="O1301">
        <v>61</v>
      </c>
      <c r="P1301">
        <v>39</v>
      </c>
      <c r="Q1301">
        <v>-8</v>
      </c>
      <c r="R1301">
        <v>105</v>
      </c>
      <c r="S1301">
        <v>1.05</v>
      </c>
      <c r="T1301">
        <v>-0.8</v>
      </c>
      <c r="U1301">
        <v>1.1000000000000001</v>
      </c>
    </row>
    <row r="1302" spans="1:21" x14ac:dyDescent="0.35">
      <c r="A1302">
        <v>203</v>
      </c>
      <c r="B1302" s="16">
        <v>40391</v>
      </c>
      <c r="C1302" s="15" t="s">
        <v>63</v>
      </c>
      <c r="D1302" s="15" t="s">
        <v>58</v>
      </c>
      <c r="E1302" s="15" t="s">
        <v>50</v>
      </c>
      <c r="F1302" s="15" t="s">
        <v>49</v>
      </c>
      <c r="G1302" s="15" t="s">
        <v>64</v>
      </c>
      <c r="H1302" s="15" t="s">
        <v>45</v>
      </c>
      <c r="I1302">
        <v>40</v>
      </c>
      <c r="J1302">
        <v>50</v>
      </c>
      <c r="K1302">
        <v>20</v>
      </c>
      <c r="L1302">
        <v>90</v>
      </c>
      <c r="M1302">
        <v>42</v>
      </c>
      <c r="N1302">
        <v>384</v>
      </c>
      <c r="O1302">
        <v>56</v>
      </c>
      <c r="P1302">
        <v>13</v>
      </c>
      <c r="Q1302">
        <v>16</v>
      </c>
      <c r="R1302">
        <v>98</v>
      </c>
      <c r="S1302">
        <v>1.0888888888888888</v>
      </c>
      <c r="T1302">
        <v>0.8</v>
      </c>
      <c r="U1302">
        <v>1.05</v>
      </c>
    </row>
    <row r="1303" spans="1:21" x14ac:dyDescent="0.35">
      <c r="A1303">
        <v>475</v>
      </c>
      <c r="B1303" s="16">
        <v>40391</v>
      </c>
      <c r="C1303" s="15" t="s">
        <v>63</v>
      </c>
      <c r="D1303" s="15" t="s">
        <v>58</v>
      </c>
      <c r="E1303" s="15" t="s">
        <v>43</v>
      </c>
      <c r="F1303" s="15" t="s">
        <v>40</v>
      </c>
      <c r="G1303" s="15" t="s">
        <v>64</v>
      </c>
      <c r="H1303" s="15" t="s">
        <v>42</v>
      </c>
      <c r="I1303">
        <v>80</v>
      </c>
      <c r="J1303">
        <v>130</v>
      </c>
      <c r="K1303">
        <v>90</v>
      </c>
      <c r="L1303">
        <v>210</v>
      </c>
      <c r="M1303">
        <v>90</v>
      </c>
      <c r="N1303">
        <v>1139</v>
      </c>
      <c r="O1303">
        <v>135</v>
      </c>
      <c r="P1303">
        <v>29</v>
      </c>
      <c r="Q1303">
        <v>75</v>
      </c>
      <c r="R1303">
        <v>225</v>
      </c>
      <c r="S1303">
        <v>1.0714285714285714</v>
      </c>
      <c r="T1303">
        <v>0.83333333333333337</v>
      </c>
      <c r="U1303">
        <v>1.125</v>
      </c>
    </row>
    <row r="1304" spans="1:21" x14ac:dyDescent="0.35">
      <c r="A1304">
        <v>941</v>
      </c>
      <c r="B1304" s="16">
        <v>40391</v>
      </c>
      <c r="C1304" s="15" t="s">
        <v>63</v>
      </c>
      <c r="D1304" s="15" t="s">
        <v>38</v>
      </c>
      <c r="E1304" s="15" t="s">
        <v>55</v>
      </c>
      <c r="F1304" s="15" t="s">
        <v>47</v>
      </c>
      <c r="G1304" s="15" t="s">
        <v>65</v>
      </c>
      <c r="H1304" s="15" t="s">
        <v>42</v>
      </c>
      <c r="I1304">
        <v>40</v>
      </c>
      <c r="J1304">
        <v>80</v>
      </c>
      <c r="K1304">
        <v>60</v>
      </c>
      <c r="L1304">
        <v>120</v>
      </c>
      <c r="M1304">
        <v>46</v>
      </c>
      <c r="N1304">
        <v>880</v>
      </c>
      <c r="O1304">
        <v>68</v>
      </c>
      <c r="P1304">
        <v>12</v>
      </c>
      <c r="Q1304">
        <v>44</v>
      </c>
      <c r="R1304">
        <v>114</v>
      </c>
      <c r="S1304">
        <v>0.95</v>
      </c>
      <c r="T1304">
        <v>0.73333333333333328</v>
      </c>
      <c r="U1304">
        <v>1.1499999999999999</v>
      </c>
    </row>
    <row r="1305" spans="1:21" x14ac:dyDescent="0.35">
      <c r="A1305">
        <v>904</v>
      </c>
      <c r="B1305" s="16">
        <v>40391</v>
      </c>
      <c r="C1305" s="15" t="s">
        <v>63</v>
      </c>
      <c r="D1305" s="15" t="s">
        <v>38</v>
      </c>
      <c r="E1305" s="15" t="s">
        <v>46</v>
      </c>
      <c r="F1305" s="15" t="s">
        <v>47</v>
      </c>
      <c r="G1305" s="15" t="s">
        <v>65</v>
      </c>
      <c r="H1305" s="15" t="s">
        <v>42</v>
      </c>
      <c r="I1305">
        <v>60</v>
      </c>
      <c r="J1305">
        <v>100</v>
      </c>
      <c r="K1305">
        <v>80</v>
      </c>
      <c r="L1305">
        <v>160</v>
      </c>
      <c r="M1305">
        <v>63</v>
      </c>
      <c r="N1305">
        <v>864</v>
      </c>
      <c r="O1305">
        <v>91</v>
      </c>
      <c r="P1305">
        <v>17</v>
      </c>
      <c r="Q1305">
        <v>63</v>
      </c>
      <c r="R1305">
        <v>154</v>
      </c>
      <c r="S1305">
        <v>0.96250000000000002</v>
      </c>
      <c r="T1305">
        <v>0.78749999999999998</v>
      </c>
      <c r="U1305">
        <v>1.05</v>
      </c>
    </row>
    <row r="1306" spans="1:21" x14ac:dyDescent="0.35">
      <c r="A1306">
        <v>813</v>
      </c>
      <c r="B1306" s="16">
        <v>40391</v>
      </c>
      <c r="C1306" s="15" t="s">
        <v>63</v>
      </c>
      <c r="D1306" s="15" t="s">
        <v>38</v>
      </c>
      <c r="E1306" s="15" t="s">
        <v>51</v>
      </c>
      <c r="F1306" s="15" t="s">
        <v>52</v>
      </c>
      <c r="G1306" s="15" t="s">
        <v>65</v>
      </c>
      <c r="H1306" s="15" t="s">
        <v>45</v>
      </c>
      <c r="I1306">
        <v>20</v>
      </c>
      <c r="J1306">
        <v>30</v>
      </c>
      <c r="K1306">
        <v>20</v>
      </c>
      <c r="L1306">
        <v>50</v>
      </c>
      <c r="M1306">
        <v>30</v>
      </c>
      <c r="N1306">
        <v>581</v>
      </c>
      <c r="O1306">
        <v>39</v>
      </c>
      <c r="P1306">
        <v>9</v>
      </c>
      <c r="Q1306">
        <v>18</v>
      </c>
      <c r="R1306">
        <v>69</v>
      </c>
      <c r="S1306">
        <v>1.38</v>
      </c>
      <c r="T1306">
        <v>0.9</v>
      </c>
      <c r="U1306">
        <v>1.5</v>
      </c>
    </row>
    <row r="1307" spans="1:21" x14ac:dyDescent="0.35">
      <c r="A1307">
        <v>305</v>
      </c>
      <c r="B1307" s="16">
        <v>40391</v>
      </c>
      <c r="C1307" s="15" t="s">
        <v>63</v>
      </c>
      <c r="D1307" s="15" t="s">
        <v>38</v>
      </c>
      <c r="E1307" s="15" t="s">
        <v>53</v>
      </c>
      <c r="F1307" s="15" t="s">
        <v>52</v>
      </c>
      <c r="G1307" s="15" t="s">
        <v>65</v>
      </c>
      <c r="H1307" s="15" t="s">
        <v>45</v>
      </c>
      <c r="I1307">
        <v>40</v>
      </c>
      <c r="J1307">
        <v>60</v>
      </c>
      <c r="K1307">
        <v>30</v>
      </c>
      <c r="L1307">
        <v>100</v>
      </c>
      <c r="M1307">
        <v>63</v>
      </c>
      <c r="N1307">
        <v>397</v>
      </c>
      <c r="O1307">
        <v>77</v>
      </c>
      <c r="P1307">
        <v>23</v>
      </c>
      <c r="Q1307">
        <v>20</v>
      </c>
      <c r="R1307">
        <v>140</v>
      </c>
      <c r="S1307">
        <v>1.4</v>
      </c>
      <c r="T1307">
        <v>0.66666666666666663</v>
      </c>
      <c r="U1307">
        <v>1.575</v>
      </c>
    </row>
    <row r="1308" spans="1:21" x14ac:dyDescent="0.35">
      <c r="A1308">
        <v>305</v>
      </c>
      <c r="B1308" s="16">
        <v>40391</v>
      </c>
      <c r="C1308" s="15" t="s">
        <v>63</v>
      </c>
      <c r="D1308" s="15" t="s">
        <v>38</v>
      </c>
      <c r="E1308" s="15" t="s">
        <v>54</v>
      </c>
      <c r="F1308" s="15" t="s">
        <v>52</v>
      </c>
      <c r="G1308" s="15" t="s">
        <v>65</v>
      </c>
      <c r="H1308" s="15" t="s">
        <v>45</v>
      </c>
      <c r="I1308">
        <v>70</v>
      </c>
      <c r="J1308">
        <v>100</v>
      </c>
      <c r="K1308">
        <v>70</v>
      </c>
      <c r="L1308">
        <v>170</v>
      </c>
      <c r="M1308">
        <v>103</v>
      </c>
      <c r="N1308">
        <v>1073</v>
      </c>
      <c r="O1308">
        <v>123</v>
      </c>
      <c r="P1308">
        <v>31</v>
      </c>
      <c r="Q1308">
        <v>70</v>
      </c>
      <c r="R1308">
        <v>226</v>
      </c>
      <c r="S1308">
        <v>1.3294117647058823</v>
      </c>
      <c r="T1308">
        <v>1</v>
      </c>
      <c r="U1308">
        <v>1.4714285714285715</v>
      </c>
    </row>
    <row r="1309" spans="1:21" x14ac:dyDescent="0.35">
      <c r="A1309">
        <v>941</v>
      </c>
      <c r="B1309" s="16">
        <v>40391</v>
      </c>
      <c r="C1309" s="15" t="s">
        <v>63</v>
      </c>
      <c r="D1309" s="15" t="s">
        <v>38</v>
      </c>
      <c r="E1309" s="15" t="s">
        <v>48</v>
      </c>
      <c r="F1309" s="15" t="s">
        <v>49</v>
      </c>
      <c r="G1309" s="15" t="s">
        <v>65</v>
      </c>
      <c r="H1309" s="15" t="s">
        <v>42</v>
      </c>
      <c r="I1309">
        <v>120</v>
      </c>
      <c r="J1309">
        <v>190</v>
      </c>
      <c r="K1309">
        <v>60</v>
      </c>
      <c r="L1309">
        <v>310</v>
      </c>
      <c r="M1309">
        <v>133</v>
      </c>
      <c r="N1309">
        <v>705</v>
      </c>
      <c r="O1309">
        <v>184</v>
      </c>
      <c r="P1309">
        <v>120</v>
      </c>
      <c r="Q1309">
        <v>35</v>
      </c>
      <c r="R1309">
        <v>317</v>
      </c>
      <c r="S1309">
        <v>1.0225806451612902</v>
      </c>
      <c r="T1309">
        <v>0.58333333333333337</v>
      </c>
      <c r="U1309">
        <v>1.1083333333333334</v>
      </c>
    </row>
    <row r="1310" spans="1:21" x14ac:dyDescent="0.35">
      <c r="A1310">
        <v>850</v>
      </c>
      <c r="B1310" s="16">
        <v>40391</v>
      </c>
      <c r="C1310" s="15" t="s">
        <v>63</v>
      </c>
      <c r="D1310" s="15" t="s">
        <v>38</v>
      </c>
      <c r="E1310" s="15" t="s">
        <v>50</v>
      </c>
      <c r="F1310" s="15" t="s">
        <v>49</v>
      </c>
      <c r="G1310" s="15" t="s">
        <v>65</v>
      </c>
      <c r="H1310" s="15" t="s">
        <v>45</v>
      </c>
      <c r="I1310">
        <v>90</v>
      </c>
      <c r="J1310">
        <v>130</v>
      </c>
      <c r="K1310">
        <v>80</v>
      </c>
      <c r="L1310">
        <v>220</v>
      </c>
      <c r="M1310">
        <v>99</v>
      </c>
      <c r="N1310">
        <v>565</v>
      </c>
      <c r="O1310">
        <v>132</v>
      </c>
      <c r="P1310">
        <v>32</v>
      </c>
      <c r="Q1310">
        <v>73</v>
      </c>
      <c r="R1310">
        <v>231</v>
      </c>
      <c r="S1310">
        <v>1.05</v>
      </c>
      <c r="T1310">
        <v>0.91249999999999998</v>
      </c>
      <c r="U1310">
        <v>1.1000000000000001</v>
      </c>
    </row>
    <row r="1311" spans="1:21" x14ac:dyDescent="0.35">
      <c r="A1311">
        <v>850</v>
      </c>
      <c r="B1311" s="16">
        <v>40391</v>
      </c>
      <c r="C1311" s="15" t="s">
        <v>63</v>
      </c>
      <c r="D1311" s="15" t="s">
        <v>38</v>
      </c>
      <c r="E1311" s="15" t="s">
        <v>43</v>
      </c>
      <c r="F1311" s="15" t="s">
        <v>40</v>
      </c>
      <c r="G1311" s="15" t="s">
        <v>65</v>
      </c>
      <c r="H1311" s="15" t="s">
        <v>42</v>
      </c>
      <c r="I1311">
        <v>100</v>
      </c>
      <c r="J1311">
        <v>170</v>
      </c>
      <c r="K1311">
        <v>120</v>
      </c>
      <c r="L1311">
        <v>270</v>
      </c>
      <c r="M1311">
        <v>114</v>
      </c>
      <c r="N1311">
        <v>810</v>
      </c>
      <c r="O1311">
        <v>172</v>
      </c>
      <c r="P1311">
        <v>37</v>
      </c>
      <c r="Q1311">
        <v>104</v>
      </c>
      <c r="R1311">
        <v>286</v>
      </c>
      <c r="S1311">
        <v>1.0592592592592593</v>
      </c>
      <c r="T1311">
        <v>0.8666666666666667</v>
      </c>
      <c r="U1311">
        <v>1.1399999999999999</v>
      </c>
    </row>
    <row r="1312" spans="1:21" x14ac:dyDescent="0.35">
      <c r="A1312">
        <v>321</v>
      </c>
      <c r="B1312" s="16">
        <v>40391</v>
      </c>
      <c r="C1312" s="15" t="s">
        <v>63</v>
      </c>
      <c r="D1312" s="15" t="s">
        <v>38</v>
      </c>
      <c r="E1312" s="15" t="s">
        <v>44</v>
      </c>
      <c r="F1312" s="15" t="s">
        <v>40</v>
      </c>
      <c r="G1312" s="15" t="s">
        <v>65</v>
      </c>
      <c r="H1312" s="15" t="s">
        <v>45</v>
      </c>
      <c r="I1312">
        <v>110</v>
      </c>
      <c r="J1312">
        <v>150</v>
      </c>
      <c r="K1312">
        <v>100</v>
      </c>
      <c r="L1312">
        <v>260</v>
      </c>
      <c r="M1312">
        <v>116</v>
      </c>
      <c r="N1312">
        <v>678</v>
      </c>
      <c r="O1312">
        <v>161</v>
      </c>
      <c r="P1312">
        <v>35</v>
      </c>
      <c r="Q1312">
        <v>102</v>
      </c>
      <c r="R1312">
        <v>277</v>
      </c>
      <c r="S1312">
        <v>1.0653846153846154</v>
      </c>
      <c r="T1312">
        <v>1.02</v>
      </c>
      <c r="U1312">
        <v>1.0545454545454545</v>
      </c>
    </row>
    <row r="1313" spans="1:21" x14ac:dyDescent="0.35">
      <c r="A1313">
        <v>508</v>
      </c>
      <c r="B1313" s="16">
        <v>40391</v>
      </c>
      <c r="C1313" s="15" t="s">
        <v>63</v>
      </c>
      <c r="D1313" s="15" t="s">
        <v>38</v>
      </c>
      <c r="E1313" s="15" t="s">
        <v>55</v>
      </c>
      <c r="F1313" s="15" t="s">
        <v>47</v>
      </c>
      <c r="G1313" s="15" t="s">
        <v>66</v>
      </c>
      <c r="H1313" s="15" t="s">
        <v>42</v>
      </c>
      <c r="I1313">
        <v>20</v>
      </c>
      <c r="J1313">
        <v>30</v>
      </c>
      <c r="K1313">
        <v>20</v>
      </c>
      <c r="L1313">
        <v>50</v>
      </c>
      <c r="M1313">
        <v>22</v>
      </c>
      <c r="N1313">
        <v>865</v>
      </c>
      <c r="O1313">
        <v>33</v>
      </c>
      <c r="P1313">
        <v>6</v>
      </c>
      <c r="Q1313">
        <v>16</v>
      </c>
      <c r="R1313">
        <v>55</v>
      </c>
      <c r="S1313">
        <v>1.1000000000000001</v>
      </c>
      <c r="T1313">
        <v>0.8</v>
      </c>
      <c r="U1313">
        <v>1.1000000000000001</v>
      </c>
    </row>
    <row r="1314" spans="1:21" x14ac:dyDescent="0.35">
      <c r="A1314">
        <v>508</v>
      </c>
      <c r="B1314" s="16">
        <v>40391</v>
      </c>
      <c r="C1314" s="15" t="s">
        <v>63</v>
      </c>
      <c r="D1314" s="15" t="s">
        <v>38</v>
      </c>
      <c r="E1314" s="15" t="s">
        <v>46</v>
      </c>
      <c r="F1314" s="15" t="s">
        <v>47</v>
      </c>
      <c r="G1314" s="15" t="s">
        <v>66</v>
      </c>
      <c r="H1314" s="15" t="s">
        <v>42</v>
      </c>
      <c r="I1314">
        <v>10</v>
      </c>
      <c r="J1314">
        <v>30</v>
      </c>
      <c r="K1314">
        <v>20</v>
      </c>
      <c r="L1314">
        <v>40</v>
      </c>
      <c r="M1314">
        <v>16</v>
      </c>
      <c r="N1314">
        <v>484</v>
      </c>
      <c r="O1314">
        <v>25</v>
      </c>
      <c r="P1314">
        <v>4</v>
      </c>
      <c r="Q1314">
        <v>9</v>
      </c>
      <c r="R1314">
        <v>41</v>
      </c>
      <c r="S1314">
        <v>1.0249999999999999</v>
      </c>
      <c r="T1314">
        <v>0.45</v>
      </c>
      <c r="U1314">
        <v>1.6</v>
      </c>
    </row>
    <row r="1315" spans="1:21" x14ac:dyDescent="0.35">
      <c r="A1315">
        <v>339</v>
      </c>
      <c r="B1315" s="16">
        <v>40391</v>
      </c>
      <c r="C1315" s="15" t="s">
        <v>63</v>
      </c>
      <c r="D1315" s="15" t="s">
        <v>38</v>
      </c>
      <c r="E1315" s="15" t="s">
        <v>53</v>
      </c>
      <c r="F1315" s="15" t="s">
        <v>52</v>
      </c>
      <c r="G1315" s="15" t="s">
        <v>66</v>
      </c>
      <c r="H1315" s="15" t="s">
        <v>45</v>
      </c>
      <c r="I1315">
        <v>30</v>
      </c>
      <c r="J1315">
        <v>50</v>
      </c>
      <c r="K1315">
        <v>20</v>
      </c>
      <c r="L1315">
        <v>80</v>
      </c>
      <c r="M1315">
        <v>49</v>
      </c>
      <c r="N1315">
        <v>414</v>
      </c>
      <c r="O1315">
        <v>60</v>
      </c>
      <c r="P1315">
        <v>18</v>
      </c>
      <c r="Q1315">
        <v>9</v>
      </c>
      <c r="R1315">
        <v>109</v>
      </c>
      <c r="S1315">
        <v>1.3625</v>
      </c>
      <c r="T1315">
        <v>0.45</v>
      </c>
      <c r="U1315">
        <v>1.6333333333333333</v>
      </c>
    </row>
    <row r="1316" spans="1:21" x14ac:dyDescent="0.35">
      <c r="A1316">
        <v>339</v>
      </c>
      <c r="B1316" s="16">
        <v>40391</v>
      </c>
      <c r="C1316" s="15" t="s">
        <v>63</v>
      </c>
      <c r="D1316" s="15" t="s">
        <v>38</v>
      </c>
      <c r="E1316" s="15" t="s">
        <v>48</v>
      </c>
      <c r="F1316" s="15" t="s">
        <v>49</v>
      </c>
      <c r="G1316" s="15" t="s">
        <v>66</v>
      </c>
      <c r="H1316" s="15" t="s">
        <v>42</v>
      </c>
      <c r="I1316">
        <v>30</v>
      </c>
      <c r="J1316">
        <v>70</v>
      </c>
      <c r="K1316">
        <v>20</v>
      </c>
      <c r="L1316">
        <v>100</v>
      </c>
      <c r="M1316">
        <v>37</v>
      </c>
      <c r="N1316">
        <v>540</v>
      </c>
      <c r="O1316">
        <v>68</v>
      </c>
      <c r="P1316">
        <v>33</v>
      </c>
      <c r="Q1316">
        <v>6</v>
      </c>
      <c r="R1316">
        <v>105</v>
      </c>
      <c r="S1316">
        <v>1.05</v>
      </c>
      <c r="T1316">
        <v>0.3</v>
      </c>
      <c r="U1316">
        <v>1.2333333333333334</v>
      </c>
    </row>
    <row r="1317" spans="1:21" x14ac:dyDescent="0.35">
      <c r="A1317">
        <v>413</v>
      </c>
      <c r="B1317" s="16">
        <v>40391</v>
      </c>
      <c r="C1317" s="15" t="s">
        <v>63</v>
      </c>
      <c r="D1317" s="15" t="s">
        <v>38</v>
      </c>
      <c r="E1317" s="15" t="s">
        <v>67</v>
      </c>
      <c r="F1317" s="15" t="s">
        <v>49</v>
      </c>
      <c r="G1317" s="15" t="s">
        <v>66</v>
      </c>
      <c r="H1317" s="15" t="s">
        <v>42</v>
      </c>
      <c r="I1317">
        <v>130</v>
      </c>
      <c r="J1317">
        <v>150</v>
      </c>
      <c r="K1317">
        <v>100</v>
      </c>
      <c r="L1317">
        <v>280</v>
      </c>
      <c r="M1317">
        <v>145</v>
      </c>
      <c r="N1317">
        <v>1292</v>
      </c>
      <c r="O1317">
        <v>146</v>
      </c>
      <c r="P1317">
        <v>40</v>
      </c>
      <c r="Q1317">
        <v>82</v>
      </c>
      <c r="R1317">
        <v>291</v>
      </c>
      <c r="S1317">
        <v>1.0392857142857144</v>
      </c>
      <c r="T1317">
        <v>0.82</v>
      </c>
      <c r="U1317">
        <v>1.1153846153846154</v>
      </c>
    </row>
    <row r="1318" spans="1:21" x14ac:dyDescent="0.35">
      <c r="A1318">
        <v>508</v>
      </c>
      <c r="B1318" s="16">
        <v>40391</v>
      </c>
      <c r="C1318" s="15" t="s">
        <v>63</v>
      </c>
      <c r="D1318" s="15" t="s">
        <v>38</v>
      </c>
      <c r="E1318" s="15" t="s">
        <v>43</v>
      </c>
      <c r="F1318" s="15" t="s">
        <v>40</v>
      </c>
      <c r="G1318" s="15" t="s">
        <v>66</v>
      </c>
      <c r="H1318" s="15" t="s">
        <v>42</v>
      </c>
      <c r="I1318">
        <v>40</v>
      </c>
      <c r="J1318">
        <v>590</v>
      </c>
      <c r="K1318">
        <v>560</v>
      </c>
      <c r="L1318">
        <v>630</v>
      </c>
      <c r="M1318">
        <v>52</v>
      </c>
      <c r="N1318">
        <v>-2033</v>
      </c>
      <c r="O1318">
        <v>612</v>
      </c>
      <c r="P1318">
        <v>17</v>
      </c>
      <c r="Q1318">
        <v>563</v>
      </c>
      <c r="R1318">
        <v>664</v>
      </c>
      <c r="S1318">
        <v>1.053968253968254</v>
      </c>
      <c r="T1318">
        <v>1.0053571428571428</v>
      </c>
      <c r="U1318">
        <v>1.3</v>
      </c>
    </row>
    <row r="1319" spans="1:21" x14ac:dyDescent="0.35">
      <c r="A1319">
        <v>603</v>
      </c>
      <c r="B1319" s="16">
        <v>40391</v>
      </c>
      <c r="C1319" s="15" t="s">
        <v>63</v>
      </c>
      <c r="D1319" s="15" t="s">
        <v>58</v>
      </c>
      <c r="E1319" s="15" t="s">
        <v>55</v>
      </c>
      <c r="F1319" s="15" t="s">
        <v>47</v>
      </c>
      <c r="G1319" s="15" t="s">
        <v>68</v>
      </c>
      <c r="H1319" s="15" t="s">
        <v>42</v>
      </c>
      <c r="I1319">
        <v>20</v>
      </c>
      <c r="J1319">
        <v>40</v>
      </c>
      <c r="K1319">
        <v>30</v>
      </c>
      <c r="L1319">
        <v>60</v>
      </c>
      <c r="M1319">
        <v>25</v>
      </c>
      <c r="N1319">
        <v>851</v>
      </c>
      <c r="O1319">
        <v>38</v>
      </c>
      <c r="P1319">
        <v>7</v>
      </c>
      <c r="Q1319">
        <v>20</v>
      </c>
      <c r="R1319">
        <v>63</v>
      </c>
      <c r="S1319">
        <v>1.05</v>
      </c>
      <c r="T1319">
        <v>0.66666666666666663</v>
      </c>
      <c r="U1319">
        <v>1.25</v>
      </c>
    </row>
    <row r="1320" spans="1:21" x14ac:dyDescent="0.35">
      <c r="A1320">
        <v>603</v>
      </c>
      <c r="B1320" s="16">
        <v>40391</v>
      </c>
      <c r="C1320" s="15" t="s">
        <v>63</v>
      </c>
      <c r="D1320" s="15" t="s">
        <v>58</v>
      </c>
      <c r="E1320" s="15" t="s">
        <v>46</v>
      </c>
      <c r="F1320" s="15" t="s">
        <v>47</v>
      </c>
      <c r="G1320" s="15" t="s">
        <v>68</v>
      </c>
      <c r="H1320" s="15" t="s">
        <v>42</v>
      </c>
      <c r="I1320">
        <v>0</v>
      </c>
      <c r="J1320">
        <v>40</v>
      </c>
      <c r="K1320">
        <v>30</v>
      </c>
      <c r="L1320">
        <v>40</v>
      </c>
      <c r="M1320">
        <v>0</v>
      </c>
      <c r="N1320">
        <v>516</v>
      </c>
      <c r="O1320">
        <v>43</v>
      </c>
      <c r="P1320">
        <v>0</v>
      </c>
      <c r="Q1320">
        <v>31</v>
      </c>
      <c r="R1320">
        <v>43</v>
      </c>
      <c r="S1320">
        <v>1.075</v>
      </c>
      <c r="T1320">
        <v>1.0333333333333334</v>
      </c>
    </row>
    <row r="1321" spans="1:21" x14ac:dyDescent="0.35">
      <c r="A1321">
        <v>603</v>
      </c>
      <c r="B1321" s="16">
        <v>40391</v>
      </c>
      <c r="C1321" s="15" t="s">
        <v>63</v>
      </c>
      <c r="D1321" s="15" t="s">
        <v>58</v>
      </c>
      <c r="E1321" s="15" t="s">
        <v>53</v>
      </c>
      <c r="F1321" s="15" t="s">
        <v>52</v>
      </c>
      <c r="G1321" s="15" t="s">
        <v>68</v>
      </c>
      <c r="H1321" s="15" t="s">
        <v>45</v>
      </c>
      <c r="I1321">
        <v>20</v>
      </c>
      <c r="J1321">
        <v>40</v>
      </c>
      <c r="K1321">
        <v>10</v>
      </c>
      <c r="L1321">
        <v>60</v>
      </c>
      <c r="M1321">
        <v>38</v>
      </c>
      <c r="N1321">
        <v>248</v>
      </c>
      <c r="O1321">
        <v>48</v>
      </c>
      <c r="P1321">
        <v>14</v>
      </c>
      <c r="Q1321">
        <v>1</v>
      </c>
      <c r="R1321">
        <v>86</v>
      </c>
      <c r="S1321">
        <v>1.4333333333333333</v>
      </c>
      <c r="T1321">
        <v>0.1</v>
      </c>
      <c r="U1321">
        <v>1.9</v>
      </c>
    </row>
    <row r="1322" spans="1:21" x14ac:dyDescent="0.35">
      <c r="A1322">
        <v>603</v>
      </c>
      <c r="B1322" s="16">
        <v>40391</v>
      </c>
      <c r="C1322" s="15" t="s">
        <v>63</v>
      </c>
      <c r="D1322" s="15" t="s">
        <v>58</v>
      </c>
      <c r="E1322" s="15" t="s">
        <v>48</v>
      </c>
      <c r="F1322" s="15" t="s">
        <v>49</v>
      </c>
      <c r="G1322" s="15" t="s">
        <v>68</v>
      </c>
      <c r="H1322" s="15" t="s">
        <v>42</v>
      </c>
      <c r="I1322">
        <v>60</v>
      </c>
      <c r="J1322">
        <v>80</v>
      </c>
      <c r="K1322">
        <v>10</v>
      </c>
      <c r="L1322">
        <v>140</v>
      </c>
      <c r="M1322">
        <v>63</v>
      </c>
      <c r="N1322">
        <v>332</v>
      </c>
      <c r="O1322">
        <v>88</v>
      </c>
      <c r="P1322">
        <v>57</v>
      </c>
      <c r="Q1322">
        <v>1</v>
      </c>
      <c r="R1322">
        <v>151</v>
      </c>
      <c r="S1322">
        <v>1.0785714285714285</v>
      </c>
      <c r="T1322">
        <v>0.1</v>
      </c>
      <c r="U1322">
        <v>1.05</v>
      </c>
    </row>
    <row r="1323" spans="1:21" x14ac:dyDescent="0.35">
      <c r="A1323">
        <v>603</v>
      </c>
      <c r="B1323" s="16">
        <v>40391</v>
      </c>
      <c r="C1323" s="15" t="s">
        <v>63</v>
      </c>
      <c r="D1323" s="15" t="s">
        <v>58</v>
      </c>
      <c r="E1323" s="15" t="s">
        <v>67</v>
      </c>
      <c r="F1323" s="15" t="s">
        <v>49</v>
      </c>
      <c r="G1323" s="15" t="s">
        <v>68</v>
      </c>
      <c r="H1323" s="15" t="s">
        <v>42</v>
      </c>
      <c r="I1323">
        <v>20</v>
      </c>
      <c r="J1323">
        <v>40</v>
      </c>
      <c r="K1323">
        <v>0</v>
      </c>
      <c r="L1323">
        <v>60</v>
      </c>
      <c r="M1323">
        <v>29</v>
      </c>
      <c r="N1323">
        <v>215</v>
      </c>
      <c r="O1323">
        <v>36</v>
      </c>
      <c r="P1323">
        <v>11</v>
      </c>
      <c r="Q1323">
        <v>-9</v>
      </c>
      <c r="R1323">
        <v>65</v>
      </c>
      <c r="S1323">
        <v>1.0833333333333333</v>
      </c>
      <c r="U1323">
        <v>1.45</v>
      </c>
    </row>
    <row r="1324" spans="1:21" x14ac:dyDescent="0.35">
      <c r="A1324">
        <v>603</v>
      </c>
      <c r="B1324" s="16">
        <v>40391</v>
      </c>
      <c r="C1324" s="15" t="s">
        <v>63</v>
      </c>
      <c r="D1324" s="15" t="s">
        <v>58</v>
      </c>
      <c r="E1324" s="15" t="s">
        <v>39</v>
      </c>
      <c r="F1324" s="15" t="s">
        <v>40</v>
      </c>
      <c r="G1324" s="15" t="s">
        <v>68</v>
      </c>
      <c r="H1324" s="15" t="s">
        <v>42</v>
      </c>
      <c r="I1324">
        <v>50</v>
      </c>
      <c r="J1324">
        <v>90</v>
      </c>
      <c r="K1324">
        <v>70</v>
      </c>
      <c r="L1324">
        <v>140</v>
      </c>
      <c r="M1324">
        <v>61</v>
      </c>
      <c r="N1324">
        <v>322</v>
      </c>
      <c r="O1324">
        <v>90</v>
      </c>
      <c r="P1324">
        <v>19</v>
      </c>
      <c r="Q1324">
        <v>48</v>
      </c>
      <c r="R1324">
        <v>151</v>
      </c>
      <c r="S1324">
        <v>1.0785714285714285</v>
      </c>
      <c r="T1324">
        <v>0.68571428571428572</v>
      </c>
      <c r="U1324">
        <v>1.22</v>
      </c>
    </row>
    <row r="1325" spans="1:21" x14ac:dyDescent="0.35">
      <c r="A1325">
        <v>603</v>
      </c>
      <c r="B1325" s="16">
        <v>40391</v>
      </c>
      <c r="C1325" s="15" t="s">
        <v>63</v>
      </c>
      <c r="D1325" s="15" t="s">
        <v>58</v>
      </c>
      <c r="E1325" s="15" t="s">
        <v>43</v>
      </c>
      <c r="F1325" s="15" t="s">
        <v>40</v>
      </c>
      <c r="G1325" s="15" t="s">
        <v>68</v>
      </c>
      <c r="H1325" s="15" t="s">
        <v>42</v>
      </c>
      <c r="I1325">
        <v>60</v>
      </c>
      <c r="J1325">
        <v>90</v>
      </c>
      <c r="K1325">
        <v>60</v>
      </c>
      <c r="L1325">
        <v>150</v>
      </c>
      <c r="M1325">
        <v>64</v>
      </c>
      <c r="N1325">
        <v>460</v>
      </c>
      <c r="O1325">
        <v>96</v>
      </c>
      <c r="P1325">
        <v>21</v>
      </c>
      <c r="Q1325">
        <v>44</v>
      </c>
      <c r="R1325">
        <v>160</v>
      </c>
      <c r="S1325">
        <v>1.0666666666666667</v>
      </c>
      <c r="T1325">
        <v>0.73333333333333328</v>
      </c>
      <c r="U1325">
        <v>1.0666666666666667</v>
      </c>
    </row>
    <row r="1326" spans="1:21" x14ac:dyDescent="0.35">
      <c r="A1326">
        <v>631</v>
      </c>
      <c r="B1326" s="16">
        <v>40391</v>
      </c>
      <c r="C1326" s="15" t="s">
        <v>63</v>
      </c>
      <c r="D1326" s="15" t="s">
        <v>38</v>
      </c>
      <c r="E1326" s="15" t="s">
        <v>55</v>
      </c>
      <c r="F1326" s="15" t="s">
        <v>47</v>
      </c>
      <c r="G1326" s="15" t="s">
        <v>69</v>
      </c>
      <c r="H1326" s="15" t="s">
        <v>42</v>
      </c>
      <c r="I1326">
        <v>130</v>
      </c>
      <c r="J1326">
        <v>210</v>
      </c>
      <c r="K1326">
        <v>170</v>
      </c>
      <c r="L1326">
        <v>340</v>
      </c>
      <c r="M1326">
        <v>132</v>
      </c>
      <c r="N1326">
        <v>994</v>
      </c>
      <c r="O1326">
        <v>191</v>
      </c>
      <c r="P1326">
        <v>36</v>
      </c>
      <c r="Q1326">
        <v>144</v>
      </c>
      <c r="R1326">
        <v>323</v>
      </c>
      <c r="S1326">
        <v>0.95</v>
      </c>
      <c r="T1326">
        <v>0.84705882352941175</v>
      </c>
      <c r="U1326">
        <v>1.0153846153846153</v>
      </c>
    </row>
    <row r="1327" spans="1:21" x14ac:dyDescent="0.35">
      <c r="A1327">
        <v>914</v>
      </c>
      <c r="B1327" s="16">
        <v>40391</v>
      </c>
      <c r="C1327" s="15" t="s">
        <v>63</v>
      </c>
      <c r="D1327" s="15" t="s">
        <v>38</v>
      </c>
      <c r="E1327" s="15" t="s">
        <v>56</v>
      </c>
      <c r="F1327" s="15" t="s">
        <v>47</v>
      </c>
      <c r="G1327" s="15" t="s">
        <v>69</v>
      </c>
      <c r="H1327" s="15" t="s">
        <v>42</v>
      </c>
      <c r="I1327">
        <v>130</v>
      </c>
      <c r="J1327">
        <v>190</v>
      </c>
      <c r="K1327">
        <v>150</v>
      </c>
      <c r="L1327">
        <v>320</v>
      </c>
      <c r="M1327">
        <v>123</v>
      </c>
      <c r="N1327">
        <v>941</v>
      </c>
      <c r="O1327">
        <v>178</v>
      </c>
      <c r="P1327">
        <v>34</v>
      </c>
      <c r="Q1327">
        <v>133</v>
      </c>
      <c r="R1327">
        <v>301</v>
      </c>
      <c r="S1327">
        <v>0.94062500000000004</v>
      </c>
      <c r="T1327">
        <v>0.88666666666666671</v>
      </c>
      <c r="U1327">
        <v>0.94615384615384612</v>
      </c>
    </row>
    <row r="1328" spans="1:21" x14ac:dyDescent="0.35">
      <c r="A1328">
        <v>646</v>
      </c>
      <c r="B1328" s="16">
        <v>40391</v>
      </c>
      <c r="C1328" s="15" t="s">
        <v>63</v>
      </c>
      <c r="D1328" s="15" t="s">
        <v>38</v>
      </c>
      <c r="E1328" s="15" t="s">
        <v>46</v>
      </c>
      <c r="F1328" s="15" t="s">
        <v>47</v>
      </c>
      <c r="G1328" s="15" t="s">
        <v>69</v>
      </c>
      <c r="H1328" s="15" t="s">
        <v>42</v>
      </c>
      <c r="I1328">
        <v>100</v>
      </c>
      <c r="J1328">
        <v>160</v>
      </c>
      <c r="K1328">
        <v>130</v>
      </c>
      <c r="L1328">
        <v>260</v>
      </c>
      <c r="M1328">
        <v>100</v>
      </c>
      <c r="N1328">
        <v>598</v>
      </c>
      <c r="O1328">
        <v>145</v>
      </c>
      <c r="P1328">
        <v>28</v>
      </c>
      <c r="Q1328">
        <v>105</v>
      </c>
      <c r="R1328">
        <v>245</v>
      </c>
      <c r="S1328">
        <v>0.94230769230769229</v>
      </c>
      <c r="T1328">
        <v>0.80769230769230771</v>
      </c>
      <c r="U1328">
        <v>1</v>
      </c>
    </row>
    <row r="1329" spans="1:21" x14ac:dyDescent="0.35">
      <c r="A1329">
        <v>646</v>
      </c>
      <c r="B1329" s="16">
        <v>40391</v>
      </c>
      <c r="C1329" s="15" t="s">
        <v>63</v>
      </c>
      <c r="D1329" s="15" t="s">
        <v>38</v>
      </c>
      <c r="E1329" s="15" t="s">
        <v>53</v>
      </c>
      <c r="F1329" s="15" t="s">
        <v>52</v>
      </c>
      <c r="G1329" s="15" t="s">
        <v>69</v>
      </c>
      <c r="H1329" s="15" t="s">
        <v>45</v>
      </c>
      <c r="I1329">
        <v>210</v>
      </c>
      <c r="J1329">
        <v>290</v>
      </c>
      <c r="K1329">
        <v>180</v>
      </c>
      <c r="L1329">
        <v>500</v>
      </c>
      <c r="M1329">
        <v>284</v>
      </c>
      <c r="N1329">
        <v>1565</v>
      </c>
      <c r="O1329">
        <v>369</v>
      </c>
      <c r="P1329">
        <v>107</v>
      </c>
      <c r="Q1329">
        <v>229</v>
      </c>
      <c r="R1329">
        <v>653</v>
      </c>
      <c r="S1329">
        <v>1.306</v>
      </c>
      <c r="T1329">
        <v>1.2722222222222221</v>
      </c>
      <c r="U1329">
        <v>1.3523809523809525</v>
      </c>
    </row>
    <row r="1330" spans="1:21" x14ac:dyDescent="0.35">
      <c r="A1330">
        <v>718</v>
      </c>
      <c r="B1330" s="16">
        <v>40391</v>
      </c>
      <c r="C1330" s="15" t="s">
        <v>63</v>
      </c>
      <c r="D1330" s="15" t="s">
        <v>38</v>
      </c>
      <c r="E1330" s="15" t="s">
        <v>54</v>
      </c>
      <c r="F1330" s="15" t="s">
        <v>52</v>
      </c>
      <c r="G1330" s="15" t="s">
        <v>69</v>
      </c>
      <c r="H1330" s="15" t="s">
        <v>45</v>
      </c>
      <c r="I1330">
        <v>230</v>
      </c>
      <c r="J1330">
        <v>-140</v>
      </c>
      <c r="K1330">
        <v>-230</v>
      </c>
      <c r="L1330">
        <v>90</v>
      </c>
      <c r="M1330">
        <v>311</v>
      </c>
      <c r="N1330">
        <v>3422</v>
      </c>
      <c r="O1330">
        <v>-187</v>
      </c>
      <c r="P1330">
        <v>96</v>
      </c>
      <c r="Q1330">
        <v>-304</v>
      </c>
      <c r="R1330">
        <v>124</v>
      </c>
      <c r="S1330">
        <v>1.3777777777777778</v>
      </c>
      <c r="T1330">
        <v>1.3217391304347825</v>
      </c>
      <c r="U1330">
        <v>1.3521739130434782</v>
      </c>
    </row>
    <row r="1331" spans="1:21" x14ac:dyDescent="0.35">
      <c r="A1331">
        <v>646</v>
      </c>
      <c r="B1331" s="16">
        <v>40391</v>
      </c>
      <c r="C1331" s="15" t="s">
        <v>63</v>
      </c>
      <c r="D1331" s="15" t="s">
        <v>38</v>
      </c>
      <c r="E1331" s="15" t="s">
        <v>67</v>
      </c>
      <c r="F1331" s="15" t="s">
        <v>49</v>
      </c>
      <c r="G1331" s="15" t="s">
        <v>69</v>
      </c>
      <c r="H1331" s="15" t="s">
        <v>42</v>
      </c>
      <c r="I1331">
        <v>250</v>
      </c>
      <c r="J1331">
        <v>280</v>
      </c>
      <c r="K1331">
        <v>190</v>
      </c>
      <c r="L1331">
        <v>530</v>
      </c>
      <c r="M1331">
        <v>266</v>
      </c>
      <c r="N1331">
        <v>1319</v>
      </c>
      <c r="O1331">
        <v>277</v>
      </c>
      <c r="P1331">
        <v>74</v>
      </c>
      <c r="Q1331">
        <v>179</v>
      </c>
      <c r="R1331">
        <v>543</v>
      </c>
      <c r="S1331">
        <v>1.0245283018867926</v>
      </c>
      <c r="T1331">
        <v>0.94210526315789478</v>
      </c>
      <c r="U1331">
        <v>1.0640000000000001</v>
      </c>
    </row>
    <row r="1332" spans="1:21" x14ac:dyDescent="0.35">
      <c r="A1332">
        <v>518</v>
      </c>
      <c r="B1332" s="16">
        <v>40391</v>
      </c>
      <c r="C1332" s="15" t="s">
        <v>63</v>
      </c>
      <c r="D1332" s="15" t="s">
        <v>38</v>
      </c>
      <c r="E1332" s="15" t="s">
        <v>48</v>
      </c>
      <c r="F1332" s="15" t="s">
        <v>49</v>
      </c>
      <c r="G1332" s="15" t="s">
        <v>69</v>
      </c>
      <c r="H1332" s="15" t="s">
        <v>42</v>
      </c>
      <c r="I1332">
        <v>160</v>
      </c>
      <c r="J1332">
        <v>-90</v>
      </c>
      <c r="K1332">
        <v>-260</v>
      </c>
      <c r="L1332">
        <v>70</v>
      </c>
      <c r="M1332">
        <v>173</v>
      </c>
      <c r="N1332">
        <v>2615</v>
      </c>
      <c r="O1332">
        <v>-95</v>
      </c>
      <c r="P1332">
        <v>156</v>
      </c>
      <c r="Q1332">
        <v>-284</v>
      </c>
      <c r="R1332">
        <v>78</v>
      </c>
      <c r="S1332">
        <v>1.1142857142857143</v>
      </c>
      <c r="T1332">
        <v>1.0923076923076922</v>
      </c>
      <c r="U1332">
        <v>1.08125</v>
      </c>
    </row>
    <row r="1333" spans="1:21" x14ac:dyDescent="0.35">
      <c r="A1333">
        <v>845</v>
      </c>
      <c r="B1333" s="16">
        <v>40391</v>
      </c>
      <c r="C1333" s="15" t="s">
        <v>63</v>
      </c>
      <c r="D1333" s="15" t="s">
        <v>38</v>
      </c>
      <c r="E1333" s="15" t="s">
        <v>43</v>
      </c>
      <c r="F1333" s="15" t="s">
        <v>40</v>
      </c>
      <c r="G1333" s="15" t="s">
        <v>69</v>
      </c>
      <c r="H1333" s="15" t="s">
        <v>42</v>
      </c>
      <c r="I1333">
        <v>340</v>
      </c>
      <c r="J1333">
        <v>520</v>
      </c>
      <c r="K1333">
        <v>370</v>
      </c>
      <c r="L1333">
        <v>860</v>
      </c>
      <c r="M1333">
        <v>364</v>
      </c>
      <c r="N1333">
        <v>2617</v>
      </c>
      <c r="O1333">
        <v>546</v>
      </c>
      <c r="P1333">
        <v>127</v>
      </c>
      <c r="Q1333">
        <v>368</v>
      </c>
      <c r="R1333">
        <v>910</v>
      </c>
      <c r="S1333">
        <v>1.058139534883721</v>
      </c>
      <c r="T1333">
        <v>0.99459459459459465</v>
      </c>
      <c r="U1333">
        <v>1.0705882352941176</v>
      </c>
    </row>
    <row r="1334" spans="1:21" x14ac:dyDescent="0.35">
      <c r="A1334">
        <v>504</v>
      </c>
      <c r="B1334" s="16">
        <v>40391</v>
      </c>
      <c r="C1334" s="15" t="s">
        <v>70</v>
      </c>
      <c r="D1334" s="15" t="s">
        <v>58</v>
      </c>
      <c r="E1334" s="15" t="s">
        <v>44</v>
      </c>
      <c r="F1334" s="15" t="s">
        <v>40</v>
      </c>
      <c r="G1334" s="15" t="s">
        <v>71</v>
      </c>
      <c r="H1334" s="15" t="s">
        <v>45</v>
      </c>
      <c r="I1334">
        <v>70</v>
      </c>
      <c r="J1334">
        <v>120</v>
      </c>
      <c r="K1334">
        <v>100</v>
      </c>
      <c r="L1334">
        <v>190</v>
      </c>
      <c r="M1334">
        <v>63</v>
      </c>
      <c r="N1334">
        <v>864</v>
      </c>
      <c r="O1334">
        <v>91</v>
      </c>
      <c r="P1334">
        <v>17</v>
      </c>
      <c r="Q1334">
        <v>63</v>
      </c>
      <c r="R1334">
        <v>154</v>
      </c>
      <c r="S1334">
        <v>0.81052631578947365</v>
      </c>
      <c r="T1334">
        <v>0.63</v>
      </c>
      <c r="U1334">
        <v>0.9</v>
      </c>
    </row>
    <row r="1335" spans="1:21" x14ac:dyDescent="0.35">
      <c r="A1335">
        <v>504</v>
      </c>
      <c r="B1335" s="16">
        <v>40391</v>
      </c>
      <c r="C1335" s="15" t="s">
        <v>70</v>
      </c>
      <c r="D1335" s="15" t="s">
        <v>58</v>
      </c>
      <c r="E1335" s="15" t="s">
        <v>43</v>
      </c>
      <c r="F1335" s="15" t="s">
        <v>40</v>
      </c>
      <c r="G1335" s="15" t="s">
        <v>71</v>
      </c>
      <c r="H1335" s="15" t="s">
        <v>42</v>
      </c>
      <c r="I1335">
        <v>60</v>
      </c>
      <c r="J1335">
        <v>80</v>
      </c>
      <c r="K1335">
        <v>60</v>
      </c>
      <c r="L1335">
        <v>140</v>
      </c>
      <c r="M1335">
        <v>48</v>
      </c>
      <c r="N1335">
        <v>839</v>
      </c>
      <c r="O1335">
        <v>70</v>
      </c>
      <c r="P1335">
        <v>13</v>
      </c>
      <c r="Q1335">
        <v>46</v>
      </c>
      <c r="R1335">
        <v>118</v>
      </c>
      <c r="S1335">
        <v>0.84285714285714286</v>
      </c>
      <c r="T1335">
        <v>0.76666666666666672</v>
      </c>
      <c r="U1335">
        <v>0.8</v>
      </c>
    </row>
    <row r="1336" spans="1:21" x14ac:dyDescent="0.35">
      <c r="A1336">
        <v>504</v>
      </c>
      <c r="B1336" s="16">
        <v>40391</v>
      </c>
      <c r="C1336" s="15" t="s">
        <v>70</v>
      </c>
      <c r="D1336" s="15" t="s">
        <v>58</v>
      </c>
      <c r="E1336" s="15" t="s">
        <v>51</v>
      </c>
      <c r="F1336" s="15" t="s">
        <v>52</v>
      </c>
      <c r="G1336" s="15" t="s">
        <v>71</v>
      </c>
      <c r="H1336" s="15" t="s">
        <v>45</v>
      </c>
      <c r="I1336">
        <v>70</v>
      </c>
      <c r="J1336">
        <v>100</v>
      </c>
      <c r="K1336">
        <v>70</v>
      </c>
      <c r="L1336">
        <v>170</v>
      </c>
      <c r="M1336">
        <v>77</v>
      </c>
      <c r="N1336">
        <v>581</v>
      </c>
      <c r="O1336">
        <v>99</v>
      </c>
      <c r="P1336">
        <v>25</v>
      </c>
      <c r="Q1336">
        <v>61</v>
      </c>
      <c r="R1336">
        <v>176</v>
      </c>
      <c r="S1336">
        <v>1.0352941176470589</v>
      </c>
      <c r="T1336">
        <v>0.87142857142857144</v>
      </c>
      <c r="U1336">
        <v>1.1000000000000001</v>
      </c>
    </row>
    <row r="1337" spans="1:21" x14ac:dyDescent="0.35">
      <c r="A1337">
        <v>985</v>
      </c>
      <c r="B1337" s="16">
        <v>40391</v>
      </c>
      <c r="C1337" s="15" t="s">
        <v>70</v>
      </c>
      <c r="D1337" s="15" t="s">
        <v>58</v>
      </c>
      <c r="E1337" s="15" t="s">
        <v>53</v>
      </c>
      <c r="F1337" s="15" t="s">
        <v>52</v>
      </c>
      <c r="G1337" s="15" t="s">
        <v>71</v>
      </c>
      <c r="H1337" s="15" t="s">
        <v>45</v>
      </c>
      <c r="I1337">
        <v>60</v>
      </c>
      <c r="J1337">
        <v>90</v>
      </c>
      <c r="K1337">
        <v>40</v>
      </c>
      <c r="L1337">
        <v>150</v>
      </c>
      <c r="M1337">
        <v>72</v>
      </c>
      <c r="N1337">
        <v>606</v>
      </c>
      <c r="O1337">
        <v>88</v>
      </c>
      <c r="P1337">
        <v>27</v>
      </c>
      <c r="Q1337">
        <v>28</v>
      </c>
      <c r="R1337">
        <v>160</v>
      </c>
      <c r="S1337">
        <v>1.0666666666666667</v>
      </c>
      <c r="T1337">
        <v>0.7</v>
      </c>
      <c r="U1337">
        <v>1.2</v>
      </c>
    </row>
    <row r="1338" spans="1:21" x14ac:dyDescent="0.35">
      <c r="A1338">
        <v>985</v>
      </c>
      <c r="B1338" s="16">
        <v>40391</v>
      </c>
      <c r="C1338" s="15" t="s">
        <v>70</v>
      </c>
      <c r="D1338" s="15" t="s">
        <v>58</v>
      </c>
      <c r="E1338" s="15" t="s">
        <v>72</v>
      </c>
      <c r="F1338" s="15" t="s">
        <v>49</v>
      </c>
      <c r="G1338" s="15" t="s">
        <v>71</v>
      </c>
      <c r="H1338" s="15" t="s">
        <v>42</v>
      </c>
      <c r="I1338">
        <v>30</v>
      </c>
      <c r="J1338">
        <v>60</v>
      </c>
      <c r="K1338">
        <v>10</v>
      </c>
      <c r="L1338">
        <v>90</v>
      </c>
      <c r="M1338">
        <v>44</v>
      </c>
      <c r="N1338">
        <v>-508</v>
      </c>
      <c r="O1338">
        <v>61</v>
      </c>
      <c r="P1338">
        <v>39</v>
      </c>
      <c r="Q1338">
        <v>-7</v>
      </c>
      <c r="R1338">
        <v>105</v>
      </c>
      <c r="S1338">
        <v>1.1666666666666667</v>
      </c>
      <c r="T1338">
        <v>-0.7</v>
      </c>
      <c r="U1338">
        <v>1.4666666666666666</v>
      </c>
    </row>
    <row r="1339" spans="1:21" x14ac:dyDescent="0.35">
      <c r="A1339">
        <v>337</v>
      </c>
      <c r="B1339" s="16">
        <v>40391</v>
      </c>
      <c r="C1339" s="15" t="s">
        <v>70</v>
      </c>
      <c r="D1339" s="15" t="s">
        <v>58</v>
      </c>
      <c r="E1339" s="15" t="s">
        <v>48</v>
      </c>
      <c r="F1339" s="15" t="s">
        <v>49</v>
      </c>
      <c r="G1339" s="15" t="s">
        <v>71</v>
      </c>
      <c r="H1339" s="15" t="s">
        <v>42</v>
      </c>
      <c r="I1339">
        <v>40</v>
      </c>
      <c r="J1339">
        <v>60</v>
      </c>
      <c r="K1339">
        <v>40</v>
      </c>
      <c r="L1339">
        <v>100</v>
      </c>
      <c r="M1339">
        <v>47</v>
      </c>
      <c r="N1339">
        <v>366</v>
      </c>
      <c r="O1339">
        <v>79</v>
      </c>
      <c r="P1339">
        <v>14</v>
      </c>
      <c r="Q1339">
        <v>41</v>
      </c>
      <c r="R1339">
        <v>126</v>
      </c>
      <c r="S1339">
        <v>1.26</v>
      </c>
      <c r="T1339">
        <v>1.0249999999999999</v>
      </c>
      <c r="U1339">
        <v>1.175</v>
      </c>
    </row>
    <row r="1340" spans="1:21" x14ac:dyDescent="0.35">
      <c r="A1340">
        <v>504</v>
      </c>
      <c r="B1340" s="16">
        <v>40391</v>
      </c>
      <c r="C1340" s="15" t="s">
        <v>70</v>
      </c>
      <c r="D1340" s="15" t="s">
        <v>58</v>
      </c>
      <c r="E1340" s="15" t="s">
        <v>50</v>
      </c>
      <c r="F1340" s="15" t="s">
        <v>49</v>
      </c>
      <c r="G1340" s="15" t="s">
        <v>71</v>
      </c>
      <c r="H1340" s="15" t="s">
        <v>45</v>
      </c>
      <c r="I1340">
        <v>30</v>
      </c>
      <c r="J1340">
        <v>40</v>
      </c>
      <c r="K1340">
        <v>20</v>
      </c>
      <c r="L1340">
        <v>70</v>
      </c>
      <c r="M1340">
        <v>36</v>
      </c>
      <c r="N1340">
        <v>458</v>
      </c>
      <c r="O1340">
        <v>54</v>
      </c>
      <c r="P1340">
        <v>11</v>
      </c>
      <c r="Q1340">
        <v>21</v>
      </c>
      <c r="R1340">
        <v>90</v>
      </c>
      <c r="S1340">
        <v>1.2857142857142858</v>
      </c>
      <c r="T1340">
        <v>1.05</v>
      </c>
      <c r="U1340">
        <v>1.2</v>
      </c>
    </row>
    <row r="1341" spans="1:21" x14ac:dyDescent="0.35">
      <c r="A1341">
        <v>505</v>
      </c>
      <c r="B1341" s="16">
        <v>40391</v>
      </c>
      <c r="C1341" s="15" t="s">
        <v>70</v>
      </c>
      <c r="D1341" s="15" t="s">
        <v>58</v>
      </c>
      <c r="E1341" s="15" t="s">
        <v>44</v>
      </c>
      <c r="F1341" s="15" t="s">
        <v>40</v>
      </c>
      <c r="G1341" s="15" t="s">
        <v>73</v>
      </c>
      <c r="H1341" s="15" t="s">
        <v>45</v>
      </c>
      <c r="I1341">
        <v>150</v>
      </c>
      <c r="J1341">
        <v>20</v>
      </c>
      <c r="K1341">
        <v>-30</v>
      </c>
      <c r="L1341">
        <v>170</v>
      </c>
      <c r="M1341">
        <v>120</v>
      </c>
      <c r="N1341">
        <v>1439</v>
      </c>
      <c r="O1341">
        <v>19</v>
      </c>
      <c r="P1341">
        <v>37</v>
      </c>
      <c r="Q1341">
        <v>-42</v>
      </c>
      <c r="R1341">
        <v>139</v>
      </c>
      <c r="S1341">
        <v>0.81764705882352939</v>
      </c>
      <c r="T1341">
        <v>1.4</v>
      </c>
      <c r="U1341">
        <v>0.8</v>
      </c>
    </row>
    <row r="1342" spans="1:21" x14ac:dyDescent="0.35">
      <c r="A1342">
        <v>505</v>
      </c>
      <c r="B1342" s="16">
        <v>40391</v>
      </c>
      <c r="C1342" s="15" t="s">
        <v>70</v>
      </c>
      <c r="D1342" s="15" t="s">
        <v>58</v>
      </c>
      <c r="E1342" s="15" t="s">
        <v>43</v>
      </c>
      <c r="F1342" s="15" t="s">
        <v>40</v>
      </c>
      <c r="G1342" s="15" t="s">
        <v>73</v>
      </c>
      <c r="H1342" s="15" t="s">
        <v>42</v>
      </c>
      <c r="I1342">
        <v>80</v>
      </c>
      <c r="J1342">
        <v>120</v>
      </c>
      <c r="K1342">
        <v>70</v>
      </c>
      <c r="L1342">
        <v>200</v>
      </c>
      <c r="M1342">
        <v>64</v>
      </c>
      <c r="N1342">
        <v>460</v>
      </c>
      <c r="O1342">
        <v>96</v>
      </c>
      <c r="P1342">
        <v>21</v>
      </c>
      <c r="Q1342">
        <v>44</v>
      </c>
      <c r="R1342">
        <v>160</v>
      </c>
      <c r="S1342">
        <v>0.8</v>
      </c>
      <c r="T1342">
        <v>0.62857142857142856</v>
      </c>
      <c r="U1342">
        <v>0.8</v>
      </c>
    </row>
    <row r="1343" spans="1:21" x14ac:dyDescent="0.35">
      <c r="A1343">
        <v>505</v>
      </c>
      <c r="B1343" s="16">
        <v>40391</v>
      </c>
      <c r="C1343" s="15" t="s">
        <v>70</v>
      </c>
      <c r="D1343" s="15" t="s">
        <v>58</v>
      </c>
      <c r="E1343" s="15" t="s">
        <v>51</v>
      </c>
      <c r="F1343" s="15" t="s">
        <v>52</v>
      </c>
      <c r="G1343" s="15" t="s">
        <v>73</v>
      </c>
      <c r="H1343" s="15" t="s">
        <v>45</v>
      </c>
      <c r="I1343">
        <v>20</v>
      </c>
      <c r="J1343">
        <v>40</v>
      </c>
      <c r="K1343">
        <v>30</v>
      </c>
      <c r="L1343">
        <v>60</v>
      </c>
      <c r="M1343">
        <v>25</v>
      </c>
      <c r="N1343">
        <v>851</v>
      </c>
      <c r="O1343">
        <v>38</v>
      </c>
      <c r="P1343">
        <v>7</v>
      </c>
      <c r="Q1343">
        <v>19</v>
      </c>
      <c r="R1343">
        <v>63</v>
      </c>
      <c r="S1343">
        <v>1.05</v>
      </c>
      <c r="T1343">
        <v>0.6333333333333333</v>
      </c>
      <c r="U1343">
        <v>1.25</v>
      </c>
    </row>
    <row r="1344" spans="1:21" x14ac:dyDescent="0.35">
      <c r="A1344">
        <v>505</v>
      </c>
      <c r="B1344" s="16">
        <v>40391</v>
      </c>
      <c r="C1344" s="15" t="s">
        <v>70</v>
      </c>
      <c r="D1344" s="15" t="s">
        <v>58</v>
      </c>
      <c r="E1344" s="15" t="s">
        <v>53</v>
      </c>
      <c r="F1344" s="15" t="s">
        <v>52</v>
      </c>
      <c r="G1344" s="15" t="s">
        <v>73</v>
      </c>
      <c r="H1344" s="15" t="s">
        <v>45</v>
      </c>
      <c r="I1344">
        <v>30</v>
      </c>
      <c r="J1344">
        <v>50</v>
      </c>
      <c r="K1344">
        <v>20</v>
      </c>
      <c r="L1344">
        <v>80</v>
      </c>
      <c r="M1344">
        <v>41</v>
      </c>
      <c r="N1344">
        <v>1007</v>
      </c>
      <c r="O1344">
        <v>49</v>
      </c>
      <c r="P1344">
        <v>12</v>
      </c>
      <c r="Q1344">
        <v>15</v>
      </c>
      <c r="R1344">
        <v>90</v>
      </c>
      <c r="S1344">
        <v>1.125</v>
      </c>
      <c r="T1344">
        <v>0.75</v>
      </c>
      <c r="U1344">
        <v>1.3666666666666667</v>
      </c>
    </row>
    <row r="1345" spans="1:21" x14ac:dyDescent="0.35">
      <c r="A1345">
        <v>505</v>
      </c>
      <c r="B1345" s="16">
        <v>40391</v>
      </c>
      <c r="C1345" s="15" t="s">
        <v>70</v>
      </c>
      <c r="D1345" s="15" t="s">
        <v>58</v>
      </c>
      <c r="E1345" s="15" t="s">
        <v>72</v>
      </c>
      <c r="F1345" s="15" t="s">
        <v>49</v>
      </c>
      <c r="G1345" s="15" t="s">
        <v>73</v>
      </c>
      <c r="H1345" s="15" t="s">
        <v>42</v>
      </c>
      <c r="I1345">
        <v>20</v>
      </c>
      <c r="J1345">
        <v>30</v>
      </c>
      <c r="K1345">
        <v>0</v>
      </c>
      <c r="L1345">
        <v>50</v>
      </c>
      <c r="M1345">
        <v>29</v>
      </c>
      <c r="N1345">
        <v>-347</v>
      </c>
      <c r="O1345">
        <v>36</v>
      </c>
      <c r="P1345">
        <v>11</v>
      </c>
      <c r="Q1345">
        <v>-8</v>
      </c>
      <c r="R1345">
        <v>65</v>
      </c>
      <c r="S1345">
        <v>1.3</v>
      </c>
      <c r="U1345">
        <v>1.45</v>
      </c>
    </row>
    <row r="1346" spans="1:21" x14ac:dyDescent="0.35">
      <c r="A1346">
        <v>505</v>
      </c>
      <c r="B1346" s="16">
        <v>40391</v>
      </c>
      <c r="C1346" s="15" t="s">
        <v>70</v>
      </c>
      <c r="D1346" s="15" t="s">
        <v>58</v>
      </c>
      <c r="E1346" s="15" t="s">
        <v>48</v>
      </c>
      <c r="F1346" s="15" t="s">
        <v>49</v>
      </c>
      <c r="G1346" s="15" t="s">
        <v>73</v>
      </c>
      <c r="H1346" s="15" t="s">
        <v>42</v>
      </c>
      <c r="I1346">
        <v>50</v>
      </c>
      <c r="J1346">
        <v>70</v>
      </c>
      <c r="K1346">
        <v>0</v>
      </c>
      <c r="L1346">
        <v>120</v>
      </c>
      <c r="M1346">
        <v>63</v>
      </c>
      <c r="N1346">
        <v>332</v>
      </c>
      <c r="O1346">
        <v>88</v>
      </c>
      <c r="P1346">
        <v>57</v>
      </c>
      <c r="Q1346">
        <v>2</v>
      </c>
      <c r="R1346">
        <v>151</v>
      </c>
      <c r="S1346">
        <v>1.2583333333333333</v>
      </c>
      <c r="U1346">
        <v>1.26</v>
      </c>
    </row>
    <row r="1347" spans="1:21" x14ac:dyDescent="0.35">
      <c r="A1347">
        <v>505</v>
      </c>
      <c r="B1347" s="16">
        <v>40391</v>
      </c>
      <c r="C1347" s="15" t="s">
        <v>70</v>
      </c>
      <c r="D1347" s="15" t="s">
        <v>58</v>
      </c>
      <c r="E1347" s="15" t="s">
        <v>50</v>
      </c>
      <c r="F1347" s="15" t="s">
        <v>49</v>
      </c>
      <c r="G1347" s="15" t="s">
        <v>73</v>
      </c>
      <c r="H1347" s="15" t="s">
        <v>45</v>
      </c>
      <c r="I1347">
        <v>30</v>
      </c>
      <c r="J1347">
        <v>60</v>
      </c>
      <c r="K1347">
        <v>30</v>
      </c>
      <c r="L1347">
        <v>90</v>
      </c>
      <c r="M1347">
        <v>45</v>
      </c>
      <c r="N1347">
        <v>253</v>
      </c>
      <c r="O1347">
        <v>60</v>
      </c>
      <c r="P1347">
        <v>14</v>
      </c>
      <c r="Q1347">
        <v>18</v>
      </c>
      <c r="R1347">
        <v>105</v>
      </c>
      <c r="S1347">
        <v>1.1666666666666667</v>
      </c>
      <c r="T1347">
        <v>0.6</v>
      </c>
      <c r="U1347">
        <v>1.5</v>
      </c>
    </row>
    <row r="1348" spans="1:21" x14ac:dyDescent="0.35">
      <c r="A1348">
        <v>405</v>
      </c>
      <c r="B1348" s="16">
        <v>40391</v>
      </c>
      <c r="C1348" s="15" t="s">
        <v>70</v>
      </c>
      <c r="D1348" s="15" t="s">
        <v>58</v>
      </c>
      <c r="E1348" s="15" t="s">
        <v>44</v>
      </c>
      <c r="F1348" s="15" t="s">
        <v>40</v>
      </c>
      <c r="G1348" s="15" t="s">
        <v>74</v>
      </c>
      <c r="H1348" s="15" t="s">
        <v>45</v>
      </c>
      <c r="I1348">
        <v>20</v>
      </c>
      <c r="J1348">
        <v>40</v>
      </c>
      <c r="K1348">
        <v>30</v>
      </c>
      <c r="L1348">
        <v>60</v>
      </c>
      <c r="M1348">
        <v>22</v>
      </c>
      <c r="N1348">
        <v>865</v>
      </c>
      <c r="O1348">
        <v>33</v>
      </c>
      <c r="P1348">
        <v>6</v>
      </c>
      <c r="Q1348">
        <v>16</v>
      </c>
      <c r="R1348">
        <v>55</v>
      </c>
      <c r="S1348">
        <v>0.91666666666666663</v>
      </c>
      <c r="T1348">
        <v>0.53333333333333333</v>
      </c>
      <c r="U1348">
        <v>1.1000000000000001</v>
      </c>
    </row>
    <row r="1349" spans="1:21" x14ac:dyDescent="0.35">
      <c r="A1349">
        <v>405</v>
      </c>
      <c r="B1349" s="16">
        <v>40391</v>
      </c>
      <c r="C1349" s="15" t="s">
        <v>70</v>
      </c>
      <c r="D1349" s="15" t="s">
        <v>58</v>
      </c>
      <c r="E1349" s="15" t="s">
        <v>43</v>
      </c>
      <c r="F1349" s="15" t="s">
        <v>40</v>
      </c>
      <c r="G1349" s="15" t="s">
        <v>74</v>
      </c>
      <c r="H1349" s="15" t="s">
        <v>42</v>
      </c>
      <c r="I1349">
        <v>80</v>
      </c>
      <c r="J1349">
        <v>110</v>
      </c>
      <c r="K1349">
        <v>80</v>
      </c>
      <c r="L1349">
        <v>190</v>
      </c>
      <c r="M1349">
        <v>68</v>
      </c>
      <c r="N1349">
        <v>587</v>
      </c>
      <c r="O1349">
        <v>87</v>
      </c>
      <c r="P1349">
        <v>22</v>
      </c>
      <c r="Q1349">
        <v>53</v>
      </c>
      <c r="R1349">
        <v>155</v>
      </c>
      <c r="S1349">
        <v>0.81578947368421051</v>
      </c>
      <c r="T1349">
        <v>0.66249999999999998</v>
      </c>
      <c r="U1349">
        <v>0.85</v>
      </c>
    </row>
    <row r="1350" spans="1:21" x14ac:dyDescent="0.35">
      <c r="A1350">
        <v>580</v>
      </c>
      <c r="B1350" s="16">
        <v>40391</v>
      </c>
      <c r="C1350" s="15" t="s">
        <v>70</v>
      </c>
      <c r="D1350" s="15" t="s">
        <v>58</v>
      </c>
      <c r="E1350" s="15" t="s">
        <v>53</v>
      </c>
      <c r="F1350" s="15" t="s">
        <v>52</v>
      </c>
      <c r="G1350" s="15" t="s">
        <v>74</v>
      </c>
      <c r="H1350" s="15" t="s">
        <v>45</v>
      </c>
      <c r="I1350">
        <v>120</v>
      </c>
      <c r="J1350">
        <v>190</v>
      </c>
      <c r="K1350">
        <v>60</v>
      </c>
      <c r="L1350">
        <v>310</v>
      </c>
      <c r="M1350">
        <v>133</v>
      </c>
      <c r="N1350">
        <v>705</v>
      </c>
      <c r="O1350">
        <v>184</v>
      </c>
      <c r="P1350">
        <v>120</v>
      </c>
      <c r="Q1350">
        <v>34</v>
      </c>
      <c r="R1350">
        <v>317</v>
      </c>
      <c r="S1350">
        <v>1.0225806451612902</v>
      </c>
      <c r="T1350">
        <v>0.56666666666666665</v>
      </c>
      <c r="U1350">
        <v>1.1083333333333334</v>
      </c>
    </row>
    <row r="1351" spans="1:21" x14ac:dyDescent="0.35">
      <c r="A1351">
        <v>580</v>
      </c>
      <c r="B1351" s="16">
        <v>40391</v>
      </c>
      <c r="C1351" s="15" t="s">
        <v>70</v>
      </c>
      <c r="D1351" s="15" t="s">
        <v>58</v>
      </c>
      <c r="E1351" s="15" t="s">
        <v>51</v>
      </c>
      <c r="F1351" s="15" t="s">
        <v>52</v>
      </c>
      <c r="G1351" s="15" t="s">
        <v>74</v>
      </c>
      <c r="H1351" s="15" t="s">
        <v>45</v>
      </c>
      <c r="I1351">
        <v>60</v>
      </c>
      <c r="J1351">
        <v>70</v>
      </c>
      <c r="K1351">
        <v>20</v>
      </c>
      <c r="L1351">
        <v>130</v>
      </c>
      <c r="M1351">
        <v>63</v>
      </c>
      <c r="N1351">
        <v>397</v>
      </c>
      <c r="O1351">
        <v>77</v>
      </c>
      <c r="P1351">
        <v>23</v>
      </c>
      <c r="Q1351">
        <v>20</v>
      </c>
      <c r="R1351">
        <v>140</v>
      </c>
      <c r="S1351">
        <v>1.0769230769230769</v>
      </c>
      <c r="T1351">
        <v>1</v>
      </c>
      <c r="U1351">
        <v>1.05</v>
      </c>
    </row>
    <row r="1352" spans="1:21" x14ac:dyDescent="0.35">
      <c r="A1352">
        <v>918</v>
      </c>
      <c r="B1352" s="16">
        <v>40391</v>
      </c>
      <c r="C1352" s="15" t="s">
        <v>70</v>
      </c>
      <c r="D1352" s="15" t="s">
        <v>58</v>
      </c>
      <c r="E1352" s="15" t="s">
        <v>72</v>
      </c>
      <c r="F1352" s="15" t="s">
        <v>49</v>
      </c>
      <c r="G1352" s="15" t="s">
        <v>74</v>
      </c>
      <c r="H1352" s="15" t="s">
        <v>42</v>
      </c>
      <c r="I1352">
        <v>90</v>
      </c>
      <c r="J1352">
        <v>140</v>
      </c>
      <c r="K1352">
        <v>100</v>
      </c>
      <c r="L1352">
        <v>230</v>
      </c>
      <c r="M1352">
        <v>116</v>
      </c>
      <c r="N1352">
        <v>-1278</v>
      </c>
      <c r="O1352">
        <v>161</v>
      </c>
      <c r="P1352">
        <v>35</v>
      </c>
      <c r="Q1352">
        <v>102</v>
      </c>
      <c r="R1352">
        <v>277</v>
      </c>
      <c r="S1352">
        <v>1.2043478260869565</v>
      </c>
      <c r="T1352">
        <v>1.02</v>
      </c>
      <c r="U1352">
        <v>1.288888888888889</v>
      </c>
    </row>
    <row r="1353" spans="1:21" x14ac:dyDescent="0.35">
      <c r="A1353">
        <v>918</v>
      </c>
      <c r="B1353" s="16">
        <v>40391</v>
      </c>
      <c r="C1353" s="15" t="s">
        <v>70</v>
      </c>
      <c r="D1353" s="15" t="s">
        <v>58</v>
      </c>
      <c r="E1353" s="15" t="s">
        <v>48</v>
      </c>
      <c r="F1353" s="15" t="s">
        <v>49</v>
      </c>
      <c r="G1353" s="15" t="s">
        <v>74</v>
      </c>
      <c r="H1353" s="15" t="s">
        <v>42</v>
      </c>
      <c r="I1353">
        <v>10</v>
      </c>
      <c r="J1353">
        <v>20</v>
      </c>
      <c r="K1353">
        <v>20</v>
      </c>
      <c r="L1353">
        <v>30</v>
      </c>
      <c r="M1353">
        <v>16</v>
      </c>
      <c r="N1353">
        <v>484</v>
      </c>
      <c r="O1353">
        <v>25</v>
      </c>
      <c r="P1353">
        <v>4</v>
      </c>
      <c r="Q1353">
        <v>10</v>
      </c>
      <c r="R1353">
        <v>41</v>
      </c>
      <c r="S1353">
        <v>1.3666666666666667</v>
      </c>
      <c r="T1353">
        <v>0.5</v>
      </c>
      <c r="U1353">
        <v>1.6</v>
      </c>
    </row>
    <row r="1354" spans="1:21" x14ac:dyDescent="0.35">
      <c r="A1354">
        <v>405</v>
      </c>
      <c r="B1354" s="16">
        <v>40391</v>
      </c>
      <c r="C1354" s="15" t="s">
        <v>70</v>
      </c>
      <c r="D1354" s="15" t="s">
        <v>58</v>
      </c>
      <c r="E1354" s="15" t="s">
        <v>50</v>
      </c>
      <c r="F1354" s="15" t="s">
        <v>49</v>
      </c>
      <c r="G1354" s="15" t="s">
        <v>74</v>
      </c>
      <c r="H1354" s="15" t="s">
        <v>45</v>
      </c>
      <c r="I1354">
        <v>90</v>
      </c>
      <c r="J1354">
        <v>150</v>
      </c>
      <c r="K1354">
        <v>100</v>
      </c>
      <c r="L1354">
        <v>240</v>
      </c>
      <c r="M1354">
        <v>114</v>
      </c>
      <c r="N1354">
        <v>810</v>
      </c>
      <c r="O1354">
        <v>172</v>
      </c>
      <c r="P1354">
        <v>37</v>
      </c>
      <c r="Q1354">
        <v>103</v>
      </c>
      <c r="R1354">
        <v>286</v>
      </c>
      <c r="S1354">
        <v>1.1916666666666667</v>
      </c>
      <c r="T1354">
        <v>1.03</v>
      </c>
      <c r="U1354">
        <v>1.2666666666666666</v>
      </c>
    </row>
    <row r="1355" spans="1:21" x14ac:dyDescent="0.35">
      <c r="A1355">
        <v>682</v>
      </c>
      <c r="B1355" s="16">
        <v>40391</v>
      </c>
      <c r="C1355" s="15" t="s">
        <v>70</v>
      </c>
      <c r="D1355" s="15" t="s">
        <v>38</v>
      </c>
      <c r="E1355" s="15" t="s">
        <v>44</v>
      </c>
      <c r="F1355" s="15" t="s">
        <v>40</v>
      </c>
      <c r="G1355" s="15" t="s">
        <v>75</v>
      </c>
      <c r="H1355" s="15" t="s">
        <v>45</v>
      </c>
      <c r="I1355">
        <v>60</v>
      </c>
      <c r="J1355">
        <v>90</v>
      </c>
      <c r="K1355">
        <v>70</v>
      </c>
      <c r="L1355">
        <v>150</v>
      </c>
      <c r="M1355">
        <v>52</v>
      </c>
      <c r="N1355">
        <v>554</v>
      </c>
      <c r="O1355">
        <v>68</v>
      </c>
      <c r="P1355">
        <v>17</v>
      </c>
      <c r="Q1355">
        <v>39</v>
      </c>
      <c r="R1355">
        <v>120</v>
      </c>
      <c r="S1355">
        <v>0.8</v>
      </c>
      <c r="T1355">
        <v>0.55714285714285716</v>
      </c>
      <c r="U1355">
        <v>0.8666666666666667</v>
      </c>
    </row>
    <row r="1356" spans="1:21" x14ac:dyDescent="0.35">
      <c r="A1356">
        <v>979</v>
      </c>
      <c r="B1356" s="16">
        <v>40391</v>
      </c>
      <c r="C1356" s="15" t="s">
        <v>70</v>
      </c>
      <c r="D1356" s="15" t="s">
        <v>38</v>
      </c>
      <c r="E1356" s="15" t="s">
        <v>43</v>
      </c>
      <c r="F1356" s="15" t="s">
        <v>40</v>
      </c>
      <c r="G1356" s="15" t="s">
        <v>75</v>
      </c>
      <c r="H1356" s="15" t="s">
        <v>42</v>
      </c>
      <c r="I1356">
        <v>390</v>
      </c>
      <c r="J1356">
        <v>450</v>
      </c>
      <c r="K1356">
        <v>340</v>
      </c>
      <c r="L1356">
        <v>840</v>
      </c>
      <c r="M1356">
        <v>311</v>
      </c>
      <c r="N1356">
        <v>1296</v>
      </c>
      <c r="O1356">
        <v>367</v>
      </c>
      <c r="P1356">
        <v>96</v>
      </c>
      <c r="Q1356">
        <v>250</v>
      </c>
      <c r="R1356">
        <v>678</v>
      </c>
      <c r="S1356">
        <v>0.80714285714285716</v>
      </c>
      <c r="T1356">
        <v>0.73529411764705888</v>
      </c>
      <c r="U1356">
        <v>0.79743589743589749</v>
      </c>
    </row>
    <row r="1357" spans="1:21" x14ac:dyDescent="0.35">
      <c r="A1357">
        <v>281</v>
      </c>
      <c r="B1357" s="16">
        <v>40391</v>
      </c>
      <c r="C1357" s="15" t="s">
        <v>70</v>
      </c>
      <c r="D1357" s="15" t="s">
        <v>38</v>
      </c>
      <c r="E1357" s="15" t="s">
        <v>53</v>
      </c>
      <c r="F1357" s="15" t="s">
        <v>52</v>
      </c>
      <c r="G1357" s="15" t="s">
        <v>75</v>
      </c>
      <c r="H1357" s="15" t="s">
        <v>45</v>
      </c>
      <c r="I1357">
        <v>30</v>
      </c>
      <c r="J1357">
        <v>50</v>
      </c>
      <c r="K1357">
        <v>30</v>
      </c>
      <c r="L1357">
        <v>80</v>
      </c>
      <c r="M1357">
        <v>34</v>
      </c>
      <c r="N1357">
        <v>428</v>
      </c>
      <c r="O1357">
        <v>51</v>
      </c>
      <c r="P1357">
        <v>10</v>
      </c>
      <c r="Q1357">
        <v>19</v>
      </c>
      <c r="R1357">
        <v>85</v>
      </c>
      <c r="S1357">
        <v>1.0625</v>
      </c>
      <c r="T1357">
        <v>0.6333333333333333</v>
      </c>
      <c r="U1357">
        <v>1.1333333333333333</v>
      </c>
    </row>
    <row r="1358" spans="1:21" x14ac:dyDescent="0.35">
      <c r="A1358">
        <v>430</v>
      </c>
      <c r="B1358" s="16">
        <v>40391</v>
      </c>
      <c r="C1358" s="15" t="s">
        <v>70</v>
      </c>
      <c r="D1358" s="15" t="s">
        <v>38</v>
      </c>
      <c r="E1358" s="15" t="s">
        <v>51</v>
      </c>
      <c r="F1358" s="15" t="s">
        <v>52</v>
      </c>
      <c r="G1358" s="15" t="s">
        <v>75</v>
      </c>
      <c r="H1358" s="15" t="s">
        <v>45</v>
      </c>
      <c r="I1358">
        <v>40</v>
      </c>
      <c r="J1358">
        <v>60</v>
      </c>
      <c r="K1358">
        <v>30</v>
      </c>
      <c r="L1358">
        <v>100</v>
      </c>
      <c r="M1358">
        <v>46</v>
      </c>
      <c r="N1358">
        <v>415</v>
      </c>
      <c r="O1358">
        <v>62</v>
      </c>
      <c r="P1358">
        <v>15</v>
      </c>
      <c r="Q1358">
        <v>19</v>
      </c>
      <c r="R1358">
        <v>108</v>
      </c>
      <c r="S1358">
        <v>1.08</v>
      </c>
      <c r="T1358">
        <v>0.6333333333333333</v>
      </c>
      <c r="U1358">
        <v>1.1499999999999999</v>
      </c>
    </row>
    <row r="1359" spans="1:21" x14ac:dyDescent="0.35">
      <c r="A1359">
        <v>430</v>
      </c>
      <c r="B1359" s="16">
        <v>40391</v>
      </c>
      <c r="C1359" s="15" t="s">
        <v>70</v>
      </c>
      <c r="D1359" s="15" t="s">
        <v>38</v>
      </c>
      <c r="E1359" s="15" t="s">
        <v>72</v>
      </c>
      <c r="F1359" s="15" t="s">
        <v>49</v>
      </c>
      <c r="G1359" s="15" t="s">
        <v>75</v>
      </c>
      <c r="H1359" s="15" t="s">
        <v>42</v>
      </c>
      <c r="I1359">
        <v>40</v>
      </c>
      <c r="J1359">
        <v>70</v>
      </c>
      <c r="K1359">
        <v>40</v>
      </c>
      <c r="L1359">
        <v>110</v>
      </c>
      <c r="M1359">
        <v>52</v>
      </c>
      <c r="N1359">
        <v>-587</v>
      </c>
      <c r="O1359">
        <v>79</v>
      </c>
      <c r="P1359">
        <v>17</v>
      </c>
      <c r="Q1359">
        <v>30</v>
      </c>
      <c r="R1359">
        <v>131</v>
      </c>
      <c r="S1359">
        <v>1.1909090909090909</v>
      </c>
      <c r="T1359">
        <v>0.75</v>
      </c>
      <c r="U1359">
        <v>1.3</v>
      </c>
    </row>
    <row r="1360" spans="1:21" x14ac:dyDescent="0.35">
      <c r="A1360">
        <v>682</v>
      </c>
      <c r="B1360" s="16">
        <v>40391</v>
      </c>
      <c r="C1360" s="15" t="s">
        <v>70</v>
      </c>
      <c r="D1360" s="15" t="s">
        <v>38</v>
      </c>
      <c r="E1360" s="15" t="s">
        <v>48</v>
      </c>
      <c r="F1360" s="15" t="s">
        <v>49</v>
      </c>
      <c r="G1360" s="15" t="s">
        <v>75</v>
      </c>
      <c r="H1360" s="15" t="s">
        <v>42</v>
      </c>
      <c r="I1360">
        <v>100</v>
      </c>
      <c r="J1360">
        <v>150</v>
      </c>
      <c r="K1360">
        <v>120</v>
      </c>
      <c r="L1360">
        <v>250</v>
      </c>
      <c r="M1360">
        <v>123</v>
      </c>
      <c r="N1360">
        <v>941</v>
      </c>
      <c r="O1360">
        <v>178</v>
      </c>
      <c r="P1360">
        <v>34</v>
      </c>
      <c r="Q1360">
        <v>133</v>
      </c>
      <c r="R1360">
        <v>301</v>
      </c>
      <c r="S1360">
        <v>1.204</v>
      </c>
      <c r="T1360">
        <v>1.1083333333333334</v>
      </c>
      <c r="U1360">
        <v>1.23</v>
      </c>
    </row>
    <row r="1361" spans="1:21" x14ac:dyDescent="0.35">
      <c r="A1361">
        <v>512</v>
      </c>
      <c r="B1361" s="16">
        <v>40391</v>
      </c>
      <c r="C1361" s="15" t="s">
        <v>70</v>
      </c>
      <c r="D1361" s="15" t="s">
        <v>38</v>
      </c>
      <c r="E1361" s="15" t="s">
        <v>50</v>
      </c>
      <c r="F1361" s="15" t="s">
        <v>49</v>
      </c>
      <c r="G1361" s="15" t="s">
        <v>75</v>
      </c>
      <c r="H1361" s="15" t="s">
        <v>45</v>
      </c>
      <c r="I1361">
        <v>80</v>
      </c>
      <c r="J1361">
        <v>130</v>
      </c>
      <c r="K1361">
        <v>110</v>
      </c>
      <c r="L1361">
        <v>210</v>
      </c>
      <c r="M1361">
        <v>100</v>
      </c>
      <c r="N1361">
        <v>598</v>
      </c>
      <c r="O1361">
        <v>145</v>
      </c>
      <c r="P1361">
        <v>28</v>
      </c>
      <c r="Q1361">
        <v>105</v>
      </c>
      <c r="R1361">
        <v>245</v>
      </c>
      <c r="S1361">
        <v>1.1666666666666667</v>
      </c>
      <c r="T1361">
        <v>0.95454545454545459</v>
      </c>
      <c r="U1361">
        <v>1.25</v>
      </c>
    </row>
    <row r="1362" spans="1:21" x14ac:dyDescent="0.35">
      <c r="A1362">
        <v>801</v>
      </c>
      <c r="B1362" s="16">
        <v>40391</v>
      </c>
      <c r="C1362" s="15" t="s">
        <v>76</v>
      </c>
      <c r="D1362" s="15" t="s">
        <v>58</v>
      </c>
      <c r="E1362" s="15" t="s">
        <v>39</v>
      </c>
      <c r="F1362" s="15" t="s">
        <v>40</v>
      </c>
      <c r="G1362" s="15" t="s">
        <v>77</v>
      </c>
      <c r="H1362" s="15" t="s">
        <v>42</v>
      </c>
      <c r="I1362">
        <v>60</v>
      </c>
      <c r="J1362">
        <v>70</v>
      </c>
      <c r="K1362">
        <v>40</v>
      </c>
      <c r="L1362">
        <v>130</v>
      </c>
      <c r="M1362">
        <v>50</v>
      </c>
      <c r="N1362">
        <v>1064</v>
      </c>
      <c r="O1362">
        <v>60</v>
      </c>
      <c r="P1362">
        <v>15</v>
      </c>
      <c r="Q1362">
        <v>24</v>
      </c>
      <c r="R1362">
        <v>110</v>
      </c>
      <c r="S1362">
        <v>0.84615384615384615</v>
      </c>
      <c r="T1362">
        <v>0.6</v>
      </c>
      <c r="U1362">
        <v>0.83333333333333337</v>
      </c>
    </row>
    <row r="1363" spans="1:21" x14ac:dyDescent="0.35">
      <c r="A1363">
        <v>435</v>
      </c>
      <c r="B1363" s="16">
        <v>40391</v>
      </c>
      <c r="C1363" s="15" t="s">
        <v>76</v>
      </c>
      <c r="D1363" s="15" t="s">
        <v>58</v>
      </c>
      <c r="E1363" s="15" t="s">
        <v>43</v>
      </c>
      <c r="F1363" s="15" t="s">
        <v>40</v>
      </c>
      <c r="G1363" s="15" t="s">
        <v>77</v>
      </c>
      <c r="H1363" s="15" t="s">
        <v>42</v>
      </c>
      <c r="I1363">
        <v>50</v>
      </c>
      <c r="J1363">
        <v>70</v>
      </c>
      <c r="K1363">
        <v>40</v>
      </c>
      <c r="L1363">
        <v>120</v>
      </c>
      <c r="M1363">
        <v>42</v>
      </c>
      <c r="N1363">
        <v>384</v>
      </c>
      <c r="O1363">
        <v>56</v>
      </c>
      <c r="P1363">
        <v>13</v>
      </c>
      <c r="Q1363">
        <v>15</v>
      </c>
      <c r="R1363">
        <v>98</v>
      </c>
      <c r="S1363">
        <v>0.81666666666666665</v>
      </c>
      <c r="T1363">
        <v>0.375</v>
      </c>
      <c r="U1363">
        <v>0.84</v>
      </c>
    </row>
    <row r="1364" spans="1:21" x14ac:dyDescent="0.35">
      <c r="A1364">
        <v>801</v>
      </c>
      <c r="B1364" s="16">
        <v>40391</v>
      </c>
      <c r="C1364" s="15" t="s">
        <v>76</v>
      </c>
      <c r="D1364" s="15" t="s">
        <v>58</v>
      </c>
      <c r="E1364" s="15" t="s">
        <v>51</v>
      </c>
      <c r="F1364" s="15" t="s">
        <v>52</v>
      </c>
      <c r="G1364" s="15" t="s">
        <v>77</v>
      </c>
      <c r="H1364" s="15" t="s">
        <v>45</v>
      </c>
      <c r="I1364">
        <v>50</v>
      </c>
      <c r="J1364">
        <v>80</v>
      </c>
      <c r="K1364">
        <v>60</v>
      </c>
      <c r="L1364">
        <v>130</v>
      </c>
      <c r="M1364">
        <v>61</v>
      </c>
      <c r="N1364">
        <v>322</v>
      </c>
      <c r="O1364">
        <v>90</v>
      </c>
      <c r="P1364">
        <v>19</v>
      </c>
      <c r="Q1364">
        <v>49</v>
      </c>
      <c r="R1364">
        <v>151</v>
      </c>
      <c r="S1364">
        <v>1.1615384615384616</v>
      </c>
      <c r="T1364">
        <v>0.81666666666666665</v>
      </c>
      <c r="U1364">
        <v>1.22</v>
      </c>
    </row>
    <row r="1365" spans="1:21" x14ac:dyDescent="0.35">
      <c r="A1365">
        <v>435</v>
      </c>
      <c r="B1365" s="16">
        <v>40391</v>
      </c>
      <c r="C1365" s="15" t="s">
        <v>76</v>
      </c>
      <c r="D1365" s="15" t="s">
        <v>58</v>
      </c>
      <c r="E1365" s="15" t="s">
        <v>53</v>
      </c>
      <c r="F1365" s="15" t="s">
        <v>52</v>
      </c>
      <c r="G1365" s="15" t="s">
        <v>77</v>
      </c>
      <c r="H1365" s="15" t="s">
        <v>45</v>
      </c>
      <c r="I1365">
        <v>50</v>
      </c>
      <c r="J1365">
        <v>90</v>
      </c>
      <c r="K1365">
        <v>60</v>
      </c>
      <c r="L1365">
        <v>140</v>
      </c>
      <c r="M1365">
        <v>64</v>
      </c>
      <c r="N1365">
        <v>460</v>
      </c>
      <c r="O1365">
        <v>96</v>
      </c>
      <c r="P1365">
        <v>21</v>
      </c>
      <c r="Q1365">
        <v>44</v>
      </c>
      <c r="R1365">
        <v>160</v>
      </c>
      <c r="S1365">
        <v>1.1428571428571428</v>
      </c>
      <c r="T1365">
        <v>0.73333333333333328</v>
      </c>
      <c r="U1365">
        <v>1.28</v>
      </c>
    </row>
    <row r="1366" spans="1:21" x14ac:dyDescent="0.35">
      <c r="A1366">
        <v>801</v>
      </c>
      <c r="B1366" s="16">
        <v>40391</v>
      </c>
      <c r="C1366" s="15" t="s">
        <v>76</v>
      </c>
      <c r="D1366" s="15" t="s">
        <v>58</v>
      </c>
      <c r="E1366" s="15" t="s">
        <v>54</v>
      </c>
      <c r="F1366" s="15" t="s">
        <v>52</v>
      </c>
      <c r="G1366" s="15" t="s">
        <v>77</v>
      </c>
      <c r="H1366" s="15" t="s">
        <v>45</v>
      </c>
      <c r="I1366">
        <v>100</v>
      </c>
      <c r="J1366">
        <v>20</v>
      </c>
      <c r="K1366">
        <v>-30</v>
      </c>
      <c r="L1366">
        <v>120</v>
      </c>
      <c r="M1366">
        <v>120</v>
      </c>
      <c r="N1366">
        <v>1439</v>
      </c>
      <c r="O1366">
        <v>19</v>
      </c>
      <c r="P1366">
        <v>37</v>
      </c>
      <c r="Q1366">
        <v>-41</v>
      </c>
      <c r="R1366">
        <v>139</v>
      </c>
      <c r="S1366">
        <v>1.1583333333333334</v>
      </c>
      <c r="T1366">
        <v>1.3666666666666667</v>
      </c>
      <c r="U1366">
        <v>1.2</v>
      </c>
    </row>
    <row r="1367" spans="1:21" x14ac:dyDescent="0.35">
      <c r="A1367">
        <v>801</v>
      </c>
      <c r="B1367" s="16">
        <v>40391</v>
      </c>
      <c r="C1367" s="15" t="s">
        <v>76</v>
      </c>
      <c r="D1367" s="15" t="s">
        <v>58</v>
      </c>
      <c r="E1367" s="15" t="s">
        <v>55</v>
      </c>
      <c r="F1367" s="15" t="s">
        <v>47</v>
      </c>
      <c r="G1367" s="15" t="s">
        <v>77</v>
      </c>
      <c r="H1367" s="15" t="s">
        <v>42</v>
      </c>
      <c r="I1367">
        <v>40</v>
      </c>
      <c r="J1367">
        <v>60</v>
      </c>
      <c r="K1367">
        <v>10</v>
      </c>
      <c r="L1367">
        <v>100</v>
      </c>
      <c r="M1367">
        <v>63</v>
      </c>
      <c r="N1367">
        <v>332</v>
      </c>
      <c r="O1367">
        <v>88</v>
      </c>
      <c r="P1367">
        <v>57</v>
      </c>
      <c r="Q1367">
        <v>2</v>
      </c>
      <c r="R1367">
        <v>151</v>
      </c>
      <c r="S1367">
        <v>1.51</v>
      </c>
      <c r="T1367">
        <v>0.2</v>
      </c>
      <c r="U1367">
        <v>1.575</v>
      </c>
    </row>
    <row r="1368" spans="1:21" x14ac:dyDescent="0.35">
      <c r="A1368">
        <v>435</v>
      </c>
      <c r="B1368" s="16">
        <v>40391</v>
      </c>
      <c r="C1368" s="15" t="s">
        <v>76</v>
      </c>
      <c r="D1368" s="15" t="s">
        <v>58</v>
      </c>
      <c r="E1368" s="15" t="s">
        <v>56</v>
      </c>
      <c r="F1368" s="15" t="s">
        <v>47</v>
      </c>
      <c r="G1368" s="15" t="s">
        <v>77</v>
      </c>
      <c r="H1368" s="15" t="s">
        <v>42</v>
      </c>
      <c r="I1368">
        <v>20</v>
      </c>
      <c r="J1368">
        <v>50</v>
      </c>
      <c r="K1368">
        <v>30</v>
      </c>
      <c r="L1368">
        <v>70</v>
      </c>
      <c r="M1368">
        <v>45</v>
      </c>
      <c r="N1368">
        <v>253</v>
      </c>
      <c r="O1368">
        <v>60</v>
      </c>
      <c r="P1368">
        <v>14</v>
      </c>
      <c r="Q1368">
        <v>19</v>
      </c>
      <c r="R1368">
        <v>105</v>
      </c>
      <c r="S1368">
        <v>1.5</v>
      </c>
      <c r="T1368">
        <v>0.6333333333333333</v>
      </c>
      <c r="U1368">
        <v>2.25</v>
      </c>
    </row>
    <row r="1369" spans="1:21" x14ac:dyDescent="0.35">
      <c r="A1369">
        <v>435</v>
      </c>
      <c r="B1369" s="16">
        <v>40391</v>
      </c>
      <c r="C1369" s="15" t="s">
        <v>76</v>
      </c>
      <c r="D1369" s="15" t="s">
        <v>58</v>
      </c>
      <c r="E1369" s="15" t="s">
        <v>46</v>
      </c>
      <c r="F1369" s="15" t="s">
        <v>47</v>
      </c>
      <c r="G1369" s="15" t="s">
        <v>77</v>
      </c>
      <c r="H1369" s="15" t="s">
        <v>42</v>
      </c>
      <c r="I1369">
        <v>10</v>
      </c>
      <c r="J1369">
        <v>30</v>
      </c>
      <c r="K1369">
        <v>10</v>
      </c>
      <c r="L1369">
        <v>40</v>
      </c>
      <c r="M1369">
        <v>29</v>
      </c>
      <c r="N1369">
        <v>215</v>
      </c>
      <c r="O1369">
        <v>36</v>
      </c>
      <c r="P1369">
        <v>11</v>
      </c>
      <c r="Q1369">
        <v>-9</v>
      </c>
      <c r="R1369">
        <v>65</v>
      </c>
      <c r="S1369">
        <v>1.625</v>
      </c>
      <c r="T1369">
        <v>-0.9</v>
      </c>
      <c r="U1369">
        <v>2.9</v>
      </c>
    </row>
    <row r="1370" spans="1:21" x14ac:dyDescent="0.35">
      <c r="A1370">
        <v>435</v>
      </c>
      <c r="B1370" s="16">
        <v>40391</v>
      </c>
      <c r="C1370" s="15" t="s">
        <v>76</v>
      </c>
      <c r="D1370" s="15" t="s">
        <v>58</v>
      </c>
      <c r="E1370" s="15" t="s">
        <v>44</v>
      </c>
      <c r="F1370" s="15" t="s">
        <v>40</v>
      </c>
      <c r="G1370" s="15" t="s">
        <v>77</v>
      </c>
      <c r="H1370" s="15" t="s">
        <v>45</v>
      </c>
      <c r="I1370">
        <v>90</v>
      </c>
      <c r="J1370">
        <v>110</v>
      </c>
      <c r="K1370">
        <v>60</v>
      </c>
      <c r="L1370">
        <v>200</v>
      </c>
      <c r="M1370">
        <v>72</v>
      </c>
      <c r="N1370">
        <v>606</v>
      </c>
      <c r="O1370">
        <v>88</v>
      </c>
      <c r="P1370">
        <v>27</v>
      </c>
      <c r="Q1370">
        <v>27</v>
      </c>
      <c r="R1370">
        <v>160</v>
      </c>
      <c r="S1370">
        <v>0.8</v>
      </c>
      <c r="T1370">
        <v>0.45</v>
      </c>
      <c r="U1370">
        <v>0.8</v>
      </c>
    </row>
    <row r="1371" spans="1:21" x14ac:dyDescent="0.35">
      <c r="A1371">
        <v>801</v>
      </c>
      <c r="B1371" s="16">
        <v>40391</v>
      </c>
      <c r="C1371" s="15" t="s">
        <v>76</v>
      </c>
      <c r="D1371" s="15" t="s">
        <v>58</v>
      </c>
      <c r="E1371" s="15" t="s">
        <v>72</v>
      </c>
      <c r="F1371" s="15" t="s">
        <v>49</v>
      </c>
      <c r="G1371" s="15" t="s">
        <v>77</v>
      </c>
      <c r="H1371" s="15" t="s">
        <v>42</v>
      </c>
      <c r="I1371">
        <v>30</v>
      </c>
      <c r="J1371">
        <v>40</v>
      </c>
      <c r="K1371">
        <v>30</v>
      </c>
      <c r="L1371">
        <v>70</v>
      </c>
      <c r="M1371">
        <v>32</v>
      </c>
      <c r="N1371">
        <v>841</v>
      </c>
      <c r="O1371">
        <v>48</v>
      </c>
      <c r="P1371">
        <v>8</v>
      </c>
      <c r="Q1371">
        <v>28</v>
      </c>
      <c r="R1371">
        <v>80</v>
      </c>
      <c r="S1371">
        <v>1.1428571428571428</v>
      </c>
      <c r="T1371">
        <v>0.93333333333333335</v>
      </c>
      <c r="U1371">
        <v>1.0666666666666667</v>
      </c>
    </row>
    <row r="1372" spans="1:21" x14ac:dyDescent="0.35">
      <c r="A1372">
        <v>801</v>
      </c>
      <c r="B1372" s="16">
        <v>40391</v>
      </c>
      <c r="C1372" s="15" t="s">
        <v>76</v>
      </c>
      <c r="D1372" s="15" t="s">
        <v>58</v>
      </c>
      <c r="E1372" s="15" t="s">
        <v>48</v>
      </c>
      <c r="F1372" s="15" t="s">
        <v>49</v>
      </c>
      <c r="G1372" s="15" t="s">
        <v>77</v>
      </c>
      <c r="H1372" s="15" t="s">
        <v>42</v>
      </c>
      <c r="I1372">
        <v>70</v>
      </c>
      <c r="J1372">
        <v>90</v>
      </c>
      <c r="K1372">
        <v>60</v>
      </c>
      <c r="L1372">
        <v>160</v>
      </c>
      <c r="M1372">
        <v>77</v>
      </c>
      <c r="N1372">
        <v>581</v>
      </c>
      <c r="O1372">
        <v>99</v>
      </c>
      <c r="P1372">
        <v>25</v>
      </c>
      <c r="Q1372">
        <v>62</v>
      </c>
      <c r="R1372">
        <v>176</v>
      </c>
      <c r="S1372">
        <v>1.1000000000000001</v>
      </c>
      <c r="T1372">
        <v>1.0333333333333334</v>
      </c>
      <c r="U1372">
        <v>1.1000000000000001</v>
      </c>
    </row>
    <row r="1373" spans="1:21" x14ac:dyDescent="0.35">
      <c r="A1373">
        <v>435</v>
      </c>
      <c r="B1373" s="16">
        <v>40391</v>
      </c>
      <c r="C1373" s="15" t="s">
        <v>76</v>
      </c>
      <c r="D1373" s="15" t="s">
        <v>58</v>
      </c>
      <c r="E1373" s="15" t="s">
        <v>50</v>
      </c>
      <c r="F1373" s="15" t="s">
        <v>49</v>
      </c>
      <c r="G1373" s="15" t="s">
        <v>77</v>
      </c>
      <c r="H1373" s="15" t="s">
        <v>45</v>
      </c>
      <c r="I1373">
        <v>30</v>
      </c>
      <c r="J1373">
        <v>40</v>
      </c>
      <c r="K1373">
        <v>30</v>
      </c>
      <c r="L1373">
        <v>70</v>
      </c>
      <c r="M1373">
        <v>34</v>
      </c>
      <c r="N1373">
        <v>890</v>
      </c>
      <c r="O1373">
        <v>49</v>
      </c>
      <c r="P1373">
        <v>9</v>
      </c>
      <c r="Q1373">
        <v>28</v>
      </c>
      <c r="R1373">
        <v>83</v>
      </c>
      <c r="S1373">
        <v>1.1857142857142857</v>
      </c>
      <c r="T1373">
        <v>0.93333333333333335</v>
      </c>
      <c r="U1373">
        <v>1.1333333333333333</v>
      </c>
    </row>
    <row r="1374" spans="1:21" x14ac:dyDescent="0.35">
      <c r="A1374">
        <v>562</v>
      </c>
      <c r="B1374" s="16">
        <v>40391</v>
      </c>
      <c r="C1374" s="15" t="s">
        <v>76</v>
      </c>
      <c r="D1374" s="15" t="s">
        <v>38</v>
      </c>
      <c r="E1374" s="15" t="s">
        <v>39</v>
      </c>
      <c r="F1374" s="15" t="s">
        <v>40</v>
      </c>
      <c r="G1374" s="15" t="s">
        <v>78</v>
      </c>
      <c r="H1374" s="15" t="s">
        <v>42</v>
      </c>
      <c r="I1374">
        <v>190</v>
      </c>
      <c r="J1374">
        <v>-90</v>
      </c>
      <c r="K1374">
        <v>-150</v>
      </c>
      <c r="L1374">
        <v>100</v>
      </c>
      <c r="M1374">
        <v>154</v>
      </c>
      <c r="N1374">
        <v>2105</v>
      </c>
      <c r="O1374">
        <v>-67</v>
      </c>
      <c r="P1374">
        <v>49</v>
      </c>
      <c r="Q1374">
        <v>-139</v>
      </c>
      <c r="R1374">
        <v>87</v>
      </c>
      <c r="S1374">
        <v>0.87</v>
      </c>
      <c r="T1374">
        <v>0.92666666666666664</v>
      </c>
      <c r="U1374">
        <v>0.81052631578947365</v>
      </c>
    </row>
    <row r="1375" spans="1:21" x14ac:dyDescent="0.35">
      <c r="A1375">
        <v>650</v>
      </c>
      <c r="B1375" s="16">
        <v>40391</v>
      </c>
      <c r="C1375" s="15" t="s">
        <v>76</v>
      </c>
      <c r="D1375" s="15" t="s">
        <v>38</v>
      </c>
      <c r="E1375" s="15" t="s">
        <v>43</v>
      </c>
      <c r="F1375" s="15" t="s">
        <v>40</v>
      </c>
      <c r="G1375" s="15" t="s">
        <v>78</v>
      </c>
      <c r="H1375" s="15" t="s">
        <v>42</v>
      </c>
      <c r="I1375">
        <v>450</v>
      </c>
      <c r="J1375">
        <v>680</v>
      </c>
      <c r="K1375">
        <v>520</v>
      </c>
      <c r="L1375">
        <v>1130</v>
      </c>
      <c r="M1375">
        <v>364</v>
      </c>
      <c r="N1375">
        <v>2617</v>
      </c>
      <c r="O1375">
        <v>546</v>
      </c>
      <c r="P1375">
        <v>127</v>
      </c>
      <c r="Q1375">
        <v>368</v>
      </c>
      <c r="R1375">
        <v>910</v>
      </c>
      <c r="S1375">
        <v>0.80530973451327437</v>
      </c>
      <c r="T1375">
        <v>0.70769230769230773</v>
      </c>
      <c r="U1375">
        <v>0.80888888888888888</v>
      </c>
    </row>
    <row r="1376" spans="1:21" x14ac:dyDescent="0.35">
      <c r="A1376">
        <v>831</v>
      </c>
      <c r="B1376" s="16">
        <v>40391</v>
      </c>
      <c r="C1376" s="15" t="s">
        <v>76</v>
      </c>
      <c r="D1376" s="15" t="s">
        <v>38</v>
      </c>
      <c r="E1376" s="15" t="s">
        <v>51</v>
      </c>
      <c r="F1376" s="15" t="s">
        <v>52</v>
      </c>
      <c r="G1376" s="15" t="s">
        <v>78</v>
      </c>
      <c r="H1376" s="15" t="s">
        <v>45</v>
      </c>
      <c r="I1376">
        <v>110</v>
      </c>
      <c r="J1376">
        <v>170</v>
      </c>
      <c r="K1376">
        <v>140</v>
      </c>
      <c r="L1376">
        <v>280</v>
      </c>
      <c r="M1376">
        <v>132</v>
      </c>
      <c r="N1376">
        <v>994</v>
      </c>
      <c r="O1376">
        <v>191</v>
      </c>
      <c r="P1376">
        <v>36</v>
      </c>
      <c r="Q1376">
        <v>143</v>
      </c>
      <c r="R1376">
        <v>323</v>
      </c>
      <c r="S1376">
        <v>1.1535714285714285</v>
      </c>
      <c r="T1376">
        <v>1.0214285714285714</v>
      </c>
      <c r="U1376">
        <v>1.2</v>
      </c>
    </row>
    <row r="1377" spans="1:21" x14ac:dyDescent="0.35">
      <c r="A1377">
        <v>916</v>
      </c>
      <c r="B1377" s="16">
        <v>40391</v>
      </c>
      <c r="C1377" s="15" t="s">
        <v>76</v>
      </c>
      <c r="D1377" s="15" t="s">
        <v>38</v>
      </c>
      <c r="E1377" s="15" t="s">
        <v>53</v>
      </c>
      <c r="F1377" s="15" t="s">
        <v>52</v>
      </c>
      <c r="G1377" s="15" t="s">
        <v>78</v>
      </c>
      <c r="H1377" s="15" t="s">
        <v>45</v>
      </c>
      <c r="I1377">
        <v>260</v>
      </c>
      <c r="J1377">
        <v>330</v>
      </c>
      <c r="K1377">
        <v>240</v>
      </c>
      <c r="L1377">
        <v>590</v>
      </c>
      <c r="M1377">
        <v>311</v>
      </c>
      <c r="N1377">
        <v>1296</v>
      </c>
      <c r="O1377">
        <v>367</v>
      </c>
      <c r="P1377">
        <v>96</v>
      </c>
      <c r="Q1377">
        <v>249</v>
      </c>
      <c r="R1377">
        <v>678</v>
      </c>
      <c r="S1377">
        <v>1.1491525423728814</v>
      </c>
      <c r="T1377">
        <v>1.0375000000000001</v>
      </c>
      <c r="U1377">
        <v>1.1961538461538461</v>
      </c>
    </row>
    <row r="1378" spans="1:21" x14ac:dyDescent="0.35">
      <c r="A1378">
        <v>310</v>
      </c>
      <c r="B1378" s="16">
        <v>40391</v>
      </c>
      <c r="C1378" s="15" t="s">
        <v>76</v>
      </c>
      <c r="D1378" s="15" t="s">
        <v>38</v>
      </c>
      <c r="E1378" s="15" t="s">
        <v>54</v>
      </c>
      <c r="F1378" s="15" t="s">
        <v>52</v>
      </c>
      <c r="G1378" s="15" t="s">
        <v>78</v>
      </c>
      <c r="H1378" s="15" t="s">
        <v>45</v>
      </c>
      <c r="I1378">
        <v>40</v>
      </c>
      <c r="J1378">
        <v>60</v>
      </c>
      <c r="K1378">
        <v>40</v>
      </c>
      <c r="L1378">
        <v>100</v>
      </c>
      <c r="M1378">
        <v>52</v>
      </c>
      <c r="N1378">
        <v>554</v>
      </c>
      <c r="O1378">
        <v>68</v>
      </c>
      <c r="P1378">
        <v>17</v>
      </c>
      <c r="Q1378">
        <v>38</v>
      </c>
      <c r="R1378">
        <v>120</v>
      </c>
      <c r="S1378">
        <v>1.2</v>
      </c>
      <c r="T1378">
        <v>0.95</v>
      </c>
      <c r="U1378">
        <v>1.3</v>
      </c>
    </row>
    <row r="1379" spans="1:21" x14ac:dyDescent="0.35">
      <c r="A1379">
        <v>760</v>
      </c>
      <c r="B1379" s="16">
        <v>40391</v>
      </c>
      <c r="C1379" s="15" t="s">
        <v>76</v>
      </c>
      <c r="D1379" s="15" t="s">
        <v>38</v>
      </c>
      <c r="E1379" s="15" t="s">
        <v>55</v>
      </c>
      <c r="F1379" s="15" t="s">
        <v>47</v>
      </c>
      <c r="G1379" s="15" t="s">
        <v>78</v>
      </c>
      <c r="H1379" s="15" t="s">
        <v>42</v>
      </c>
      <c r="I1379">
        <v>80</v>
      </c>
      <c r="J1379">
        <v>120</v>
      </c>
      <c r="K1379">
        <v>100</v>
      </c>
      <c r="L1379">
        <v>200</v>
      </c>
      <c r="M1379">
        <v>123</v>
      </c>
      <c r="N1379">
        <v>941</v>
      </c>
      <c r="O1379">
        <v>178</v>
      </c>
      <c r="P1379">
        <v>34</v>
      </c>
      <c r="Q1379">
        <v>133</v>
      </c>
      <c r="R1379">
        <v>301</v>
      </c>
      <c r="S1379">
        <v>1.5049999999999999</v>
      </c>
      <c r="T1379">
        <v>1.33</v>
      </c>
      <c r="U1379">
        <v>1.5375000000000001</v>
      </c>
    </row>
    <row r="1380" spans="1:21" x14ac:dyDescent="0.35">
      <c r="A1380">
        <v>310</v>
      </c>
      <c r="B1380" s="16">
        <v>40391</v>
      </c>
      <c r="C1380" s="15" t="s">
        <v>76</v>
      </c>
      <c r="D1380" s="15" t="s">
        <v>38</v>
      </c>
      <c r="E1380" s="15" t="s">
        <v>56</v>
      </c>
      <c r="F1380" s="15" t="s">
        <v>47</v>
      </c>
      <c r="G1380" s="15" t="s">
        <v>78</v>
      </c>
      <c r="H1380" s="15" t="s">
        <v>42</v>
      </c>
      <c r="I1380">
        <v>60</v>
      </c>
      <c r="J1380">
        <v>100</v>
      </c>
      <c r="K1380">
        <v>90</v>
      </c>
      <c r="L1380">
        <v>160</v>
      </c>
      <c r="M1380">
        <v>100</v>
      </c>
      <c r="N1380">
        <v>598</v>
      </c>
      <c r="O1380">
        <v>145</v>
      </c>
      <c r="P1380">
        <v>28</v>
      </c>
      <c r="Q1380">
        <v>105</v>
      </c>
      <c r="R1380">
        <v>245</v>
      </c>
      <c r="S1380">
        <v>1.53125</v>
      </c>
      <c r="T1380">
        <v>1.1666666666666667</v>
      </c>
      <c r="U1380">
        <v>1.6666666666666667</v>
      </c>
    </row>
    <row r="1381" spans="1:21" x14ac:dyDescent="0.35">
      <c r="A1381">
        <v>818</v>
      </c>
      <c r="B1381" s="16">
        <v>40391</v>
      </c>
      <c r="C1381" s="15" t="s">
        <v>76</v>
      </c>
      <c r="D1381" s="15" t="s">
        <v>38</v>
      </c>
      <c r="E1381" s="15" t="s">
        <v>46</v>
      </c>
      <c r="F1381" s="15" t="s">
        <v>47</v>
      </c>
      <c r="G1381" s="15" t="s">
        <v>78</v>
      </c>
      <c r="H1381" s="15" t="s">
        <v>42</v>
      </c>
      <c r="I1381">
        <v>30</v>
      </c>
      <c r="J1381">
        <v>50</v>
      </c>
      <c r="K1381">
        <v>20</v>
      </c>
      <c r="L1381">
        <v>80</v>
      </c>
      <c r="M1381">
        <v>52</v>
      </c>
      <c r="N1381">
        <v>662</v>
      </c>
      <c r="O1381">
        <v>79</v>
      </c>
      <c r="P1381">
        <v>17</v>
      </c>
      <c r="Q1381">
        <v>30</v>
      </c>
      <c r="R1381">
        <v>131</v>
      </c>
      <c r="S1381">
        <v>1.6375</v>
      </c>
      <c r="T1381">
        <v>1.5</v>
      </c>
      <c r="U1381">
        <v>1.7333333333333334</v>
      </c>
    </row>
    <row r="1382" spans="1:21" x14ac:dyDescent="0.35">
      <c r="A1382">
        <v>626</v>
      </c>
      <c r="B1382" s="16">
        <v>40391</v>
      </c>
      <c r="C1382" s="15" t="s">
        <v>76</v>
      </c>
      <c r="D1382" s="15" t="s">
        <v>38</v>
      </c>
      <c r="E1382" s="15" t="s">
        <v>44</v>
      </c>
      <c r="F1382" s="15" t="s">
        <v>40</v>
      </c>
      <c r="G1382" s="15" t="s">
        <v>78</v>
      </c>
      <c r="H1382" s="15" t="s">
        <v>45</v>
      </c>
      <c r="I1382">
        <v>240</v>
      </c>
      <c r="J1382">
        <v>-40</v>
      </c>
      <c r="K1382">
        <v>-140</v>
      </c>
      <c r="L1382">
        <v>200</v>
      </c>
      <c r="M1382">
        <v>196</v>
      </c>
      <c r="N1382">
        <v>3139</v>
      </c>
      <c r="O1382">
        <v>-30</v>
      </c>
      <c r="P1382">
        <v>64</v>
      </c>
      <c r="Q1382">
        <v>-137</v>
      </c>
      <c r="R1382">
        <v>166</v>
      </c>
      <c r="S1382">
        <v>0.83</v>
      </c>
      <c r="T1382">
        <v>0.97857142857142854</v>
      </c>
      <c r="U1382">
        <v>0.81666666666666665</v>
      </c>
    </row>
    <row r="1383" spans="1:21" x14ac:dyDescent="0.35">
      <c r="A1383">
        <v>916</v>
      </c>
      <c r="B1383" s="16">
        <v>40391</v>
      </c>
      <c r="C1383" s="15" t="s">
        <v>76</v>
      </c>
      <c r="D1383" s="15" t="s">
        <v>38</v>
      </c>
      <c r="E1383" s="15" t="s">
        <v>72</v>
      </c>
      <c r="F1383" s="15" t="s">
        <v>49</v>
      </c>
      <c r="G1383" s="15" t="s">
        <v>78</v>
      </c>
      <c r="H1383" s="15" t="s">
        <v>42</v>
      </c>
      <c r="I1383">
        <v>250</v>
      </c>
      <c r="J1383">
        <v>260</v>
      </c>
      <c r="K1383">
        <v>170</v>
      </c>
      <c r="L1383">
        <v>510</v>
      </c>
      <c r="M1383">
        <v>266</v>
      </c>
      <c r="N1383">
        <v>1797</v>
      </c>
      <c r="O1383">
        <v>266</v>
      </c>
      <c r="P1383">
        <v>74</v>
      </c>
      <c r="Q1383">
        <v>167</v>
      </c>
      <c r="R1383">
        <v>532</v>
      </c>
      <c r="S1383">
        <v>1.0431372549019609</v>
      </c>
      <c r="T1383">
        <v>0.98235294117647054</v>
      </c>
      <c r="U1383">
        <v>1.0640000000000001</v>
      </c>
    </row>
    <row r="1384" spans="1:21" x14ac:dyDescent="0.35">
      <c r="A1384">
        <v>530</v>
      </c>
      <c r="B1384" s="16">
        <v>40391</v>
      </c>
      <c r="C1384" s="15" t="s">
        <v>76</v>
      </c>
      <c r="D1384" s="15" t="s">
        <v>38</v>
      </c>
      <c r="E1384" s="15" t="s">
        <v>48</v>
      </c>
      <c r="F1384" s="15" t="s">
        <v>49</v>
      </c>
      <c r="G1384" s="15" t="s">
        <v>78</v>
      </c>
      <c r="H1384" s="15" t="s">
        <v>42</v>
      </c>
      <c r="I1384">
        <v>160</v>
      </c>
      <c r="J1384">
        <v>230</v>
      </c>
      <c r="K1384">
        <v>60</v>
      </c>
      <c r="L1384">
        <v>390</v>
      </c>
      <c r="M1384">
        <v>173</v>
      </c>
      <c r="N1384">
        <v>927</v>
      </c>
      <c r="O1384">
        <v>239</v>
      </c>
      <c r="P1384">
        <v>156</v>
      </c>
      <c r="Q1384">
        <v>50</v>
      </c>
      <c r="R1384">
        <v>412</v>
      </c>
      <c r="S1384">
        <v>1.0564102564102564</v>
      </c>
      <c r="T1384">
        <v>0.83333333333333337</v>
      </c>
      <c r="U1384">
        <v>1.08125</v>
      </c>
    </row>
    <row r="1385" spans="1:21" x14ac:dyDescent="0.35">
      <c r="A1385">
        <v>707</v>
      </c>
      <c r="B1385" s="16">
        <v>40391</v>
      </c>
      <c r="C1385" s="15" t="s">
        <v>76</v>
      </c>
      <c r="D1385" s="15" t="s">
        <v>38</v>
      </c>
      <c r="E1385" s="15" t="s">
        <v>50</v>
      </c>
      <c r="F1385" s="15" t="s">
        <v>49</v>
      </c>
      <c r="G1385" s="15" t="s">
        <v>78</v>
      </c>
      <c r="H1385" s="15" t="s">
        <v>45</v>
      </c>
      <c r="I1385">
        <v>280</v>
      </c>
      <c r="J1385">
        <v>370</v>
      </c>
      <c r="K1385">
        <v>250</v>
      </c>
      <c r="L1385">
        <v>650</v>
      </c>
      <c r="M1385">
        <v>295</v>
      </c>
      <c r="N1385">
        <v>1714</v>
      </c>
      <c r="O1385">
        <v>392</v>
      </c>
      <c r="P1385">
        <v>97</v>
      </c>
      <c r="Q1385">
        <v>262</v>
      </c>
      <c r="R1385">
        <v>687</v>
      </c>
      <c r="S1385">
        <v>1.0569230769230769</v>
      </c>
      <c r="T1385">
        <v>1.048</v>
      </c>
      <c r="U1385">
        <v>1.0535714285714286</v>
      </c>
    </row>
    <row r="1386" spans="1:21" x14ac:dyDescent="0.35">
      <c r="A1386">
        <v>702</v>
      </c>
      <c r="B1386" s="16">
        <v>40391</v>
      </c>
      <c r="C1386" s="15" t="s">
        <v>76</v>
      </c>
      <c r="D1386" s="15" t="s">
        <v>58</v>
      </c>
      <c r="E1386" s="15" t="s">
        <v>43</v>
      </c>
      <c r="F1386" s="15" t="s">
        <v>40</v>
      </c>
      <c r="G1386" s="15" t="s">
        <v>79</v>
      </c>
      <c r="H1386" s="15" t="s">
        <v>42</v>
      </c>
      <c r="I1386">
        <v>40</v>
      </c>
      <c r="J1386">
        <v>60</v>
      </c>
      <c r="K1386">
        <v>20</v>
      </c>
      <c r="L1386">
        <v>100</v>
      </c>
      <c r="M1386">
        <v>38</v>
      </c>
      <c r="N1386">
        <v>248</v>
      </c>
      <c r="O1386">
        <v>48</v>
      </c>
      <c r="P1386">
        <v>14</v>
      </c>
      <c r="Q1386">
        <v>1</v>
      </c>
      <c r="R1386">
        <v>86</v>
      </c>
      <c r="S1386">
        <v>0.86</v>
      </c>
      <c r="T1386">
        <v>0.05</v>
      </c>
      <c r="U1386">
        <v>0.95</v>
      </c>
    </row>
    <row r="1387" spans="1:21" x14ac:dyDescent="0.35">
      <c r="A1387">
        <v>775</v>
      </c>
      <c r="B1387" s="16">
        <v>40391</v>
      </c>
      <c r="C1387" s="15" t="s">
        <v>76</v>
      </c>
      <c r="D1387" s="15" t="s">
        <v>58</v>
      </c>
      <c r="E1387" s="15" t="s">
        <v>51</v>
      </c>
      <c r="F1387" s="15" t="s">
        <v>52</v>
      </c>
      <c r="G1387" s="15" t="s">
        <v>79</v>
      </c>
      <c r="H1387" s="15" t="s">
        <v>45</v>
      </c>
      <c r="I1387">
        <v>140</v>
      </c>
      <c r="J1387">
        <v>220</v>
      </c>
      <c r="K1387">
        <v>70</v>
      </c>
      <c r="L1387">
        <v>360</v>
      </c>
      <c r="M1387">
        <v>173</v>
      </c>
      <c r="N1387">
        <v>927</v>
      </c>
      <c r="O1387">
        <v>239</v>
      </c>
      <c r="P1387">
        <v>156</v>
      </c>
      <c r="Q1387">
        <v>49</v>
      </c>
      <c r="R1387">
        <v>412</v>
      </c>
      <c r="S1387">
        <v>1.1444444444444444</v>
      </c>
      <c r="T1387">
        <v>0.7</v>
      </c>
      <c r="U1387">
        <v>1.2357142857142858</v>
      </c>
    </row>
    <row r="1388" spans="1:21" x14ac:dyDescent="0.35">
      <c r="A1388">
        <v>775</v>
      </c>
      <c r="B1388" s="16">
        <v>40391</v>
      </c>
      <c r="C1388" s="15" t="s">
        <v>76</v>
      </c>
      <c r="D1388" s="15" t="s">
        <v>58</v>
      </c>
      <c r="E1388" s="15" t="s">
        <v>53</v>
      </c>
      <c r="F1388" s="15" t="s">
        <v>52</v>
      </c>
      <c r="G1388" s="15" t="s">
        <v>79</v>
      </c>
      <c r="H1388" s="15" t="s">
        <v>45</v>
      </c>
      <c r="I1388">
        <v>160</v>
      </c>
      <c r="J1388">
        <v>250</v>
      </c>
      <c r="K1388">
        <v>170</v>
      </c>
      <c r="L1388">
        <v>410</v>
      </c>
      <c r="M1388">
        <v>196</v>
      </c>
      <c r="N1388">
        <v>1167</v>
      </c>
      <c r="O1388">
        <v>271</v>
      </c>
      <c r="P1388">
        <v>64</v>
      </c>
      <c r="Q1388">
        <v>163</v>
      </c>
      <c r="R1388">
        <v>467</v>
      </c>
      <c r="S1388">
        <v>1.1390243902439023</v>
      </c>
      <c r="T1388">
        <v>0.95882352941176474</v>
      </c>
      <c r="U1388">
        <v>1.2250000000000001</v>
      </c>
    </row>
    <row r="1389" spans="1:21" x14ac:dyDescent="0.35">
      <c r="A1389">
        <v>702</v>
      </c>
      <c r="B1389" s="16">
        <v>40391</v>
      </c>
      <c r="C1389" s="15" t="s">
        <v>76</v>
      </c>
      <c r="D1389" s="15" t="s">
        <v>58</v>
      </c>
      <c r="E1389" s="15" t="s">
        <v>54</v>
      </c>
      <c r="F1389" s="15" t="s">
        <v>52</v>
      </c>
      <c r="G1389" s="15" t="s">
        <v>79</v>
      </c>
      <c r="H1389" s="15" t="s">
        <v>45</v>
      </c>
      <c r="I1389">
        <v>130</v>
      </c>
      <c r="J1389">
        <v>200</v>
      </c>
      <c r="K1389">
        <v>150</v>
      </c>
      <c r="L1389">
        <v>330</v>
      </c>
      <c r="M1389">
        <v>154</v>
      </c>
      <c r="N1389">
        <v>817</v>
      </c>
      <c r="O1389">
        <v>222</v>
      </c>
      <c r="P1389">
        <v>49</v>
      </c>
      <c r="Q1389">
        <v>150</v>
      </c>
      <c r="R1389">
        <v>376</v>
      </c>
      <c r="S1389">
        <v>1.1393939393939394</v>
      </c>
      <c r="T1389">
        <v>1</v>
      </c>
      <c r="U1389">
        <v>1.1846153846153846</v>
      </c>
    </row>
    <row r="1390" spans="1:21" x14ac:dyDescent="0.35">
      <c r="A1390">
        <v>702</v>
      </c>
      <c r="B1390" s="16">
        <v>40391</v>
      </c>
      <c r="C1390" s="15" t="s">
        <v>76</v>
      </c>
      <c r="D1390" s="15" t="s">
        <v>58</v>
      </c>
      <c r="E1390" s="15" t="s">
        <v>55</v>
      </c>
      <c r="F1390" s="15" t="s">
        <v>47</v>
      </c>
      <c r="G1390" s="15" t="s">
        <v>79</v>
      </c>
      <c r="H1390" s="15" t="s">
        <v>42</v>
      </c>
      <c r="I1390">
        <v>190</v>
      </c>
      <c r="J1390">
        <v>270</v>
      </c>
      <c r="K1390">
        <v>190</v>
      </c>
      <c r="L1390">
        <v>460</v>
      </c>
      <c r="M1390">
        <v>295</v>
      </c>
      <c r="N1390">
        <v>1714</v>
      </c>
      <c r="O1390">
        <v>392</v>
      </c>
      <c r="P1390">
        <v>97</v>
      </c>
      <c r="Q1390">
        <v>262</v>
      </c>
      <c r="R1390">
        <v>687</v>
      </c>
      <c r="S1390">
        <v>1.4934782608695651</v>
      </c>
      <c r="T1390">
        <v>1.3789473684210527</v>
      </c>
      <c r="U1390">
        <v>1.5526315789473684</v>
      </c>
    </row>
    <row r="1391" spans="1:21" x14ac:dyDescent="0.35">
      <c r="A1391">
        <v>775</v>
      </c>
      <c r="B1391" s="16">
        <v>40391</v>
      </c>
      <c r="C1391" s="15" t="s">
        <v>76</v>
      </c>
      <c r="D1391" s="15" t="s">
        <v>58</v>
      </c>
      <c r="E1391" s="15" t="s">
        <v>56</v>
      </c>
      <c r="F1391" s="15" t="s">
        <v>47</v>
      </c>
      <c r="G1391" s="15" t="s">
        <v>79</v>
      </c>
      <c r="H1391" s="15" t="s">
        <v>42</v>
      </c>
      <c r="I1391">
        <v>170</v>
      </c>
      <c r="J1391">
        <v>190</v>
      </c>
      <c r="K1391">
        <v>130</v>
      </c>
      <c r="L1391">
        <v>360</v>
      </c>
      <c r="M1391">
        <v>266</v>
      </c>
      <c r="N1391">
        <v>1797</v>
      </c>
      <c r="O1391">
        <v>266</v>
      </c>
      <c r="P1391">
        <v>74</v>
      </c>
      <c r="Q1391">
        <v>167</v>
      </c>
      <c r="R1391">
        <v>532</v>
      </c>
      <c r="S1391">
        <v>1.4777777777777779</v>
      </c>
      <c r="T1391">
        <v>1.2846153846153847</v>
      </c>
      <c r="U1391">
        <v>1.5647058823529412</v>
      </c>
    </row>
    <row r="1392" spans="1:21" x14ac:dyDescent="0.35">
      <c r="A1392">
        <v>775</v>
      </c>
      <c r="B1392" s="16">
        <v>40391</v>
      </c>
      <c r="C1392" s="15" t="s">
        <v>76</v>
      </c>
      <c r="D1392" s="15" t="s">
        <v>58</v>
      </c>
      <c r="E1392" s="15" t="s">
        <v>46</v>
      </c>
      <c r="F1392" s="15" t="s">
        <v>47</v>
      </c>
      <c r="G1392" s="15" t="s">
        <v>79</v>
      </c>
      <c r="H1392" s="15" t="s">
        <v>42</v>
      </c>
      <c r="I1392">
        <v>180</v>
      </c>
      <c r="J1392">
        <v>-180</v>
      </c>
      <c r="K1392">
        <v>-260</v>
      </c>
      <c r="L1392">
        <v>0</v>
      </c>
      <c r="M1392">
        <v>284</v>
      </c>
      <c r="N1392">
        <v>5807</v>
      </c>
      <c r="O1392">
        <v>-284</v>
      </c>
      <c r="P1392">
        <v>107</v>
      </c>
      <c r="Q1392">
        <v>-404</v>
      </c>
      <c r="R1392">
        <v>21</v>
      </c>
      <c r="T1392">
        <v>1.5538461538461539</v>
      </c>
      <c r="U1392">
        <v>1.5777777777777777</v>
      </c>
    </row>
    <row r="1393" spans="1:21" x14ac:dyDescent="0.35">
      <c r="A1393">
        <v>702</v>
      </c>
      <c r="B1393" s="16">
        <v>40391</v>
      </c>
      <c r="C1393" s="15" t="s">
        <v>76</v>
      </c>
      <c r="D1393" s="15" t="s">
        <v>58</v>
      </c>
      <c r="E1393" s="15" t="s">
        <v>44</v>
      </c>
      <c r="F1393" s="15" t="s">
        <v>40</v>
      </c>
      <c r="G1393" s="15" t="s">
        <v>79</v>
      </c>
      <c r="H1393" s="15" t="s">
        <v>45</v>
      </c>
      <c r="I1393">
        <v>50</v>
      </c>
      <c r="J1393">
        <v>60</v>
      </c>
      <c r="K1393">
        <v>30</v>
      </c>
      <c r="L1393">
        <v>110</v>
      </c>
      <c r="M1393">
        <v>41</v>
      </c>
      <c r="N1393">
        <v>1007</v>
      </c>
      <c r="O1393">
        <v>49</v>
      </c>
      <c r="P1393">
        <v>12</v>
      </c>
      <c r="Q1393">
        <v>16</v>
      </c>
      <c r="R1393">
        <v>90</v>
      </c>
      <c r="S1393">
        <v>0.81818181818181823</v>
      </c>
      <c r="T1393">
        <v>0.53333333333333333</v>
      </c>
      <c r="U1393">
        <v>0.82</v>
      </c>
    </row>
    <row r="1394" spans="1:21" x14ac:dyDescent="0.35">
      <c r="A1394">
        <v>702</v>
      </c>
      <c r="B1394" s="16">
        <v>40391</v>
      </c>
      <c r="C1394" s="15" t="s">
        <v>76</v>
      </c>
      <c r="D1394" s="15" t="s">
        <v>58</v>
      </c>
      <c r="E1394" s="15" t="s">
        <v>72</v>
      </c>
      <c r="F1394" s="15" t="s">
        <v>49</v>
      </c>
      <c r="G1394" s="15" t="s">
        <v>79</v>
      </c>
      <c r="H1394" s="15" t="s">
        <v>42</v>
      </c>
      <c r="I1394">
        <v>0</v>
      </c>
      <c r="J1394">
        <v>40</v>
      </c>
      <c r="K1394">
        <v>30</v>
      </c>
      <c r="L1394">
        <v>40</v>
      </c>
      <c r="M1394">
        <v>0</v>
      </c>
      <c r="N1394">
        <v>516</v>
      </c>
      <c r="O1394">
        <v>43</v>
      </c>
      <c r="P1394">
        <v>0</v>
      </c>
      <c r="Q1394">
        <v>32</v>
      </c>
      <c r="R1394">
        <v>43</v>
      </c>
      <c r="S1394">
        <v>1.075</v>
      </c>
      <c r="T1394">
        <v>1.0666666666666667</v>
      </c>
    </row>
    <row r="1395" spans="1:21" x14ac:dyDescent="0.35">
      <c r="A1395">
        <v>775</v>
      </c>
      <c r="B1395" s="16">
        <v>40391</v>
      </c>
      <c r="C1395" s="15" t="s">
        <v>76</v>
      </c>
      <c r="D1395" s="15" t="s">
        <v>58</v>
      </c>
      <c r="E1395" s="15" t="s">
        <v>48</v>
      </c>
      <c r="F1395" s="15" t="s">
        <v>49</v>
      </c>
      <c r="G1395" s="15" t="s">
        <v>79</v>
      </c>
      <c r="H1395" s="15" t="s">
        <v>42</v>
      </c>
      <c r="I1395">
        <v>20</v>
      </c>
      <c r="J1395">
        <v>40</v>
      </c>
      <c r="K1395">
        <v>30</v>
      </c>
      <c r="L1395">
        <v>60</v>
      </c>
      <c r="M1395">
        <v>25</v>
      </c>
      <c r="N1395">
        <v>851</v>
      </c>
      <c r="O1395">
        <v>38</v>
      </c>
      <c r="P1395">
        <v>7</v>
      </c>
      <c r="Q1395">
        <v>19</v>
      </c>
      <c r="R1395">
        <v>63</v>
      </c>
      <c r="S1395">
        <v>1.05</v>
      </c>
      <c r="T1395">
        <v>0.6333333333333333</v>
      </c>
      <c r="U1395">
        <v>1.25</v>
      </c>
    </row>
    <row r="1396" spans="1:21" x14ac:dyDescent="0.35">
      <c r="A1396">
        <v>702</v>
      </c>
      <c r="B1396" s="16">
        <v>40391</v>
      </c>
      <c r="C1396" s="15" t="s">
        <v>76</v>
      </c>
      <c r="D1396" s="15" t="s">
        <v>58</v>
      </c>
      <c r="E1396" s="15" t="s">
        <v>50</v>
      </c>
      <c r="F1396" s="15" t="s">
        <v>49</v>
      </c>
      <c r="G1396" s="15" t="s">
        <v>79</v>
      </c>
      <c r="H1396" s="15" t="s">
        <v>45</v>
      </c>
      <c r="I1396">
        <v>20</v>
      </c>
      <c r="J1396">
        <v>30</v>
      </c>
      <c r="K1396">
        <v>20</v>
      </c>
      <c r="L1396">
        <v>50</v>
      </c>
      <c r="M1396">
        <v>23</v>
      </c>
      <c r="N1396">
        <v>806</v>
      </c>
      <c r="O1396">
        <v>35</v>
      </c>
      <c r="P1396">
        <v>6</v>
      </c>
      <c r="Q1396">
        <v>17</v>
      </c>
      <c r="R1396">
        <v>58</v>
      </c>
      <c r="S1396">
        <v>1.1599999999999999</v>
      </c>
      <c r="T1396">
        <v>0.85</v>
      </c>
      <c r="U1396">
        <v>1.1499999999999999</v>
      </c>
    </row>
    <row r="1397" spans="1:21" x14ac:dyDescent="0.35">
      <c r="A1397">
        <v>541</v>
      </c>
      <c r="B1397" s="16">
        <v>40391</v>
      </c>
      <c r="C1397" s="15" t="s">
        <v>76</v>
      </c>
      <c r="D1397" s="15" t="s">
        <v>58</v>
      </c>
      <c r="E1397" s="15" t="s">
        <v>39</v>
      </c>
      <c r="F1397" s="15" t="s">
        <v>40</v>
      </c>
      <c r="G1397" s="15" t="s">
        <v>80</v>
      </c>
      <c r="H1397" s="15" t="s">
        <v>42</v>
      </c>
      <c r="I1397">
        <v>40</v>
      </c>
      <c r="J1397">
        <v>70</v>
      </c>
      <c r="K1397">
        <v>20</v>
      </c>
      <c r="L1397">
        <v>110</v>
      </c>
      <c r="M1397">
        <v>37</v>
      </c>
      <c r="N1397">
        <v>513</v>
      </c>
      <c r="O1397">
        <v>52</v>
      </c>
      <c r="P1397">
        <v>33</v>
      </c>
      <c r="Q1397">
        <v>-11</v>
      </c>
      <c r="R1397">
        <v>89</v>
      </c>
      <c r="S1397">
        <v>0.80909090909090908</v>
      </c>
      <c r="T1397">
        <v>-0.55000000000000004</v>
      </c>
      <c r="U1397">
        <v>0.92500000000000004</v>
      </c>
    </row>
    <row r="1398" spans="1:21" x14ac:dyDescent="0.35">
      <c r="A1398">
        <v>971</v>
      </c>
      <c r="B1398" s="16">
        <v>40391</v>
      </c>
      <c r="C1398" s="15" t="s">
        <v>76</v>
      </c>
      <c r="D1398" s="15" t="s">
        <v>58</v>
      </c>
      <c r="E1398" s="15" t="s">
        <v>43</v>
      </c>
      <c r="F1398" s="15" t="s">
        <v>40</v>
      </c>
      <c r="G1398" s="15" t="s">
        <v>80</v>
      </c>
      <c r="H1398" s="15" t="s">
        <v>42</v>
      </c>
      <c r="I1398">
        <v>50</v>
      </c>
      <c r="J1398">
        <v>90</v>
      </c>
      <c r="K1398">
        <v>40</v>
      </c>
      <c r="L1398">
        <v>140</v>
      </c>
      <c r="M1398">
        <v>47</v>
      </c>
      <c r="N1398">
        <v>474</v>
      </c>
      <c r="O1398">
        <v>67</v>
      </c>
      <c r="P1398">
        <v>15</v>
      </c>
      <c r="Q1398">
        <v>8</v>
      </c>
      <c r="R1398">
        <v>114</v>
      </c>
      <c r="S1398">
        <v>0.81428571428571428</v>
      </c>
      <c r="T1398">
        <v>0.2</v>
      </c>
      <c r="U1398">
        <v>0.94</v>
      </c>
    </row>
    <row r="1399" spans="1:21" x14ac:dyDescent="0.35">
      <c r="A1399">
        <v>971</v>
      </c>
      <c r="B1399" s="16">
        <v>40391</v>
      </c>
      <c r="C1399" s="15" t="s">
        <v>76</v>
      </c>
      <c r="D1399" s="15" t="s">
        <v>58</v>
      </c>
      <c r="E1399" s="15" t="s">
        <v>51</v>
      </c>
      <c r="F1399" s="15" t="s">
        <v>52</v>
      </c>
      <c r="G1399" s="15" t="s">
        <v>80</v>
      </c>
      <c r="H1399" s="15" t="s">
        <v>45</v>
      </c>
      <c r="I1399">
        <v>20</v>
      </c>
      <c r="J1399">
        <v>30</v>
      </c>
      <c r="K1399">
        <v>30</v>
      </c>
      <c r="L1399">
        <v>50</v>
      </c>
      <c r="M1399">
        <v>25</v>
      </c>
      <c r="N1399">
        <v>826</v>
      </c>
      <c r="O1399">
        <v>37</v>
      </c>
      <c r="P1399">
        <v>7</v>
      </c>
      <c r="Q1399">
        <v>19</v>
      </c>
      <c r="R1399">
        <v>62</v>
      </c>
      <c r="S1399">
        <v>1.24</v>
      </c>
      <c r="T1399">
        <v>0.6333333333333333</v>
      </c>
      <c r="U1399">
        <v>1.25</v>
      </c>
    </row>
    <row r="1400" spans="1:21" x14ac:dyDescent="0.35">
      <c r="A1400">
        <v>541</v>
      </c>
      <c r="B1400" s="16">
        <v>40391</v>
      </c>
      <c r="C1400" s="15" t="s">
        <v>76</v>
      </c>
      <c r="D1400" s="15" t="s">
        <v>58</v>
      </c>
      <c r="E1400" s="15" t="s">
        <v>53</v>
      </c>
      <c r="F1400" s="15" t="s">
        <v>52</v>
      </c>
      <c r="G1400" s="15" t="s">
        <v>80</v>
      </c>
      <c r="H1400" s="15" t="s">
        <v>45</v>
      </c>
      <c r="I1400">
        <v>50</v>
      </c>
      <c r="J1400">
        <v>80</v>
      </c>
      <c r="K1400">
        <v>60</v>
      </c>
      <c r="L1400">
        <v>130</v>
      </c>
      <c r="M1400">
        <v>68</v>
      </c>
      <c r="N1400">
        <v>587</v>
      </c>
      <c r="O1400">
        <v>87</v>
      </c>
      <c r="P1400">
        <v>22</v>
      </c>
      <c r="Q1400">
        <v>53</v>
      </c>
      <c r="R1400">
        <v>155</v>
      </c>
      <c r="S1400">
        <v>1.1923076923076923</v>
      </c>
      <c r="T1400">
        <v>0.8833333333333333</v>
      </c>
      <c r="U1400">
        <v>1.36</v>
      </c>
    </row>
    <row r="1401" spans="1:21" x14ac:dyDescent="0.35">
      <c r="A1401">
        <v>503</v>
      </c>
      <c r="B1401" s="16">
        <v>40391</v>
      </c>
      <c r="C1401" s="15" t="s">
        <v>76</v>
      </c>
      <c r="D1401" s="15" t="s">
        <v>58</v>
      </c>
      <c r="E1401" s="15" t="s">
        <v>55</v>
      </c>
      <c r="F1401" s="15" t="s">
        <v>47</v>
      </c>
      <c r="G1401" s="15" t="s">
        <v>80</v>
      </c>
      <c r="H1401" s="15" t="s">
        <v>42</v>
      </c>
      <c r="I1401">
        <v>10</v>
      </c>
      <c r="J1401">
        <v>10</v>
      </c>
      <c r="K1401">
        <v>10</v>
      </c>
      <c r="L1401">
        <v>20</v>
      </c>
      <c r="M1401">
        <v>16</v>
      </c>
      <c r="N1401">
        <v>484</v>
      </c>
      <c r="O1401">
        <v>25</v>
      </c>
      <c r="P1401">
        <v>4</v>
      </c>
      <c r="Q1401">
        <v>9</v>
      </c>
      <c r="R1401">
        <v>41</v>
      </c>
      <c r="S1401">
        <v>2.0499999999999998</v>
      </c>
      <c r="T1401">
        <v>0.9</v>
      </c>
      <c r="U1401">
        <v>1.6</v>
      </c>
    </row>
    <row r="1402" spans="1:21" x14ac:dyDescent="0.35">
      <c r="A1402">
        <v>971</v>
      </c>
      <c r="B1402" s="16">
        <v>40391</v>
      </c>
      <c r="C1402" s="15" t="s">
        <v>76</v>
      </c>
      <c r="D1402" s="15" t="s">
        <v>58</v>
      </c>
      <c r="E1402" s="15" t="s">
        <v>56</v>
      </c>
      <c r="F1402" s="15" t="s">
        <v>47</v>
      </c>
      <c r="G1402" s="15" t="s">
        <v>80</v>
      </c>
      <c r="H1402" s="15" t="s">
        <v>42</v>
      </c>
      <c r="I1402">
        <v>70</v>
      </c>
      <c r="J1402">
        <v>120</v>
      </c>
      <c r="K1402">
        <v>80</v>
      </c>
      <c r="L1402">
        <v>190</v>
      </c>
      <c r="M1402">
        <v>114</v>
      </c>
      <c r="N1402">
        <v>810</v>
      </c>
      <c r="O1402">
        <v>172</v>
      </c>
      <c r="P1402">
        <v>37</v>
      </c>
      <c r="Q1402">
        <v>104</v>
      </c>
      <c r="R1402">
        <v>286</v>
      </c>
      <c r="S1402">
        <v>1.5052631578947369</v>
      </c>
      <c r="T1402">
        <v>1.3</v>
      </c>
      <c r="U1402">
        <v>1.6285714285714286</v>
      </c>
    </row>
    <row r="1403" spans="1:21" x14ac:dyDescent="0.35">
      <c r="A1403">
        <v>541</v>
      </c>
      <c r="B1403" s="16">
        <v>40391</v>
      </c>
      <c r="C1403" s="15" t="s">
        <v>76</v>
      </c>
      <c r="D1403" s="15" t="s">
        <v>58</v>
      </c>
      <c r="E1403" s="15" t="s">
        <v>46</v>
      </c>
      <c r="F1403" s="15" t="s">
        <v>47</v>
      </c>
      <c r="G1403" s="15" t="s">
        <v>80</v>
      </c>
      <c r="H1403" s="15" t="s">
        <v>42</v>
      </c>
      <c r="I1403">
        <v>70</v>
      </c>
      <c r="J1403">
        <v>110</v>
      </c>
      <c r="K1403">
        <v>70</v>
      </c>
      <c r="L1403">
        <v>180</v>
      </c>
      <c r="M1403">
        <v>116</v>
      </c>
      <c r="N1403">
        <v>678</v>
      </c>
      <c r="O1403">
        <v>161</v>
      </c>
      <c r="P1403">
        <v>35</v>
      </c>
      <c r="Q1403">
        <v>102</v>
      </c>
      <c r="R1403">
        <v>277</v>
      </c>
      <c r="S1403">
        <v>1.538888888888889</v>
      </c>
      <c r="T1403">
        <v>1.4571428571428571</v>
      </c>
      <c r="U1403">
        <v>1.6571428571428573</v>
      </c>
    </row>
    <row r="1404" spans="1:21" x14ac:dyDescent="0.35">
      <c r="A1404">
        <v>541</v>
      </c>
      <c r="B1404" s="16">
        <v>40391</v>
      </c>
      <c r="C1404" s="15" t="s">
        <v>76</v>
      </c>
      <c r="D1404" s="15" t="s">
        <v>58</v>
      </c>
      <c r="E1404" s="15" t="s">
        <v>44</v>
      </c>
      <c r="F1404" s="15" t="s">
        <v>40</v>
      </c>
      <c r="G1404" s="15" t="s">
        <v>80</v>
      </c>
      <c r="H1404" s="15" t="s">
        <v>45</v>
      </c>
      <c r="I1404">
        <v>40</v>
      </c>
      <c r="J1404">
        <v>60</v>
      </c>
      <c r="K1404">
        <v>40</v>
      </c>
      <c r="L1404">
        <v>100</v>
      </c>
      <c r="M1404">
        <v>34</v>
      </c>
      <c r="N1404">
        <v>428</v>
      </c>
      <c r="O1404">
        <v>51</v>
      </c>
      <c r="P1404">
        <v>10</v>
      </c>
      <c r="Q1404">
        <v>19</v>
      </c>
      <c r="R1404">
        <v>85</v>
      </c>
      <c r="S1404">
        <v>0.85</v>
      </c>
      <c r="T1404">
        <v>0.47499999999999998</v>
      </c>
      <c r="U1404">
        <v>0.85</v>
      </c>
    </row>
    <row r="1405" spans="1:21" x14ac:dyDescent="0.35">
      <c r="A1405">
        <v>971</v>
      </c>
      <c r="B1405" s="16">
        <v>40391</v>
      </c>
      <c r="C1405" s="15" t="s">
        <v>76</v>
      </c>
      <c r="D1405" s="15" t="s">
        <v>58</v>
      </c>
      <c r="E1405" s="15" t="s">
        <v>72</v>
      </c>
      <c r="F1405" s="15" t="s">
        <v>49</v>
      </c>
      <c r="G1405" s="15" t="s">
        <v>80</v>
      </c>
      <c r="H1405" s="15" t="s">
        <v>42</v>
      </c>
      <c r="I1405">
        <v>40</v>
      </c>
      <c r="J1405">
        <v>60</v>
      </c>
      <c r="K1405">
        <v>20</v>
      </c>
      <c r="L1405">
        <v>100</v>
      </c>
      <c r="M1405">
        <v>49</v>
      </c>
      <c r="N1405">
        <v>414</v>
      </c>
      <c r="O1405">
        <v>60</v>
      </c>
      <c r="P1405">
        <v>18</v>
      </c>
      <c r="Q1405">
        <v>9</v>
      </c>
      <c r="R1405">
        <v>109</v>
      </c>
      <c r="S1405">
        <v>1.0900000000000001</v>
      </c>
      <c r="T1405">
        <v>0.45</v>
      </c>
      <c r="U1405">
        <v>1.2250000000000001</v>
      </c>
    </row>
    <row r="1406" spans="1:21" x14ac:dyDescent="0.35">
      <c r="A1406">
        <v>503</v>
      </c>
      <c r="B1406" s="16">
        <v>40391</v>
      </c>
      <c r="C1406" s="15" t="s">
        <v>76</v>
      </c>
      <c r="D1406" s="15" t="s">
        <v>58</v>
      </c>
      <c r="E1406" s="15" t="s">
        <v>48</v>
      </c>
      <c r="F1406" s="15" t="s">
        <v>49</v>
      </c>
      <c r="G1406" s="15" t="s">
        <v>80</v>
      </c>
      <c r="H1406" s="15" t="s">
        <v>42</v>
      </c>
      <c r="I1406">
        <v>40</v>
      </c>
      <c r="J1406">
        <v>60</v>
      </c>
      <c r="K1406">
        <v>30</v>
      </c>
      <c r="L1406">
        <v>100</v>
      </c>
      <c r="M1406">
        <v>46</v>
      </c>
      <c r="N1406">
        <v>415</v>
      </c>
      <c r="O1406">
        <v>62</v>
      </c>
      <c r="P1406">
        <v>15</v>
      </c>
      <c r="Q1406">
        <v>19</v>
      </c>
      <c r="R1406">
        <v>108</v>
      </c>
      <c r="S1406">
        <v>1.08</v>
      </c>
      <c r="T1406">
        <v>0.6333333333333333</v>
      </c>
      <c r="U1406">
        <v>1.1499999999999999</v>
      </c>
    </row>
    <row r="1407" spans="1:21" x14ac:dyDescent="0.35">
      <c r="A1407">
        <v>503</v>
      </c>
      <c r="B1407" s="16">
        <v>40391</v>
      </c>
      <c r="C1407" s="15" t="s">
        <v>76</v>
      </c>
      <c r="D1407" s="15" t="s">
        <v>58</v>
      </c>
      <c r="E1407" s="15" t="s">
        <v>50</v>
      </c>
      <c r="F1407" s="15" t="s">
        <v>49</v>
      </c>
      <c r="G1407" s="15" t="s">
        <v>80</v>
      </c>
      <c r="H1407" s="15" t="s">
        <v>45</v>
      </c>
      <c r="I1407">
        <v>130</v>
      </c>
      <c r="J1407">
        <v>140</v>
      </c>
      <c r="K1407">
        <v>90</v>
      </c>
      <c r="L1407">
        <v>270</v>
      </c>
      <c r="M1407">
        <v>145</v>
      </c>
      <c r="N1407">
        <v>1292</v>
      </c>
      <c r="O1407">
        <v>146</v>
      </c>
      <c r="P1407">
        <v>40</v>
      </c>
      <c r="Q1407">
        <v>81</v>
      </c>
      <c r="R1407">
        <v>291</v>
      </c>
      <c r="S1407">
        <v>1.0777777777777777</v>
      </c>
      <c r="T1407">
        <v>0.9</v>
      </c>
      <c r="U1407">
        <v>1.1153846153846154</v>
      </c>
    </row>
    <row r="1408" spans="1:21" x14ac:dyDescent="0.35">
      <c r="A1408">
        <v>360</v>
      </c>
      <c r="B1408" s="16">
        <v>40391</v>
      </c>
      <c r="C1408" s="15" t="s">
        <v>76</v>
      </c>
      <c r="D1408" s="15" t="s">
        <v>58</v>
      </c>
      <c r="E1408" s="15" t="s">
        <v>51</v>
      </c>
      <c r="F1408" s="15" t="s">
        <v>52</v>
      </c>
      <c r="G1408" s="15" t="s">
        <v>81</v>
      </c>
      <c r="H1408" s="15" t="s">
        <v>45</v>
      </c>
      <c r="I1408">
        <v>70</v>
      </c>
      <c r="J1408">
        <v>120</v>
      </c>
      <c r="K1408">
        <v>80</v>
      </c>
      <c r="L1408">
        <v>190</v>
      </c>
      <c r="M1408">
        <v>90</v>
      </c>
      <c r="N1408">
        <v>1139</v>
      </c>
      <c r="O1408">
        <v>135</v>
      </c>
      <c r="P1408">
        <v>29</v>
      </c>
      <c r="Q1408">
        <v>75</v>
      </c>
      <c r="R1408">
        <v>225</v>
      </c>
      <c r="S1408">
        <v>1.1842105263157894</v>
      </c>
      <c r="T1408">
        <v>0.9375</v>
      </c>
      <c r="U1408">
        <v>1.2857142857142858</v>
      </c>
    </row>
    <row r="1409" spans="1:21" x14ac:dyDescent="0.35">
      <c r="A1409">
        <v>253</v>
      </c>
      <c r="B1409" s="16">
        <v>40391</v>
      </c>
      <c r="C1409" s="15" t="s">
        <v>76</v>
      </c>
      <c r="D1409" s="15" t="s">
        <v>58</v>
      </c>
      <c r="E1409" s="15" t="s">
        <v>53</v>
      </c>
      <c r="F1409" s="15" t="s">
        <v>52</v>
      </c>
      <c r="G1409" s="15" t="s">
        <v>81</v>
      </c>
      <c r="H1409" s="15" t="s">
        <v>45</v>
      </c>
      <c r="I1409">
        <v>40</v>
      </c>
      <c r="J1409">
        <v>60</v>
      </c>
      <c r="K1409">
        <v>50</v>
      </c>
      <c r="L1409">
        <v>100</v>
      </c>
      <c r="M1409">
        <v>48</v>
      </c>
      <c r="N1409">
        <v>839</v>
      </c>
      <c r="O1409">
        <v>70</v>
      </c>
      <c r="P1409">
        <v>13</v>
      </c>
      <c r="Q1409">
        <v>45</v>
      </c>
      <c r="R1409">
        <v>118</v>
      </c>
      <c r="S1409">
        <v>1.18</v>
      </c>
      <c r="T1409">
        <v>0.9</v>
      </c>
      <c r="U1409">
        <v>1.2</v>
      </c>
    </row>
    <row r="1410" spans="1:21" x14ac:dyDescent="0.35">
      <c r="A1410">
        <v>253</v>
      </c>
      <c r="B1410" s="16">
        <v>40391</v>
      </c>
      <c r="C1410" s="15" t="s">
        <v>76</v>
      </c>
      <c r="D1410" s="15" t="s">
        <v>58</v>
      </c>
      <c r="E1410" s="15" t="s">
        <v>55</v>
      </c>
      <c r="F1410" s="15" t="s">
        <v>47</v>
      </c>
      <c r="G1410" s="15" t="s">
        <v>81</v>
      </c>
      <c r="H1410" s="15" t="s">
        <v>42</v>
      </c>
      <c r="I1410">
        <v>30</v>
      </c>
      <c r="J1410">
        <v>50</v>
      </c>
      <c r="K1410">
        <v>30</v>
      </c>
      <c r="L1410">
        <v>80</v>
      </c>
      <c r="M1410">
        <v>47</v>
      </c>
      <c r="N1410">
        <v>366</v>
      </c>
      <c r="O1410">
        <v>79</v>
      </c>
      <c r="P1410">
        <v>14</v>
      </c>
      <c r="Q1410">
        <v>42</v>
      </c>
      <c r="R1410">
        <v>126</v>
      </c>
      <c r="S1410">
        <v>1.575</v>
      </c>
      <c r="T1410">
        <v>1.4</v>
      </c>
      <c r="U1410">
        <v>1.5666666666666667</v>
      </c>
    </row>
    <row r="1411" spans="1:21" x14ac:dyDescent="0.35">
      <c r="A1411">
        <v>206</v>
      </c>
      <c r="B1411" s="16">
        <v>40391</v>
      </c>
      <c r="C1411" s="15" t="s">
        <v>76</v>
      </c>
      <c r="D1411" s="15" t="s">
        <v>58</v>
      </c>
      <c r="E1411" s="15" t="s">
        <v>56</v>
      </c>
      <c r="F1411" s="15" t="s">
        <v>47</v>
      </c>
      <c r="G1411" s="15" t="s">
        <v>81</v>
      </c>
      <c r="H1411" s="15" t="s">
        <v>42</v>
      </c>
      <c r="I1411">
        <v>20</v>
      </c>
      <c r="J1411">
        <v>40</v>
      </c>
      <c r="K1411">
        <v>30</v>
      </c>
      <c r="L1411">
        <v>60</v>
      </c>
      <c r="M1411">
        <v>36</v>
      </c>
      <c r="N1411">
        <v>458</v>
      </c>
      <c r="O1411">
        <v>54</v>
      </c>
      <c r="P1411">
        <v>11</v>
      </c>
      <c r="Q1411">
        <v>20</v>
      </c>
      <c r="R1411">
        <v>90</v>
      </c>
      <c r="S1411">
        <v>1.5</v>
      </c>
      <c r="T1411">
        <v>0.66666666666666663</v>
      </c>
      <c r="U1411">
        <v>1.8</v>
      </c>
    </row>
    <row r="1412" spans="1:21" x14ac:dyDescent="0.35">
      <c r="A1412">
        <v>206</v>
      </c>
      <c r="B1412" s="16">
        <v>40391</v>
      </c>
      <c r="C1412" s="15" t="s">
        <v>76</v>
      </c>
      <c r="D1412" s="15" t="s">
        <v>58</v>
      </c>
      <c r="E1412" s="15" t="s">
        <v>46</v>
      </c>
      <c r="F1412" s="15" t="s">
        <v>47</v>
      </c>
      <c r="G1412" s="15" t="s">
        <v>81</v>
      </c>
      <c r="H1412" s="15" t="s">
        <v>42</v>
      </c>
      <c r="I1412">
        <v>20</v>
      </c>
      <c r="J1412">
        <v>50</v>
      </c>
      <c r="K1412">
        <v>10</v>
      </c>
      <c r="L1412">
        <v>70</v>
      </c>
      <c r="M1412">
        <v>44</v>
      </c>
      <c r="N1412">
        <v>617</v>
      </c>
      <c r="O1412">
        <v>61</v>
      </c>
      <c r="P1412">
        <v>39</v>
      </c>
      <c r="Q1412">
        <v>-8</v>
      </c>
      <c r="R1412">
        <v>105</v>
      </c>
      <c r="S1412">
        <v>1.5</v>
      </c>
      <c r="T1412">
        <v>-0.8</v>
      </c>
      <c r="U1412">
        <v>2.2000000000000002</v>
      </c>
    </row>
    <row r="1413" spans="1:21" x14ac:dyDescent="0.35">
      <c r="A1413">
        <v>509</v>
      </c>
      <c r="B1413" s="16">
        <v>40391</v>
      </c>
      <c r="C1413" s="15" t="s">
        <v>76</v>
      </c>
      <c r="D1413" s="15" t="s">
        <v>58</v>
      </c>
      <c r="E1413" s="15" t="s">
        <v>43</v>
      </c>
      <c r="F1413" s="15" t="s">
        <v>40</v>
      </c>
      <c r="G1413" s="15" t="s">
        <v>81</v>
      </c>
      <c r="H1413" s="15" t="s">
        <v>42</v>
      </c>
      <c r="I1413">
        <v>100</v>
      </c>
      <c r="J1413">
        <v>160</v>
      </c>
      <c r="K1413">
        <v>120</v>
      </c>
      <c r="L1413">
        <v>260</v>
      </c>
      <c r="M1413">
        <v>86</v>
      </c>
      <c r="N1413">
        <v>454</v>
      </c>
      <c r="O1413">
        <v>125</v>
      </c>
      <c r="P1413">
        <v>27</v>
      </c>
      <c r="Q1413">
        <v>76</v>
      </c>
      <c r="R1413">
        <v>211</v>
      </c>
      <c r="S1413">
        <v>0.81153846153846154</v>
      </c>
      <c r="T1413">
        <v>0.6333333333333333</v>
      </c>
      <c r="U1413">
        <v>0.86</v>
      </c>
    </row>
    <row r="1414" spans="1:21" x14ac:dyDescent="0.35">
      <c r="A1414">
        <v>206</v>
      </c>
      <c r="B1414" s="16">
        <v>40391</v>
      </c>
      <c r="C1414" s="15" t="s">
        <v>76</v>
      </c>
      <c r="D1414" s="15" t="s">
        <v>58</v>
      </c>
      <c r="E1414" s="15" t="s">
        <v>44</v>
      </c>
      <c r="F1414" s="15" t="s">
        <v>40</v>
      </c>
      <c r="G1414" s="15" t="s">
        <v>81</v>
      </c>
      <c r="H1414" s="15" t="s">
        <v>45</v>
      </c>
      <c r="I1414">
        <v>160</v>
      </c>
      <c r="J1414">
        <v>230</v>
      </c>
      <c r="K1414">
        <v>100</v>
      </c>
      <c r="L1414">
        <v>390</v>
      </c>
      <c r="M1414">
        <v>133</v>
      </c>
      <c r="N1414">
        <v>705</v>
      </c>
      <c r="O1414">
        <v>184</v>
      </c>
      <c r="P1414">
        <v>120</v>
      </c>
      <c r="Q1414">
        <v>34</v>
      </c>
      <c r="R1414">
        <v>317</v>
      </c>
      <c r="S1414">
        <v>0.81282051282051282</v>
      </c>
      <c r="T1414">
        <v>0.34</v>
      </c>
      <c r="U1414">
        <v>0.83125000000000004</v>
      </c>
    </row>
    <row r="1415" spans="1:21" x14ac:dyDescent="0.35">
      <c r="A1415">
        <v>206</v>
      </c>
      <c r="B1415" s="16">
        <v>40391</v>
      </c>
      <c r="C1415" s="15" t="s">
        <v>76</v>
      </c>
      <c r="D1415" s="15" t="s">
        <v>58</v>
      </c>
      <c r="E1415" s="15" t="s">
        <v>72</v>
      </c>
      <c r="F1415" s="15" t="s">
        <v>49</v>
      </c>
      <c r="G1415" s="15" t="s">
        <v>81</v>
      </c>
      <c r="H1415" s="15" t="s">
        <v>42</v>
      </c>
      <c r="I1415">
        <v>20</v>
      </c>
      <c r="J1415">
        <v>40</v>
      </c>
      <c r="K1415">
        <v>30</v>
      </c>
      <c r="L1415">
        <v>60</v>
      </c>
      <c r="M1415">
        <v>30</v>
      </c>
      <c r="N1415">
        <v>581</v>
      </c>
      <c r="O1415">
        <v>39</v>
      </c>
      <c r="P1415">
        <v>9</v>
      </c>
      <c r="Q1415">
        <v>17</v>
      </c>
      <c r="R1415">
        <v>69</v>
      </c>
      <c r="S1415">
        <v>1.1499999999999999</v>
      </c>
      <c r="T1415">
        <v>0.56666666666666665</v>
      </c>
      <c r="U1415">
        <v>1.5</v>
      </c>
    </row>
    <row r="1416" spans="1:21" x14ac:dyDescent="0.35">
      <c r="A1416">
        <v>425</v>
      </c>
      <c r="B1416" s="16">
        <v>40391</v>
      </c>
      <c r="C1416" s="15" t="s">
        <v>76</v>
      </c>
      <c r="D1416" s="15" t="s">
        <v>58</v>
      </c>
      <c r="E1416" s="15" t="s">
        <v>48</v>
      </c>
      <c r="F1416" s="15" t="s">
        <v>49</v>
      </c>
      <c r="G1416" s="15" t="s">
        <v>81</v>
      </c>
      <c r="H1416" s="15" t="s">
        <v>42</v>
      </c>
      <c r="I1416">
        <v>60</v>
      </c>
      <c r="J1416">
        <v>70</v>
      </c>
      <c r="K1416">
        <v>20</v>
      </c>
      <c r="L1416">
        <v>130</v>
      </c>
      <c r="M1416">
        <v>63</v>
      </c>
      <c r="N1416">
        <v>397</v>
      </c>
      <c r="O1416">
        <v>77</v>
      </c>
      <c r="P1416">
        <v>23</v>
      </c>
      <c r="Q1416">
        <v>20</v>
      </c>
      <c r="R1416">
        <v>140</v>
      </c>
      <c r="S1416">
        <v>1.0769230769230769</v>
      </c>
      <c r="T1416">
        <v>1</v>
      </c>
      <c r="U1416">
        <v>1.05</v>
      </c>
    </row>
    <row r="1417" spans="1:21" x14ac:dyDescent="0.35">
      <c r="A1417">
        <v>206</v>
      </c>
      <c r="B1417" s="16">
        <v>40391</v>
      </c>
      <c r="C1417" s="15" t="s">
        <v>76</v>
      </c>
      <c r="D1417" s="15" t="s">
        <v>58</v>
      </c>
      <c r="E1417" s="15" t="s">
        <v>50</v>
      </c>
      <c r="F1417" s="15" t="s">
        <v>49</v>
      </c>
      <c r="G1417" s="15" t="s">
        <v>81</v>
      </c>
      <c r="H1417" s="15" t="s">
        <v>45</v>
      </c>
      <c r="I1417">
        <v>90</v>
      </c>
      <c r="J1417">
        <v>120</v>
      </c>
      <c r="K1417">
        <v>90</v>
      </c>
      <c r="L1417">
        <v>210</v>
      </c>
      <c r="M1417">
        <v>103</v>
      </c>
      <c r="N1417">
        <v>1073</v>
      </c>
      <c r="O1417">
        <v>123</v>
      </c>
      <c r="P1417">
        <v>31</v>
      </c>
      <c r="Q1417">
        <v>71</v>
      </c>
      <c r="R1417">
        <v>226</v>
      </c>
      <c r="S1417">
        <v>1.0761904761904761</v>
      </c>
      <c r="T1417">
        <v>0.78888888888888886</v>
      </c>
      <c r="U1417">
        <v>1.1444444444444444</v>
      </c>
    </row>
    <row r="1418" spans="1:21" x14ac:dyDescent="0.35">
      <c r="A1418">
        <v>970</v>
      </c>
      <c r="B1418" s="16">
        <v>40422</v>
      </c>
      <c r="C1418" s="15" t="s">
        <v>37</v>
      </c>
      <c r="D1418" s="15" t="s">
        <v>38</v>
      </c>
      <c r="E1418" s="15" t="s">
        <v>51</v>
      </c>
      <c r="F1418" s="15" t="s">
        <v>52</v>
      </c>
      <c r="G1418" s="15" t="s">
        <v>41</v>
      </c>
      <c r="H1418" s="15" t="s">
        <v>45</v>
      </c>
      <c r="I1418">
        <v>130</v>
      </c>
      <c r="J1418">
        <v>140</v>
      </c>
      <c r="K1418">
        <v>90</v>
      </c>
      <c r="L1418">
        <v>270</v>
      </c>
      <c r="M1418">
        <v>155</v>
      </c>
      <c r="N1418">
        <v>1280</v>
      </c>
      <c r="O1418">
        <v>155</v>
      </c>
      <c r="P1418">
        <v>43</v>
      </c>
      <c r="Q1418">
        <v>87</v>
      </c>
      <c r="R1418">
        <v>310</v>
      </c>
      <c r="S1418">
        <v>1.1481481481481481</v>
      </c>
      <c r="T1418">
        <v>0.96666666666666667</v>
      </c>
      <c r="U1418">
        <v>1.1923076923076923</v>
      </c>
    </row>
    <row r="1419" spans="1:21" x14ac:dyDescent="0.35">
      <c r="A1419">
        <v>970</v>
      </c>
      <c r="B1419" s="16">
        <v>40422</v>
      </c>
      <c r="C1419" s="15" t="s">
        <v>37</v>
      </c>
      <c r="D1419" s="15" t="s">
        <v>38</v>
      </c>
      <c r="E1419" s="15" t="s">
        <v>53</v>
      </c>
      <c r="F1419" s="15" t="s">
        <v>52</v>
      </c>
      <c r="G1419" s="15" t="s">
        <v>41</v>
      </c>
      <c r="H1419" s="15" t="s">
        <v>45</v>
      </c>
      <c r="I1419">
        <v>40</v>
      </c>
      <c r="J1419">
        <v>70</v>
      </c>
      <c r="K1419">
        <v>20</v>
      </c>
      <c r="L1419">
        <v>110</v>
      </c>
      <c r="M1419">
        <v>52</v>
      </c>
      <c r="N1419">
        <v>509</v>
      </c>
      <c r="O1419">
        <v>74</v>
      </c>
      <c r="P1419">
        <v>47</v>
      </c>
      <c r="Q1419">
        <v>-2</v>
      </c>
      <c r="R1419">
        <v>126</v>
      </c>
      <c r="S1419">
        <v>1.1454545454545455</v>
      </c>
      <c r="T1419">
        <v>-0.1</v>
      </c>
      <c r="U1419">
        <v>1.3</v>
      </c>
    </row>
    <row r="1420" spans="1:21" x14ac:dyDescent="0.35">
      <c r="A1420">
        <v>720</v>
      </c>
      <c r="B1420" s="16">
        <v>40422</v>
      </c>
      <c r="C1420" s="15" t="s">
        <v>37</v>
      </c>
      <c r="D1420" s="15" t="s">
        <v>38</v>
      </c>
      <c r="E1420" s="15" t="s">
        <v>54</v>
      </c>
      <c r="F1420" s="15" t="s">
        <v>52</v>
      </c>
      <c r="G1420" s="15" t="s">
        <v>41</v>
      </c>
      <c r="H1420" s="15" t="s">
        <v>45</v>
      </c>
      <c r="I1420">
        <v>40</v>
      </c>
      <c r="J1420">
        <v>70</v>
      </c>
      <c r="K1420">
        <v>40</v>
      </c>
      <c r="L1420">
        <v>110</v>
      </c>
      <c r="M1420">
        <v>53</v>
      </c>
      <c r="N1420">
        <v>410</v>
      </c>
      <c r="O1420">
        <v>72</v>
      </c>
      <c r="P1420">
        <v>17</v>
      </c>
      <c r="Q1420">
        <v>27</v>
      </c>
      <c r="R1420">
        <v>125</v>
      </c>
      <c r="S1420">
        <v>1.1363636363636365</v>
      </c>
      <c r="T1420">
        <v>0.67500000000000004</v>
      </c>
      <c r="U1420">
        <v>1.325</v>
      </c>
    </row>
    <row r="1421" spans="1:21" x14ac:dyDescent="0.35">
      <c r="A1421">
        <v>970</v>
      </c>
      <c r="B1421" s="16">
        <v>40422</v>
      </c>
      <c r="C1421" s="15" t="s">
        <v>37</v>
      </c>
      <c r="D1421" s="15" t="s">
        <v>38</v>
      </c>
      <c r="E1421" s="15" t="s">
        <v>55</v>
      </c>
      <c r="F1421" s="15" t="s">
        <v>47</v>
      </c>
      <c r="G1421" s="15" t="s">
        <v>41</v>
      </c>
      <c r="H1421" s="15" t="s">
        <v>42</v>
      </c>
      <c r="I1421">
        <v>30</v>
      </c>
      <c r="J1421">
        <v>50</v>
      </c>
      <c r="K1421">
        <v>10</v>
      </c>
      <c r="L1421">
        <v>80</v>
      </c>
      <c r="M1421">
        <v>45</v>
      </c>
      <c r="N1421">
        <v>409</v>
      </c>
      <c r="O1421">
        <v>57</v>
      </c>
      <c r="P1421">
        <v>17</v>
      </c>
      <c r="Q1421">
        <v>7</v>
      </c>
      <c r="R1421">
        <v>102</v>
      </c>
      <c r="S1421">
        <v>1.2749999999999999</v>
      </c>
      <c r="T1421">
        <v>0.7</v>
      </c>
      <c r="U1421">
        <v>1.5</v>
      </c>
    </row>
    <row r="1422" spans="1:21" x14ac:dyDescent="0.35">
      <c r="A1422">
        <v>720</v>
      </c>
      <c r="B1422" s="16">
        <v>40422</v>
      </c>
      <c r="C1422" s="15" t="s">
        <v>37</v>
      </c>
      <c r="D1422" s="15" t="s">
        <v>38</v>
      </c>
      <c r="E1422" s="15" t="s">
        <v>56</v>
      </c>
      <c r="F1422" s="15" t="s">
        <v>47</v>
      </c>
      <c r="G1422" s="15" t="s">
        <v>41</v>
      </c>
      <c r="H1422" s="15" t="s">
        <v>42</v>
      </c>
      <c r="I1422">
        <v>40</v>
      </c>
      <c r="J1422">
        <v>50</v>
      </c>
      <c r="K1422">
        <v>20</v>
      </c>
      <c r="L1422">
        <v>90</v>
      </c>
      <c r="M1422">
        <v>51</v>
      </c>
      <c r="N1422">
        <v>1042</v>
      </c>
      <c r="O1422">
        <v>62</v>
      </c>
      <c r="P1422">
        <v>15</v>
      </c>
      <c r="Q1422">
        <v>25</v>
      </c>
      <c r="R1422">
        <v>113</v>
      </c>
      <c r="S1422">
        <v>1.2555555555555555</v>
      </c>
      <c r="T1422">
        <v>1.25</v>
      </c>
      <c r="U1422">
        <v>1.2749999999999999</v>
      </c>
    </row>
    <row r="1423" spans="1:21" x14ac:dyDescent="0.35">
      <c r="A1423">
        <v>970</v>
      </c>
      <c r="B1423" s="16">
        <v>40422</v>
      </c>
      <c r="C1423" s="15" t="s">
        <v>37</v>
      </c>
      <c r="D1423" s="15" t="s">
        <v>38</v>
      </c>
      <c r="E1423" s="15" t="s">
        <v>46</v>
      </c>
      <c r="F1423" s="15" t="s">
        <v>47</v>
      </c>
      <c r="G1423" s="15" t="s">
        <v>41</v>
      </c>
      <c r="H1423" s="15" t="s">
        <v>42</v>
      </c>
      <c r="I1423">
        <v>50</v>
      </c>
      <c r="J1423">
        <v>70</v>
      </c>
      <c r="K1423">
        <v>50</v>
      </c>
      <c r="L1423">
        <v>120</v>
      </c>
      <c r="M1423">
        <v>61</v>
      </c>
      <c r="N1423">
        <v>579</v>
      </c>
      <c r="O1423">
        <v>79</v>
      </c>
      <c r="P1423">
        <v>20</v>
      </c>
      <c r="Q1423">
        <v>47</v>
      </c>
      <c r="R1423">
        <v>140</v>
      </c>
      <c r="S1423">
        <v>1.1666666666666667</v>
      </c>
      <c r="T1423">
        <v>0.94</v>
      </c>
      <c r="U1423">
        <v>1.22</v>
      </c>
    </row>
    <row r="1424" spans="1:21" x14ac:dyDescent="0.35">
      <c r="A1424">
        <v>303</v>
      </c>
      <c r="B1424" s="16">
        <v>40422</v>
      </c>
      <c r="C1424" s="15" t="s">
        <v>37</v>
      </c>
      <c r="D1424" s="15" t="s">
        <v>38</v>
      </c>
      <c r="E1424" s="15" t="s">
        <v>48</v>
      </c>
      <c r="F1424" s="15" t="s">
        <v>49</v>
      </c>
      <c r="G1424" s="15" t="s">
        <v>41</v>
      </c>
      <c r="H1424" s="15" t="s">
        <v>42</v>
      </c>
      <c r="I1424">
        <v>90</v>
      </c>
      <c r="J1424">
        <v>140</v>
      </c>
      <c r="K1424">
        <v>110</v>
      </c>
      <c r="L1424">
        <v>230</v>
      </c>
      <c r="M1424">
        <v>81</v>
      </c>
      <c r="N1424">
        <v>588</v>
      </c>
      <c r="O1424">
        <v>118</v>
      </c>
      <c r="P1424">
        <v>22</v>
      </c>
      <c r="Q1424">
        <v>84</v>
      </c>
      <c r="R1424">
        <v>199</v>
      </c>
      <c r="S1424">
        <v>0.86521739130434783</v>
      </c>
      <c r="T1424">
        <v>0.76363636363636367</v>
      </c>
      <c r="U1424">
        <v>0.9</v>
      </c>
    </row>
    <row r="1425" spans="1:21" x14ac:dyDescent="0.35">
      <c r="A1425">
        <v>303</v>
      </c>
      <c r="B1425" s="16">
        <v>40422</v>
      </c>
      <c r="C1425" s="15" t="s">
        <v>37</v>
      </c>
      <c r="D1425" s="15" t="s">
        <v>38</v>
      </c>
      <c r="E1425" s="15" t="s">
        <v>50</v>
      </c>
      <c r="F1425" s="15" t="s">
        <v>49</v>
      </c>
      <c r="G1425" s="15" t="s">
        <v>41</v>
      </c>
      <c r="H1425" s="15" t="s">
        <v>45</v>
      </c>
      <c r="I1425">
        <v>60</v>
      </c>
      <c r="J1425">
        <v>110</v>
      </c>
      <c r="K1425">
        <v>60</v>
      </c>
      <c r="L1425">
        <v>170</v>
      </c>
      <c r="M1425">
        <v>60</v>
      </c>
      <c r="N1425">
        <v>656</v>
      </c>
      <c r="O1425">
        <v>90</v>
      </c>
      <c r="P1425">
        <v>19</v>
      </c>
      <c r="Q1425">
        <v>39</v>
      </c>
      <c r="R1425">
        <v>150</v>
      </c>
      <c r="S1425">
        <v>0.88235294117647056</v>
      </c>
      <c r="T1425">
        <v>0.65</v>
      </c>
      <c r="U1425">
        <v>1</v>
      </c>
    </row>
    <row r="1426" spans="1:21" x14ac:dyDescent="0.35">
      <c r="A1426">
        <v>970</v>
      </c>
      <c r="B1426" s="16">
        <v>40422</v>
      </c>
      <c r="C1426" s="15" t="s">
        <v>37</v>
      </c>
      <c r="D1426" s="15" t="s">
        <v>38</v>
      </c>
      <c r="E1426" s="15" t="s">
        <v>39</v>
      </c>
      <c r="F1426" s="15" t="s">
        <v>40</v>
      </c>
      <c r="G1426" s="15" t="s">
        <v>41</v>
      </c>
      <c r="H1426" s="15" t="s">
        <v>42</v>
      </c>
      <c r="I1426">
        <v>130</v>
      </c>
      <c r="J1426">
        <v>180</v>
      </c>
      <c r="K1426">
        <v>140</v>
      </c>
      <c r="L1426">
        <v>310</v>
      </c>
      <c r="M1426">
        <v>123</v>
      </c>
      <c r="N1426">
        <v>928</v>
      </c>
      <c r="O1426">
        <v>179</v>
      </c>
      <c r="P1426">
        <v>34</v>
      </c>
      <c r="Q1426">
        <v>134</v>
      </c>
      <c r="R1426">
        <v>302</v>
      </c>
      <c r="S1426">
        <v>0.97419354838709682</v>
      </c>
      <c r="T1426">
        <v>0.95714285714285718</v>
      </c>
      <c r="U1426">
        <v>0.94615384615384612</v>
      </c>
    </row>
    <row r="1427" spans="1:21" x14ac:dyDescent="0.35">
      <c r="A1427">
        <v>970</v>
      </c>
      <c r="B1427" s="16">
        <v>40422</v>
      </c>
      <c r="C1427" s="15" t="s">
        <v>37</v>
      </c>
      <c r="D1427" s="15" t="s">
        <v>38</v>
      </c>
      <c r="E1427" s="15" t="s">
        <v>43</v>
      </c>
      <c r="F1427" s="15" t="s">
        <v>40</v>
      </c>
      <c r="G1427" s="15" t="s">
        <v>41</v>
      </c>
      <c r="H1427" s="15" t="s">
        <v>42</v>
      </c>
      <c r="I1427">
        <v>60</v>
      </c>
      <c r="J1427">
        <v>70</v>
      </c>
      <c r="K1427">
        <v>50</v>
      </c>
      <c r="L1427">
        <v>130</v>
      </c>
      <c r="M1427">
        <v>58</v>
      </c>
      <c r="N1427">
        <v>548</v>
      </c>
      <c r="O1427">
        <v>74</v>
      </c>
      <c r="P1427">
        <v>19</v>
      </c>
      <c r="Q1427">
        <v>42</v>
      </c>
      <c r="R1427">
        <v>132</v>
      </c>
      <c r="S1427">
        <v>1.0153846153846153</v>
      </c>
      <c r="T1427">
        <v>0.84</v>
      </c>
      <c r="U1427">
        <v>0.96666666666666667</v>
      </c>
    </row>
    <row r="1428" spans="1:21" x14ac:dyDescent="0.35">
      <c r="A1428">
        <v>970</v>
      </c>
      <c r="B1428" s="16">
        <v>40422</v>
      </c>
      <c r="C1428" s="15" t="s">
        <v>37</v>
      </c>
      <c r="D1428" s="15" t="s">
        <v>38</v>
      </c>
      <c r="E1428" s="15" t="s">
        <v>44</v>
      </c>
      <c r="F1428" s="15" t="s">
        <v>40</v>
      </c>
      <c r="G1428" s="15" t="s">
        <v>41</v>
      </c>
      <c r="H1428" s="15" t="s">
        <v>45</v>
      </c>
      <c r="I1428">
        <v>100</v>
      </c>
      <c r="J1428">
        <v>150</v>
      </c>
      <c r="K1428">
        <v>120</v>
      </c>
      <c r="L1428">
        <v>250</v>
      </c>
      <c r="M1428">
        <v>100</v>
      </c>
      <c r="N1428">
        <v>981</v>
      </c>
      <c r="O1428">
        <v>145</v>
      </c>
      <c r="P1428">
        <v>28</v>
      </c>
      <c r="Q1428">
        <v>106</v>
      </c>
      <c r="R1428">
        <v>245</v>
      </c>
      <c r="S1428">
        <v>0.98</v>
      </c>
      <c r="T1428">
        <v>0.8833333333333333</v>
      </c>
      <c r="U1428">
        <v>1</v>
      </c>
    </row>
    <row r="1429" spans="1:21" x14ac:dyDescent="0.35">
      <c r="A1429">
        <v>708</v>
      </c>
      <c r="B1429" s="16">
        <v>40422</v>
      </c>
      <c r="C1429" s="15" t="s">
        <v>37</v>
      </c>
      <c r="D1429" s="15" t="s">
        <v>38</v>
      </c>
      <c r="E1429" s="15" t="s">
        <v>51</v>
      </c>
      <c r="F1429" s="15" t="s">
        <v>52</v>
      </c>
      <c r="G1429" s="15" t="s">
        <v>57</v>
      </c>
      <c r="H1429" s="15" t="s">
        <v>45</v>
      </c>
      <c r="I1429">
        <v>100</v>
      </c>
      <c r="J1429">
        <v>160</v>
      </c>
      <c r="K1429">
        <v>140</v>
      </c>
      <c r="L1429">
        <v>260</v>
      </c>
      <c r="M1429">
        <v>123</v>
      </c>
      <c r="N1429">
        <v>928</v>
      </c>
      <c r="O1429">
        <v>179</v>
      </c>
      <c r="P1429">
        <v>34</v>
      </c>
      <c r="Q1429">
        <v>133</v>
      </c>
      <c r="R1429">
        <v>302</v>
      </c>
      <c r="S1429">
        <v>1.1615384615384616</v>
      </c>
      <c r="T1429">
        <v>0.95</v>
      </c>
      <c r="U1429">
        <v>1.23</v>
      </c>
    </row>
    <row r="1430" spans="1:21" x14ac:dyDescent="0.35">
      <c r="A1430">
        <v>630</v>
      </c>
      <c r="B1430" s="16">
        <v>40422</v>
      </c>
      <c r="C1430" s="15" t="s">
        <v>37</v>
      </c>
      <c r="D1430" s="15" t="s">
        <v>38</v>
      </c>
      <c r="E1430" s="15" t="s">
        <v>53</v>
      </c>
      <c r="F1430" s="15" t="s">
        <v>52</v>
      </c>
      <c r="G1430" s="15" t="s">
        <v>57</v>
      </c>
      <c r="H1430" s="15" t="s">
        <v>45</v>
      </c>
      <c r="I1430">
        <v>40</v>
      </c>
      <c r="J1430">
        <v>70</v>
      </c>
      <c r="K1430">
        <v>50</v>
      </c>
      <c r="L1430">
        <v>110</v>
      </c>
      <c r="M1430">
        <v>58</v>
      </c>
      <c r="N1430">
        <v>548</v>
      </c>
      <c r="O1430">
        <v>74</v>
      </c>
      <c r="P1430">
        <v>19</v>
      </c>
      <c r="Q1430">
        <v>43</v>
      </c>
      <c r="R1430">
        <v>132</v>
      </c>
      <c r="S1430">
        <v>1.2</v>
      </c>
      <c r="T1430">
        <v>0.86</v>
      </c>
      <c r="U1430">
        <v>1.45</v>
      </c>
    </row>
    <row r="1431" spans="1:21" x14ac:dyDescent="0.35">
      <c r="A1431">
        <v>773</v>
      </c>
      <c r="B1431" s="16">
        <v>40422</v>
      </c>
      <c r="C1431" s="15" t="s">
        <v>37</v>
      </c>
      <c r="D1431" s="15" t="s">
        <v>38</v>
      </c>
      <c r="E1431" s="15" t="s">
        <v>54</v>
      </c>
      <c r="F1431" s="15" t="s">
        <v>52</v>
      </c>
      <c r="G1431" s="15" t="s">
        <v>57</v>
      </c>
      <c r="H1431" s="15" t="s">
        <v>45</v>
      </c>
      <c r="I1431">
        <v>80</v>
      </c>
      <c r="J1431">
        <v>130</v>
      </c>
      <c r="K1431">
        <v>110</v>
      </c>
      <c r="L1431">
        <v>210</v>
      </c>
      <c r="M1431">
        <v>100</v>
      </c>
      <c r="N1431">
        <v>981</v>
      </c>
      <c r="O1431">
        <v>145</v>
      </c>
      <c r="P1431">
        <v>28</v>
      </c>
      <c r="Q1431">
        <v>106</v>
      </c>
      <c r="R1431">
        <v>245</v>
      </c>
      <c r="S1431">
        <v>1.1666666666666667</v>
      </c>
      <c r="T1431">
        <v>0.96363636363636362</v>
      </c>
      <c r="U1431">
        <v>1.25</v>
      </c>
    </row>
    <row r="1432" spans="1:21" x14ac:dyDescent="0.35">
      <c r="A1432">
        <v>815</v>
      </c>
      <c r="B1432" s="16">
        <v>40422</v>
      </c>
      <c r="C1432" s="15" t="s">
        <v>37</v>
      </c>
      <c r="D1432" s="15" t="s">
        <v>38</v>
      </c>
      <c r="E1432" s="15" t="s">
        <v>55</v>
      </c>
      <c r="F1432" s="15" t="s">
        <v>47</v>
      </c>
      <c r="G1432" s="15" t="s">
        <v>57</v>
      </c>
      <c r="H1432" s="15" t="s">
        <v>42</v>
      </c>
      <c r="I1432">
        <v>60</v>
      </c>
      <c r="J1432">
        <v>110</v>
      </c>
      <c r="K1432">
        <v>80</v>
      </c>
      <c r="L1432">
        <v>170</v>
      </c>
      <c r="M1432">
        <v>81</v>
      </c>
      <c r="N1432">
        <v>588</v>
      </c>
      <c r="O1432">
        <v>118</v>
      </c>
      <c r="P1432">
        <v>22</v>
      </c>
      <c r="Q1432">
        <v>84</v>
      </c>
      <c r="R1432">
        <v>199</v>
      </c>
      <c r="S1432">
        <v>1.1705882352941177</v>
      </c>
      <c r="T1432">
        <v>1.05</v>
      </c>
      <c r="U1432">
        <v>1.35</v>
      </c>
    </row>
    <row r="1433" spans="1:21" x14ac:dyDescent="0.35">
      <c r="A1433">
        <v>773</v>
      </c>
      <c r="B1433" s="16">
        <v>40422</v>
      </c>
      <c r="C1433" s="15" t="s">
        <v>37</v>
      </c>
      <c r="D1433" s="15" t="s">
        <v>38</v>
      </c>
      <c r="E1433" s="15" t="s">
        <v>56</v>
      </c>
      <c r="F1433" s="15" t="s">
        <v>47</v>
      </c>
      <c r="G1433" s="15" t="s">
        <v>57</v>
      </c>
      <c r="H1433" s="15" t="s">
        <v>42</v>
      </c>
      <c r="I1433">
        <v>50</v>
      </c>
      <c r="J1433">
        <v>80</v>
      </c>
      <c r="K1433">
        <v>40</v>
      </c>
      <c r="L1433">
        <v>130</v>
      </c>
      <c r="M1433">
        <v>60</v>
      </c>
      <c r="N1433">
        <v>656</v>
      </c>
      <c r="O1433">
        <v>90</v>
      </c>
      <c r="P1433">
        <v>19</v>
      </c>
      <c r="Q1433">
        <v>40</v>
      </c>
      <c r="R1433">
        <v>150</v>
      </c>
      <c r="S1433">
        <v>1.1538461538461537</v>
      </c>
      <c r="T1433">
        <v>1</v>
      </c>
      <c r="U1433">
        <v>1.2</v>
      </c>
    </row>
    <row r="1434" spans="1:21" x14ac:dyDescent="0.35">
      <c r="A1434">
        <v>618</v>
      </c>
      <c r="B1434" s="16">
        <v>40422</v>
      </c>
      <c r="C1434" s="15" t="s">
        <v>37</v>
      </c>
      <c r="D1434" s="15" t="s">
        <v>38</v>
      </c>
      <c r="E1434" s="15" t="s">
        <v>48</v>
      </c>
      <c r="F1434" s="15" t="s">
        <v>49</v>
      </c>
      <c r="G1434" s="15" t="s">
        <v>57</v>
      </c>
      <c r="H1434" s="15" t="s">
        <v>42</v>
      </c>
      <c r="I1434">
        <v>290</v>
      </c>
      <c r="J1434">
        <v>400</v>
      </c>
      <c r="K1434">
        <v>280</v>
      </c>
      <c r="L1434">
        <v>690</v>
      </c>
      <c r="M1434">
        <v>253</v>
      </c>
      <c r="N1434">
        <v>1686</v>
      </c>
      <c r="O1434">
        <v>336</v>
      </c>
      <c r="P1434">
        <v>83</v>
      </c>
      <c r="Q1434">
        <v>220</v>
      </c>
      <c r="R1434">
        <v>589</v>
      </c>
      <c r="S1434">
        <v>0.8536231884057971</v>
      </c>
      <c r="T1434">
        <v>0.7857142857142857</v>
      </c>
      <c r="U1434">
        <v>0.87241379310344824</v>
      </c>
    </row>
    <row r="1435" spans="1:21" x14ac:dyDescent="0.35">
      <c r="A1435">
        <v>312</v>
      </c>
      <c r="B1435" s="16">
        <v>40422</v>
      </c>
      <c r="C1435" s="15" t="s">
        <v>37</v>
      </c>
      <c r="D1435" s="15" t="s">
        <v>38</v>
      </c>
      <c r="E1435" s="15" t="s">
        <v>50</v>
      </c>
      <c r="F1435" s="15" t="s">
        <v>49</v>
      </c>
      <c r="G1435" s="15" t="s">
        <v>57</v>
      </c>
      <c r="H1435" s="15" t="s">
        <v>45</v>
      </c>
      <c r="I1435">
        <v>280</v>
      </c>
      <c r="J1435">
        <v>300</v>
      </c>
      <c r="K1435">
        <v>210</v>
      </c>
      <c r="L1435">
        <v>580</v>
      </c>
      <c r="M1435">
        <v>249</v>
      </c>
      <c r="N1435">
        <v>1775</v>
      </c>
      <c r="O1435">
        <v>249</v>
      </c>
      <c r="P1435">
        <v>69</v>
      </c>
      <c r="Q1435">
        <v>155</v>
      </c>
      <c r="R1435">
        <v>498</v>
      </c>
      <c r="S1435">
        <v>0.85862068965517246</v>
      </c>
      <c r="T1435">
        <v>0.73809523809523814</v>
      </c>
      <c r="U1435">
        <v>0.88928571428571423</v>
      </c>
    </row>
    <row r="1436" spans="1:21" x14ac:dyDescent="0.35">
      <c r="A1436">
        <v>309</v>
      </c>
      <c r="B1436" s="16">
        <v>40422</v>
      </c>
      <c r="C1436" s="15" t="s">
        <v>37</v>
      </c>
      <c r="D1436" s="15" t="s">
        <v>38</v>
      </c>
      <c r="E1436" s="15" t="s">
        <v>43</v>
      </c>
      <c r="F1436" s="15" t="s">
        <v>40</v>
      </c>
      <c r="G1436" s="15" t="s">
        <v>57</v>
      </c>
      <c r="H1436" s="15" t="s">
        <v>42</v>
      </c>
      <c r="I1436">
        <v>170</v>
      </c>
      <c r="J1436">
        <v>230</v>
      </c>
      <c r="K1436">
        <v>140</v>
      </c>
      <c r="L1436">
        <v>400</v>
      </c>
      <c r="M1436">
        <v>162</v>
      </c>
      <c r="N1436">
        <v>1148</v>
      </c>
      <c r="O1436">
        <v>225</v>
      </c>
      <c r="P1436">
        <v>53</v>
      </c>
      <c r="Q1436">
        <v>129</v>
      </c>
      <c r="R1436">
        <v>387</v>
      </c>
      <c r="S1436">
        <v>0.96750000000000003</v>
      </c>
      <c r="T1436">
        <v>0.92142857142857137</v>
      </c>
      <c r="U1436">
        <v>0.95294117647058818</v>
      </c>
    </row>
    <row r="1437" spans="1:21" x14ac:dyDescent="0.35">
      <c r="A1437">
        <v>708</v>
      </c>
      <c r="B1437" s="16">
        <v>40422</v>
      </c>
      <c r="C1437" s="15" t="s">
        <v>37</v>
      </c>
      <c r="D1437" s="15" t="s">
        <v>38</v>
      </c>
      <c r="E1437" s="15" t="s">
        <v>44</v>
      </c>
      <c r="F1437" s="15" t="s">
        <v>40</v>
      </c>
      <c r="G1437" s="15" t="s">
        <v>57</v>
      </c>
      <c r="H1437" s="15" t="s">
        <v>45</v>
      </c>
      <c r="I1437">
        <v>120</v>
      </c>
      <c r="J1437">
        <v>190</v>
      </c>
      <c r="K1437">
        <v>140</v>
      </c>
      <c r="L1437">
        <v>310</v>
      </c>
      <c r="M1437">
        <v>122</v>
      </c>
      <c r="N1437">
        <v>801</v>
      </c>
      <c r="O1437">
        <v>176</v>
      </c>
      <c r="P1437">
        <v>39</v>
      </c>
      <c r="Q1437">
        <v>115</v>
      </c>
      <c r="R1437">
        <v>298</v>
      </c>
      <c r="S1437">
        <v>0.96129032258064517</v>
      </c>
      <c r="T1437">
        <v>0.8214285714285714</v>
      </c>
      <c r="U1437">
        <v>1.0166666666666666</v>
      </c>
    </row>
    <row r="1438" spans="1:21" x14ac:dyDescent="0.35">
      <c r="A1438">
        <v>712</v>
      </c>
      <c r="B1438" s="16">
        <v>40422</v>
      </c>
      <c r="C1438" s="15" t="s">
        <v>37</v>
      </c>
      <c r="D1438" s="15" t="s">
        <v>58</v>
      </c>
      <c r="E1438" s="15" t="s">
        <v>51</v>
      </c>
      <c r="F1438" s="15" t="s">
        <v>52</v>
      </c>
      <c r="G1438" s="15" t="s">
        <v>59</v>
      </c>
      <c r="H1438" s="15" t="s">
        <v>45</v>
      </c>
      <c r="I1438">
        <v>210</v>
      </c>
      <c r="J1438">
        <v>300</v>
      </c>
      <c r="K1438">
        <v>210</v>
      </c>
      <c r="L1438">
        <v>510</v>
      </c>
      <c r="M1438">
        <v>253</v>
      </c>
      <c r="N1438">
        <v>1686</v>
      </c>
      <c r="O1438">
        <v>336</v>
      </c>
      <c r="P1438">
        <v>83</v>
      </c>
      <c r="Q1438">
        <v>220</v>
      </c>
      <c r="R1438">
        <v>589</v>
      </c>
      <c r="S1438">
        <v>1.1549019607843136</v>
      </c>
      <c r="T1438">
        <v>1.0476190476190477</v>
      </c>
      <c r="U1438">
        <v>1.2047619047619047</v>
      </c>
    </row>
    <row r="1439" spans="1:21" x14ac:dyDescent="0.35">
      <c r="A1439">
        <v>563</v>
      </c>
      <c r="B1439" s="16">
        <v>40422</v>
      </c>
      <c r="C1439" s="15" t="s">
        <v>37</v>
      </c>
      <c r="D1439" s="15" t="s">
        <v>58</v>
      </c>
      <c r="E1439" s="15" t="s">
        <v>53</v>
      </c>
      <c r="F1439" s="15" t="s">
        <v>52</v>
      </c>
      <c r="G1439" s="15" t="s">
        <v>59</v>
      </c>
      <c r="H1439" s="15" t="s">
        <v>45</v>
      </c>
      <c r="I1439">
        <v>100</v>
      </c>
      <c r="J1439">
        <v>160</v>
      </c>
      <c r="K1439">
        <v>120</v>
      </c>
      <c r="L1439">
        <v>260</v>
      </c>
      <c r="M1439">
        <v>122</v>
      </c>
      <c r="N1439">
        <v>801</v>
      </c>
      <c r="O1439">
        <v>176</v>
      </c>
      <c r="P1439">
        <v>39</v>
      </c>
      <c r="Q1439">
        <v>115</v>
      </c>
      <c r="R1439">
        <v>298</v>
      </c>
      <c r="S1439">
        <v>1.1461538461538461</v>
      </c>
      <c r="T1439">
        <v>0.95833333333333337</v>
      </c>
      <c r="U1439">
        <v>1.22</v>
      </c>
    </row>
    <row r="1440" spans="1:21" x14ac:dyDescent="0.35">
      <c r="A1440">
        <v>641</v>
      </c>
      <c r="B1440" s="16">
        <v>40422</v>
      </c>
      <c r="C1440" s="15" t="s">
        <v>37</v>
      </c>
      <c r="D1440" s="15" t="s">
        <v>58</v>
      </c>
      <c r="E1440" s="15" t="s">
        <v>55</v>
      </c>
      <c r="F1440" s="15" t="s">
        <v>47</v>
      </c>
      <c r="G1440" s="15" t="s">
        <v>59</v>
      </c>
      <c r="H1440" s="15" t="s">
        <v>42</v>
      </c>
      <c r="I1440">
        <v>210</v>
      </c>
      <c r="J1440">
        <v>220</v>
      </c>
      <c r="K1440">
        <v>140</v>
      </c>
      <c r="L1440">
        <v>430</v>
      </c>
      <c r="M1440">
        <v>249</v>
      </c>
      <c r="N1440">
        <v>1775</v>
      </c>
      <c r="O1440">
        <v>249</v>
      </c>
      <c r="P1440">
        <v>69</v>
      </c>
      <c r="Q1440">
        <v>155</v>
      </c>
      <c r="R1440">
        <v>498</v>
      </c>
      <c r="S1440">
        <v>1.1581395348837209</v>
      </c>
      <c r="T1440">
        <v>1.1071428571428572</v>
      </c>
      <c r="U1440">
        <v>1.1857142857142857</v>
      </c>
    </row>
    <row r="1441" spans="1:21" x14ac:dyDescent="0.35">
      <c r="A1441">
        <v>712</v>
      </c>
      <c r="B1441" s="16">
        <v>40422</v>
      </c>
      <c r="C1441" s="15" t="s">
        <v>37</v>
      </c>
      <c r="D1441" s="15" t="s">
        <v>58</v>
      </c>
      <c r="E1441" s="15" t="s">
        <v>56</v>
      </c>
      <c r="F1441" s="15" t="s">
        <v>47</v>
      </c>
      <c r="G1441" s="15" t="s">
        <v>59</v>
      </c>
      <c r="H1441" s="15" t="s">
        <v>42</v>
      </c>
      <c r="I1441">
        <v>250</v>
      </c>
      <c r="J1441">
        <v>340</v>
      </c>
      <c r="K1441">
        <v>210</v>
      </c>
      <c r="L1441">
        <v>590</v>
      </c>
      <c r="M1441">
        <v>302</v>
      </c>
      <c r="N1441">
        <v>1783</v>
      </c>
      <c r="O1441">
        <v>370</v>
      </c>
      <c r="P1441">
        <v>114</v>
      </c>
      <c r="Q1441">
        <v>223</v>
      </c>
      <c r="R1441">
        <v>672</v>
      </c>
      <c r="S1441">
        <v>1.1389830508474577</v>
      </c>
      <c r="T1441">
        <v>1.0619047619047619</v>
      </c>
      <c r="U1441">
        <v>1.208</v>
      </c>
    </row>
    <row r="1442" spans="1:21" x14ac:dyDescent="0.35">
      <c r="A1442">
        <v>515</v>
      </c>
      <c r="B1442" s="16">
        <v>40422</v>
      </c>
      <c r="C1442" s="15" t="s">
        <v>37</v>
      </c>
      <c r="D1442" s="15" t="s">
        <v>58</v>
      </c>
      <c r="E1442" s="15" t="s">
        <v>48</v>
      </c>
      <c r="F1442" s="15" t="s">
        <v>49</v>
      </c>
      <c r="G1442" s="15" t="s">
        <v>59</v>
      </c>
      <c r="H1442" s="15" t="s">
        <v>42</v>
      </c>
      <c r="I1442">
        <v>20</v>
      </c>
      <c r="J1442">
        <v>40</v>
      </c>
      <c r="K1442">
        <v>30</v>
      </c>
      <c r="L1442">
        <v>60</v>
      </c>
      <c r="M1442">
        <v>23</v>
      </c>
      <c r="N1442">
        <v>803</v>
      </c>
      <c r="O1442">
        <v>35</v>
      </c>
      <c r="P1442">
        <v>6</v>
      </c>
      <c r="Q1442">
        <v>18</v>
      </c>
      <c r="R1442">
        <v>58</v>
      </c>
      <c r="S1442">
        <v>0.96666666666666667</v>
      </c>
      <c r="T1442">
        <v>0.6</v>
      </c>
      <c r="U1442">
        <v>1.1499999999999999</v>
      </c>
    </row>
    <row r="1443" spans="1:21" x14ac:dyDescent="0.35">
      <c r="A1443">
        <v>319</v>
      </c>
      <c r="B1443" s="16">
        <v>40422</v>
      </c>
      <c r="C1443" s="15" t="s">
        <v>37</v>
      </c>
      <c r="D1443" s="15" t="s">
        <v>58</v>
      </c>
      <c r="E1443" s="15" t="s">
        <v>50</v>
      </c>
      <c r="F1443" s="15" t="s">
        <v>49</v>
      </c>
      <c r="G1443" s="15" t="s">
        <v>59</v>
      </c>
      <c r="H1443" s="15" t="s">
        <v>45</v>
      </c>
      <c r="I1443">
        <v>0</v>
      </c>
      <c r="J1443">
        <v>50</v>
      </c>
      <c r="K1443">
        <v>40</v>
      </c>
      <c r="L1443">
        <v>50</v>
      </c>
      <c r="M1443">
        <v>0</v>
      </c>
      <c r="N1443">
        <v>473</v>
      </c>
      <c r="O1443">
        <v>43</v>
      </c>
      <c r="P1443">
        <v>0</v>
      </c>
      <c r="Q1443">
        <v>32</v>
      </c>
      <c r="R1443">
        <v>43</v>
      </c>
      <c r="S1443">
        <v>0.86</v>
      </c>
      <c r="T1443">
        <v>0.8</v>
      </c>
    </row>
    <row r="1444" spans="1:21" x14ac:dyDescent="0.35">
      <c r="A1444">
        <v>319</v>
      </c>
      <c r="B1444" s="16">
        <v>40422</v>
      </c>
      <c r="C1444" s="15" t="s">
        <v>37</v>
      </c>
      <c r="D1444" s="15" t="s">
        <v>58</v>
      </c>
      <c r="E1444" s="15" t="s">
        <v>39</v>
      </c>
      <c r="F1444" s="15" t="s">
        <v>40</v>
      </c>
      <c r="G1444" s="15" t="s">
        <v>59</v>
      </c>
      <c r="H1444" s="15" t="s">
        <v>42</v>
      </c>
      <c r="I1444">
        <v>20</v>
      </c>
      <c r="J1444">
        <v>30</v>
      </c>
      <c r="K1444">
        <v>20</v>
      </c>
      <c r="L1444">
        <v>50</v>
      </c>
      <c r="M1444">
        <v>19</v>
      </c>
      <c r="N1444">
        <v>848</v>
      </c>
      <c r="O1444">
        <v>29</v>
      </c>
      <c r="P1444">
        <v>5</v>
      </c>
      <c r="Q1444">
        <v>13</v>
      </c>
      <c r="R1444">
        <v>48</v>
      </c>
      <c r="S1444">
        <v>0.96</v>
      </c>
      <c r="T1444">
        <v>0.65</v>
      </c>
      <c r="U1444">
        <v>0.95</v>
      </c>
    </row>
    <row r="1445" spans="1:21" x14ac:dyDescent="0.35">
      <c r="A1445">
        <v>319</v>
      </c>
      <c r="B1445" s="16">
        <v>40422</v>
      </c>
      <c r="C1445" s="15" t="s">
        <v>37</v>
      </c>
      <c r="D1445" s="15" t="s">
        <v>58</v>
      </c>
      <c r="E1445" s="15" t="s">
        <v>43</v>
      </c>
      <c r="F1445" s="15" t="s">
        <v>40</v>
      </c>
      <c r="G1445" s="15" t="s">
        <v>59</v>
      </c>
      <c r="H1445" s="15" t="s">
        <v>42</v>
      </c>
      <c r="I1445">
        <v>30</v>
      </c>
      <c r="J1445">
        <v>40</v>
      </c>
      <c r="K1445">
        <v>20</v>
      </c>
      <c r="L1445">
        <v>70</v>
      </c>
      <c r="M1445">
        <v>33</v>
      </c>
      <c r="N1445">
        <v>1003</v>
      </c>
      <c r="O1445">
        <v>39</v>
      </c>
      <c r="P1445">
        <v>10</v>
      </c>
      <c r="Q1445">
        <v>7</v>
      </c>
      <c r="R1445">
        <v>72</v>
      </c>
      <c r="S1445">
        <v>1.0285714285714285</v>
      </c>
      <c r="T1445">
        <v>0.35</v>
      </c>
      <c r="U1445">
        <v>1.1000000000000001</v>
      </c>
    </row>
    <row r="1446" spans="1:21" x14ac:dyDescent="0.35">
      <c r="A1446">
        <v>563</v>
      </c>
      <c r="B1446" s="16">
        <v>40422</v>
      </c>
      <c r="C1446" s="15" t="s">
        <v>37</v>
      </c>
      <c r="D1446" s="15" t="s">
        <v>58</v>
      </c>
      <c r="E1446" s="15" t="s">
        <v>44</v>
      </c>
      <c r="F1446" s="15" t="s">
        <v>40</v>
      </c>
      <c r="G1446" s="15" t="s">
        <v>59</v>
      </c>
      <c r="H1446" s="15" t="s">
        <v>45</v>
      </c>
      <c r="I1446">
        <v>10</v>
      </c>
      <c r="J1446">
        <v>20</v>
      </c>
      <c r="K1446">
        <v>10</v>
      </c>
      <c r="L1446">
        <v>30</v>
      </c>
      <c r="M1446">
        <v>15</v>
      </c>
      <c r="N1446">
        <v>600</v>
      </c>
      <c r="O1446">
        <v>20</v>
      </c>
      <c r="P1446">
        <v>4</v>
      </c>
      <c r="Q1446">
        <v>3</v>
      </c>
      <c r="R1446">
        <v>35</v>
      </c>
      <c r="S1446">
        <v>1.1666666666666667</v>
      </c>
      <c r="T1446">
        <v>0.3</v>
      </c>
      <c r="U1446">
        <v>1.5</v>
      </c>
    </row>
    <row r="1447" spans="1:21" x14ac:dyDescent="0.35">
      <c r="A1447">
        <v>636</v>
      </c>
      <c r="B1447" s="16">
        <v>40422</v>
      </c>
      <c r="C1447" s="15" t="s">
        <v>37</v>
      </c>
      <c r="D1447" s="15" t="s">
        <v>58</v>
      </c>
      <c r="E1447" s="15" t="s">
        <v>51</v>
      </c>
      <c r="F1447" s="15" t="s">
        <v>52</v>
      </c>
      <c r="G1447" s="15" t="s">
        <v>60</v>
      </c>
      <c r="H1447" s="15" t="s">
        <v>45</v>
      </c>
      <c r="I1447">
        <v>30</v>
      </c>
      <c r="J1447">
        <v>60</v>
      </c>
      <c r="K1447">
        <v>10</v>
      </c>
      <c r="L1447">
        <v>90</v>
      </c>
      <c r="M1447">
        <v>44</v>
      </c>
      <c r="N1447">
        <v>325</v>
      </c>
      <c r="O1447">
        <v>62</v>
      </c>
      <c r="P1447">
        <v>40</v>
      </c>
      <c r="Q1447">
        <v>-7</v>
      </c>
      <c r="R1447">
        <v>106</v>
      </c>
      <c r="S1447">
        <v>1.1777777777777778</v>
      </c>
      <c r="T1447">
        <v>-0.7</v>
      </c>
      <c r="U1447">
        <v>1.4666666666666666</v>
      </c>
    </row>
    <row r="1448" spans="1:21" x14ac:dyDescent="0.35">
      <c r="A1448">
        <v>660</v>
      </c>
      <c r="B1448" s="16">
        <v>40422</v>
      </c>
      <c r="C1448" s="15" t="s">
        <v>37</v>
      </c>
      <c r="D1448" s="15" t="s">
        <v>58</v>
      </c>
      <c r="E1448" s="15" t="s">
        <v>53</v>
      </c>
      <c r="F1448" s="15" t="s">
        <v>52</v>
      </c>
      <c r="G1448" s="15" t="s">
        <v>60</v>
      </c>
      <c r="H1448" s="15" t="s">
        <v>45</v>
      </c>
      <c r="I1448">
        <v>80</v>
      </c>
      <c r="J1448">
        <v>20</v>
      </c>
      <c r="K1448">
        <v>-10</v>
      </c>
      <c r="L1448">
        <v>100</v>
      </c>
      <c r="M1448">
        <v>104</v>
      </c>
      <c r="N1448">
        <v>1574</v>
      </c>
      <c r="O1448">
        <v>11</v>
      </c>
      <c r="P1448">
        <v>32</v>
      </c>
      <c r="Q1448">
        <v>-44</v>
      </c>
      <c r="R1448">
        <v>115</v>
      </c>
      <c r="S1448">
        <v>1.1499999999999999</v>
      </c>
      <c r="T1448">
        <v>4.4000000000000004</v>
      </c>
      <c r="U1448">
        <v>1.3</v>
      </c>
    </row>
    <row r="1449" spans="1:21" x14ac:dyDescent="0.35">
      <c r="A1449">
        <v>314</v>
      </c>
      <c r="B1449" s="16">
        <v>40422</v>
      </c>
      <c r="C1449" s="15" t="s">
        <v>37</v>
      </c>
      <c r="D1449" s="15" t="s">
        <v>58</v>
      </c>
      <c r="E1449" s="15" t="s">
        <v>55</v>
      </c>
      <c r="F1449" s="15" t="s">
        <v>47</v>
      </c>
      <c r="G1449" s="15" t="s">
        <v>60</v>
      </c>
      <c r="H1449" s="15" t="s">
        <v>42</v>
      </c>
      <c r="I1449">
        <v>30</v>
      </c>
      <c r="J1449">
        <v>50</v>
      </c>
      <c r="K1449">
        <v>20</v>
      </c>
      <c r="L1449">
        <v>80</v>
      </c>
      <c r="M1449">
        <v>39</v>
      </c>
      <c r="N1449">
        <v>248</v>
      </c>
      <c r="O1449">
        <v>52</v>
      </c>
      <c r="P1449">
        <v>12</v>
      </c>
      <c r="Q1449">
        <v>13</v>
      </c>
      <c r="R1449">
        <v>91</v>
      </c>
      <c r="S1449">
        <v>1.1375</v>
      </c>
      <c r="T1449">
        <v>0.65</v>
      </c>
      <c r="U1449">
        <v>1.3</v>
      </c>
    </row>
    <row r="1450" spans="1:21" x14ac:dyDescent="0.35">
      <c r="A1450">
        <v>314</v>
      </c>
      <c r="B1450" s="16">
        <v>40422</v>
      </c>
      <c r="C1450" s="15" t="s">
        <v>37</v>
      </c>
      <c r="D1450" s="15" t="s">
        <v>58</v>
      </c>
      <c r="E1450" s="15" t="s">
        <v>56</v>
      </c>
      <c r="F1450" s="15" t="s">
        <v>47</v>
      </c>
      <c r="G1450" s="15" t="s">
        <v>60</v>
      </c>
      <c r="H1450" s="15" t="s">
        <v>42</v>
      </c>
      <c r="I1450">
        <v>20</v>
      </c>
      <c r="J1450">
        <v>20</v>
      </c>
      <c r="K1450">
        <v>-10</v>
      </c>
      <c r="L1450">
        <v>40</v>
      </c>
      <c r="M1450">
        <v>24</v>
      </c>
      <c r="N1450">
        <v>212</v>
      </c>
      <c r="O1450">
        <v>30</v>
      </c>
      <c r="P1450">
        <v>9</v>
      </c>
      <c r="Q1450">
        <v>-12</v>
      </c>
      <c r="R1450">
        <v>54</v>
      </c>
      <c r="S1450">
        <v>1.35</v>
      </c>
      <c r="T1450">
        <v>1.2</v>
      </c>
      <c r="U1450">
        <v>1.2</v>
      </c>
    </row>
    <row r="1451" spans="1:21" x14ac:dyDescent="0.35">
      <c r="A1451">
        <v>573</v>
      </c>
      <c r="B1451" s="16">
        <v>40422</v>
      </c>
      <c r="C1451" s="15" t="s">
        <v>37</v>
      </c>
      <c r="D1451" s="15" t="s">
        <v>58</v>
      </c>
      <c r="E1451" s="15" t="s">
        <v>46</v>
      </c>
      <c r="F1451" s="15" t="s">
        <v>47</v>
      </c>
      <c r="G1451" s="15" t="s">
        <v>60</v>
      </c>
      <c r="H1451" s="15" t="s">
        <v>42</v>
      </c>
      <c r="I1451">
        <v>30</v>
      </c>
      <c r="J1451">
        <v>50</v>
      </c>
      <c r="K1451">
        <v>10</v>
      </c>
      <c r="L1451">
        <v>80</v>
      </c>
      <c r="M1451">
        <v>40</v>
      </c>
      <c r="N1451">
        <v>244</v>
      </c>
      <c r="O1451">
        <v>51</v>
      </c>
      <c r="P1451">
        <v>15</v>
      </c>
      <c r="Q1451">
        <v>2</v>
      </c>
      <c r="R1451">
        <v>91</v>
      </c>
      <c r="S1451">
        <v>1.1375</v>
      </c>
      <c r="T1451">
        <v>0.2</v>
      </c>
      <c r="U1451">
        <v>1.3333333333333333</v>
      </c>
    </row>
    <row r="1452" spans="1:21" x14ac:dyDescent="0.35">
      <c r="A1452">
        <v>816</v>
      </c>
      <c r="B1452" s="16">
        <v>40422</v>
      </c>
      <c r="C1452" s="15" t="s">
        <v>37</v>
      </c>
      <c r="D1452" s="15" t="s">
        <v>58</v>
      </c>
      <c r="E1452" s="15" t="s">
        <v>48</v>
      </c>
      <c r="F1452" s="15" t="s">
        <v>49</v>
      </c>
      <c r="G1452" s="15" t="s">
        <v>60</v>
      </c>
      <c r="H1452" s="15" t="s">
        <v>42</v>
      </c>
      <c r="I1452">
        <v>50</v>
      </c>
      <c r="J1452">
        <v>70</v>
      </c>
      <c r="K1452">
        <v>50</v>
      </c>
      <c r="L1452">
        <v>120</v>
      </c>
      <c r="M1452">
        <v>44</v>
      </c>
      <c r="N1452">
        <v>886</v>
      </c>
      <c r="O1452">
        <v>64</v>
      </c>
      <c r="P1452">
        <v>12</v>
      </c>
      <c r="Q1452">
        <v>41</v>
      </c>
      <c r="R1452">
        <v>108</v>
      </c>
      <c r="S1452">
        <v>0.9</v>
      </c>
      <c r="T1452">
        <v>0.82</v>
      </c>
      <c r="U1452">
        <v>0.88</v>
      </c>
    </row>
    <row r="1453" spans="1:21" x14ac:dyDescent="0.35">
      <c r="A1453">
        <v>417</v>
      </c>
      <c r="B1453" s="16">
        <v>40422</v>
      </c>
      <c r="C1453" s="15" t="s">
        <v>37</v>
      </c>
      <c r="D1453" s="15" t="s">
        <v>58</v>
      </c>
      <c r="E1453" s="15" t="s">
        <v>50</v>
      </c>
      <c r="F1453" s="15" t="s">
        <v>49</v>
      </c>
      <c r="G1453" s="15" t="s">
        <v>60</v>
      </c>
      <c r="H1453" s="15" t="s">
        <v>45</v>
      </c>
      <c r="I1453">
        <v>30</v>
      </c>
      <c r="J1453">
        <v>60</v>
      </c>
      <c r="K1453">
        <v>50</v>
      </c>
      <c r="L1453">
        <v>90</v>
      </c>
      <c r="M1453">
        <v>32</v>
      </c>
      <c r="N1453">
        <v>837</v>
      </c>
      <c r="O1453">
        <v>47</v>
      </c>
      <c r="P1453">
        <v>8</v>
      </c>
      <c r="Q1453">
        <v>27</v>
      </c>
      <c r="R1453">
        <v>79</v>
      </c>
      <c r="S1453">
        <v>0.87777777777777777</v>
      </c>
      <c r="T1453">
        <v>0.54</v>
      </c>
      <c r="U1453">
        <v>1.0666666666666667</v>
      </c>
    </row>
    <row r="1454" spans="1:21" x14ac:dyDescent="0.35">
      <c r="A1454">
        <v>314</v>
      </c>
      <c r="B1454" s="16">
        <v>40422</v>
      </c>
      <c r="C1454" s="15" t="s">
        <v>37</v>
      </c>
      <c r="D1454" s="15" t="s">
        <v>58</v>
      </c>
      <c r="E1454" s="15" t="s">
        <v>43</v>
      </c>
      <c r="F1454" s="15" t="s">
        <v>40</v>
      </c>
      <c r="G1454" s="15" t="s">
        <v>60</v>
      </c>
      <c r="H1454" s="15" t="s">
        <v>42</v>
      </c>
      <c r="I1454">
        <v>70</v>
      </c>
      <c r="J1454">
        <v>80</v>
      </c>
      <c r="K1454">
        <v>30</v>
      </c>
      <c r="L1454">
        <v>150</v>
      </c>
      <c r="M1454">
        <v>67</v>
      </c>
      <c r="N1454">
        <v>599</v>
      </c>
      <c r="O1454">
        <v>83</v>
      </c>
      <c r="P1454">
        <v>25</v>
      </c>
      <c r="Q1454">
        <v>25</v>
      </c>
      <c r="R1454">
        <v>150</v>
      </c>
      <c r="S1454">
        <v>1</v>
      </c>
      <c r="T1454">
        <v>0.83333333333333337</v>
      </c>
      <c r="U1454">
        <v>0.95714285714285718</v>
      </c>
    </row>
    <row r="1455" spans="1:21" x14ac:dyDescent="0.35">
      <c r="A1455">
        <v>314</v>
      </c>
      <c r="B1455" s="16">
        <v>40422</v>
      </c>
      <c r="C1455" s="15" t="s">
        <v>37</v>
      </c>
      <c r="D1455" s="15" t="s">
        <v>58</v>
      </c>
      <c r="E1455" s="15" t="s">
        <v>44</v>
      </c>
      <c r="F1455" s="15" t="s">
        <v>40</v>
      </c>
      <c r="G1455" s="15" t="s">
        <v>60</v>
      </c>
      <c r="H1455" s="15" t="s">
        <v>45</v>
      </c>
      <c r="I1455">
        <v>60</v>
      </c>
      <c r="J1455">
        <v>80</v>
      </c>
      <c r="K1455">
        <v>50</v>
      </c>
      <c r="L1455">
        <v>140</v>
      </c>
      <c r="M1455">
        <v>62</v>
      </c>
      <c r="N1455">
        <v>1059</v>
      </c>
      <c r="O1455">
        <v>74</v>
      </c>
      <c r="P1455">
        <v>19</v>
      </c>
      <c r="Q1455">
        <v>34</v>
      </c>
      <c r="R1455">
        <v>136</v>
      </c>
      <c r="S1455">
        <v>0.97142857142857142</v>
      </c>
      <c r="T1455">
        <v>0.68</v>
      </c>
      <c r="U1455">
        <v>1.0333333333333334</v>
      </c>
    </row>
    <row r="1456" spans="1:21" x14ac:dyDescent="0.35">
      <c r="A1456">
        <v>937</v>
      </c>
      <c r="B1456" s="16">
        <v>40422</v>
      </c>
      <c r="C1456" s="15" t="s">
        <v>37</v>
      </c>
      <c r="D1456" s="15" t="s">
        <v>38</v>
      </c>
      <c r="E1456" s="15" t="s">
        <v>51</v>
      </c>
      <c r="F1456" s="15" t="s">
        <v>52</v>
      </c>
      <c r="G1456" s="15" t="s">
        <v>61</v>
      </c>
      <c r="H1456" s="15" t="s">
        <v>45</v>
      </c>
      <c r="I1456">
        <v>10</v>
      </c>
      <c r="J1456">
        <v>30</v>
      </c>
      <c r="K1456">
        <v>30</v>
      </c>
      <c r="L1456">
        <v>40</v>
      </c>
      <c r="M1456">
        <v>20</v>
      </c>
      <c r="N1456">
        <v>482</v>
      </c>
      <c r="O1456">
        <v>30</v>
      </c>
      <c r="P1456">
        <v>5</v>
      </c>
      <c r="Q1456">
        <v>14</v>
      </c>
      <c r="R1456">
        <v>50</v>
      </c>
      <c r="S1456">
        <v>1.25</v>
      </c>
      <c r="T1456">
        <v>0.46666666666666667</v>
      </c>
      <c r="U1456">
        <v>2</v>
      </c>
    </row>
    <row r="1457" spans="1:21" x14ac:dyDescent="0.35">
      <c r="A1457">
        <v>419</v>
      </c>
      <c r="B1457" s="16">
        <v>40422</v>
      </c>
      <c r="C1457" s="15" t="s">
        <v>37</v>
      </c>
      <c r="D1457" s="15" t="s">
        <v>38</v>
      </c>
      <c r="E1457" s="15" t="s">
        <v>53</v>
      </c>
      <c r="F1457" s="15" t="s">
        <v>52</v>
      </c>
      <c r="G1457" s="15" t="s">
        <v>61</v>
      </c>
      <c r="H1457" s="15" t="s">
        <v>45</v>
      </c>
      <c r="I1457">
        <v>20</v>
      </c>
      <c r="J1457">
        <v>40</v>
      </c>
      <c r="K1457">
        <v>40</v>
      </c>
      <c r="L1457">
        <v>60</v>
      </c>
      <c r="M1457">
        <v>29</v>
      </c>
      <c r="N1457">
        <v>862</v>
      </c>
      <c r="O1457">
        <v>43</v>
      </c>
      <c r="P1457">
        <v>8</v>
      </c>
      <c r="Q1457">
        <v>23</v>
      </c>
      <c r="R1457">
        <v>72</v>
      </c>
      <c r="S1457">
        <v>1.2</v>
      </c>
      <c r="T1457">
        <v>0.57499999999999996</v>
      </c>
      <c r="U1457">
        <v>1.45</v>
      </c>
    </row>
    <row r="1458" spans="1:21" x14ac:dyDescent="0.35">
      <c r="A1458">
        <v>440</v>
      </c>
      <c r="B1458" s="16">
        <v>40422</v>
      </c>
      <c r="C1458" s="15" t="s">
        <v>37</v>
      </c>
      <c r="D1458" s="15" t="s">
        <v>38</v>
      </c>
      <c r="E1458" s="15" t="s">
        <v>55</v>
      </c>
      <c r="F1458" s="15" t="s">
        <v>47</v>
      </c>
      <c r="G1458" s="15" t="s">
        <v>61</v>
      </c>
      <c r="H1458" s="15" t="s">
        <v>42</v>
      </c>
      <c r="I1458">
        <v>80</v>
      </c>
      <c r="J1458">
        <v>130</v>
      </c>
      <c r="K1458">
        <v>70</v>
      </c>
      <c r="L1458">
        <v>210</v>
      </c>
      <c r="M1458">
        <v>99</v>
      </c>
      <c r="N1458">
        <v>798</v>
      </c>
      <c r="O1458">
        <v>150</v>
      </c>
      <c r="P1458">
        <v>32</v>
      </c>
      <c r="Q1458">
        <v>87</v>
      </c>
      <c r="R1458">
        <v>249</v>
      </c>
      <c r="S1458">
        <v>1.1857142857142857</v>
      </c>
      <c r="T1458">
        <v>1.2428571428571429</v>
      </c>
      <c r="U1458">
        <v>1.2375</v>
      </c>
    </row>
    <row r="1459" spans="1:21" x14ac:dyDescent="0.35">
      <c r="A1459">
        <v>513</v>
      </c>
      <c r="B1459" s="16">
        <v>40422</v>
      </c>
      <c r="C1459" s="15" t="s">
        <v>37</v>
      </c>
      <c r="D1459" s="15" t="s">
        <v>38</v>
      </c>
      <c r="E1459" s="15" t="s">
        <v>56</v>
      </c>
      <c r="F1459" s="15" t="s">
        <v>47</v>
      </c>
      <c r="G1459" s="15" t="s">
        <v>61</v>
      </c>
      <c r="H1459" s="15" t="s">
        <v>42</v>
      </c>
      <c r="I1459">
        <v>80</v>
      </c>
      <c r="J1459">
        <v>120</v>
      </c>
      <c r="K1459">
        <v>80</v>
      </c>
      <c r="L1459">
        <v>200</v>
      </c>
      <c r="M1459">
        <v>96</v>
      </c>
      <c r="N1459">
        <v>666</v>
      </c>
      <c r="O1459">
        <v>134</v>
      </c>
      <c r="P1459">
        <v>29</v>
      </c>
      <c r="Q1459">
        <v>81</v>
      </c>
      <c r="R1459">
        <v>230</v>
      </c>
      <c r="S1459">
        <v>1.1499999999999999</v>
      </c>
      <c r="T1459">
        <v>1.0125</v>
      </c>
      <c r="U1459">
        <v>1.2</v>
      </c>
    </row>
    <row r="1460" spans="1:21" x14ac:dyDescent="0.35">
      <c r="A1460">
        <v>513</v>
      </c>
      <c r="B1460" s="16">
        <v>40422</v>
      </c>
      <c r="C1460" s="15" t="s">
        <v>37</v>
      </c>
      <c r="D1460" s="15" t="s">
        <v>38</v>
      </c>
      <c r="E1460" s="15" t="s">
        <v>48</v>
      </c>
      <c r="F1460" s="15" t="s">
        <v>49</v>
      </c>
      <c r="G1460" s="15" t="s">
        <v>61</v>
      </c>
      <c r="H1460" s="15" t="s">
        <v>42</v>
      </c>
      <c r="I1460">
        <v>170</v>
      </c>
      <c r="J1460">
        <v>190</v>
      </c>
      <c r="K1460">
        <v>130</v>
      </c>
      <c r="L1460">
        <v>360</v>
      </c>
      <c r="M1460">
        <v>155</v>
      </c>
      <c r="N1460">
        <v>1280</v>
      </c>
      <c r="O1460">
        <v>155</v>
      </c>
      <c r="P1460">
        <v>43</v>
      </c>
      <c r="Q1460">
        <v>87</v>
      </c>
      <c r="R1460">
        <v>310</v>
      </c>
      <c r="S1460">
        <v>0.86111111111111116</v>
      </c>
      <c r="T1460">
        <v>0.66923076923076918</v>
      </c>
      <c r="U1460">
        <v>0.91176470588235292</v>
      </c>
    </row>
    <row r="1461" spans="1:21" x14ac:dyDescent="0.35">
      <c r="A1461">
        <v>567</v>
      </c>
      <c r="B1461" s="16">
        <v>40422</v>
      </c>
      <c r="C1461" s="15" t="s">
        <v>37</v>
      </c>
      <c r="D1461" s="15" t="s">
        <v>38</v>
      </c>
      <c r="E1461" s="15" t="s">
        <v>50</v>
      </c>
      <c r="F1461" s="15" t="s">
        <v>49</v>
      </c>
      <c r="G1461" s="15" t="s">
        <v>61</v>
      </c>
      <c r="H1461" s="15" t="s">
        <v>45</v>
      </c>
      <c r="I1461">
        <v>50</v>
      </c>
      <c r="J1461">
        <v>70</v>
      </c>
      <c r="K1461">
        <v>30</v>
      </c>
      <c r="L1461">
        <v>120</v>
      </c>
      <c r="M1461">
        <v>45</v>
      </c>
      <c r="N1461">
        <v>409</v>
      </c>
      <c r="O1461">
        <v>57</v>
      </c>
      <c r="P1461">
        <v>17</v>
      </c>
      <c r="Q1461">
        <v>6</v>
      </c>
      <c r="R1461">
        <v>102</v>
      </c>
      <c r="S1461">
        <v>0.85</v>
      </c>
      <c r="T1461">
        <v>0.2</v>
      </c>
      <c r="U1461">
        <v>0.9</v>
      </c>
    </row>
    <row r="1462" spans="1:21" x14ac:dyDescent="0.35">
      <c r="A1462">
        <v>614</v>
      </c>
      <c r="B1462" s="16">
        <v>40422</v>
      </c>
      <c r="C1462" s="15" t="s">
        <v>37</v>
      </c>
      <c r="D1462" s="15" t="s">
        <v>38</v>
      </c>
      <c r="E1462" s="15" t="s">
        <v>39</v>
      </c>
      <c r="F1462" s="15" t="s">
        <v>40</v>
      </c>
      <c r="G1462" s="15" t="s">
        <v>61</v>
      </c>
      <c r="H1462" s="15" t="s">
        <v>42</v>
      </c>
      <c r="I1462">
        <v>50</v>
      </c>
      <c r="J1462">
        <v>80</v>
      </c>
      <c r="K1462">
        <v>50</v>
      </c>
      <c r="L1462">
        <v>130</v>
      </c>
      <c r="M1462">
        <v>53</v>
      </c>
      <c r="N1462">
        <v>410</v>
      </c>
      <c r="O1462">
        <v>72</v>
      </c>
      <c r="P1462">
        <v>17</v>
      </c>
      <c r="Q1462">
        <v>28</v>
      </c>
      <c r="R1462">
        <v>125</v>
      </c>
      <c r="S1462">
        <v>0.96153846153846156</v>
      </c>
      <c r="T1462">
        <v>0.56000000000000005</v>
      </c>
      <c r="U1462">
        <v>1.06</v>
      </c>
    </row>
    <row r="1463" spans="1:21" x14ac:dyDescent="0.35">
      <c r="A1463">
        <v>419</v>
      </c>
      <c r="B1463" s="16">
        <v>40422</v>
      </c>
      <c r="C1463" s="15" t="s">
        <v>37</v>
      </c>
      <c r="D1463" s="15" t="s">
        <v>38</v>
      </c>
      <c r="E1463" s="15" t="s">
        <v>43</v>
      </c>
      <c r="F1463" s="15" t="s">
        <v>40</v>
      </c>
      <c r="G1463" s="15" t="s">
        <v>61</v>
      </c>
      <c r="H1463" s="15" t="s">
        <v>42</v>
      </c>
      <c r="I1463">
        <v>40</v>
      </c>
      <c r="J1463">
        <v>70</v>
      </c>
      <c r="K1463">
        <v>40</v>
      </c>
      <c r="L1463">
        <v>110</v>
      </c>
      <c r="M1463">
        <v>43</v>
      </c>
      <c r="N1463">
        <v>424</v>
      </c>
      <c r="O1463">
        <v>64</v>
      </c>
      <c r="P1463">
        <v>13</v>
      </c>
      <c r="Q1463">
        <v>29</v>
      </c>
      <c r="R1463">
        <v>107</v>
      </c>
      <c r="S1463">
        <v>0.97272727272727277</v>
      </c>
      <c r="T1463">
        <v>0.72499999999999998</v>
      </c>
      <c r="U1463">
        <v>1.075</v>
      </c>
    </row>
    <row r="1464" spans="1:21" x14ac:dyDescent="0.35">
      <c r="A1464">
        <v>234</v>
      </c>
      <c r="B1464" s="16">
        <v>40422</v>
      </c>
      <c r="C1464" s="15" t="s">
        <v>37</v>
      </c>
      <c r="D1464" s="15" t="s">
        <v>38</v>
      </c>
      <c r="E1464" s="15" t="s">
        <v>44</v>
      </c>
      <c r="F1464" s="15" t="s">
        <v>40</v>
      </c>
      <c r="G1464" s="15" t="s">
        <v>61</v>
      </c>
      <c r="H1464" s="15" t="s">
        <v>45</v>
      </c>
      <c r="I1464">
        <v>50</v>
      </c>
      <c r="J1464">
        <v>80</v>
      </c>
      <c r="K1464">
        <v>20</v>
      </c>
      <c r="L1464">
        <v>130</v>
      </c>
      <c r="M1464">
        <v>52</v>
      </c>
      <c r="N1464">
        <v>509</v>
      </c>
      <c r="O1464">
        <v>74</v>
      </c>
      <c r="P1464">
        <v>47</v>
      </c>
      <c r="Q1464">
        <v>-3</v>
      </c>
      <c r="R1464">
        <v>126</v>
      </c>
      <c r="S1464">
        <v>0.96923076923076923</v>
      </c>
      <c r="T1464">
        <v>-0.15</v>
      </c>
      <c r="U1464">
        <v>1.04</v>
      </c>
    </row>
    <row r="1465" spans="1:21" x14ac:dyDescent="0.35">
      <c r="A1465">
        <v>920</v>
      </c>
      <c r="B1465" s="16">
        <v>40422</v>
      </c>
      <c r="C1465" s="15" t="s">
        <v>37</v>
      </c>
      <c r="D1465" s="15" t="s">
        <v>58</v>
      </c>
      <c r="E1465" s="15" t="s">
        <v>51</v>
      </c>
      <c r="F1465" s="15" t="s">
        <v>52</v>
      </c>
      <c r="G1465" s="15" t="s">
        <v>62</v>
      </c>
      <c r="H1465" s="15" t="s">
        <v>45</v>
      </c>
      <c r="I1465">
        <v>40</v>
      </c>
      <c r="J1465">
        <v>90</v>
      </c>
      <c r="K1465">
        <v>70</v>
      </c>
      <c r="L1465">
        <v>130</v>
      </c>
      <c r="M1465">
        <v>57</v>
      </c>
      <c r="N1465">
        <v>349</v>
      </c>
      <c r="O1465">
        <v>94</v>
      </c>
      <c r="P1465">
        <v>17</v>
      </c>
      <c r="Q1465">
        <v>53</v>
      </c>
      <c r="R1465">
        <v>151</v>
      </c>
      <c r="S1465">
        <v>1.1615384615384616</v>
      </c>
      <c r="T1465">
        <v>0.75714285714285712</v>
      </c>
      <c r="U1465">
        <v>1.425</v>
      </c>
    </row>
    <row r="1466" spans="1:21" x14ac:dyDescent="0.35">
      <c r="A1466">
        <v>608</v>
      </c>
      <c r="B1466" s="16">
        <v>40422</v>
      </c>
      <c r="C1466" s="15" t="s">
        <v>37</v>
      </c>
      <c r="D1466" s="15" t="s">
        <v>58</v>
      </c>
      <c r="E1466" s="15" t="s">
        <v>53</v>
      </c>
      <c r="F1466" s="15" t="s">
        <v>52</v>
      </c>
      <c r="G1466" s="15" t="s">
        <v>62</v>
      </c>
      <c r="H1466" s="15" t="s">
        <v>45</v>
      </c>
      <c r="I1466">
        <v>40</v>
      </c>
      <c r="J1466">
        <v>70</v>
      </c>
      <c r="K1466">
        <v>60</v>
      </c>
      <c r="L1466">
        <v>110</v>
      </c>
      <c r="M1466">
        <v>51</v>
      </c>
      <c r="N1466">
        <v>857</v>
      </c>
      <c r="O1466">
        <v>75</v>
      </c>
      <c r="P1466">
        <v>14</v>
      </c>
      <c r="Q1466">
        <v>50</v>
      </c>
      <c r="R1466">
        <v>126</v>
      </c>
      <c r="S1466">
        <v>1.1454545454545455</v>
      </c>
      <c r="T1466">
        <v>0.83333333333333337</v>
      </c>
      <c r="U1466">
        <v>1.2749999999999999</v>
      </c>
    </row>
    <row r="1467" spans="1:21" x14ac:dyDescent="0.35">
      <c r="A1467">
        <v>920</v>
      </c>
      <c r="B1467" s="16">
        <v>40422</v>
      </c>
      <c r="C1467" s="15" t="s">
        <v>37</v>
      </c>
      <c r="D1467" s="15" t="s">
        <v>58</v>
      </c>
      <c r="E1467" s="15" t="s">
        <v>55</v>
      </c>
      <c r="F1467" s="15" t="s">
        <v>47</v>
      </c>
      <c r="G1467" s="15" t="s">
        <v>62</v>
      </c>
      <c r="H1467" s="15" t="s">
        <v>42</v>
      </c>
      <c r="I1467">
        <v>30</v>
      </c>
      <c r="J1467">
        <v>60</v>
      </c>
      <c r="K1467">
        <v>30</v>
      </c>
      <c r="L1467">
        <v>90</v>
      </c>
      <c r="M1467">
        <v>46</v>
      </c>
      <c r="N1467">
        <v>454</v>
      </c>
      <c r="O1467">
        <v>67</v>
      </c>
      <c r="P1467">
        <v>14</v>
      </c>
      <c r="Q1467">
        <v>31</v>
      </c>
      <c r="R1467">
        <v>113</v>
      </c>
      <c r="S1467">
        <v>1.2555555555555555</v>
      </c>
      <c r="T1467">
        <v>1.0333333333333334</v>
      </c>
      <c r="U1467">
        <v>1.5333333333333334</v>
      </c>
    </row>
    <row r="1468" spans="1:21" x14ac:dyDescent="0.35">
      <c r="A1468">
        <v>715</v>
      </c>
      <c r="B1468" s="16">
        <v>40422</v>
      </c>
      <c r="C1468" s="15" t="s">
        <v>37</v>
      </c>
      <c r="D1468" s="15" t="s">
        <v>58</v>
      </c>
      <c r="E1468" s="15" t="s">
        <v>56</v>
      </c>
      <c r="F1468" s="15" t="s">
        <v>47</v>
      </c>
      <c r="G1468" s="15" t="s">
        <v>62</v>
      </c>
      <c r="H1468" s="15" t="s">
        <v>42</v>
      </c>
      <c r="I1468">
        <v>50</v>
      </c>
      <c r="J1468">
        <v>80</v>
      </c>
      <c r="K1468">
        <v>10</v>
      </c>
      <c r="L1468">
        <v>130</v>
      </c>
      <c r="M1468">
        <v>62</v>
      </c>
      <c r="N1468">
        <v>612</v>
      </c>
      <c r="O1468">
        <v>87</v>
      </c>
      <c r="P1468">
        <v>56</v>
      </c>
      <c r="Q1468">
        <v>2</v>
      </c>
      <c r="R1468">
        <v>149</v>
      </c>
      <c r="S1468">
        <v>1.1461538461538461</v>
      </c>
      <c r="T1468">
        <v>0.2</v>
      </c>
      <c r="U1468">
        <v>1.24</v>
      </c>
    </row>
    <row r="1469" spans="1:21" x14ac:dyDescent="0.35">
      <c r="A1469">
        <v>414</v>
      </c>
      <c r="B1469" s="16">
        <v>40422</v>
      </c>
      <c r="C1469" s="15" t="s">
        <v>37</v>
      </c>
      <c r="D1469" s="15" t="s">
        <v>58</v>
      </c>
      <c r="E1469" s="15" t="s">
        <v>48</v>
      </c>
      <c r="F1469" s="15" t="s">
        <v>49</v>
      </c>
      <c r="G1469" s="15" t="s">
        <v>62</v>
      </c>
      <c r="H1469" s="15" t="s">
        <v>42</v>
      </c>
      <c r="I1469">
        <v>90</v>
      </c>
      <c r="J1469">
        <v>120</v>
      </c>
      <c r="K1469">
        <v>80</v>
      </c>
      <c r="L1469">
        <v>210</v>
      </c>
      <c r="M1469">
        <v>83</v>
      </c>
      <c r="N1469">
        <v>1063</v>
      </c>
      <c r="O1469">
        <v>99</v>
      </c>
      <c r="P1469">
        <v>25</v>
      </c>
      <c r="Q1469">
        <v>53</v>
      </c>
      <c r="R1469">
        <v>182</v>
      </c>
      <c r="S1469">
        <v>0.8666666666666667</v>
      </c>
      <c r="T1469">
        <v>0.66249999999999998</v>
      </c>
      <c r="U1469">
        <v>0.92222222222222228</v>
      </c>
    </row>
    <row r="1470" spans="1:21" x14ac:dyDescent="0.35">
      <c r="A1470">
        <v>608</v>
      </c>
      <c r="B1470" s="16">
        <v>40422</v>
      </c>
      <c r="C1470" s="15" t="s">
        <v>37</v>
      </c>
      <c r="D1470" s="15" t="s">
        <v>58</v>
      </c>
      <c r="E1470" s="15" t="s">
        <v>50</v>
      </c>
      <c r="F1470" s="15" t="s">
        <v>49</v>
      </c>
      <c r="G1470" s="15" t="s">
        <v>62</v>
      </c>
      <c r="H1470" s="15" t="s">
        <v>45</v>
      </c>
      <c r="I1470">
        <v>30</v>
      </c>
      <c r="J1470">
        <v>50</v>
      </c>
      <c r="K1470">
        <v>30</v>
      </c>
      <c r="L1470">
        <v>80</v>
      </c>
      <c r="M1470">
        <v>33</v>
      </c>
      <c r="N1470">
        <v>577</v>
      </c>
      <c r="O1470">
        <v>43</v>
      </c>
      <c r="P1470">
        <v>10</v>
      </c>
      <c r="Q1470">
        <v>21</v>
      </c>
      <c r="R1470">
        <v>76</v>
      </c>
      <c r="S1470">
        <v>0.95</v>
      </c>
      <c r="T1470">
        <v>0.7</v>
      </c>
      <c r="U1470">
        <v>1.1000000000000001</v>
      </c>
    </row>
    <row r="1471" spans="1:21" x14ac:dyDescent="0.35">
      <c r="A1471">
        <v>414</v>
      </c>
      <c r="B1471" s="16">
        <v>40422</v>
      </c>
      <c r="C1471" s="15" t="s">
        <v>37</v>
      </c>
      <c r="D1471" s="15" t="s">
        <v>58</v>
      </c>
      <c r="E1471" s="15" t="s">
        <v>39</v>
      </c>
      <c r="F1471" s="15" t="s">
        <v>40</v>
      </c>
      <c r="G1471" s="15" t="s">
        <v>62</v>
      </c>
      <c r="H1471" s="15" t="s">
        <v>42</v>
      </c>
      <c r="I1471">
        <v>70</v>
      </c>
      <c r="J1471">
        <v>80</v>
      </c>
      <c r="K1471">
        <v>30</v>
      </c>
      <c r="L1471">
        <v>150</v>
      </c>
      <c r="M1471">
        <v>67</v>
      </c>
      <c r="N1471">
        <v>391</v>
      </c>
      <c r="O1471">
        <v>82</v>
      </c>
      <c r="P1471">
        <v>25</v>
      </c>
      <c r="Q1471">
        <v>23</v>
      </c>
      <c r="R1471">
        <v>149</v>
      </c>
      <c r="S1471">
        <v>0.99333333333333329</v>
      </c>
      <c r="T1471">
        <v>0.76666666666666672</v>
      </c>
      <c r="U1471">
        <v>0.95714285714285718</v>
      </c>
    </row>
    <row r="1472" spans="1:21" x14ac:dyDescent="0.35">
      <c r="A1472">
        <v>414</v>
      </c>
      <c r="B1472" s="16">
        <v>40422</v>
      </c>
      <c r="C1472" s="15" t="s">
        <v>37</v>
      </c>
      <c r="D1472" s="15" t="s">
        <v>58</v>
      </c>
      <c r="E1472" s="15" t="s">
        <v>43</v>
      </c>
      <c r="F1472" s="15" t="s">
        <v>40</v>
      </c>
      <c r="G1472" s="15" t="s">
        <v>62</v>
      </c>
      <c r="H1472" s="15" t="s">
        <v>42</v>
      </c>
      <c r="I1472">
        <v>90</v>
      </c>
      <c r="J1472">
        <v>140</v>
      </c>
      <c r="K1472">
        <v>40</v>
      </c>
      <c r="L1472">
        <v>230</v>
      </c>
      <c r="M1472">
        <v>93</v>
      </c>
      <c r="N1472">
        <v>692</v>
      </c>
      <c r="O1472">
        <v>130</v>
      </c>
      <c r="P1472">
        <v>84</v>
      </c>
      <c r="Q1472">
        <v>16</v>
      </c>
      <c r="R1472">
        <v>223</v>
      </c>
      <c r="S1472">
        <v>0.9695652173913043</v>
      </c>
      <c r="T1472">
        <v>0.4</v>
      </c>
      <c r="U1472">
        <v>1.0333333333333334</v>
      </c>
    </row>
    <row r="1473" spans="1:21" x14ac:dyDescent="0.35">
      <c r="A1473">
        <v>262</v>
      </c>
      <c r="B1473" s="16">
        <v>40422</v>
      </c>
      <c r="C1473" s="15" t="s">
        <v>37</v>
      </c>
      <c r="D1473" s="15" t="s">
        <v>58</v>
      </c>
      <c r="E1473" s="15" t="s">
        <v>44</v>
      </c>
      <c r="F1473" s="15" t="s">
        <v>40</v>
      </c>
      <c r="G1473" s="15" t="s">
        <v>62</v>
      </c>
      <c r="H1473" s="15" t="s">
        <v>45</v>
      </c>
      <c r="I1473">
        <v>90</v>
      </c>
      <c r="J1473">
        <v>110</v>
      </c>
      <c r="K1473">
        <v>70</v>
      </c>
      <c r="L1473">
        <v>200</v>
      </c>
      <c r="M1473">
        <v>85</v>
      </c>
      <c r="N1473">
        <v>555</v>
      </c>
      <c r="O1473">
        <v>114</v>
      </c>
      <c r="P1473">
        <v>28</v>
      </c>
      <c r="Q1473">
        <v>58</v>
      </c>
      <c r="R1473">
        <v>199</v>
      </c>
      <c r="S1473">
        <v>0.995</v>
      </c>
      <c r="T1473">
        <v>0.82857142857142863</v>
      </c>
      <c r="U1473">
        <v>0.94444444444444442</v>
      </c>
    </row>
    <row r="1474" spans="1:21" x14ac:dyDescent="0.35">
      <c r="A1474">
        <v>203</v>
      </c>
      <c r="B1474" s="16">
        <v>40422</v>
      </c>
      <c r="C1474" s="15" t="s">
        <v>63</v>
      </c>
      <c r="D1474" s="15" t="s">
        <v>58</v>
      </c>
      <c r="E1474" s="15" t="s">
        <v>55</v>
      </c>
      <c r="F1474" s="15" t="s">
        <v>47</v>
      </c>
      <c r="G1474" s="15" t="s">
        <v>64</v>
      </c>
      <c r="H1474" s="15" t="s">
        <v>42</v>
      </c>
      <c r="I1474">
        <v>40</v>
      </c>
      <c r="J1474">
        <v>70</v>
      </c>
      <c r="K1474">
        <v>50</v>
      </c>
      <c r="L1474">
        <v>110</v>
      </c>
      <c r="M1474">
        <v>44</v>
      </c>
      <c r="N1474">
        <v>886</v>
      </c>
      <c r="O1474">
        <v>64</v>
      </c>
      <c r="P1474">
        <v>12</v>
      </c>
      <c r="Q1474">
        <v>41</v>
      </c>
      <c r="R1474">
        <v>108</v>
      </c>
      <c r="S1474">
        <v>0.98181818181818181</v>
      </c>
      <c r="T1474">
        <v>0.82</v>
      </c>
      <c r="U1474">
        <v>1.1000000000000001</v>
      </c>
    </row>
    <row r="1475" spans="1:21" x14ac:dyDescent="0.35">
      <c r="A1475">
        <v>860</v>
      </c>
      <c r="B1475" s="16">
        <v>40422</v>
      </c>
      <c r="C1475" s="15" t="s">
        <v>63</v>
      </c>
      <c r="D1475" s="15" t="s">
        <v>58</v>
      </c>
      <c r="E1475" s="15" t="s">
        <v>46</v>
      </c>
      <c r="F1475" s="15" t="s">
        <v>47</v>
      </c>
      <c r="G1475" s="15" t="s">
        <v>64</v>
      </c>
      <c r="H1475" s="15" t="s">
        <v>42</v>
      </c>
      <c r="I1475">
        <v>20</v>
      </c>
      <c r="J1475">
        <v>40</v>
      </c>
      <c r="K1475">
        <v>30</v>
      </c>
      <c r="L1475">
        <v>60</v>
      </c>
      <c r="M1475">
        <v>23</v>
      </c>
      <c r="N1475">
        <v>809</v>
      </c>
      <c r="O1475">
        <v>34</v>
      </c>
      <c r="P1475">
        <v>6</v>
      </c>
      <c r="Q1475">
        <v>17</v>
      </c>
      <c r="R1475">
        <v>57</v>
      </c>
      <c r="S1475">
        <v>0.95</v>
      </c>
      <c r="T1475">
        <v>0.56666666666666665</v>
      </c>
      <c r="U1475">
        <v>1.1499999999999999</v>
      </c>
    </row>
    <row r="1476" spans="1:21" x14ac:dyDescent="0.35">
      <c r="A1476">
        <v>959</v>
      </c>
      <c r="B1476" s="16">
        <v>40422</v>
      </c>
      <c r="C1476" s="15" t="s">
        <v>63</v>
      </c>
      <c r="D1476" s="15" t="s">
        <v>58</v>
      </c>
      <c r="E1476" s="15" t="s">
        <v>53</v>
      </c>
      <c r="F1476" s="15" t="s">
        <v>52</v>
      </c>
      <c r="G1476" s="15" t="s">
        <v>64</v>
      </c>
      <c r="H1476" s="15" t="s">
        <v>45</v>
      </c>
      <c r="I1476">
        <v>50</v>
      </c>
      <c r="J1476">
        <v>60</v>
      </c>
      <c r="K1476">
        <v>20</v>
      </c>
      <c r="L1476">
        <v>110</v>
      </c>
      <c r="M1476">
        <v>67</v>
      </c>
      <c r="N1476">
        <v>599</v>
      </c>
      <c r="O1476">
        <v>83</v>
      </c>
      <c r="P1476">
        <v>25</v>
      </c>
      <c r="Q1476">
        <v>24</v>
      </c>
      <c r="R1476">
        <v>150</v>
      </c>
      <c r="S1476">
        <v>1.3636363636363635</v>
      </c>
      <c r="T1476">
        <v>1.2</v>
      </c>
      <c r="U1476">
        <v>1.34</v>
      </c>
    </row>
    <row r="1477" spans="1:21" x14ac:dyDescent="0.35">
      <c r="A1477">
        <v>475</v>
      </c>
      <c r="B1477" s="16">
        <v>40422</v>
      </c>
      <c r="C1477" s="15" t="s">
        <v>63</v>
      </c>
      <c r="D1477" s="15" t="s">
        <v>58</v>
      </c>
      <c r="E1477" s="15" t="s">
        <v>54</v>
      </c>
      <c r="F1477" s="15" t="s">
        <v>52</v>
      </c>
      <c r="G1477" s="15" t="s">
        <v>64</v>
      </c>
      <c r="H1477" s="15" t="s">
        <v>45</v>
      </c>
      <c r="I1477">
        <v>40</v>
      </c>
      <c r="J1477">
        <v>60</v>
      </c>
      <c r="K1477">
        <v>40</v>
      </c>
      <c r="L1477">
        <v>100</v>
      </c>
      <c r="M1477">
        <v>62</v>
      </c>
      <c r="N1477">
        <v>1059</v>
      </c>
      <c r="O1477">
        <v>74</v>
      </c>
      <c r="P1477">
        <v>19</v>
      </c>
      <c r="Q1477">
        <v>33</v>
      </c>
      <c r="R1477">
        <v>136</v>
      </c>
      <c r="S1477">
        <v>1.36</v>
      </c>
      <c r="T1477">
        <v>0.82499999999999996</v>
      </c>
      <c r="U1477">
        <v>1.55</v>
      </c>
    </row>
    <row r="1478" spans="1:21" x14ac:dyDescent="0.35">
      <c r="A1478">
        <v>959</v>
      </c>
      <c r="B1478" s="16">
        <v>40422</v>
      </c>
      <c r="C1478" s="15" t="s">
        <v>63</v>
      </c>
      <c r="D1478" s="15" t="s">
        <v>58</v>
      </c>
      <c r="E1478" s="15" t="s">
        <v>48</v>
      </c>
      <c r="F1478" s="15" t="s">
        <v>49</v>
      </c>
      <c r="G1478" s="15" t="s">
        <v>64</v>
      </c>
      <c r="H1478" s="15" t="s">
        <v>42</v>
      </c>
      <c r="I1478">
        <v>50</v>
      </c>
      <c r="J1478">
        <v>90</v>
      </c>
      <c r="K1478">
        <v>20</v>
      </c>
      <c r="L1478">
        <v>140</v>
      </c>
      <c r="M1478">
        <v>62</v>
      </c>
      <c r="N1478">
        <v>612</v>
      </c>
      <c r="O1478">
        <v>87</v>
      </c>
      <c r="P1478">
        <v>56</v>
      </c>
      <c r="Q1478">
        <v>2</v>
      </c>
      <c r="R1478">
        <v>149</v>
      </c>
      <c r="S1478">
        <v>1.0642857142857143</v>
      </c>
      <c r="T1478">
        <v>0.1</v>
      </c>
      <c r="U1478">
        <v>1.24</v>
      </c>
    </row>
    <row r="1479" spans="1:21" x14ac:dyDescent="0.35">
      <c r="A1479">
        <v>860</v>
      </c>
      <c r="B1479" s="16">
        <v>40422</v>
      </c>
      <c r="C1479" s="15" t="s">
        <v>63</v>
      </c>
      <c r="D1479" s="15" t="s">
        <v>58</v>
      </c>
      <c r="E1479" s="15" t="s">
        <v>50</v>
      </c>
      <c r="F1479" s="15" t="s">
        <v>49</v>
      </c>
      <c r="G1479" s="15" t="s">
        <v>64</v>
      </c>
      <c r="H1479" s="15" t="s">
        <v>45</v>
      </c>
      <c r="I1479">
        <v>40</v>
      </c>
      <c r="J1479">
        <v>70</v>
      </c>
      <c r="K1479">
        <v>40</v>
      </c>
      <c r="L1479">
        <v>110</v>
      </c>
      <c r="M1479">
        <v>48</v>
      </c>
      <c r="N1479">
        <v>380</v>
      </c>
      <c r="O1479">
        <v>65</v>
      </c>
      <c r="P1479">
        <v>15</v>
      </c>
      <c r="Q1479">
        <v>23</v>
      </c>
      <c r="R1479">
        <v>113</v>
      </c>
      <c r="S1479">
        <v>1.0272727272727273</v>
      </c>
      <c r="T1479">
        <v>0.57499999999999996</v>
      </c>
      <c r="U1479">
        <v>1.2</v>
      </c>
    </row>
    <row r="1480" spans="1:21" x14ac:dyDescent="0.35">
      <c r="A1480">
        <v>860</v>
      </c>
      <c r="B1480" s="16">
        <v>40422</v>
      </c>
      <c r="C1480" s="15" t="s">
        <v>63</v>
      </c>
      <c r="D1480" s="15" t="s">
        <v>58</v>
      </c>
      <c r="E1480" s="15" t="s">
        <v>43</v>
      </c>
      <c r="F1480" s="15" t="s">
        <v>40</v>
      </c>
      <c r="G1480" s="15" t="s">
        <v>64</v>
      </c>
      <c r="H1480" s="15" t="s">
        <v>42</v>
      </c>
      <c r="I1480">
        <v>90</v>
      </c>
      <c r="J1480">
        <v>150</v>
      </c>
      <c r="K1480">
        <v>110</v>
      </c>
      <c r="L1480">
        <v>240</v>
      </c>
      <c r="M1480">
        <v>103</v>
      </c>
      <c r="N1480">
        <v>1130</v>
      </c>
      <c r="O1480">
        <v>155</v>
      </c>
      <c r="P1480">
        <v>33</v>
      </c>
      <c r="Q1480">
        <v>91</v>
      </c>
      <c r="R1480">
        <v>258</v>
      </c>
      <c r="S1480">
        <v>1.075</v>
      </c>
      <c r="T1480">
        <v>0.82727272727272727</v>
      </c>
      <c r="U1480">
        <v>1.1444444444444444</v>
      </c>
    </row>
    <row r="1481" spans="1:21" x14ac:dyDescent="0.35">
      <c r="A1481">
        <v>754</v>
      </c>
      <c r="B1481" s="16">
        <v>40422</v>
      </c>
      <c r="C1481" s="15" t="s">
        <v>63</v>
      </c>
      <c r="D1481" s="15" t="s">
        <v>38</v>
      </c>
      <c r="E1481" s="15" t="s">
        <v>55</v>
      </c>
      <c r="F1481" s="15" t="s">
        <v>47</v>
      </c>
      <c r="G1481" s="15" t="s">
        <v>65</v>
      </c>
      <c r="H1481" s="15" t="s">
        <v>42</v>
      </c>
      <c r="I1481">
        <v>30</v>
      </c>
      <c r="J1481">
        <v>60</v>
      </c>
      <c r="K1481">
        <v>50</v>
      </c>
      <c r="L1481">
        <v>90</v>
      </c>
      <c r="M1481">
        <v>35</v>
      </c>
      <c r="N1481">
        <v>875</v>
      </c>
      <c r="O1481">
        <v>52</v>
      </c>
      <c r="P1481">
        <v>9</v>
      </c>
      <c r="Q1481">
        <v>32</v>
      </c>
      <c r="R1481">
        <v>87</v>
      </c>
      <c r="S1481">
        <v>0.96666666666666667</v>
      </c>
      <c r="T1481">
        <v>0.64</v>
      </c>
      <c r="U1481">
        <v>1.1666666666666667</v>
      </c>
    </row>
    <row r="1482" spans="1:21" x14ac:dyDescent="0.35">
      <c r="A1482">
        <v>904</v>
      </c>
      <c r="B1482" s="16">
        <v>40422</v>
      </c>
      <c r="C1482" s="15" t="s">
        <v>63</v>
      </c>
      <c r="D1482" s="15" t="s">
        <v>38</v>
      </c>
      <c r="E1482" s="15" t="s">
        <v>46</v>
      </c>
      <c r="F1482" s="15" t="s">
        <v>47</v>
      </c>
      <c r="G1482" s="15" t="s">
        <v>65</v>
      </c>
      <c r="H1482" s="15" t="s">
        <v>42</v>
      </c>
      <c r="I1482">
        <v>50</v>
      </c>
      <c r="J1482">
        <v>80</v>
      </c>
      <c r="K1482">
        <v>60</v>
      </c>
      <c r="L1482">
        <v>130</v>
      </c>
      <c r="M1482">
        <v>51</v>
      </c>
      <c r="N1482">
        <v>857</v>
      </c>
      <c r="O1482">
        <v>75</v>
      </c>
      <c r="P1482">
        <v>14</v>
      </c>
      <c r="Q1482">
        <v>49</v>
      </c>
      <c r="R1482">
        <v>126</v>
      </c>
      <c r="S1482">
        <v>0.96923076923076923</v>
      </c>
      <c r="T1482">
        <v>0.81666666666666665</v>
      </c>
      <c r="U1482">
        <v>1.02</v>
      </c>
    </row>
    <row r="1483" spans="1:21" x14ac:dyDescent="0.35">
      <c r="A1483">
        <v>561</v>
      </c>
      <c r="B1483" s="16">
        <v>40422</v>
      </c>
      <c r="C1483" s="15" t="s">
        <v>63</v>
      </c>
      <c r="D1483" s="15" t="s">
        <v>38</v>
      </c>
      <c r="E1483" s="15" t="s">
        <v>51</v>
      </c>
      <c r="F1483" s="15" t="s">
        <v>52</v>
      </c>
      <c r="G1483" s="15" t="s">
        <v>65</v>
      </c>
      <c r="H1483" s="15" t="s">
        <v>45</v>
      </c>
      <c r="I1483">
        <v>20</v>
      </c>
      <c r="J1483">
        <v>30</v>
      </c>
      <c r="K1483">
        <v>20</v>
      </c>
      <c r="L1483">
        <v>50</v>
      </c>
      <c r="M1483">
        <v>33</v>
      </c>
      <c r="N1483">
        <v>577</v>
      </c>
      <c r="O1483">
        <v>43</v>
      </c>
      <c r="P1483">
        <v>10</v>
      </c>
      <c r="Q1483">
        <v>21</v>
      </c>
      <c r="R1483">
        <v>76</v>
      </c>
      <c r="S1483">
        <v>1.52</v>
      </c>
      <c r="T1483">
        <v>1.05</v>
      </c>
      <c r="U1483">
        <v>1.65</v>
      </c>
    </row>
    <row r="1484" spans="1:21" x14ac:dyDescent="0.35">
      <c r="A1484">
        <v>305</v>
      </c>
      <c r="B1484" s="16">
        <v>40422</v>
      </c>
      <c r="C1484" s="15" t="s">
        <v>63</v>
      </c>
      <c r="D1484" s="15" t="s">
        <v>38</v>
      </c>
      <c r="E1484" s="15" t="s">
        <v>53</v>
      </c>
      <c r="F1484" s="15" t="s">
        <v>52</v>
      </c>
      <c r="G1484" s="15" t="s">
        <v>65</v>
      </c>
      <c r="H1484" s="15" t="s">
        <v>45</v>
      </c>
      <c r="I1484">
        <v>50</v>
      </c>
      <c r="J1484">
        <v>60</v>
      </c>
      <c r="K1484">
        <v>20</v>
      </c>
      <c r="L1484">
        <v>110</v>
      </c>
      <c r="M1484">
        <v>67</v>
      </c>
      <c r="N1484">
        <v>391</v>
      </c>
      <c r="O1484">
        <v>82</v>
      </c>
      <c r="P1484">
        <v>25</v>
      </c>
      <c r="Q1484">
        <v>24</v>
      </c>
      <c r="R1484">
        <v>149</v>
      </c>
      <c r="S1484">
        <v>1.3545454545454545</v>
      </c>
      <c r="T1484">
        <v>1.2</v>
      </c>
      <c r="U1484">
        <v>1.34</v>
      </c>
    </row>
    <row r="1485" spans="1:21" x14ac:dyDescent="0.35">
      <c r="A1485">
        <v>407</v>
      </c>
      <c r="B1485" s="16">
        <v>40422</v>
      </c>
      <c r="C1485" s="15" t="s">
        <v>63</v>
      </c>
      <c r="D1485" s="15" t="s">
        <v>38</v>
      </c>
      <c r="E1485" s="15" t="s">
        <v>54</v>
      </c>
      <c r="F1485" s="15" t="s">
        <v>52</v>
      </c>
      <c r="G1485" s="15" t="s">
        <v>65</v>
      </c>
      <c r="H1485" s="15" t="s">
        <v>45</v>
      </c>
      <c r="I1485">
        <v>60</v>
      </c>
      <c r="J1485">
        <v>80</v>
      </c>
      <c r="K1485">
        <v>50</v>
      </c>
      <c r="L1485">
        <v>140</v>
      </c>
      <c r="M1485">
        <v>83</v>
      </c>
      <c r="N1485">
        <v>1063</v>
      </c>
      <c r="O1485">
        <v>99</v>
      </c>
      <c r="P1485">
        <v>25</v>
      </c>
      <c r="Q1485">
        <v>53</v>
      </c>
      <c r="R1485">
        <v>182</v>
      </c>
      <c r="S1485">
        <v>1.3</v>
      </c>
      <c r="T1485">
        <v>1.06</v>
      </c>
      <c r="U1485">
        <v>1.3833333333333333</v>
      </c>
    </row>
    <row r="1486" spans="1:21" x14ac:dyDescent="0.35">
      <c r="A1486">
        <v>863</v>
      </c>
      <c r="B1486" s="16">
        <v>40422</v>
      </c>
      <c r="C1486" s="15" t="s">
        <v>63</v>
      </c>
      <c r="D1486" s="15" t="s">
        <v>38</v>
      </c>
      <c r="E1486" s="15" t="s">
        <v>50</v>
      </c>
      <c r="F1486" s="15" t="s">
        <v>49</v>
      </c>
      <c r="G1486" s="15" t="s">
        <v>65</v>
      </c>
      <c r="H1486" s="15" t="s">
        <v>45</v>
      </c>
      <c r="I1486">
        <v>80</v>
      </c>
      <c r="J1486">
        <v>110</v>
      </c>
      <c r="K1486">
        <v>70</v>
      </c>
      <c r="L1486">
        <v>190</v>
      </c>
      <c r="M1486">
        <v>85</v>
      </c>
      <c r="N1486">
        <v>555</v>
      </c>
      <c r="O1486">
        <v>114</v>
      </c>
      <c r="P1486">
        <v>28</v>
      </c>
      <c r="Q1486">
        <v>58</v>
      </c>
      <c r="R1486">
        <v>199</v>
      </c>
      <c r="S1486">
        <v>1.0473684210526315</v>
      </c>
      <c r="T1486">
        <v>0.82857142857142863</v>
      </c>
      <c r="U1486">
        <v>1.0625</v>
      </c>
    </row>
    <row r="1487" spans="1:21" x14ac:dyDescent="0.35">
      <c r="A1487">
        <v>863</v>
      </c>
      <c r="B1487" s="16">
        <v>40422</v>
      </c>
      <c r="C1487" s="15" t="s">
        <v>63</v>
      </c>
      <c r="D1487" s="15" t="s">
        <v>38</v>
      </c>
      <c r="E1487" s="15" t="s">
        <v>48</v>
      </c>
      <c r="F1487" s="15" t="s">
        <v>49</v>
      </c>
      <c r="G1487" s="15" t="s">
        <v>65</v>
      </c>
      <c r="H1487" s="15" t="s">
        <v>42</v>
      </c>
      <c r="I1487">
        <v>80</v>
      </c>
      <c r="J1487">
        <v>130</v>
      </c>
      <c r="K1487">
        <v>40</v>
      </c>
      <c r="L1487">
        <v>210</v>
      </c>
      <c r="M1487">
        <v>93</v>
      </c>
      <c r="N1487">
        <v>692</v>
      </c>
      <c r="O1487">
        <v>130</v>
      </c>
      <c r="P1487">
        <v>84</v>
      </c>
      <c r="Q1487">
        <v>17</v>
      </c>
      <c r="R1487">
        <v>223</v>
      </c>
      <c r="S1487">
        <v>1.0619047619047619</v>
      </c>
      <c r="T1487">
        <v>0.42499999999999999</v>
      </c>
      <c r="U1487">
        <v>1.1625000000000001</v>
      </c>
    </row>
    <row r="1488" spans="1:21" x14ac:dyDescent="0.35">
      <c r="A1488">
        <v>386</v>
      </c>
      <c r="B1488" s="16">
        <v>40422</v>
      </c>
      <c r="C1488" s="15" t="s">
        <v>63</v>
      </c>
      <c r="D1488" s="15" t="s">
        <v>38</v>
      </c>
      <c r="E1488" s="15" t="s">
        <v>43</v>
      </c>
      <c r="F1488" s="15" t="s">
        <v>40</v>
      </c>
      <c r="G1488" s="15" t="s">
        <v>65</v>
      </c>
      <c r="H1488" s="15" t="s">
        <v>42</v>
      </c>
      <c r="I1488">
        <v>90</v>
      </c>
      <c r="J1488">
        <v>140</v>
      </c>
      <c r="K1488">
        <v>100</v>
      </c>
      <c r="L1488">
        <v>230</v>
      </c>
      <c r="M1488">
        <v>99</v>
      </c>
      <c r="N1488">
        <v>798</v>
      </c>
      <c r="O1488">
        <v>150</v>
      </c>
      <c r="P1488">
        <v>32</v>
      </c>
      <c r="Q1488">
        <v>86</v>
      </c>
      <c r="R1488">
        <v>249</v>
      </c>
      <c r="S1488">
        <v>1.0826086956521739</v>
      </c>
      <c r="T1488">
        <v>0.86</v>
      </c>
      <c r="U1488">
        <v>1.1000000000000001</v>
      </c>
    </row>
    <row r="1489" spans="1:21" x14ac:dyDescent="0.35">
      <c r="A1489">
        <v>954</v>
      </c>
      <c r="B1489" s="16">
        <v>40422</v>
      </c>
      <c r="C1489" s="15" t="s">
        <v>63</v>
      </c>
      <c r="D1489" s="15" t="s">
        <v>38</v>
      </c>
      <c r="E1489" s="15" t="s">
        <v>44</v>
      </c>
      <c r="F1489" s="15" t="s">
        <v>40</v>
      </c>
      <c r="G1489" s="15" t="s">
        <v>65</v>
      </c>
      <c r="H1489" s="15" t="s">
        <v>45</v>
      </c>
      <c r="I1489">
        <v>90</v>
      </c>
      <c r="J1489">
        <v>120</v>
      </c>
      <c r="K1489">
        <v>80</v>
      </c>
      <c r="L1489">
        <v>210</v>
      </c>
      <c r="M1489">
        <v>96</v>
      </c>
      <c r="N1489">
        <v>666</v>
      </c>
      <c r="O1489">
        <v>134</v>
      </c>
      <c r="P1489">
        <v>29</v>
      </c>
      <c r="Q1489">
        <v>81</v>
      </c>
      <c r="R1489">
        <v>230</v>
      </c>
      <c r="S1489">
        <v>1.0952380952380953</v>
      </c>
      <c r="T1489">
        <v>1.0125</v>
      </c>
      <c r="U1489">
        <v>1.0666666666666667</v>
      </c>
    </row>
    <row r="1490" spans="1:21" x14ac:dyDescent="0.35">
      <c r="A1490">
        <v>339</v>
      </c>
      <c r="B1490" s="16">
        <v>40422</v>
      </c>
      <c r="C1490" s="15" t="s">
        <v>63</v>
      </c>
      <c r="D1490" s="15" t="s">
        <v>38</v>
      </c>
      <c r="E1490" s="15" t="s">
        <v>55</v>
      </c>
      <c r="F1490" s="15" t="s">
        <v>47</v>
      </c>
      <c r="G1490" s="15" t="s">
        <v>66</v>
      </c>
      <c r="H1490" s="15" t="s">
        <v>42</v>
      </c>
      <c r="I1490">
        <v>30</v>
      </c>
      <c r="J1490">
        <v>40</v>
      </c>
      <c r="K1490">
        <v>30</v>
      </c>
      <c r="L1490">
        <v>70</v>
      </c>
      <c r="M1490">
        <v>29</v>
      </c>
      <c r="N1490">
        <v>862</v>
      </c>
      <c r="O1490">
        <v>43</v>
      </c>
      <c r="P1490">
        <v>8</v>
      </c>
      <c r="Q1490">
        <v>23</v>
      </c>
      <c r="R1490">
        <v>72</v>
      </c>
      <c r="S1490">
        <v>1.0285714285714285</v>
      </c>
      <c r="T1490">
        <v>0.76666666666666672</v>
      </c>
      <c r="U1490">
        <v>0.96666666666666667</v>
      </c>
    </row>
    <row r="1491" spans="1:21" x14ac:dyDescent="0.35">
      <c r="A1491">
        <v>617</v>
      </c>
      <c r="B1491" s="16">
        <v>40422</v>
      </c>
      <c r="C1491" s="15" t="s">
        <v>63</v>
      </c>
      <c r="D1491" s="15" t="s">
        <v>38</v>
      </c>
      <c r="E1491" s="15" t="s">
        <v>46</v>
      </c>
      <c r="F1491" s="15" t="s">
        <v>47</v>
      </c>
      <c r="G1491" s="15" t="s">
        <v>66</v>
      </c>
      <c r="H1491" s="15" t="s">
        <v>42</v>
      </c>
      <c r="I1491">
        <v>20</v>
      </c>
      <c r="J1491">
        <v>30</v>
      </c>
      <c r="K1491">
        <v>20</v>
      </c>
      <c r="L1491">
        <v>50</v>
      </c>
      <c r="M1491">
        <v>20</v>
      </c>
      <c r="N1491">
        <v>482</v>
      </c>
      <c r="O1491">
        <v>30</v>
      </c>
      <c r="P1491">
        <v>5</v>
      </c>
      <c r="Q1491">
        <v>13</v>
      </c>
      <c r="R1491">
        <v>50</v>
      </c>
      <c r="S1491">
        <v>1</v>
      </c>
      <c r="T1491">
        <v>0.65</v>
      </c>
      <c r="U1491">
        <v>1</v>
      </c>
    </row>
    <row r="1492" spans="1:21" x14ac:dyDescent="0.35">
      <c r="A1492">
        <v>857</v>
      </c>
      <c r="B1492" s="16">
        <v>40422</v>
      </c>
      <c r="C1492" s="15" t="s">
        <v>63</v>
      </c>
      <c r="D1492" s="15" t="s">
        <v>38</v>
      </c>
      <c r="E1492" s="15" t="s">
        <v>53</v>
      </c>
      <c r="F1492" s="15" t="s">
        <v>52</v>
      </c>
      <c r="G1492" s="15" t="s">
        <v>66</v>
      </c>
      <c r="H1492" s="15" t="s">
        <v>45</v>
      </c>
      <c r="I1492">
        <v>30</v>
      </c>
      <c r="J1492">
        <v>40</v>
      </c>
      <c r="K1492">
        <v>10</v>
      </c>
      <c r="L1492">
        <v>70</v>
      </c>
      <c r="M1492">
        <v>45</v>
      </c>
      <c r="N1492">
        <v>409</v>
      </c>
      <c r="O1492">
        <v>57</v>
      </c>
      <c r="P1492">
        <v>17</v>
      </c>
      <c r="Q1492">
        <v>6</v>
      </c>
      <c r="R1492">
        <v>102</v>
      </c>
      <c r="S1492">
        <v>1.4571428571428571</v>
      </c>
      <c r="T1492">
        <v>0.6</v>
      </c>
      <c r="U1492">
        <v>1.5</v>
      </c>
    </row>
    <row r="1493" spans="1:21" x14ac:dyDescent="0.35">
      <c r="A1493">
        <v>781</v>
      </c>
      <c r="B1493" s="16">
        <v>40422</v>
      </c>
      <c r="C1493" s="15" t="s">
        <v>63</v>
      </c>
      <c r="D1493" s="15" t="s">
        <v>38</v>
      </c>
      <c r="E1493" s="15" t="s">
        <v>67</v>
      </c>
      <c r="F1493" s="15" t="s">
        <v>49</v>
      </c>
      <c r="G1493" s="15" t="s">
        <v>66</v>
      </c>
      <c r="H1493" s="15" t="s">
        <v>42</v>
      </c>
      <c r="I1493">
        <v>140</v>
      </c>
      <c r="J1493">
        <v>160</v>
      </c>
      <c r="K1493">
        <v>100</v>
      </c>
      <c r="L1493">
        <v>300</v>
      </c>
      <c r="M1493">
        <v>155</v>
      </c>
      <c r="N1493">
        <v>1280</v>
      </c>
      <c r="O1493">
        <v>155</v>
      </c>
      <c r="P1493">
        <v>43</v>
      </c>
      <c r="Q1493">
        <v>87</v>
      </c>
      <c r="R1493">
        <v>310</v>
      </c>
      <c r="S1493">
        <v>1.0333333333333334</v>
      </c>
      <c r="T1493">
        <v>0.87</v>
      </c>
      <c r="U1493">
        <v>1.1071428571428572</v>
      </c>
    </row>
    <row r="1494" spans="1:21" x14ac:dyDescent="0.35">
      <c r="A1494">
        <v>508</v>
      </c>
      <c r="B1494" s="16">
        <v>40422</v>
      </c>
      <c r="C1494" s="15" t="s">
        <v>63</v>
      </c>
      <c r="D1494" s="15" t="s">
        <v>38</v>
      </c>
      <c r="E1494" s="15" t="s">
        <v>48</v>
      </c>
      <c r="F1494" s="15" t="s">
        <v>49</v>
      </c>
      <c r="G1494" s="15" t="s">
        <v>66</v>
      </c>
      <c r="H1494" s="15" t="s">
        <v>42</v>
      </c>
      <c r="I1494">
        <v>40</v>
      </c>
      <c r="J1494">
        <v>50</v>
      </c>
      <c r="K1494">
        <v>-10</v>
      </c>
      <c r="L1494">
        <v>90</v>
      </c>
      <c r="M1494">
        <v>52</v>
      </c>
      <c r="N1494">
        <v>520</v>
      </c>
      <c r="O1494">
        <v>46</v>
      </c>
      <c r="P1494">
        <v>47</v>
      </c>
      <c r="Q1494">
        <v>-31</v>
      </c>
      <c r="R1494">
        <v>98</v>
      </c>
      <c r="S1494">
        <v>1.0888888888888888</v>
      </c>
      <c r="T1494">
        <v>3.1</v>
      </c>
      <c r="U1494">
        <v>1.3</v>
      </c>
    </row>
    <row r="1495" spans="1:21" x14ac:dyDescent="0.35">
      <c r="A1495">
        <v>413</v>
      </c>
      <c r="B1495" s="16">
        <v>40422</v>
      </c>
      <c r="C1495" s="15" t="s">
        <v>63</v>
      </c>
      <c r="D1495" s="15" t="s">
        <v>38</v>
      </c>
      <c r="E1495" s="15" t="s">
        <v>43</v>
      </c>
      <c r="F1495" s="15" t="s">
        <v>40</v>
      </c>
      <c r="G1495" s="15" t="s">
        <v>66</v>
      </c>
      <c r="H1495" s="15" t="s">
        <v>42</v>
      </c>
      <c r="I1495">
        <v>50</v>
      </c>
      <c r="J1495">
        <v>490</v>
      </c>
      <c r="K1495">
        <v>460</v>
      </c>
      <c r="L1495">
        <v>540</v>
      </c>
      <c r="M1495">
        <v>60</v>
      </c>
      <c r="N1495">
        <v>-2572</v>
      </c>
      <c r="O1495">
        <v>516</v>
      </c>
      <c r="P1495">
        <v>19</v>
      </c>
      <c r="Q1495">
        <v>465</v>
      </c>
      <c r="R1495">
        <v>576</v>
      </c>
      <c r="S1495">
        <v>1.0666666666666667</v>
      </c>
      <c r="T1495">
        <v>1.0108695652173914</v>
      </c>
      <c r="U1495">
        <v>1.2</v>
      </c>
    </row>
    <row r="1496" spans="1:21" x14ac:dyDescent="0.35">
      <c r="A1496">
        <v>603</v>
      </c>
      <c r="B1496" s="16">
        <v>40422</v>
      </c>
      <c r="C1496" s="15" t="s">
        <v>63</v>
      </c>
      <c r="D1496" s="15" t="s">
        <v>58</v>
      </c>
      <c r="E1496" s="15" t="s">
        <v>55</v>
      </c>
      <c r="F1496" s="15" t="s">
        <v>47</v>
      </c>
      <c r="G1496" s="15" t="s">
        <v>68</v>
      </c>
      <c r="H1496" s="15" t="s">
        <v>42</v>
      </c>
      <c r="I1496">
        <v>20</v>
      </c>
      <c r="J1496">
        <v>30</v>
      </c>
      <c r="K1496">
        <v>20</v>
      </c>
      <c r="L1496">
        <v>50</v>
      </c>
      <c r="M1496">
        <v>19</v>
      </c>
      <c r="N1496">
        <v>848</v>
      </c>
      <c r="O1496">
        <v>29</v>
      </c>
      <c r="P1496">
        <v>5</v>
      </c>
      <c r="Q1496">
        <v>12</v>
      </c>
      <c r="R1496">
        <v>48</v>
      </c>
      <c r="S1496">
        <v>0.96</v>
      </c>
      <c r="T1496">
        <v>0.6</v>
      </c>
      <c r="U1496">
        <v>0.95</v>
      </c>
    </row>
    <row r="1497" spans="1:21" x14ac:dyDescent="0.35">
      <c r="A1497">
        <v>603</v>
      </c>
      <c r="B1497" s="16">
        <v>40422</v>
      </c>
      <c r="C1497" s="15" t="s">
        <v>63</v>
      </c>
      <c r="D1497" s="15" t="s">
        <v>58</v>
      </c>
      <c r="E1497" s="15" t="s">
        <v>46</v>
      </c>
      <c r="F1497" s="15" t="s">
        <v>47</v>
      </c>
      <c r="G1497" s="15" t="s">
        <v>68</v>
      </c>
      <c r="H1497" s="15" t="s">
        <v>42</v>
      </c>
      <c r="I1497">
        <v>0</v>
      </c>
      <c r="J1497">
        <v>40</v>
      </c>
      <c r="K1497">
        <v>30</v>
      </c>
      <c r="L1497">
        <v>40</v>
      </c>
      <c r="M1497">
        <v>0</v>
      </c>
      <c r="N1497">
        <v>473</v>
      </c>
      <c r="O1497">
        <v>43</v>
      </c>
      <c r="P1497">
        <v>0</v>
      </c>
      <c r="Q1497">
        <v>31</v>
      </c>
      <c r="R1497">
        <v>43</v>
      </c>
      <c r="S1497">
        <v>1.075</v>
      </c>
      <c r="T1497">
        <v>1.0333333333333334</v>
      </c>
    </row>
    <row r="1498" spans="1:21" x14ac:dyDescent="0.35">
      <c r="A1498">
        <v>603</v>
      </c>
      <c r="B1498" s="16">
        <v>40422</v>
      </c>
      <c r="C1498" s="15" t="s">
        <v>63</v>
      </c>
      <c r="D1498" s="15" t="s">
        <v>58</v>
      </c>
      <c r="E1498" s="15" t="s">
        <v>53</v>
      </c>
      <c r="F1498" s="15" t="s">
        <v>52</v>
      </c>
      <c r="G1498" s="15" t="s">
        <v>68</v>
      </c>
      <c r="H1498" s="15" t="s">
        <v>45</v>
      </c>
      <c r="I1498">
        <v>30</v>
      </c>
      <c r="J1498">
        <v>40</v>
      </c>
      <c r="K1498">
        <v>10</v>
      </c>
      <c r="L1498">
        <v>70</v>
      </c>
      <c r="M1498">
        <v>40</v>
      </c>
      <c r="N1498">
        <v>244</v>
      </c>
      <c r="O1498">
        <v>51</v>
      </c>
      <c r="P1498">
        <v>15</v>
      </c>
      <c r="Q1498">
        <v>2</v>
      </c>
      <c r="R1498">
        <v>91</v>
      </c>
      <c r="S1498">
        <v>1.3</v>
      </c>
      <c r="T1498">
        <v>0.2</v>
      </c>
      <c r="U1498">
        <v>1.3333333333333333</v>
      </c>
    </row>
    <row r="1499" spans="1:21" x14ac:dyDescent="0.35">
      <c r="A1499">
        <v>603</v>
      </c>
      <c r="B1499" s="16">
        <v>40422</v>
      </c>
      <c r="C1499" s="15" t="s">
        <v>63</v>
      </c>
      <c r="D1499" s="15" t="s">
        <v>58</v>
      </c>
      <c r="E1499" s="15" t="s">
        <v>67</v>
      </c>
      <c r="F1499" s="15" t="s">
        <v>49</v>
      </c>
      <c r="G1499" s="15" t="s">
        <v>68</v>
      </c>
      <c r="H1499" s="15" t="s">
        <v>42</v>
      </c>
      <c r="I1499">
        <v>20</v>
      </c>
      <c r="J1499">
        <v>30</v>
      </c>
      <c r="K1499">
        <v>0</v>
      </c>
      <c r="L1499">
        <v>50</v>
      </c>
      <c r="M1499">
        <v>24</v>
      </c>
      <c r="N1499">
        <v>212</v>
      </c>
      <c r="O1499">
        <v>30</v>
      </c>
      <c r="P1499">
        <v>9</v>
      </c>
      <c r="Q1499">
        <v>-12</v>
      </c>
      <c r="R1499">
        <v>54</v>
      </c>
      <c r="S1499">
        <v>1.08</v>
      </c>
      <c r="U1499">
        <v>1.2</v>
      </c>
    </row>
    <row r="1500" spans="1:21" x14ac:dyDescent="0.35">
      <c r="A1500">
        <v>603</v>
      </c>
      <c r="B1500" s="16">
        <v>40422</v>
      </c>
      <c r="C1500" s="15" t="s">
        <v>63</v>
      </c>
      <c r="D1500" s="15" t="s">
        <v>58</v>
      </c>
      <c r="E1500" s="15" t="s">
        <v>48</v>
      </c>
      <c r="F1500" s="15" t="s">
        <v>49</v>
      </c>
      <c r="G1500" s="15" t="s">
        <v>68</v>
      </c>
      <c r="H1500" s="15" t="s">
        <v>42</v>
      </c>
      <c r="I1500">
        <v>40</v>
      </c>
      <c r="J1500">
        <v>60</v>
      </c>
      <c r="K1500">
        <v>10</v>
      </c>
      <c r="L1500">
        <v>100</v>
      </c>
      <c r="M1500">
        <v>44</v>
      </c>
      <c r="N1500">
        <v>325</v>
      </c>
      <c r="O1500">
        <v>62</v>
      </c>
      <c r="P1500">
        <v>40</v>
      </c>
      <c r="Q1500">
        <v>-7</v>
      </c>
      <c r="R1500">
        <v>106</v>
      </c>
      <c r="S1500">
        <v>1.06</v>
      </c>
      <c r="T1500">
        <v>-0.7</v>
      </c>
      <c r="U1500">
        <v>1.1000000000000001</v>
      </c>
    </row>
    <row r="1501" spans="1:21" x14ac:dyDescent="0.35">
      <c r="A1501">
        <v>603</v>
      </c>
      <c r="B1501" s="16">
        <v>40422</v>
      </c>
      <c r="C1501" s="15" t="s">
        <v>63</v>
      </c>
      <c r="D1501" s="15" t="s">
        <v>58</v>
      </c>
      <c r="E1501" s="15" t="s">
        <v>39</v>
      </c>
      <c r="F1501" s="15" t="s">
        <v>40</v>
      </c>
      <c r="G1501" s="15" t="s">
        <v>68</v>
      </c>
      <c r="H1501" s="15" t="s">
        <v>42</v>
      </c>
      <c r="I1501">
        <v>40</v>
      </c>
      <c r="J1501">
        <v>70</v>
      </c>
      <c r="K1501">
        <v>50</v>
      </c>
      <c r="L1501">
        <v>110</v>
      </c>
      <c r="M1501">
        <v>49</v>
      </c>
      <c r="N1501">
        <v>315</v>
      </c>
      <c r="O1501">
        <v>71</v>
      </c>
      <c r="P1501">
        <v>15</v>
      </c>
      <c r="Q1501">
        <v>33</v>
      </c>
      <c r="R1501">
        <v>120</v>
      </c>
      <c r="S1501">
        <v>1.0909090909090908</v>
      </c>
      <c r="T1501">
        <v>0.66</v>
      </c>
      <c r="U1501">
        <v>1.2250000000000001</v>
      </c>
    </row>
    <row r="1502" spans="1:21" x14ac:dyDescent="0.35">
      <c r="A1502">
        <v>603</v>
      </c>
      <c r="B1502" s="16">
        <v>40422</v>
      </c>
      <c r="C1502" s="15" t="s">
        <v>63</v>
      </c>
      <c r="D1502" s="15" t="s">
        <v>58</v>
      </c>
      <c r="E1502" s="15" t="s">
        <v>43</v>
      </c>
      <c r="F1502" s="15" t="s">
        <v>40</v>
      </c>
      <c r="G1502" s="15" t="s">
        <v>68</v>
      </c>
      <c r="H1502" s="15" t="s">
        <v>42</v>
      </c>
      <c r="I1502">
        <v>50</v>
      </c>
      <c r="J1502">
        <v>80</v>
      </c>
      <c r="K1502">
        <v>50</v>
      </c>
      <c r="L1502">
        <v>130</v>
      </c>
      <c r="M1502">
        <v>55</v>
      </c>
      <c r="N1502">
        <v>453</v>
      </c>
      <c r="O1502">
        <v>84</v>
      </c>
      <c r="P1502">
        <v>18</v>
      </c>
      <c r="Q1502">
        <v>34</v>
      </c>
      <c r="R1502">
        <v>139</v>
      </c>
      <c r="S1502">
        <v>1.0692307692307692</v>
      </c>
      <c r="T1502">
        <v>0.68</v>
      </c>
      <c r="U1502">
        <v>1.1000000000000001</v>
      </c>
    </row>
    <row r="1503" spans="1:21" x14ac:dyDescent="0.35">
      <c r="A1503">
        <v>347</v>
      </c>
      <c r="B1503" s="16">
        <v>40422</v>
      </c>
      <c r="C1503" s="15" t="s">
        <v>63</v>
      </c>
      <c r="D1503" s="15" t="s">
        <v>38</v>
      </c>
      <c r="E1503" s="15" t="s">
        <v>55</v>
      </c>
      <c r="F1503" s="15" t="s">
        <v>47</v>
      </c>
      <c r="G1503" s="15" t="s">
        <v>69</v>
      </c>
      <c r="H1503" s="15" t="s">
        <v>42</v>
      </c>
      <c r="I1503">
        <v>100</v>
      </c>
      <c r="J1503">
        <v>160</v>
      </c>
      <c r="K1503">
        <v>130</v>
      </c>
      <c r="L1503">
        <v>260</v>
      </c>
      <c r="M1503">
        <v>100</v>
      </c>
      <c r="N1503">
        <v>981</v>
      </c>
      <c r="O1503">
        <v>145</v>
      </c>
      <c r="P1503">
        <v>28</v>
      </c>
      <c r="Q1503">
        <v>106</v>
      </c>
      <c r="R1503">
        <v>245</v>
      </c>
      <c r="S1503">
        <v>0.94230769230769229</v>
      </c>
      <c r="T1503">
        <v>0.81538461538461537</v>
      </c>
      <c r="U1503">
        <v>1</v>
      </c>
    </row>
    <row r="1504" spans="1:21" x14ac:dyDescent="0.35">
      <c r="A1504">
        <v>518</v>
      </c>
      <c r="B1504" s="16">
        <v>40422</v>
      </c>
      <c r="C1504" s="15" t="s">
        <v>63</v>
      </c>
      <c r="D1504" s="15" t="s">
        <v>38</v>
      </c>
      <c r="E1504" s="15" t="s">
        <v>56</v>
      </c>
      <c r="F1504" s="15" t="s">
        <v>47</v>
      </c>
      <c r="G1504" s="15" t="s">
        <v>69</v>
      </c>
      <c r="H1504" s="15" t="s">
        <v>42</v>
      </c>
      <c r="I1504">
        <v>130</v>
      </c>
      <c r="J1504">
        <v>190</v>
      </c>
      <c r="K1504">
        <v>150</v>
      </c>
      <c r="L1504">
        <v>320</v>
      </c>
      <c r="M1504">
        <v>123</v>
      </c>
      <c r="N1504">
        <v>928</v>
      </c>
      <c r="O1504">
        <v>179</v>
      </c>
      <c r="P1504">
        <v>34</v>
      </c>
      <c r="Q1504">
        <v>133</v>
      </c>
      <c r="R1504">
        <v>302</v>
      </c>
      <c r="S1504">
        <v>0.94374999999999998</v>
      </c>
      <c r="T1504">
        <v>0.88666666666666671</v>
      </c>
      <c r="U1504">
        <v>0.94615384615384612</v>
      </c>
    </row>
    <row r="1505" spans="1:21" x14ac:dyDescent="0.35">
      <c r="A1505">
        <v>646</v>
      </c>
      <c r="B1505" s="16">
        <v>40422</v>
      </c>
      <c r="C1505" s="15" t="s">
        <v>63</v>
      </c>
      <c r="D1505" s="15" t="s">
        <v>38</v>
      </c>
      <c r="E1505" s="15" t="s">
        <v>46</v>
      </c>
      <c r="F1505" s="15" t="s">
        <v>47</v>
      </c>
      <c r="G1505" s="15" t="s">
        <v>69</v>
      </c>
      <c r="H1505" s="15" t="s">
        <v>42</v>
      </c>
      <c r="I1505">
        <v>80</v>
      </c>
      <c r="J1505">
        <v>130</v>
      </c>
      <c r="K1505">
        <v>100</v>
      </c>
      <c r="L1505">
        <v>210</v>
      </c>
      <c r="M1505">
        <v>81</v>
      </c>
      <c r="N1505">
        <v>588</v>
      </c>
      <c r="O1505">
        <v>118</v>
      </c>
      <c r="P1505">
        <v>22</v>
      </c>
      <c r="Q1505">
        <v>84</v>
      </c>
      <c r="R1505">
        <v>199</v>
      </c>
      <c r="S1505">
        <v>0.94761904761904758</v>
      </c>
      <c r="T1505">
        <v>0.84</v>
      </c>
      <c r="U1505">
        <v>1.0125</v>
      </c>
    </row>
    <row r="1506" spans="1:21" x14ac:dyDescent="0.35">
      <c r="A1506">
        <v>917</v>
      </c>
      <c r="B1506" s="16">
        <v>40422</v>
      </c>
      <c r="C1506" s="15" t="s">
        <v>63</v>
      </c>
      <c r="D1506" s="15" t="s">
        <v>38</v>
      </c>
      <c r="E1506" s="15" t="s">
        <v>53</v>
      </c>
      <c r="F1506" s="15" t="s">
        <v>52</v>
      </c>
      <c r="G1506" s="15" t="s">
        <v>69</v>
      </c>
      <c r="H1506" s="15" t="s">
        <v>45</v>
      </c>
      <c r="I1506">
        <v>220</v>
      </c>
      <c r="J1506">
        <v>200</v>
      </c>
      <c r="K1506">
        <v>90</v>
      </c>
      <c r="L1506">
        <v>420</v>
      </c>
      <c r="M1506">
        <v>302</v>
      </c>
      <c r="N1506">
        <v>1518</v>
      </c>
      <c r="O1506">
        <v>239</v>
      </c>
      <c r="P1506">
        <v>114</v>
      </c>
      <c r="Q1506">
        <v>92</v>
      </c>
      <c r="R1506">
        <v>541</v>
      </c>
      <c r="S1506">
        <v>1.2880952380952382</v>
      </c>
      <c r="T1506">
        <v>1.0222222222222221</v>
      </c>
      <c r="U1506">
        <v>1.3727272727272728</v>
      </c>
    </row>
    <row r="1507" spans="1:21" x14ac:dyDescent="0.35">
      <c r="A1507">
        <v>212</v>
      </c>
      <c r="B1507" s="16">
        <v>40422</v>
      </c>
      <c r="C1507" s="15" t="s">
        <v>63</v>
      </c>
      <c r="D1507" s="15" t="s">
        <v>38</v>
      </c>
      <c r="E1507" s="15" t="s">
        <v>54</v>
      </c>
      <c r="F1507" s="15" t="s">
        <v>52</v>
      </c>
      <c r="G1507" s="15" t="s">
        <v>69</v>
      </c>
      <c r="H1507" s="15" t="s">
        <v>45</v>
      </c>
      <c r="I1507">
        <v>190</v>
      </c>
      <c r="J1507">
        <v>-110</v>
      </c>
      <c r="K1507">
        <v>-180</v>
      </c>
      <c r="L1507">
        <v>80</v>
      </c>
      <c r="M1507">
        <v>251</v>
      </c>
      <c r="N1507">
        <v>3948</v>
      </c>
      <c r="O1507">
        <v>-139</v>
      </c>
      <c r="P1507">
        <v>77</v>
      </c>
      <c r="Q1507">
        <v>-238</v>
      </c>
      <c r="R1507">
        <v>112</v>
      </c>
      <c r="S1507">
        <v>1.4</v>
      </c>
      <c r="T1507">
        <v>1.3222222222222222</v>
      </c>
      <c r="U1507">
        <v>1.3210526315789475</v>
      </c>
    </row>
    <row r="1508" spans="1:21" x14ac:dyDescent="0.35">
      <c r="A1508">
        <v>716</v>
      </c>
      <c r="B1508" s="16">
        <v>40422</v>
      </c>
      <c r="C1508" s="15" t="s">
        <v>63</v>
      </c>
      <c r="D1508" s="15" t="s">
        <v>38</v>
      </c>
      <c r="E1508" s="15" t="s">
        <v>67</v>
      </c>
      <c r="F1508" s="15" t="s">
        <v>49</v>
      </c>
      <c r="G1508" s="15" t="s">
        <v>69</v>
      </c>
      <c r="H1508" s="15" t="s">
        <v>42</v>
      </c>
      <c r="I1508">
        <v>230</v>
      </c>
      <c r="J1508">
        <v>320</v>
      </c>
      <c r="K1508">
        <v>240</v>
      </c>
      <c r="L1508">
        <v>550</v>
      </c>
      <c r="M1508">
        <v>249</v>
      </c>
      <c r="N1508">
        <v>1286</v>
      </c>
      <c r="O1508">
        <v>318</v>
      </c>
      <c r="P1508">
        <v>69</v>
      </c>
      <c r="Q1508">
        <v>224</v>
      </c>
      <c r="R1508">
        <v>567</v>
      </c>
      <c r="S1508">
        <v>1.030909090909091</v>
      </c>
      <c r="T1508">
        <v>0.93333333333333335</v>
      </c>
      <c r="U1508">
        <v>1.0826086956521739</v>
      </c>
    </row>
    <row r="1509" spans="1:21" x14ac:dyDescent="0.35">
      <c r="A1509">
        <v>585</v>
      </c>
      <c r="B1509" s="16">
        <v>40422</v>
      </c>
      <c r="C1509" s="15" t="s">
        <v>63</v>
      </c>
      <c r="D1509" s="15" t="s">
        <v>38</v>
      </c>
      <c r="E1509" s="15" t="s">
        <v>48</v>
      </c>
      <c r="F1509" s="15" t="s">
        <v>49</v>
      </c>
      <c r="G1509" s="15" t="s">
        <v>69</v>
      </c>
      <c r="H1509" s="15" t="s">
        <v>42</v>
      </c>
      <c r="I1509">
        <v>110</v>
      </c>
      <c r="J1509">
        <v>-50</v>
      </c>
      <c r="K1509">
        <v>-180</v>
      </c>
      <c r="L1509">
        <v>60</v>
      </c>
      <c r="M1509">
        <v>121</v>
      </c>
      <c r="N1509">
        <v>2932</v>
      </c>
      <c r="O1509">
        <v>-53</v>
      </c>
      <c r="P1509">
        <v>110</v>
      </c>
      <c r="Q1509">
        <v>-197</v>
      </c>
      <c r="R1509">
        <v>68</v>
      </c>
      <c r="S1509">
        <v>1.1333333333333333</v>
      </c>
      <c r="T1509">
        <v>1.0944444444444446</v>
      </c>
      <c r="U1509">
        <v>1.1000000000000001</v>
      </c>
    </row>
    <row r="1510" spans="1:21" x14ac:dyDescent="0.35">
      <c r="A1510">
        <v>917</v>
      </c>
      <c r="B1510" s="16">
        <v>40422</v>
      </c>
      <c r="C1510" s="15" t="s">
        <v>63</v>
      </c>
      <c r="D1510" s="15" t="s">
        <v>38</v>
      </c>
      <c r="E1510" s="15" t="s">
        <v>43</v>
      </c>
      <c r="F1510" s="15" t="s">
        <v>40</v>
      </c>
      <c r="G1510" s="15" t="s">
        <v>69</v>
      </c>
      <c r="H1510" s="15" t="s">
        <v>42</v>
      </c>
      <c r="I1510">
        <v>300</v>
      </c>
      <c r="J1510">
        <v>450</v>
      </c>
      <c r="K1510">
        <v>320</v>
      </c>
      <c r="L1510">
        <v>750</v>
      </c>
      <c r="M1510">
        <v>316</v>
      </c>
      <c r="N1510">
        <v>2580</v>
      </c>
      <c r="O1510">
        <v>474</v>
      </c>
      <c r="P1510">
        <v>110</v>
      </c>
      <c r="Q1510">
        <v>312</v>
      </c>
      <c r="R1510">
        <v>790</v>
      </c>
      <c r="S1510">
        <v>1.0533333333333332</v>
      </c>
      <c r="T1510">
        <v>0.97499999999999998</v>
      </c>
      <c r="U1510">
        <v>1.0533333333333332</v>
      </c>
    </row>
    <row r="1511" spans="1:21" x14ac:dyDescent="0.35">
      <c r="A1511">
        <v>504</v>
      </c>
      <c r="B1511" s="16">
        <v>40422</v>
      </c>
      <c r="C1511" s="15" t="s">
        <v>70</v>
      </c>
      <c r="D1511" s="15" t="s">
        <v>58</v>
      </c>
      <c r="E1511" s="15" t="s">
        <v>44</v>
      </c>
      <c r="F1511" s="15" t="s">
        <v>40</v>
      </c>
      <c r="G1511" s="15" t="s">
        <v>71</v>
      </c>
      <c r="H1511" s="15" t="s">
        <v>45</v>
      </c>
      <c r="I1511">
        <v>60</v>
      </c>
      <c r="J1511">
        <v>90</v>
      </c>
      <c r="K1511">
        <v>70</v>
      </c>
      <c r="L1511">
        <v>150</v>
      </c>
      <c r="M1511">
        <v>51</v>
      </c>
      <c r="N1511">
        <v>857</v>
      </c>
      <c r="O1511">
        <v>75</v>
      </c>
      <c r="P1511">
        <v>14</v>
      </c>
      <c r="Q1511">
        <v>50</v>
      </c>
      <c r="R1511">
        <v>126</v>
      </c>
      <c r="S1511">
        <v>0.84</v>
      </c>
      <c r="T1511">
        <v>0.7142857142857143</v>
      </c>
      <c r="U1511">
        <v>0.85</v>
      </c>
    </row>
    <row r="1512" spans="1:21" x14ac:dyDescent="0.35">
      <c r="A1512">
        <v>318</v>
      </c>
      <c r="B1512" s="16">
        <v>40422</v>
      </c>
      <c r="C1512" s="15" t="s">
        <v>70</v>
      </c>
      <c r="D1512" s="15" t="s">
        <v>58</v>
      </c>
      <c r="E1512" s="15" t="s">
        <v>43</v>
      </c>
      <c r="F1512" s="15" t="s">
        <v>40</v>
      </c>
      <c r="G1512" s="15" t="s">
        <v>71</v>
      </c>
      <c r="H1512" s="15" t="s">
        <v>42</v>
      </c>
      <c r="I1512">
        <v>60</v>
      </c>
      <c r="J1512">
        <v>80</v>
      </c>
      <c r="K1512">
        <v>60</v>
      </c>
      <c r="L1512">
        <v>140</v>
      </c>
      <c r="M1512">
        <v>48</v>
      </c>
      <c r="N1512">
        <v>834</v>
      </c>
      <c r="O1512">
        <v>71</v>
      </c>
      <c r="P1512">
        <v>13</v>
      </c>
      <c r="Q1512">
        <v>46</v>
      </c>
      <c r="R1512">
        <v>119</v>
      </c>
      <c r="S1512">
        <v>0.85</v>
      </c>
      <c r="T1512">
        <v>0.76666666666666672</v>
      </c>
      <c r="U1512">
        <v>0.8</v>
      </c>
    </row>
    <row r="1513" spans="1:21" x14ac:dyDescent="0.35">
      <c r="A1513">
        <v>318</v>
      </c>
      <c r="B1513" s="16">
        <v>40422</v>
      </c>
      <c r="C1513" s="15" t="s">
        <v>70</v>
      </c>
      <c r="D1513" s="15" t="s">
        <v>58</v>
      </c>
      <c r="E1513" s="15" t="s">
        <v>51</v>
      </c>
      <c r="F1513" s="15" t="s">
        <v>52</v>
      </c>
      <c r="G1513" s="15" t="s">
        <v>71</v>
      </c>
      <c r="H1513" s="15" t="s">
        <v>45</v>
      </c>
      <c r="I1513">
        <v>60</v>
      </c>
      <c r="J1513">
        <v>90</v>
      </c>
      <c r="K1513">
        <v>60</v>
      </c>
      <c r="L1513">
        <v>150</v>
      </c>
      <c r="M1513">
        <v>69</v>
      </c>
      <c r="N1513">
        <v>572</v>
      </c>
      <c r="O1513">
        <v>90</v>
      </c>
      <c r="P1513">
        <v>22</v>
      </c>
      <c r="Q1513">
        <v>55</v>
      </c>
      <c r="R1513">
        <v>159</v>
      </c>
      <c r="S1513">
        <v>1.06</v>
      </c>
      <c r="T1513">
        <v>0.91666666666666663</v>
      </c>
      <c r="U1513">
        <v>1.1499999999999999</v>
      </c>
    </row>
    <row r="1514" spans="1:21" x14ac:dyDescent="0.35">
      <c r="A1514">
        <v>225</v>
      </c>
      <c r="B1514" s="16">
        <v>40422</v>
      </c>
      <c r="C1514" s="15" t="s">
        <v>70</v>
      </c>
      <c r="D1514" s="15" t="s">
        <v>58</v>
      </c>
      <c r="E1514" s="15" t="s">
        <v>53</v>
      </c>
      <c r="F1514" s="15" t="s">
        <v>52</v>
      </c>
      <c r="G1514" s="15" t="s">
        <v>71</v>
      </c>
      <c r="H1514" s="15" t="s">
        <v>45</v>
      </c>
      <c r="I1514">
        <v>60</v>
      </c>
      <c r="J1514">
        <v>80</v>
      </c>
      <c r="K1514">
        <v>30</v>
      </c>
      <c r="L1514">
        <v>140</v>
      </c>
      <c r="M1514">
        <v>67</v>
      </c>
      <c r="N1514">
        <v>599</v>
      </c>
      <c r="O1514">
        <v>83</v>
      </c>
      <c r="P1514">
        <v>25</v>
      </c>
      <c r="Q1514">
        <v>25</v>
      </c>
      <c r="R1514">
        <v>150</v>
      </c>
      <c r="S1514">
        <v>1.0714285714285714</v>
      </c>
      <c r="T1514">
        <v>0.83333333333333337</v>
      </c>
      <c r="U1514">
        <v>1.1166666666666667</v>
      </c>
    </row>
    <row r="1515" spans="1:21" x14ac:dyDescent="0.35">
      <c r="A1515">
        <v>318</v>
      </c>
      <c r="B1515" s="16">
        <v>40422</v>
      </c>
      <c r="C1515" s="15" t="s">
        <v>70</v>
      </c>
      <c r="D1515" s="15" t="s">
        <v>58</v>
      </c>
      <c r="E1515" s="15" t="s">
        <v>72</v>
      </c>
      <c r="F1515" s="15" t="s">
        <v>49</v>
      </c>
      <c r="G1515" s="15" t="s">
        <v>71</v>
      </c>
      <c r="H1515" s="15" t="s">
        <v>42</v>
      </c>
      <c r="I1515">
        <v>50</v>
      </c>
      <c r="J1515">
        <v>70</v>
      </c>
      <c r="K1515">
        <v>0</v>
      </c>
      <c r="L1515">
        <v>120</v>
      </c>
      <c r="M1515">
        <v>62</v>
      </c>
      <c r="N1515">
        <v>-613</v>
      </c>
      <c r="O1515">
        <v>87</v>
      </c>
      <c r="P1515">
        <v>56</v>
      </c>
      <c r="Q1515">
        <v>2</v>
      </c>
      <c r="R1515">
        <v>149</v>
      </c>
      <c r="S1515">
        <v>1.2416666666666667</v>
      </c>
      <c r="U1515">
        <v>1.24</v>
      </c>
    </row>
    <row r="1516" spans="1:21" x14ac:dyDescent="0.35">
      <c r="A1516">
        <v>985</v>
      </c>
      <c r="B1516" s="16">
        <v>40422</v>
      </c>
      <c r="C1516" s="15" t="s">
        <v>70</v>
      </c>
      <c r="D1516" s="15" t="s">
        <v>58</v>
      </c>
      <c r="E1516" s="15" t="s">
        <v>48</v>
      </c>
      <c r="F1516" s="15" t="s">
        <v>49</v>
      </c>
      <c r="G1516" s="15" t="s">
        <v>71</v>
      </c>
      <c r="H1516" s="15" t="s">
        <v>42</v>
      </c>
      <c r="I1516">
        <v>40</v>
      </c>
      <c r="J1516">
        <v>80</v>
      </c>
      <c r="K1516">
        <v>60</v>
      </c>
      <c r="L1516">
        <v>120</v>
      </c>
      <c r="M1516">
        <v>57</v>
      </c>
      <c r="N1516">
        <v>349</v>
      </c>
      <c r="O1516">
        <v>94</v>
      </c>
      <c r="P1516">
        <v>17</v>
      </c>
      <c r="Q1516">
        <v>53</v>
      </c>
      <c r="R1516">
        <v>151</v>
      </c>
      <c r="S1516">
        <v>1.2583333333333333</v>
      </c>
      <c r="T1516">
        <v>0.8833333333333333</v>
      </c>
      <c r="U1516">
        <v>1.425</v>
      </c>
    </row>
    <row r="1517" spans="1:21" x14ac:dyDescent="0.35">
      <c r="A1517">
        <v>985</v>
      </c>
      <c r="B1517" s="16">
        <v>40422</v>
      </c>
      <c r="C1517" s="15" t="s">
        <v>70</v>
      </c>
      <c r="D1517" s="15" t="s">
        <v>58</v>
      </c>
      <c r="E1517" s="15" t="s">
        <v>50</v>
      </c>
      <c r="F1517" s="15" t="s">
        <v>49</v>
      </c>
      <c r="G1517" s="15" t="s">
        <v>71</v>
      </c>
      <c r="H1517" s="15" t="s">
        <v>45</v>
      </c>
      <c r="I1517">
        <v>30</v>
      </c>
      <c r="J1517">
        <v>60</v>
      </c>
      <c r="K1517">
        <v>40</v>
      </c>
      <c r="L1517">
        <v>90</v>
      </c>
      <c r="M1517">
        <v>46</v>
      </c>
      <c r="N1517">
        <v>454</v>
      </c>
      <c r="O1517">
        <v>67</v>
      </c>
      <c r="P1517">
        <v>14</v>
      </c>
      <c r="Q1517">
        <v>31</v>
      </c>
      <c r="R1517">
        <v>113</v>
      </c>
      <c r="S1517">
        <v>1.2555555555555555</v>
      </c>
      <c r="T1517">
        <v>0.77500000000000002</v>
      </c>
      <c r="U1517">
        <v>1.5333333333333334</v>
      </c>
    </row>
    <row r="1518" spans="1:21" x14ac:dyDescent="0.35">
      <c r="A1518">
        <v>505</v>
      </c>
      <c r="B1518" s="16">
        <v>40422</v>
      </c>
      <c r="C1518" s="15" t="s">
        <v>70</v>
      </c>
      <c r="D1518" s="15" t="s">
        <v>58</v>
      </c>
      <c r="E1518" s="15" t="s">
        <v>44</v>
      </c>
      <c r="F1518" s="15" t="s">
        <v>40</v>
      </c>
      <c r="G1518" s="15" t="s">
        <v>73</v>
      </c>
      <c r="H1518" s="15" t="s">
        <v>45</v>
      </c>
      <c r="I1518">
        <v>130</v>
      </c>
      <c r="J1518">
        <v>10</v>
      </c>
      <c r="K1518">
        <v>-40</v>
      </c>
      <c r="L1518">
        <v>140</v>
      </c>
      <c r="M1518">
        <v>104</v>
      </c>
      <c r="N1518">
        <v>1574</v>
      </c>
      <c r="O1518">
        <v>11</v>
      </c>
      <c r="P1518">
        <v>32</v>
      </c>
      <c r="Q1518">
        <v>-44</v>
      </c>
      <c r="R1518">
        <v>115</v>
      </c>
      <c r="S1518">
        <v>0.8214285714285714</v>
      </c>
      <c r="T1518">
        <v>1.1000000000000001</v>
      </c>
      <c r="U1518">
        <v>0.8</v>
      </c>
    </row>
    <row r="1519" spans="1:21" x14ac:dyDescent="0.35">
      <c r="A1519">
        <v>505</v>
      </c>
      <c r="B1519" s="16">
        <v>40422</v>
      </c>
      <c r="C1519" s="15" t="s">
        <v>70</v>
      </c>
      <c r="D1519" s="15" t="s">
        <v>58</v>
      </c>
      <c r="E1519" s="15" t="s">
        <v>43</v>
      </c>
      <c r="F1519" s="15" t="s">
        <v>40</v>
      </c>
      <c r="G1519" s="15" t="s">
        <v>73</v>
      </c>
      <c r="H1519" s="15" t="s">
        <v>42</v>
      </c>
      <c r="I1519">
        <v>60</v>
      </c>
      <c r="J1519">
        <v>110</v>
      </c>
      <c r="K1519">
        <v>70</v>
      </c>
      <c r="L1519">
        <v>170</v>
      </c>
      <c r="M1519">
        <v>55</v>
      </c>
      <c r="N1519">
        <v>453</v>
      </c>
      <c r="O1519">
        <v>84</v>
      </c>
      <c r="P1519">
        <v>18</v>
      </c>
      <c r="Q1519">
        <v>34</v>
      </c>
      <c r="R1519">
        <v>139</v>
      </c>
      <c r="S1519">
        <v>0.81764705882352939</v>
      </c>
      <c r="T1519">
        <v>0.48571428571428571</v>
      </c>
      <c r="U1519">
        <v>0.91666666666666663</v>
      </c>
    </row>
    <row r="1520" spans="1:21" x14ac:dyDescent="0.35">
      <c r="A1520">
        <v>505</v>
      </c>
      <c r="B1520" s="16">
        <v>40422</v>
      </c>
      <c r="C1520" s="15" t="s">
        <v>70</v>
      </c>
      <c r="D1520" s="15" t="s">
        <v>58</v>
      </c>
      <c r="E1520" s="15" t="s">
        <v>51</v>
      </c>
      <c r="F1520" s="15" t="s">
        <v>52</v>
      </c>
      <c r="G1520" s="15" t="s">
        <v>73</v>
      </c>
      <c r="H1520" s="15" t="s">
        <v>45</v>
      </c>
      <c r="I1520">
        <v>10</v>
      </c>
      <c r="J1520">
        <v>30</v>
      </c>
      <c r="K1520">
        <v>20</v>
      </c>
      <c r="L1520">
        <v>40</v>
      </c>
      <c r="M1520">
        <v>19</v>
      </c>
      <c r="N1520">
        <v>848</v>
      </c>
      <c r="O1520">
        <v>29</v>
      </c>
      <c r="P1520">
        <v>5</v>
      </c>
      <c r="Q1520">
        <v>13</v>
      </c>
      <c r="R1520">
        <v>48</v>
      </c>
      <c r="S1520">
        <v>1.2</v>
      </c>
      <c r="T1520">
        <v>0.65</v>
      </c>
      <c r="U1520">
        <v>1.9</v>
      </c>
    </row>
    <row r="1521" spans="1:21" x14ac:dyDescent="0.35">
      <c r="A1521">
        <v>505</v>
      </c>
      <c r="B1521" s="16">
        <v>40422</v>
      </c>
      <c r="C1521" s="15" t="s">
        <v>70</v>
      </c>
      <c r="D1521" s="15" t="s">
        <v>58</v>
      </c>
      <c r="E1521" s="15" t="s">
        <v>53</v>
      </c>
      <c r="F1521" s="15" t="s">
        <v>52</v>
      </c>
      <c r="G1521" s="15" t="s">
        <v>73</v>
      </c>
      <c r="H1521" s="15" t="s">
        <v>45</v>
      </c>
      <c r="I1521">
        <v>30</v>
      </c>
      <c r="J1521">
        <v>40</v>
      </c>
      <c r="K1521">
        <v>20</v>
      </c>
      <c r="L1521">
        <v>70</v>
      </c>
      <c r="M1521">
        <v>33</v>
      </c>
      <c r="N1521">
        <v>1003</v>
      </c>
      <c r="O1521">
        <v>39</v>
      </c>
      <c r="P1521">
        <v>10</v>
      </c>
      <c r="Q1521">
        <v>8</v>
      </c>
      <c r="R1521">
        <v>72</v>
      </c>
      <c r="S1521">
        <v>1.0285714285714285</v>
      </c>
      <c r="T1521">
        <v>0.4</v>
      </c>
      <c r="U1521">
        <v>1.1000000000000001</v>
      </c>
    </row>
    <row r="1522" spans="1:21" x14ac:dyDescent="0.35">
      <c r="A1522">
        <v>505</v>
      </c>
      <c r="B1522" s="16">
        <v>40422</v>
      </c>
      <c r="C1522" s="15" t="s">
        <v>70</v>
      </c>
      <c r="D1522" s="15" t="s">
        <v>58</v>
      </c>
      <c r="E1522" s="15" t="s">
        <v>72</v>
      </c>
      <c r="F1522" s="15" t="s">
        <v>49</v>
      </c>
      <c r="G1522" s="15" t="s">
        <v>73</v>
      </c>
      <c r="H1522" s="15" t="s">
        <v>42</v>
      </c>
      <c r="I1522">
        <v>20</v>
      </c>
      <c r="J1522">
        <v>20</v>
      </c>
      <c r="K1522">
        <v>0</v>
      </c>
      <c r="L1522">
        <v>40</v>
      </c>
      <c r="M1522">
        <v>24</v>
      </c>
      <c r="N1522">
        <v>-412</v>
      </c>
      <c r="O1522">
        <v>30</v>
      </c>
      <c r="P1522">
        <v>9</v>
      </c>
      <c r="Q1522">
        <v>-12</v>
      </c>
      <c r="R1522">
        <v>54</v>
      </c>
      <c r="S1522">
        <v>1.35</v>
      </c>
      <c r="U1522">
        <v>1.2</v>
      </c>
    </row>
    <row r="1523" spans="1:21" x14ac:dyDescent="0.35">
      <c r="A1523">
        <v>505</v>
      </c>
      <c r="B1523" s="16">
        <v>40422</v>
      </c>
      <c r="C1523" s="15" t="s">
        <v>70</v>
      </c>
      <c r="D1523" s="15" t="s">
        <v>58</v>
      </c>
      <c r="E1523" s="15" t="s">
        <v>48</v>
      </c>
      <c r="F1523" s="15" t="s">
        <v>49</v>
      </c>
      <c r="G1523" s="15" t="s">
        <v>73</v>
      </c>
      <c r="H1523" s="15" t="s">
        <v>42</v>
      </c>
      <c r="I1523">
        <v>30</v>
      </c>
      <c r="J1523">
        <v>60</v>
      </c>
      <c r="K1523">
        <v>10</v>
      </c>
      <c r="L1523">
        <v>90</v>
      </c>
      <c r="M1523">
        <v>44</v>
      </c>
      <c r="N1523">
        <v>325</v>
      </c>
      <c r="O1523">
        <v>62</v>
      </c>
      <c r="P1523">
        <v>40</v>
      </c>
      <c r="Q1523">
        <v>-8</v>
      </c>
      <c r="R1523">
        <v>106</v>
      </c>
      <c r="S1523">
        <v>1.1777777777777778</v>
      </c>
      <c r="T1523">
        <v>-0.8</v>
      </c>
      <c r="U1523">
        <v>1.4666666666666666</v>
      </c>
    </row>
    <row r="1524" spans="1:21" x14ac:dyDescent="0.35">
      <c r="A1524">
        <v>505</v>
      </c>
      <c r="B1524" s="16">
        <v>40422</v>
      </c>
      <c r="C1524" s="15" t="s">
        <v>70</v>
      </c>
      <c r="D1524" s="15" t="s">
        <v>58</v>
      </c>
      <c r="E1524" s="15" t="s">
        <v>50</v>
      </c>
      <c r="F1524" s="15" t="s">
        <v>49</v>
      </c>
      <c r="G1524" s="15" t="s">
        <v>73</v>
      </c>
      <c r="H1524" s="15" t="s">
        <v>45</v>
      </c>
      <c r="I1524">
        <v>30</v>
      </c>
      <c r="J1524">
        <v>40</v>
      </c>
      <c r="K1524">
        <v>10</v>
      </c>
      <c r="L1524">
        <v>70</v>
      </c>
      <c r="M1524">
        <v>39</v>
      </c>
      <c r="N1524">
        <v>248</v>
      </c>
      <c r="O1524">
        <v>52</v>
      </c>
      <c r="P1524">
        <v>12</v>
      </c>
      <c r="Q1524">
        <v>13</v>
      </c>
      <c r="R1524">
        <v>91</v>
      </c>
      <c r="S1524">
        <v>1.3</v>
      </c>
      <c r="T1524">
        <v>1.3</v>
      </c>
      <c r="U1524">
        <v>1.3</v>
      </c>
    </row>
    <row r="1525" spans="1:21" x14ac:dyDescent="0.35">
      <c r="A1525">
        <v>580</v>
      </c>
      <c r="B1525" s="16">
        <v>40422</v>
      </c>
      <c r="C1525" s="15" t="s">
        <v>70</v>
      </c>
      <c r="D1525" s="15" t="s">
        <v>58</v>
      </c>
      <c r="E1525" s="15" t="s">
        <v>44</v>
      </c>
      <c r="F1525" s="15" t="s">
        <v>40</v>
      </c>
      <c r="G1525" s="15" t="s">
        <v>74</v>
      </c>
      <c r="H1525" s="15" t="s">
        <v>45</v>
      </c>
      <c r="I1525">
        <v>30</v>
      </c>
      <c r="J1525">
        <v>60</v>
      </c>
      <c r="K1525">
        <v>50</v>
      </c>
      <c r="L1525">
        <v>90</v>
      </c>
      <c r="M1525">
        <v>29</v>
      </c>
      <c r="N1525">
        <v>862</v>
      </c>
      <c r="O1525">
        <v>43</v>
      </c>
      <c r="P1525">
        <v>8</v>
      </c>
      <c r="Q1525">
        <v>23</v>
      </c>
      <c r="R1525">
        <v>72</v>
      </c>
      <c r="S1525">
        <v>0.8</v>
      </c>
      <c r="T1525">
        <v>0.46</v>
      </c>
      <c r="U1525">
        <v>0.96666666666666667</v>
      </c>
    </row>
    <row r="1526" spans="1:21" x14ac:dyDescent="0.35">
      <c r="A1526">
        <v>580</v>
      </c>
      <c r="B1526" s="16">
        <v>40422</v>
      </c>
      <c r="C1526" s="15" t="s">
        <v>70</v>
      </c>
      <c r="D1526" s="15" t="s">
        <v>58</v>
      </c>
      <c r="E1526" s="15" t="s">
        <v>43</v>
      </c>
      <c r="F1526" s="15" t="s">
        <v>40</v>
      </c>
      <c r="G1526" s="15" t="s">
        <v>74</v>
      </c>
      <c r="H1526" s="15" t="s">
        <v>42</v>
      </c>
      <c r="I1526">
        <v>70</v>
      </c>
      <c r="J1526">
        <v>100</v>
      </c>
      <c r="K1526">
        <v>80</v>
      </c>
      <c r="L1526">
        <v>170</v>
      </c>
      <c r="M1526">
        <v>61</v>
      </c>
      <c r="N1526">
        <v>579</v>
      </c>
      <c r="O1526">
        <v>79</v>
      </c>
      <c r="P1526">
        <v>20</v>
      </c>
      <c r="Q1526">
        <v>47</v>
      </c>
      <c r="R1526">
        <v>140</v>
      </c>
      <c r="S1526">
        <v>0.82352941176470584</v>
      </c>
      <c r="T1526">
        <v>0.58750000000000002</v>
      </c>
      <c r="U1526">
        <v>0.87142857142857144</v>
      </c>
    </row>
    <row r="1527" spans="1:21" x14ac:dyDescent="0.35">
      <c r="A1527">
        <v>580</v>
      </c>
      <c r="B1527" s="16">
        <v>40422</v>
      </c>
      <c r="C1527" s="15" t="s">
        <v>70</v>
      </c>
      <c r="D1527" s="15" t="s">
        <v>58</v>
      </c>
      <c r="E1527" s="15" t="s">
        <v>51</v>
      </c>
      <c r="F1527" s="15" t="s">
        <v>52</v>
      </c>
      <c r="G1527" s="15" t="s">
        <v>74</v>
      </c>
      <c r="H1527" s="15" t="s">
        <v>45</v>
      </c>
      <c r="I1527">
        <v>60</v>
      </c>
      <c r="J1527">
        <v>80</v>
      </c>
      <c r="K1527">
        <v>30</v>
      </c>
      <c r="L1527">
        <v>140</v>
      </c>
      <c r="M1527">
        <v>67</v>
      </c>
      <c r="N1527">
        <v>391</v>
      </c>
      <c r="O1527">
        <v>82</v>
      </c>
      <c r="P1527">
        <v>25</v>
      </c>
      <c r="Q1527">
        <v>24</v>
      </c>
      <c r="R1527">
        <v>149</v>
      </c>
      <c r="S1527">
        <v>1.0642857142857143</v>
      </c>
      <c r="T1527">
        <v>0.8</v>
      </c>
      <c r="U1527">
        <v>1.1166666666666667</v>
      </c>
    </row>
    <row r="1528" spans="1:21" x14ac:dyDescent="0.35">
      <c r="A1528">
        <v>580</v>
      </c>
      <c r="B1528" s="16">
        <v>40422</v>
      </c>
      <c r="C1528" s="15" t="s">
        <v>70</v>
      </c>
      <c r="D1528" s="15" t="s">
        <v>58</v>
      </c>
      <c r="E1528" s="15" t="s">
        <v>53</v>
      </c>
      <c r="F1528" s="15" t="s">
        <v>52</v>
      </c>
      <c r="G1528" s="15" t="s">
        <v>74</v>
      </c>
      <c r="H1528" s="15" t="s">
        <v>45</v>
      </c>
      <c r="I1528">
        <v>80</v>
      </c>
      <c r="J1528">
        <v>130</v>
      </c>
      <c r="K1528">
        <v>40</v>
      </c>
      <c r="L1528">
        <v>210</v>
      </c>
      <c r="M1528">
        <v>93</v>
      </c>
      <c r="N1528">
        <v>692</v>
      </c>
      <c r="O1528">
        <v>130</v>
      </c>
      <c r="P1528">
        <v>84</v>
      </c>
      <c r="Q1528">
        <v>16</v>
      </c>
      <c r="R1528">
        <v>223</v>
      </c>
      <c r="S1528">
        <v>1.0619047619047619</v>
      </c>
      <c r="T1528">
        <v>0.4</v>
      </c>
      <c r="U1528">
        <v>1.1625000000000001</v>
      </c>
    </row>
    <row r="1529" spans="1:21" x14ac:dyDescent="0.35">
      <c r="A1529">
        <v>580</v>
      </c>
      <c r="B1529" s="16">
        <v>40422</v>
      </c>
      <c r="C1529" s="15" t="s">
        <v>70</v>
      </c>
      <c r="D1529" s="15" t="s">
        <v>58</v>
      </c>
      <c r="E1529" s="15" t="s">
        <v>72</v>
      </c>
      <c r="F1529" s="15" t="s">
        <v>49</v>
      </c>
      <c r="G1529" s="15" t="s">
        <v>74</v>
      </c>
      <c r="H1529" s="15" t="s">
        <v>42</v>
      </c>
      <c r="I1529">
        <v>80</v>
      </c>
      <c r="J1529">
        <v>110</v>
      </c>
      <c r="K1529">
        <v>80</v>
      </c>
      <c r="L1529">
        <v>190</v>
      </c>
      <c r="M1529">
        <v>96</v>
      </c>
      <c r="N1529">
        <v>-1555</v>
      </c>
      <c r="O1529">
        <v>134</v>
      </c>
      <c r="P1529">
        <v>29</v>
      </c>
      <c r="Q1529">
        <v>82</v>
      </c>
      <c r="R1529">
        <v>230</v>
      </c>
      <c r="S1529">
        <v>1.2105263157894737</v>
      </c>
      <c r="T1529">
        <v>1.0249999999999999</v>
      </c>
      <c r="U1529">
        <v>1.2</v>
      </c>
    </row>
    <row r="1530" spans="1:21" x14ac:dyDescent="0.35">
      <c r="A1530">
        <v>580</v>
      </c>
      <c r="B1530" s="16">
        <v>40422</v>
      </c>
      <c r="C1530" s="15" t="s">
        <v>70</v>
      </c>
      <c r="D1530" s="15" t="s">
        <v>58</v>
      </c>
      <c r="E1530" s="15" t="s">
        <v>48</v>
      </c>
      <c r="F1530" s="15" t="s">
        <v>49</v>
      </c>
      <c r="G1530" s="15" t="s">
        <v>74</v>
      </c>
      <c r="H1530" s="15" t="s">
        <v>42</v>
      </c>
      <c r="I1530">
        <v>10</v>
      </c>
      <c r="J1530">
        <v>30</v>
      </c>
      <c r="K1530">
        <v>30</v>
      </c>
      <c r="L1530">
        <v>40</v>
      </c>
      <c r="M1530">
        <v>20</v>
      </c>
      <c r="N1530">
        <v>482</v>
      </c>
      <c r="O1530">
        <v>30</v>
      </c>
      <c r="P1530">
        <v>5</v>
      </c>
      <c r="Q1530">
        <v>13</v>
      </c>
      <c r="R1530">
        <v>50</v>
      </c>
      <c r="S1530">
        <v>1.25</v>
      </c>
      <c r="T1530">
        <v>0.43333333333333335</v>
      </c>
      <c r="U1530">
        <v>2</v>
      </c>
    </row>
    <row r="1531" spans="1:21" x14ac:dyDescent="0.35">
      <c r="A1531">
        <v>580</v>
      </c>
      <c r="B1531" s="16">
        <v>40422</v>
      </c>
      <c r="C1531" s="15" t="s">
        <v>70</v>
      </c>
      <c r="D1531" s="15" t="s">
        <v>58</v>
      </c>
      <c r="E1531" s="15" t="s">
        <v>50</v>
      </c>
      <c r="F1531" s="15" t="s">
        <v>49</v>
      </c>
      <c r="G1531" s="15" t="s">
        <v>74</v>
      </c>
      <c r="H1531" s="15" t="s">
        <v>45</v>
      </c>
      <c r="I1531">
        <v>80</v>
      </c>
      <c r="J1531">
        <v>130</v>
      </c>
      <c r="K1531">
        <v>80</v>
      </c>
      <c r="L1531">
        <v>210</v>
      </c>
      <c r="M1531">
        <v>99</v>
      </c>
      <c r="N1531">
        <v>798</v>
      </c>
      <c r="O1531">
        <v>150</v>
      </c>
      <c r="P1531">
        <v>32</v>
      </c>
      <c r="Q1531">
        <v>87</v>
      </c>
      <c r="R1531">
        <v>249</v>
      </c>
      <c r="S1531">
        <v>1.1857142857142857</v>
      </c>
      <c r="T1531">
        <v>1.0874999999999999</v>
      </c>
      <c r="U1531">
        <v>1.2375</v>
      </c>
    </row>
    <row r="1532" spans="1:21" x14ac:dyDescent="0.35">
      <c r="A1532">
        <v>325</v>
      </c>
      <c r="B1532" s="16">
        <v>40422</v>
      </c>
      <c r="C1532" s="15" t="s">
        <v>70</v>
      </c>
      <c r="D1532" s="15" t="s">
        <v>38</v>
      </c>
      <c r="E1532" s="15" t="s">
        <v>44</v>
      </c>
      <c r="F1532" s="15" t="s">
        <v>40</v>
      </c>
      <c r="G1532" s="15" t="s">
        <v>75</v>
      </c>
      <c r="H1532" s="15" t="s">
        <v>45</v>
      </c>
      <c r="I1532">
        <v>70</v>
      </c>
      <c r="J1532">
        <v>90</v>
      </c>
      <c r="K1532">
        <v>70</v>
      </c>
      <c r="L1532">
        <v>160</v>
      </c>
      <c r="M1532">
        <v>58</v>
      </c>
      <c r="N1532">
        <v>548</v>
      </c>
      <c r="O1532">
        <v>74</v>
      </c>
      <c r="P1532">
        <v>19</v>
      </c>
      <c r="Q1532">
        <v>42</v>
      </c>
      <c r="R1532">
        <v>132</v>
      </c>
      <c r="S1532">
        <v>0.82499999999999996</v>
      </c>
      <c r="T1532">
        <v>0.6</v>
      </c>
      <c r="U1532">
        <v>0.82857142857142863</v>
      </c>
    </row>
    <row r="1533" spans="1:21" x14ac:dyDescent="0.35">
      <c r="A1533">
        <v>214</v>
      </c>
      <c r="B1533" s="16">
        <v>40422</v>
      </c>
      <c r="C1533" s="15" t="s">
        <v>70</v>
      </c>
      <c r="D1533" s="15" t="s">
        <v>38</v>
      </c>
      <c r="E1533" s="15" t="s">
        <v>43</v>
      </c>
      <c r="F1533" s="15" t="s">
        <v>40</v>
      </c>
      <c r="G1533" s="15" t="s">
        <v>75</v>
      </c>
      <c r="H1533" s="15" t="s">
        <v>42</v>
      </c>
      <c r="I1533">
        <v>310</v>
      </c>
      <c r="J1533">
        <v>370</v>
      </c>
      <c r="K1533">
        <v>280</v>
      </c>
      <c r="L1533">
        <v>680</v>
      </c>
      <c r="M1533">
        <v>251</v>
      </c>
      <c r="N1533">
        <v>1268</v>
      </c>
      <c r="O1533">
        <v>295</v>
      </c>
      <c r="P1533">
        <v>77</v>
      </c>
      <c r="Q1533">
        <v>197</v>
      </c>
      <c r="R1533">
        <v>546</v>
      </c>
      <c r="S1533">
        <v>0.80294117647058827</v>
      </c>
      <c r="T1533">
        <v>0.70357142857142863</v>
      </c>
      <c r="U1533">
        <v>0.80967741935483872</v>
      </c>
    </row>
    <row r="1534" spans="1:21" x14ac:dyDescent="0.35">
      <c r="A1534">
        <v>830</v>
      </c>
      <c r="B1534" s="16">
        <v>40422</v>
      </c>
      <c r="C1534" s="15" t="s">
        <v>70</v>
      </c>
      <c r="D1534" s="15" t="s">
        <v>38</v>
      </c>
      <c r="E1534" s="15" t="s">
        <v>51</v>
      </c>
      <c r="F1534" s="15" t="s">
        <v>52</v>
      </c>
      <c r="G1534" s="15" t="s">
        <v>75</v>
      </c>
      <c r="H1534" s="15" t="s">
        <v>45</v>
      </c>
      <c r="I1534">
        <v>50</v>
      </c>
      <c r="J1534">
        <v>70</v>
      </c>
      <c r="K1534">
        <v>40</v>
      </c>
      <c r="L1534">
        <v>120</v>
      </c>
      <c r="M1534">
        <v>53</v>
      </c>
      <c r="N1534">
        <v>410</v>
      </c>
      <c r="O1534">
        <v>72</v>
      </c>
      <c r="P1534">
        <v>17</v>
      </c>
      <c r="Q1534">
        <v>27</v>
      </c>
      <c r="R1534">
        <v>125</v>
      </c>
      <c r="S1534">
        <v>1.0416666666666667</v>
      </c>
      <c r="T1534">
        <v>0.67500000000000004</v>
      </c>
      <c r="U1534">
        <v>1.06</v>
      </c>
    </row>
    <row r="1535" spans="1:21" x14ac:dyDescent="0.35">
      <c r="A1535">
        <v>830</v>
      </c>
      <c r="B1535" s="16">
        <v>40422</v>
      </c>
      <c r="C1535" s="15" t="s">
        <v>70</v>
      </c>
      <c r="D1535" s="15" t="s">
        <v>38</v>
      </c>
      <c r="E1535" s="15" t="s">
        <v>53</v>
      </c>
      <c r="F1535" s="15" t="s">
        <v>52</v>
      </c>
      <c r="G1535" s="15" t="s">
        <v>75</v>
      </c>
      <c r="H1535" s="15" t="s">
        <v>45</v>
      </c>
      <c r="I1535">
        <v>40</v>
      </c>
      <c r="J1535">
        <v>60</v>
      </c>
      <c r="K1535">
        <v>30</v>
      </c>
      <c r="L1535">
        <v>100</v>
      </c>
      <c r="M1535">
        <v>43</v>
      </c>
      <c r="N1535">
        <v>424</v>
      </c>
      <c r="O1535">
        <v>64</v>
      </c>
      <c r="P1535">
        <v>13</v>
      </c>
      <c r="Q1535">
        <v>28</v>
      </c>
      <c r="R1535">
        <v>107</v>
      </c>
      <c r="S1535">
        <v>1.07</v>
      </c>
      <c r="T1535">
        <v>0.93333333333333335</v>
      </c>
      <c r="U1535">
        <v>1.075</v>
      </c>
    </row>
    <row r="1536" spans="1:21" x14ac:dyDescent="0.35">
      <c r="A1536">
        <v>830</v>
      </c>
      <c r="B1536" s="16">
        <v>40422</v>
      </c>
      <c r="C1536" s="15" t="s">
        <v>70</v>
      </c>
      <c r="D1536" s="15" t="s">
        <v>38</v>
      </c>
      <c r="E1536" s="15" t="s">
        <v>72</v>
      </c>
      <c r="F1536" s="15" t="s">
        <v>49</v>
      </c>
      <c r="G1536" s="15" t="s">
        <v>75</v>
      </c>
      <c r="H1536" s="15" t="s">
        <v>42</v>
      </c>
      <c r="I1536">
        <v>50</v>
      </c>
      <c r="J1536">
        <v>70</v>
      </c>
      <c r="K1536">
        <v>40</v>
      </c>
      <c r="L1536">
        <v>120</v>
      </c>
      <c r="M1536">
        <v>60</v>
      </c>
      <c r="N1536">
        <v>-718</v>
      </c>
      <c r="O1536">
        <v>90</v>
      </c>
      <c r="P1536">
        <v>19</v>
      </c>
      <c r="Q1536">
        <v>39</v>
      </c>
      <c r="R1536">
        <v>150</v>
      </c>
      <c r="S1536">
        <v>1.25</v>
      </c>
      <c r="T1536">
        <v>0.97499999999999998</v>
      </c>
      <c r="U1536">
        <v>1.2</v>
      </c>
    </row>
    <row r="1537" spans="1:21" x14ac:dyDescent="0.35">
      <c r="A1537">
        <v>713</v>
      </c>
      <c r="B1537" s="16">
        <v>40422</v>
      </c>
      <c r="C1537" s="15" t="s">
        <v>70</v>
      </c>
      <c r="D1537" s="15" t="s">
        <v>38</v>
      </c>
      <c r="E1537" s="15" t="s">
        <v>48</v>
      </c>
      <c r="F1537" s="15" t="s">
        <v>49</v>
      </c>
      <c r="G1537" s="15" t="s">
        <v>75</v>
      </c>
      <c r="H1537" s="15" t="s">
        <v>42</v>
      </c>
      <c r="I1537">
        <v>100</v>
      </c>
      <c r="J1537">
        <v>150</v>
      </c>
      <c r="K1537">
        <v>120</v>
      </c>
      <c r="L1537">
        <v>250</v>
      </c>
      <c r="M1537">
        <v>123</v>
      </c>
      <c r="N1537">
        <v>928</v>
      </c>
      <c r="O1537">
        <v>179</v>
      </c>
      <c r="P1537">
        <v>34</v>
      </c>
      <c r="Q1537">
        <v>134</v>
      </c>
      <c r="R1537">
        <v>302</v>
      </c>
      <c r="S1537">
        <v>1.208</v>
      </c>
      <c r="T1537">
        <v>1.1166666666666667</v>
      </c>
      <c r="U1537">
        <v>1.23</v>
      </c>
    </row>
    <row r="1538" spans="1:21" x14ac:dyDescent="0.35">
      <c r="A1538">
        <v>979</v>
      </c>
      <c r="B1538" s="16">
        <v>40422</v>
      </c>
      <c r="C1538" s="15" t="s">
        <v>70</v>
      </c>
      <c r="D1538" s="15" t="s">
        <v>38</v>
      </c>
      <c r="E1538" s="15" t="s">
        <v>50</v>
      </c>
      <c r="F1538" s="15" t="s">
        <v>49</v>
      </c>
      <c r="G1538" s="15" t="s">
        <v>75</v>
      </c>
      <c r="H1538" s="15" t="s">
        <v>45</v>
      </c>
      <c r="I1538">
        <v>60</v>
      </c>
      <c r="J1538">
        <v>110</v>
      </c>
      <c r="K1538">
        <v>90</v>
      </c>
      <c r="L1538">
        <v>170</v>
      </c>
      <c r="M1538">
        <v>81</v>
      </c>
      <c r="N1538">
        <v>588</v>
      </c>
      <c r="O1538">
        <v>118</v>
      </c>
      <c r="P1538">
        <v>22</v>
      </c>
      <c r="Q1538">
        <v>85</v>
      </c>
      <c r="R1538">
        <v>199</v>
      </c>
      <c r="S1538">
        <v>1.1705882352941177</v>
      </c>
      <c r="T1538">
        <v>0.94444444444444442</v>
      </c>
      <c r="U1538">
        <v>1.35</v>
      </c>
    </row>
    <row r="1539" spans="1:21" x14ac:dyDescent="0.35">
      <c r="A1539">
        <v>801</v>
      </c>
      <c r="B1539" s="16">
        <v>40422</v>
      </c>
      <c r="C1539" s="15" t="s">
        <v>76</v>
      </c>
      <c r="D1539" s="15" t="s">
        <v>58</v>
      </c>
      <c r="E1539" s="15" t="s">
        <v>39</v>
      </c>
      <c r="F1539" s="15" t="s">
        <v>40</v>
      </c>
      <c r="G1539" s="15" t="s">
        <v>77</v>
      </c>
      <c r="H1539" s="15" t="s">
        <v>42</v>
      </c>
      <c r="I1539">
        <v>70</v>
      </c>
      <c r="J1539">
        <v>100</v>
      </c>
      <c r="K1539">
        <v>70</v>
      </c>
      <c r="L1539">
        <v>170</v>
      </c>
      <c r="M1539">
        <v>62</v>
      </c>
      <c r="N1539">
        <v>1059</v>
      </c>
      <c r="O1539">
        <v>74</v>
      </c>
      <c r="P1539">
        <v>19</v>
      </c>
      <c r="Q1539">
        <v>33</v>
      </c>
      <c r="R1539">
        <v>136</v>
      </c>
      <c r="S1539">
        <v>0.8</v>
      </c>
      <c r="T1539">
        <v>0.47142857142857142</v>
      </c>
      <c r="U1539">
        <v>0.88571428571428568</v>
      </c>
    </row>
    <row r="1540" spans="1:21" x14ac:dyDescent="0.35">
      <c r="A1540">
        <v>435</v>
      </c>
      <c r="B1540" s="16">
        <v>40422</v>
      </c>
      <c r="C1540" s="15" t="s">
        <v>76</v>
      </c>
      <c r="D1540" s="15" t="s">
        <v>58</v>
      </c>
      <c r="E1540" s="15" t="s">
        <v>43</v>
      </c>
      <c r="F1540" s="15" t="s">
        <v>40</v>
      </c>
      <c r="G1540" s="15" t="s">
        <v>77</v>
      </c>
      <c r="H1540" s="15" t="s">
        <v>42</v>
      </c>
      <c r="I1540">
        <v>60</v>
      </c>
      <c r="J1540">
        <v>80</v>
      </c>
      <c r="K1540">
        <v>50</v>
      </c>
      <c r="L1540">
        <v>140</v>
      </c>
      <c r="M1540">
        <v>48</v>
      </c>
      <c r="N1540">
        <v>380</v>
      </c>
      <c r="O1540">
        <v>65</v>
      </c>
      <c r="P1540">
        <v>15</v>
      </c>
      <c r="Q1540">
        <v>22</v>
      </c>
      <c r="R1540">
        <v>113</v>
      </c>
      <c r="S1540">
        <v>0.80714285714285716</v>
      </c>
      <c r="T1540">
        <v>0.44</v>
      </c>
      <c r="U1540">
        <v>0.8</v>
      </c>
    </row>
    <row r="1541" spans="1:21" x14ac:dyDescent="0.35">
      <c r="A1541">
        <v>435</v>
      </c>
      <c r="B1541" s="16">
        <v>40422</v>
      </c>
      <c r="C1541" s="15" t="s">
        <v>76</v>
      </c>
      <c r="D1541" s="15" t="s">
        <v>58</v>
      </c>
      <c r="E1541" s="15" t="s">
        <v>51</v>
      </c>
      <c r="F1541" s="15" t="s">
        <v>52</v>
      </c>
      <c r="G1541" s="15" t="s">
        <v>77</v>
      </c>
      <c r="H1541" s="15" t="s">
        <v>45</v>
      </c>
      <c r="I1541">
        <v>40</v>
      </c>
      <c r="J1541">
        <v>60</v>
      </c>
      <c r="K1541">
        <v>40</v>
      </c>
      <c r="L1541">
        <v>100</v>
      </c>
      <c r="M1541">
        <v>49</v>
      </c>
      <c r="N1541">
        <v>315</v>
      </c>
      <c r="O1541">
        <v>71</v>
      </c>
      <c r="P1541">
        <v>15</v>
      </c>
      <c r="Q1541">
        <v>34</v>
      </c>
      <c r="R1541">
        <v>120</v>
      </c>
      <c r="S1541">
        <v>1.2</v>
      </c>
      <c r="T1541">
        <v>0.85</v>
      </c>
      <c r="U1541">
        <v>1.2250000000000001</v>
      </c>
    </row>
    <row r="1542" spans="1:21" x14ac:dyDescent="0.35">
      <c r="A1542">
        <v>435</v>
      </c>
      <c r="B1542" s="16">
        <v>40422</v>
      </c>
      <c r="C1542" s="15" t="s">
        <v>76</v>
      </c>
      <c r="D1542" s="15" t="s">
        <v>58</v>
      </c>
      <c r="E1542" s="15" t="s">
        <v>53</v>
      </c>
      <c r="F1542" s="15" t="s">
        <v>52</v>
      </c>
      <c r="G1542" s="15" t="s">
        <v>77</v>
      </c>
      <c r="H1542" s="15" t="s">
        <v>45</v>
      </c>
      <c r="I1542">
        <v>40</v>
      </c>
      <c r="J1542">
        <v>80</v>
      </c>
      <c r="K1542">
        <v>50</v>
      </c>
      <c r="L1542">
        <v>120</v>
      </c>
      <c r="M1542">
        <v>55</v>
      </c>
      <c r="N1542">
        <v>453</v>
      </c>
      <c r="O1542">
        <v>84</v>
      </c>
      <c r="P1542">
        <v>18</v>
      </c>
      <c r="Q1542">
        <v>34</v>
      </c>
      <c r="R1542">
        <v>139</v>
      </c>
      <c r="S1542">
        <v>1.1583333333333334</v>
      </c>
      <c r="T1542">
        <v>0.68</v>
      </c>
      <c r="U1542">
        <v>1.375</v>
      </c>
    </row>
    <row r="1543" spans="1:21" x14ac:dyDescent="0.35">
      <c r="A1543">
        <v>801</v>
      </c>
      <c r="B1543" s="16">
        <v>40422</v>
      </c>
      <c r="C1543" s="15" t="s">
        <v>76</v>
      </c>
      <c r="D1543" s="15" t="s">
        <v>58</v>
      </c>
      <c r="E1543" s="15" t="s">
        <v>54</v>
      </c>
      <c r="F1543" s="15" t="s">
        <v>52</v>
      </c>
      <c r="G1543" s="15" t="s">
        <v>77</v>
      </c>
      <c r="H1543" s="15" t="s">
        <v>45</v>
      </c>
      <c r="I1543">
        <v>80</v>
      </c>
      <c r="J1543">
        <v>20</v>
      </c>
      <c r="K1543">
        <v>-20</v>
      </c>
      <c r="L1543">
        <v>100</v>
      </c>
      <c r="M1543">
        <v>104</v>
      </c>
      <c r="N1543">
        <v>1574</v>
      </c>
      <c r="O1543">
        <v>11</v>
      </c>
      <c r="P1543">
        <v>32</v>
      </c>
      <c r="Q1543">
        <v>-45</v>
      </c>
      <c r="R1543">
        <v>115</v>
      </c>
      <c r="S1543">
        <v>1.1499999999999999</v>
      </c>
      <c r="T1543">
        <v>2.25</v>
      </c>
      <c r="U1543">
        <v>1.3</v>
      </c>
    </row>
    <row r="1544" spans="1:21" x14ac:dyDescent="0.35">
      <c r="A1544">
        <v>435</v>
      </c>
      <c r="B1544" s="16">
        <v>40422</v>
      </c>
      <c r="C1544" s="15" t="s">
        <v>76</v>
      </c>
      <c r="D1544" s="15" t="s">
        <v>58</v>
      </c>
      <c r="E1544" s="15" t="s">
        <v>55</v>
      </c>
      <c r="F1544" s="15" t="s">
        <v>47</v>
      </c>
      <c r="G1544" s="15" t="s">
        <v>77</v>
      </c>
      <c r="H1544" s="15" t="s">
        <v>42</v>
      </c>
      <c r="I1544">
        <v>20</v>
      </c>
      <c r="J1544">
        <v>50</v>
      </c>
      <c r="K1544">
        <v>10</v>
      </c>
      <c r="L1544">
        <v>70</v>
      </c>
      <c r="M1544">
        <v>44</v>
      </c>
      <c r="N1544">
        <v>325</v>
      </c>
      <c r="O1544">
        <v>62</v>
      </c>
      <c r="P1544">
        <v>40</v>
      </c>
      <c r="Q1544">
        <v>-7</v>
      </c>
      <c r="R1544">
        <v>106</v>
      </c>
      <c r="S1544">
        <v>1.5142857142857142</v>
      </c>
      <c r="T1544">
        <v>-0.7</v>
      </c>
      <c r="U1544">
        <v>2.2000000000000002</v>
      </c>
    </row>
    <row r="1545" spans="1:21" x14ac:dyDescent="0.35">
      <c r="A1545">
        <v>801</v>
      </c>
      <c r="B1545" s="16">
        <v>40422</v>
      </c>
      <c r="C1545" s="15" t="s">
        <v>76</v>
      </c>
      <c r="D1545" s="15" t="s">
        <v>58</v>
      </c>
      <c r="E1545" s="15" t="s">
        <v>56</v>
      </c>
      <c r="F1545" s="15" t="s">
        <v>47</v>
      </c>
      <c r="G1545" s="15" t="s">
        <v>77</v>
      </c>
      <c r="H1545" s="15" t="s">
        <v>42</v>
      </c>
      <c r="I1545">
        <v>20</v>
      </c>
      <c r="J1545">
        <v>40</v>
      </c>
      <c r="K1545">
        <v>20</v>
      </c>
      <c r="L1545">
        <v>60</v>
      </c>
      <c r="M1545">
        <v>39</v>
      </c>
      <c r="N1545">
        <v>248</v>
      </c>
      <c r="O1545">
        <v>52</v>
      </c>
      <c r="P1545">
        <v>12</v>
      </c>
      <c r="Q1545">
        <v>12</v>
      </c>
      <c r="R1545">
        <v>91</v>
      </c>
      <c r="S1545">
        <v>1.5166666666666666</v>
      </c>
      <c r="T1545">
        <v>0.6</v>
      </c>
      <c r="U1545">
        <v>1.95</v>
      </c>
    </row>
    <row r="1546" spans="1:21" x14ac:dyDescent="0.35">
      <c r="A1546">
        <v>435</v>
      </c>
      <c r="B1546" s="16">
        <v>40422</v>
      </c>
      <c r="C1546" s="15" t="s">
        <v>76</v>
      </c>
      <c r="D1546" s="15" t="s">
        <v>58</v>
      </c>
      <c r="E1546" s="15" t="s">
        <v>46</v>
      </c>
      <c r="F1546" s="15" t="s">
        <v>47</v>
      </c>
      <c r="G1546" s="15" t="s">
        <v>77</v>
      </c>
      <c r="H1546" s="15" t="s">
        <v>42</v>
      </c>
      <c r="I1546">
        <v>10</v>
      </c>
      <c r="J1546">
        <v>20</v>
      </c>
      <c r="K1546">
        <v>0</v>
      </c>
      <c r="L1546">
        <v>30</v>
      </c>
      <c r="M1546">
        <v>24</v>
      </c>
      <c r="N1546">
        <v>212</v>
      </c>
      <c r="O1546">
        <v>30</v>
      </c>
      <c r="P1546">
        <v>9</v>
      </c>
      <c r="Q1546">
        <v>-13</v>
      </c>
      <c r="R1546">
        <v>54</v>
      </c>
      <c r="S1546">
        <v>1.8</v>
      </c>
      <c r="U1546">
        <v>2.4</v>
      </c>
    </row>
    <row r="1547" spans="1:21" x14ac:dyDescent="0.35">
      <c r="A1547">
        <v>801</v>
      </c>
      <c r="B1547" s="16">
        <v>40422</v>
      </c>
      <c r="C1547" s="15" t="s">
        <v>76</v>
      </c>
      <c r="D1547" s="15" t="s">
        <v>58</v>
      </c>
      <c r="E1547" s="15" t="s">
        <v>44</v>
      </c>
      <c r="F1547" s="15" t="s">
        <v>40</v>
      </c>
      <c r="G1547" s="15" t="s">
        <v>77</v>
      </c>
      <c r="H1547" s="15" t="s">
        <v>45</v>
      </c>
      <c r="I1547">
        <v>80</v>
      </c>
      <c r="J1547">
        <v>100</v>
      </c>
      <c r="K1547">
        <v>50</v>
      </c>
      <c r="L1547">
        <v>180</v>
      </c>
      <c r="M1547">
        <v>67</v>
      </c>
      <c r="N1547">
        <v>599</v>
      </c>
      <c r="O1547">
        <v>83</v>
      </c>
      <c r="P1547">
        <v>25</v>
      </c>
      <c r="Q1547">
        <v>24</v>
      </c>
      <c r="R1547">
        <v>150</v>
      </c>
      <c r="S1547">
        <v>0.83333333333333337</v>
      </c>
      <c r="T1547">
        <v>0.48</v>
      </c>
      <c r="U1547">
        <v>0.83750000000000002</v>
      </c>
    </row>
    <row r="1548" spans="1:21" x14ac:dyDescent="0.35">
      <c r="A1548">
        <v>435</v>
      </c>
      <c r="B1548" s="16">
        <v>40422</v>
      </c>
      <c r="C1548" s="15" t="s">
        <v>76</v>
      </c>
      <c r="D1548" s="15" t="s">
        <v>58</v>
      </c>
      <c r="E1548" s="15" t="s">
        <v>72</v>
      </c>
      <c r="F1548" s="15" t="s">
        <v>49</v>
      </c>
      <c r="G1548" s="15" t="s">
        <v>77</v>
      </c>
      <c r="H1548" s="15" t="s">
        <v>42</v>
      </c>
      <c r="I1548">
        <v>30</v>
      </c>
      <c r="J1548">
        <v>40</v>
      </c>
      <c r="K1548">
        <v>30</v>
      </c>
      <c r="L1548">
        <v>70</v>
      </c>
      <c r="M1548">
        <v>32</v>
      </c>
      <c r="N1548">
        <v>837</v>
      </c>
      <c r="O1548">
        <v>47</v>
      </c>
      <c r="P1548">
        <v>8</v>
      </c>
      <c r="Q1548">
        <v>27</v>
      </c>
      <c r="R1548">
        <v>79</v>
      </c>
      <c r="S1548">
        <v>1.1285714285714286</v>
      </c>
      <c r="T1548">
        <v>0.9</v>
      </c>
      <c r="U1548">
        <v>1.0666666666666667</v>
      </c>
    </row>
    <row r="1549" spans="1:21" x14ac:dyDescent="0.35">
      <c r="A1549">
        <v>435</v>
      </c>
      <c r="B1549" s="16">
        <v>40422</v>
      </c>
      <c r="C1549" s="15" t="s">
        <v>76</v>
      </c>
      <c r="D1549" s="15" t="s">
        <v>58</v>
      </c>
      <c r="E1549" s="15" t="s">
        <v>48</v>
      </c>
      <c r="F1549" s="15" t="s">
        <v>49</v>
      </c>
      <c r="G1549" s="15" t="s">
        <v>77</v>
      </c>
      <c r="H1549" s="15" t="s">
        <v>42</v>
      </c>
      <c r="I1549">
        <v>60</v>
      </c>
      <c r="J1549">
        <v>90</v>
      </c>
      <c r="K1549">
        <v>60</v>
      </c>
      <c r="L1549">
        <v>150</v>
      </c>
      <c r="M1549">
        <v>69</v>
      </c>
      <c r="N1549">
        <v>572</v>
      </c>
      <c r="O1549">
        <v>90</v>
      </c>
      <c r="P1549">
        <v>22</v>
      </c>
      <c r="Q1549">
        <v>56</v>
      </c>
      <c r="R1549">
        <v>159</v>
      </c>
      <c r="S1549">
        <v>1.06</v>
      </c>
      <c r="T1549">
        <v>0.93333333333333335</v>
      </c>
      <c r="U1549">
        <v>1.1499999999999999</v>
      </c>
    </row>
    <row r="1550" spans="1:21" x14ac:dyDescent="0.35">
      <c r="A1550">
        <v>435</v>
      </c>
      <c r="B1550" s="16">
        <v>40422</v>
      </c>
      <c r="C1550" s="15" t="s">
        <v>76</v>
      </c>
      <c r="D1550" s="15" t="s">
        <v>58</v>
      </c>
      <c r="E1550" s="15" t="s">
        <v>50</v>
      </c>
      <c r="F1550" s="15" t="s">
        <v>49</v>
      </c>
      <c r="G1550" s="15" t="s">
        <v>77</v>
      </c>
      <c r="H1550" s="15" t="s">
        <v>45</v>
      </c>
      <c r="I1550">
        <v>40</v>
      </c>
      <c r="J1550">
        <v>60</v>
      </c>
      <c r="K1550">
        <v>40</v>
      </c>
      <c r="L1550">
        <v>100</v>
      </c>
      <c r="M1550">
        <v>44</v>
      </c>
      <c r="N1550">
        <v>886</v>
      </c>
      <c r="O1550">
        <v>64</v>
      </c>
      <c r="P1550">
        <v>12</v>
      </c>
      <c r="Q1550">
        <v>40</v>
      </c>
      <c r="R1550">
        <v>108</v>
      </c>
      <c r="S1550">
        <v>1.08</v>
      </c>
      <c r="T1550">
        <v>1</v>
      </c>
      <c r="U1550">
        <v>1.1000000000000001</v>
      </c>
    </row>
    <row r="1551" spans="1:21" x14ac:dyDescent="0.35">
      <c r="A1551">
        <v>714</v>
      </c>
      <c r="B1551" s="16">
        <v>40422</v>
      </c>
      <c r="C1551" s="15" t="s">
        <v>76</v>
      </c>
      <c r="D1551" s="15" t="s">
        <v>38</v>
      </c>
      <c r="E1551" s="15" t="s">
        <v>39</v>
      </c>
      <c r="F1551" s="15" t="s">
        <v>40</v>
      </c>
      <c r="G1551" s="15" t="s">
        <v>78</v>
      </c>
      <c r="H1551" s="15" t="s">
        <v>42</v>
      </c>
      <c r="I1551">
        <v>150</v>
      </c>
      <c r="J1551">
        <v>-20</v>
      </c>
      <c r="K1551">
        <v>-70</v>
      </c>
      <c r="L1551">
        <v>130</v>
      </c>
      <c r="M1551">
        <v>122</v>
      </c>
      <c r="N1551">
        <v>2378</v>
      </c>
      <c r="O1551">
        <v>-13</v>
      </c>
      <c r="P1551">
        <v>39</v>
      </c>
      <c r="Q1551">
        <v>-74</v>
      </c>
      <c r="R1551">
        <v>109</v>
      </c>
      <c r="S1551">
        <v>0.83846153846153848</v>
      </c>
      <c r="T1551">
        <v>1.0571428571428572</v>
      </c>
      <c r="U1551">
        <v>0.81333333333333335</v>
      </c>
    </row>
    <row r="1552" spans="1:21" x14ac:dyDescent="0.35">
      <c r="A1552">
        <v>626</v>
      </c>
      <c r="B1552" s="16">
        <v>40422</v>
      </c>
      <c r="C1552" s="15" t="s">
        <v>76</v>
      </c>
      <c r="D1552" s="15" t="s">
        <v>38</v>
      </c>
      <c r="E1552" s="15" t="s">
        <v>43</v>
      </c>
      <c r="F1552" s="15" t="s">
        <v>40</v>
      </c>
      <c r="G1552" s="15" t="s">
        <v>78</v>
      </c>
      <c r="H1552" s="15" t="s">
        <v>42</v>
      </c>
      <c r="I1552">
        <v>390</v>
      </c>
      <c r="J1552">
        <v>590</v>
      </c>
      <c r="K1552">
        <v>450</v>
      </c>
      <c r="L1552">
        <v>980</v>
      </c>
      <c r="M1552">
        <v>316</v>
      </c>
      <c r="N1552">
        <v>2580</v>
      </c>
      <c r="O1552">
        <v>474</v>
      </c>
      <c r="P1552">
        <v>110</v>
      </c>
      <c r="Q1552">
        <v>313</v>
      </c>
      <c r="R1552">
        <v>790</v>
      </c>
      <c r="S1552">
        <v>0.80612244897959184</v>
      </c>
      <c r="T1552">
        <v>0.69555555555555559</v>
      </c>
      <c r="U1552">
        <v>0.81025641025641026</v>
      </c>
    </row>
    <row r="1553" spans="1:21" x14ac:dyDescent="0.35">
      <c r="A1553">
        <v>626</v>
      </c>
      <c r="B1553" s="16">
        <v>40422</v>
      </c>
      <c r="C1553" s="15" t="s">
        <v>76</v>
      </c>
      <c r="D1553" s="15" t="s">
        <v>38</v>
      </c>
      <c r="E1553" s="15" t="s">
        <v>51</v>
      </c>
      <c r="F1553" s="15" t="s">
        <v>52</v>
      </c>
      <c r="G1553" s="15" t="s">
        <v>78</v>
      </c>
      <c r="H1553" s="15" t="s">
        <v>45</v>
      </c>
      <c r="I1553">
        <v>80</v>
      </c>
      <c r="J1553">
        <v>130</v>
      </c>
      <c r="K1553">
        <v>110</v>
      </c>
      <c r="L1553">
        <v>210</v>
      </c>
      <c r="M1553">
        <v>100</v>
      </c>
      <c r="N1553">
        <v>981</v>
      </c>
      <c r="O1553">
        <v>145</v>
      </c>
      <c r="P1553">
        <v>28</v>
      </c>
      <c r="Q1553">
        <v>105</v>
      </c>
      <c r="R1553">
        <v>245</v>
      </c>
      <c r="S1553">
        <v>1.1666666666666667</v>
      </c>
      <c r="T1553">
        <v>0.95454545454545459</v>
      </c>
      <c r="U1553">
        <v>1.25</v>
      </c>
    </row>
    <row r="1554" spans="1:21" x14ac:dyDescent="0.35">
      <c r="A1554">
        <v>209</v>
      </c>
      <c r="B1554" s="16">
        <v>40422</v>
      </c>
      <c r="C1554" s="15" t="s">
        <v>76</v>
      </c>
      <c r="D1554" s="15" t="s">
        <v>38</v>
      </c>
      <c r="E1554" s="15" t="s">
        <v>53</v>
      </c>
      <c r="F1554" s="15" t="s">
        <v>52</v>
      </c>
      <c r="G1554" s="15" t="s">
        <v>78</v>
      </c>
      <c r="H1554" s="15" t="s">
        <v>45</v>
      </c>
      <c r="I1554">
        <v>210</v>
      </c>
      <c r="J1554">
        <v>270</v>
      </c>
      <c r="K1554">
        <v>200</v>
      </c>
      <c r="L1554">
        <v>480</v>
      </c>
      <c r="M1554">
        <v>251</v>
      </c>
      <c r="N1554">
        <v>1268</v>
      </c>
      <c r="O1554">
        <v>295</v>
      </c>
      <c r="P1554">
        <v>77</v>
      </c>
      <c r="Q1554">
        <v>196</v>
      </c>
      <c r="R1554">
        <v>546</v>
      </c>
      <c r="S1554">
        <v>1.1375</v>
      </c>
      <c r="T1554">
        <v>0.98</v>
      </c>
      <c r="U1554">
        <v>1.1952380952380952</v>
      </c>
    </row>
    <row r="1555" spans="1:21" x14ac:dyDescent="0.35">
      <c r="A1555">
        <v>951</v>
      </c>
      <c r="B1555" s="16">
        <v>40422</v>
      </c>
      <c r="C1555" s="15" t="s">
        <v>76</v>
      </c>
      <c r="D1555" s="15" t="s">
        <v>38</v>
      </c>
      <c r="E1555" s="15" t="s">
        <v>54</v>
      </c>
      <c r="F1555" s="15" t="s">
        <v>52</v>
      </c>
      <c r="G1555" s="15" t="s">
        <v>78</v>
      </c>
      <c r="H1555" s="15" t="s">
        <v>45</v>
      </c>
      <c r="I1555">
        <v>40</v>
      </c>
      <c r="J1555">
        <v>70</v>
      </c>
      <c r="K1555">
        <v>50</v>
      </c>
      <c r="L1555">
        <v>110</v>
      </c>
      <c r="M1555">
        <v>58</v>
      </c>
      <c r="N1555">
        <v>548</v>
      </c>
      <c r="O1555">
        <v>74</v>
      </c>
      <c r="P1555">
        <v>19</v>
      </c>
      <c r="Q1555">
        <v>43</v>
      </c>
      <c r="R1555">
        <v>132</v>
      </c>
      <c r="S1555">
        <v>1.2</v>
      </c>
      <c r="T1555">
        <v>0.86</v>
      </c>
      <c r="U1555">
        <v>1.45</v>
      </c>
    </row>
    <row r="1556" spans="1:21" x14ac:dyDescent="0.35">
      <c r="A1556">
        <v>310</v>
      </c>
      <c r="B1556" s="16">
        <v>40422</v>
      </c>
      <c r="C1556" s="15" t="s">
        <v>76</v>
      </c>
      <c r="D1556" s="15" t="s">
        <v>38</v>
      </c>
      <c r="E1556" s="15" t="s">
        <v>55</v>
      </c>
      <c r="F1556" s="15" t="s">
        <v>47</v>
      </c>
      <c r="G1556" s="15" t="s">
        <v>78</v>
      </c>
      <c r="H1556" s="15" t="s">
        <v>42</v>
      </c>
      <c r="I1556">
        <v>80</v>
      </c>
      <c r="J1556">
        <v>120</v>
      </c>
      <c r="K1556">
        <v>100</v>
      </c>
      <c r="L1556">
        <v>200</v>
      </c>
      <c r="M1556">
        <v>123</v>
      </c>
      <c r="N1556">
        <v>928</v>
      </c>
      <c r="O1556">
        <v>179</v>
      </c>
      <c r="P1556">
        <v>34</v>
      </c>
      <c r="Q1556">
        <v>134</v>
      </c>
      <c r="R1556">
        <v>302</v>
      </c>
      <c r="S1556">
        <v>1.51</v>
      </c>
      <c r="T1556">
        <v>1.34</v>
      </c>
      <c r="U1556">
        <v>1.5375000000000001</v>
      </c>
    </row>
    <row r="1557" spans="1:21" x14ac:dyDescent="0.35">
      <c r="A1557">
        <v>714</v>
      </c>
      <c r="B1557" s="16">
        <v>40422</v>
      </c>
      <c r="C1557" s="15" t="s">
        <v>76</v>
      </c>
      <c r="D1557" s="15" t="s">
        <v>38</v>
      </c>
      <c r="E1557" s="15" t="s">
        <v>56</v>
      </c>
      <c r="F1557" s="15" t="s">
        <v>47</v>
      </c>
      <c r="G1557" s="15" t="s">
        <v>78</v>
      </c>
      <c r="H1557" s="15" t="s">
        <v>42</v>
      </c>
      <c r="I1557">
        <v>50</v>
      </c>
      <c r="J1557">
        <v>80</v>
      </c>
      <c r="K1557">
        <v>70</v>
      </c>
      <c r="L1557">
        <v>130</v>
      </c>
      <c r="M1557">
        <v>81</v>
      </c>
      <c r="N1557">
        <v>588</v>
      </c>
      <c r="O1557">
        <v>118</v>
      </c>
      <c r="P1557">
        <v>22</v>
      </c>
      <c r="Q1557">
        <v>84</v>
      </c>
      <c r="R1557">
        <v>199</v>
      </c>
      <c r="S1557">
        <v>1.5307692307692307</v>
      </c>
      <c r="T1557">
        <v>1.2</v>
      </c>
      <c r="U1557">
        <v>1.62</v>
      </c>
    </row>
    <row r="1558" spans="1:21" x14ac:dyDescent="0.35">
      <c r="A1558">
        <v>760</v>
      </c>
      <c r="B1558" s="16">
        <v>40422</v>
      </c>
      <c r="C1558" s="15" t="s">
        <v>76</v>
      </c>
      <c r="D1558" s="15" t="s">
        <v>38</v>
      </c>
      <c r="E1558" s="15" t="s">
        <v>46</v>
      </c>
      <c r="F1558" s="15" t="s">
        <v>47</v>
      </c>
      <c r="G1558" s="15" t="s">
        <v>78</v>
      </c>
      <c r="H1558" s="15" t="s">
        <v>42</v>
      </c>
      <c r="I1558">
        <v>30</v>
      </c>
      <c r="J1558">
        <v>70</v>
      </c>
      <c r="K1558">
        <v>40</v>
      </c>
      <c r="L1558">
        <v>100</v>
      </c>
      <c r="M1558">
        <v>60</v>
      </c>
      <c r="N1558">
        <v>656</v>
      </c>
      <c r="O1558">
        <v>90</v>
      </c>
      <c r="P1558">
        <v>19</v>
      </c>
      <c r="Q1558">
        <v>39</v>
      </c>
      <c r="R1558">
        <v>150</v>
      </c>
      <c r="S1558">
        <v>1.5</v>
      </c>
      <c r="T1558">
        <v>0.97499999999999998</v>
      </c>
      <c r="U1558">
        <v>2</v>
      </c>
    </row>
    <row r="1559" spans="1:21" x14ac:dyDescent="0.35">
      <c r="A1559">
        <v>909</v>
      </c>
      <c r="B1559" s="16">
        <v>40422</v>
      </c>
      <c r="C1559" s="15" t="s">
        <v>76</v>
      </c>
      <c r="D1559" s="15" t="s">
        <v>38</v>
      </c>
      <c r="E1559" s="15" t="s">
        <v>44</v>
      </c>
      <c r="F1559" s="15" t="s">
        <v>40</v>
      </c>
      <c r="G1559" s="15" t="s">
        <v>78</v>
      </c>
      <c r="H1559" s="15" t="s">
        <v>45</v>
      </c>
      <c r="I1559">
        <v>200</v>
      </c>
      <c r="J1559">
        <v>-30</v>
      </c>
      <c r="K1559">
        <v>-120</v>
      </c>
      <c r="L1559">
        <v>170</v>
      </c>
      <c r="M1559">
        <v>162</v>
      </c>
      <c r="N1559">
        <v>3421</v>
      </c>
      <c r="O1559">
        <v>-24</v>
      </c>
      <c r="P1559">
        <v>53</v>
      </c>
      <c r="Q1559">
        <v>-120</v>
      </c>
      <c r="R1559">
        <v>138</v>
      </c>
      <c r="S1559">
        <v>0.81176470588235294</v>
      </c>
      <c r="T1559">
        <v>1</v>
      </c>
      <c r="U1559">
        <v>0.81</v>
      </c>
    </row>
    <row r="1560" spans="1:21" x14ac:dyDescent="0.35">
      <c r="A1560">
        <v>949</v>
      </c>
      <c r="B1560" s="16">
        <v>40422</v>
      </c>
      <c r="C1560" s="15" t="s">
        <v>76</v>
      </c>
      <c r="D1560" s="15" t="s">
        <v>38</v>
      </c>
      <c r="E1560" s="15" t="s">
        <v>72</v>
      </c>
      <c r="F1560" s="15" t="s">
        <v>49</v>
      </c>
      <c r="G1560" s="15" t="s">
        <v>78</v>
      </c>
      <c r="H1560" s="15" t="s">
        <v>42</v>
      </c>
      <c r="I1560">
        <v>230</v>
      </c>
      <c r="J1560">
        <v>240</v>
      </c>
      <c r="K1560">
        <v>160</v>
      </c>
      <c r="L1560">
        <v>470</v>
      </c>
      <c r="M1560">
        <v>249</v>
      </c>
      <c r="N1560">
        <v>1775</v>
      </c>
      <c r="O1560">
        <v>249</v>
      </c>
      <c r="P1560">
        <v>69</v>
      </c>
      <c r="Q1560">
        <v>156</v>
      </c>
      <c r="R1560">
        <v>498</v>
      </c>
      <c r="S1560">
        <v>1.0595744680851065</v>
      </c>
      <c r="T1560">
        <v>0.97499999999999998</v>
      </c>
      <c r="U1560">
        <v>1.0826086956521739</v>
      </c>
    </row>
    <row r="1561" spans="1:21" x14ac:dyDescent="0.35">
      <c r="A1561">
        <v>951</v>
      </c>
      <c r="B1561" s="16">
        <v>40422</v>
      </c>
      <c r="C1561" s="15" t="s">
        <v>76</v>
      </c>
      <c r="D1561" s="15" t="s">
        <v>38</v>
      </c>
      <c r="E1561" s="15" t="s">
        <v>48</v>
      </c>
      <c r="F1561" s="15" t="s">
        <v>49</v>
      </c>
      <c r="G1561" s="15" t="s">
        <v>78</v>
      </c>
      <c r="H1561" s="15" t="s">
        <v>42</v>
      </c>
      <c r="I1561">
        <v>110</v>
      </c>
      <c r="J1561">
        <v>160</v>
      </c>
      <c r="K1561">
        <v>30</v>
      </c>
      <c r="L1561">
        <v>270</v>
      </c>
      <c r="M1561">
        <v>121</v>
      </c>
      <c r="N1561">
        <v>910</v>
      </c>
      <c r="O1561">
        <v>169</v>
      </c>
      <c r="P1561">
        <v>110</v>
      </c>
      <c r="Q1561">
        <v>26</v>
      </c>
      <c r="R1561">
        <v>290</v>
      </c>
      <c r="S1561">
        <v>1.0740740740740742</v>
      </c>
      <c r="T1561">
        <v>0.8666666666666667</v>
      </c>
      <c r="U1561">
        <v>1.1000000000000001</v>
      </c>
    </row>
    <row r="1562" spans="1:21" x14ac:dyDescent="0.35">
      <c r="A1562">
        <v>213</v>
      </c>
      <c r="B1562" s="16">
        <v>40422</v>
      </c>
      <c r="C1562" s="15" t="s">
        <v>76</v>
      </c>
      <c r="D1562" s="15" t="s">
        <v>38</v>
      </c>
      <c r="E1562" s="15" t="s">
        <v>50</v>
      </c>
      <c r="F1562" s="15" t="s">
        <v>49</v>
      </c>
      <c r="G1562" s="15" t="s">
        <v>78</v>
      </c>
      <c r="H1562" s="15" t="s">
        <v>45</v>
      </c>
      <c r="I1562">
        <v>240</v>
      </c>
      <c r="J1562">
        <v>320</v>
      </c>
      <c r="K1562">
        <v>220</v>
      </c>
      <c r="L1562">
        <v>560</v>
      </c>
      <c r="M1562">
        <v>253</v>
      </c>
      <c r="N1562">
        <v>1686</v>
      </c>
      <c r="O1562">
        <v>336</v>
      </c>
      <c r="P1562">
        <v>83</v>
      </c>
      <c r="Q1562">
        <v>220</v>
      </c>
      <c r="R1562">
        <v>589</v>
      </c>
      <c r="S1562">
        <v>1.0517857142857143</v>
      </c>
      <c r="T1562">
        <v>1</v>
      </c>
      <c r="U1562">
        <v>1.0541666666666667</v>
      </c>
    </row>
    <row r="1563" spans="1:21" x14ac:dyDescent="0.35">
      <c r="A1563">
        <v>702</v>
      </c>
      <c r="B1563" s="16">
        <v>40422</v>
      </c>
      <c r="C1563" s="15" t="s">
        <v>76</v>
      </c>
      <c r="D1563" s="15" t="s">
        <v>58</v>
      </c>
      <c r="E1563" s="15" t="s">
        <v>43</v>
      </c>
      <c r="F1563" s="15" t="s">
        <v>40</v>
      </c>
      <c r="G1563" s="15" t="s">
        <v>79</v>
      </c>
      <c r="H1563" s="15" t="s">
        <v>42</v>
      </c>
      <c r="I1563">
        <v>50</v>
      </c>
      <c r="J1563">
        <v>60</v>
      </c>
      <c r="K1563">
        <v>20</v>
      </c>
      <c r="L1563">
        <v>110</v>
      </c>
      <c r="M1563">
        <v>40</v>
      </c>
      <c r="N1563">
        <v>244</v>
      </c>
      <c r="O1563">
        <v>51</v>
      </c>
      <c r="P1563">
        <v>15</v>
      </c>
      <c r="Q1563">
        <v>2</v>
      </c>
      <c r="R1563">
        <v>91</v>
      </c>
      <c r="S1563">
        <v>0.82727272727272727</v>
      </c>
      <c r="T1563">
        <v>0.1</v>
      </c>
      <c r="U1563">
        <v>0.8</v>
      </c>
    </row>
    <row r="1564" spans="1:21" x14ac:dyDescent="0.35">
      <c r="A1564">
        <v>702</v>
      </c>
      <c r="B1564" s="16">
        <v>40422</v>
      </c>
      <c r="C1564" s="15" t="s">
        <v>76</v>
      </c>
      <c r="D1564" s="15" t="s">
        <v>58</v>
      </c>
      <c r="E1564" s="15" t="s">
        <v>51</v>
      </c>
      <c r="F1564" s="15" t="s">
        <v>52</v>
      </c>
      <c r="G1564" s="15" t="s">
        <v>79</v>
      </c>
      <c r="H1564" s="15" t="s">
        <v>45</v>
      </c>
      <c r="I1564">
        <v>100</v>
      </c>
      <c r="J1564">
        <v>150</v>
      </c>
      <c r="K1564">
        <v>40</v>
      </c>
      <c r="L1564">
        <v>250</v>
      </c>
      <c r="M1564">
        <v>121</v>
      </c>
      <c r="N1564">
        <v>910</v>
      </c>
      <c r="O1564">
        <v>169</v>
      </c>
      <c r="P1564">
        <v>110</v>
      </c>
      <c r="Q1564">
        <v>26</v>
      </c>
      <c r="R1564">
        <v>290</v>
      </c>
      <c r="S1564">
        <v>1.1599999999999999</v>
      </c>
      <c r="T1564">
        <v>0.65</v>
      </c>
      <c r="U1564">
        <v>1.21</v>
      </c>
    </row>
    <row r="1565" spans="1:21" x14ac:dyDescent="0.35">
      <c r="A1565">
        <v>702</v>
      </c>
      <c r="B1565" s="16">
        <v>40422</v>
      </c>
      <c r="C1565" s="15" t="s">
        <v>76</v>
      </c>
      <c r="D1565" s="15" t="s">
        <v>58</v>
      </c>
      <c r="E1565" s="15" t="s">
        <v>53</v>
      </c>
      <c r="F1565" s="15" t="s">
        <v>52</v>
      </c>
      <c r="G1565" s="15" t="s">
        <v>79</v>
      </c>
      <c r="H1565" s="15" t="s">
        <v>45</v>
      </c>
      <c r="I1565">
        <v>130</v>
      </c>
      <c r="J1565">
        <v>210</v>
      </c>
      <c r="K1565">
        <v>140</v>
      </c>
      <c r="L1565">
        <v>340</v>
      </c>
      <c r="M1565">
        <v>162</v>
      </c>
      <c r="N1565">
        <v>1148</v>
      </c>
      <c r="O1565">
        <v>225</v>
      </c>
      <c r="P1565">
        <v>53</v>
      </c>
      <c r="Q1565">
        <v>129</v>
      </c>
      <c r="R1565">
        <v>387</v>
      </c>
      <c r="S1565">
        <v>1.138235294117647</v>
      </c>
      <c r="T1565">
        <v>0.92142857142857137</v>
      </c>
      <c r="U1565">
        <v>1.2461538461538462</v>
      </c>
    </row>
    <row r="1566" spans="1:21" x14ac:dyDescent="0.35">
      <c r="A1566">
        <v>775</v>
      </c>
      <c r="B1566" s="16">
        <v>40422</v>
      </c>
      <c r="C1566" s="15" t="s">
        <v>76</v>
      </c>
      <c r="D1566" s="15" t="s">
        <v>58</v>
      </c>
      <c r="E1566" s="15" t="s">
        <v>54</v>
      </c>
      <c r="F1566" s="15" t="s">
        <v>52</v>
      </c>
      <c r="G1566" s="15" t="s">
        <v>79</v>
      </c>
      <c r="H1566" s="15" t="s">
        <v>45</v>
      </c>
      <c r="I1566">
        <v>100</v>
      </c>
      <c r="J1566">
        <v>160</v>
      </c>
      <c r="K1566">
        <v>120</v>
      </c>
      <c r="L1566">
        <v>260</v>
      </c>
      <c r="M1566">
        <v>122</v>
      </c>
      <c r="N1566">
        <v>801</v>
      </c>
      <c r="O1566">
        <v>176</v>
      </c>
      <c r="P1566">
        <v>39</v>
      </c>
      <c r="Q1566">
        <v>115</v>
      </c>
      <c r="R1566">
        <v>298</v>
      </c>
      <c r="S1566">
        <v>1.1461538461538461</v>
      </c>
      <c r="T1566">
        <v>0.95833333333333337</v>
      </c>
      <c r="U1566">
        <v>1.22</v>
      </c>
    </row>
    <row r="1567" spans="1:21" x14ac:dyDescent="0.35">
      <c r="A1567">
        <v>702</v>
      </c>
      <c r="B1567" s="16">
        <v>40422</v>
      </c>
      <c r="C1567" s="15" t="s">
        <v>76</v>
      </c>
      <c r="D1567" s="15" t="s">
        <v>58</v>
      </c>
      <c r="E1567" s="15" t="s">
        <v>55</v>
      </c>
      <c r="F1567" s="15" t="s">
        <v>47</v>
      </c>
      <c r="G1567" s="15" t="s">
        <v>79</v>
      </c>
      <c r="H1567" s="15" t="s">
        <v>42</v>
      </c>
      <c r="I1567">
        <v>160</v>
      </c>
      <c r="J1567">
        <v>240</v>
      </c>
      <c r="K1567">
        <v>170</v>
      </c>
      <c r="L1567">
        <v>400</v>
      </c>
      <c r="M1567">
        <v>253</v>
      </c>
      <c r="N1567">
        <v>1686</v>
      </c>
      <c r="O1567">
        <v>336</v>
      </c>
      <c r="P1567">
        <v>83</v>
      </c>
      <c r="Q1567">
        <v>221</v>
      </c>
      <c r="R1567">
        <v>589</v>
      </c>
      <c r="S1567">
        <v>1.4724999999999999</v>
      </c>
      <c r="T1567">
        <v>1.3</v>
      </c>
      <c r="U1567">
        <v>1.58125</v>
      </c>
    </row>
    <row r="1568" spans="1:21" x14ac:dyDescent="0.35">
      <c r="A1568">
        <v>702</v>
      </c>
      <c r="B1568" s="16">
        <v>40422</v>
      </c>
      <c r="C1568" s="15" t="s">
        <v>76</v>
      </c>
      <c r="D1568" s="15" t="s">
        <v>58</v>
      </c>
      <c r="E1568" s="15" t="s">
        <v>56</v>
      </c>
      <c r="F1568" s="15" t="s">
        <v>47</v>
      </c>
      <c r="G1568" s="15" t="s">
        <v>79</v>
      </c>
      <c r="H1568" s="15" t="s">
        <v>42</v>
      </c>
      <c r="I1568">
        <v>160</v>
      </c>
      <c r="J1568">
        <v>170</v>
      </c>
      <c r="K1568">
        <v>110</v>
      </c>
      <c r="L1568">
        <v>330</v>
      </c>
      <c r="M1568">
        <v>249</v>
      </c>
      <c r="N1568">
        <v>1775</v>
      </c>
      <c r="O1568">
        <v>249</v>
      </c>
      <c r="P1568">
        <v>69</v>
      </c>
      <c r="Q1568">
        <v>156</v>
      </c>
      <c r="R1568">
        <v>498</v>
      </c>
      <c r="S1568">
        <v>1.509090909090909</v>
      </c>
      <c r="T1568">
        <v>1.4181818181818182</v>
      </c>
      <c r="U1568">
        <v>1.5562499999999999</v>
      </c>
    </row>
    <row r="1569" spans="1:21" x14ac:dyDescent="0.35">
      <c r="A1569">
        <v>775</v>
      </c>
      <c r="B1569" s="16">
        <v>40422</v>
      </c>
      <c r="C1569" s="15" t="s">
        <v>76</v>
      </c>
      <c r="D1569" s="15" t="s">
        <v>58</v>
      </c>
      <c r="E1569" s="15" t="s">
        <v>46</v>
      </c>
      <c r="F1569" s="15" t="s">
        <v>47</v>
      </c>
      <c r="G1569" s="15" t="s">
        <v>79</v>
      </c>
      <c r="H1569" s="15" t="s">
        <v>42</v>
      </c>
      <c r="I1569">
        <v>190</v>
      </c>
      <c r="J1569">
        <v>-190</v>
      </c>
      <c r="K1569">
        <v>-280</v>
      </c>
      <c r="L1569">
        <v>0</v>
      </c>
      <c r="M1569">
        <v>302</v>
      </c>
      <c r="N1569">
        <v>6413</v>
      </c>
      <c r="O1569">
        <v>-302</v>
      </c>
      <c r="P1569">
        <v>114</v>
      </c>
      <c r="Q1569">
        <v>-430</v>
      </c>
      <c r="R1569">
        <v>19</v>
      </c>
      <c r="T1569">
        <v>1.5357142857142858</v>
      </c>
      <c r="U1569">
        <v>1.5894736842105264</v>
      </c>
    </row>
    <row r="1570" spans="1:21" x14ac:dyDescent="0.35">
      <c r="A1570">
        <v>702</v>
      </c>
      <c r="B1570" s="16">
        <v>40422</v>
      </c>
      <c r="C1570" s="15" t="s">
        <v>76</v>
      </c>
      <c r="D1570" s="15" t="s">
        <v>58</v>
      </c>
      <c r="E1570" s="15" t="s">
        <v>44</v>
      </c>
      <c r="F1570" s="15" t="s">
        <v>40</v>
      </c>
      <c r="G1570" s="15" t="s">
        <v>79</v>
      </c>
      <c r="H1570" s="15" t="s">
        <v>45</v>
      </c>
      <c r="I1570">
        <v>40</v>
      </c>
      <c r="J1570">
        <v>50</v>
      </c>
      <c r="K1570">
        <v>30</v>
      </c>
      <c r="L1570">
        <v>90</v>
      </c>
      <c r="M1570">
        <v>33</v>
      </c>
      <c r="N1570">
        <v>1003</v>
      </c>
      <c r="O1570">
        <v>39</v>
      </c>
      <c r="P1570">
        <v>10</v>
      </c>
      <c r="Q1570">
        <v>7</v>
      </c>
      <c r="R1570">
        <v>72</v>
      </c>
      <c r="S1570">
        <v>0.8</v>
      </c>
      <c r="T1570">
        <v>0.23333333333333334</v>
      </c>
      <c r="U1570">
        <v>0.82499999999999996</v>
      </c>
    </row>
    <row r="1571" spans="1:21" x14ac:dyDescent="0.35">
      <c r="A1571">
        <v>702</v>
      </c>
      <c r="B1571" s="16">
        <v>40422</v>
      </c>
      <c r="C1571" s="15" t="s">
        <v>76</v>
      </c>
      <c r="D1571" s="15" t="s">
        <v>58</v>
      </c>
      <c r="E1571" s="15" t="s">
        <v>72</v>
      </c>
      <c r="F1571" s="15" t="s">
        <v>49</v>
      </c>
      <c r="G1571" s="15" t="s">
        <v>79</v>
      </c>
      <c r="H1571" s="15" t="s">
        <v>42</v>
      </c>
      <c r="I1571">
        <v>0</v>
      </c>
      <c r="J1571">
        <v>40</v>
      </c>
      <c r="K1571">
        <v>30</v>
      </c>
      <c r="L1571">
        <v>40</v>
      </c>
      <c r="M1571">
        <v>0</v>
      </c>
      <c r="N1571">
        <v>473</v>
      </c>
      <c r="O1571">
        <v>43</v>
      </c>
      <c r="P1571">
        <v>0</v>
      </c>
      <c r="Q1571">
        <v>32</v>
      </c>
      <c r="R1571">
        <v>43</v>
      </c>
      <c r="S1571">
        <v>1.075</v>
      </c>
      <c r="T1571">
        <v>1.0666666666666667</v>
      </c>
    </row>
    <row r="1572" spans="1:21" x14ac:dyDescent="0.35">
      <c r="A1572">
        <v>775</v>
      </c>
      <c r="B1572" s="16">
        <v>40422</v>
      </c>
      <c r="C1572" s="15" t="s">
        <v>76</v>
      </c>
      <c r="D1572" s="15" t="s">
        <v>58</v>
      </c>
      <c r="E1572" s="15" t="s">
        <v>48</v>
      </c>
      <c r="F1572" s="15" t="s">
        <v>49</v>
      </c>
      <c r="G1572" s="15" t="s">
        <v>79</v>
      </c>
      <c r="H1572" s="15" t="s">
        <v>42</v>
      </c>
      <c r="I1572">
        <v>10</v>
      </c>
      <c r="J1572">
        <v>30</v>
      </c>
      <c r="K1572">
        <v>20</v>
      </c>
      <c r="L1572">
        <v>40</v>
      </c>
      <c r="M1572">
        <v>19</v>
      </c>
      <c r="N1572">
        <v>848</v>
      </c>
      <c r="O1572">
        <v>29</v>
      </c>
      <c r="P1572">
        <v>5</v>
      </c>
      <c r="Q1572">
        <v>12</v>
      </c>
      <c r="R1572">
        <v>48</v>
      </c>
      <c r="S1572">
        <v>1.2</v>
      </c>
      <c r="T1572">
        <v>0.6</v>
      </c>
      <c r="U1572">
        <v>1.9</v>
      </c>
    </row>
    <row r="1573" spans="1:21" x14ac:dyDescent="0.35">
      <c r="A1573">
        <v>702</v>
      </c>
      <c r="B1573" s="16">
        <v>40422</v>
      </c>
      <c r="C1573" s="15" t="s">
        <v>76</v>
      </c>
      <c r="D1573" s="15" t="s">
        <v>58</v>
      </c>
      <c r="E1573" s="15" t="s">
        <v>50</v>
      </c>
      <c r="F1573" s="15" t="s">
        <v>49</v>
      </c>
      <c r="G1573" s="15" t="s">
        <v>79</v>
      </c>
      <c r="H1573" s="15" t="s">
        <v>45</v>
      </c>
      <c r="I1573">
        <v>20</v>
      </c>
      <c r="J1573">
        <v>30</v>
      </c>
      <c r="K1573">
        <v>20</v>
      </c>
      <c r="L1573">
        <v>50</v>
      </c>
      <c r="M1573">
        <v>23</v>
      </c>
      <c r="N1573">
        <v>803</v>
      </c>
      <c r="O1573">
        <v>35</v>
      </c>
      <c r="P1573">
        <v>6</v>
      </c>
      <c r="Q1573">
        <v>17</v>
      </c>
      <c r="R1573">
        <v>58</v>
      </c>
      <c r="S1573">
        <v>1.1599999999999999</v>
      </c>
      <c r="T1573">
        <v>0.85</v>
      </c>
      <c r="U1573">
        <v>1.1499999999999999</v>
      </c>
    </row>
    <row r="1574" spans="1:21" x14ac:dyDescent="0.35">
      <c r="A1574">
        <v>541</v>
      </c>
      <c r="B1574" s="16">
        <v>40422</v>
      </c>
      <c r="C1574" s="15" t="s">
        <v>76</v>
      </c>
      <c r="D1574" s="15" t="s">
        <v>58</v>
      </c>
      <c r="E1574" s="15" t="s">
        <v>39</v>
      </c>
      <c r="F1574" s="15" t="s">
        <v>40</v>
      </c>
      <c r="G1574" s="15" t="s">
        <v>80</v>
      </c>
      <c r="H1574" s="15" t="s">
        <v>42</v>
      </c>
      <c r="I1574">
        <v>60</v>
      </c>
      <c r="J1574">
        <v>90</v>
      </c>
      <c r="K1574">
        <v>30</v>
      </c>
      <c r="L1574">
        <v>150</v>
      </c>
      <c r="M1574">
        <v>52</v>
      </c>
      <c r="N1574">
        <v>509</v>
      </c>
      <c r="O1574">
        <v>74</v>
      </c>
      <c r="P1574">
        <v>47</v>
      </c>
      <c r="Q1574">
        <v>-3</v>
      </c>
      <c r="R1574">
        <v>126</v>
      </c>
      <c r="S1574">
        <v>0.84</v>
      </c>
      <c r="T1574">
        <v>-0.1</v>
      </c>
      <c r="U1574">
        <v>0.8666666666666667</v>
      </c>
    </row>
    <row r="1575" spans="1:21" x14ac:dyDescent="0.35">
      <c r="A1575">
        <v>541</v>
      </c>
      <c r="B1575" s="16">
        <v>40422</v>
      </c>
      <c r="C1575" s="15" t="s">
        <v>76</v>
      </c>
      <c r="D1575" s="15" t="s">
        <v>58</v>
      </c>
      <c r="E1575" s="15" t="s">
        <v>51</v>
      </c>
      <c r="F1575" s="15" t="s">
        <v>52</v>
      </c>
      <c r="G1575" s="15" t="s">
        <v>80</v>
      </c>
      <c r="H1575" s="15" t="s">
        <v>45</v>
      </c>
      <c r="I1575">
        <v>20</v>
      </c>
      <c r="J1575">
        <v>30</v>
      </c>
      <c r="K1575">
        <v>30</v>
      </c>
      <c r="L1575">
        <v>50</v>
      </c>
      <c r="M1575">
        <v>25</v>
      </c>
      <c r="N1575">
        <v>823</v>
      </c>
      <c r="O1575">
        <v>36</v>
      </c>
      <c r="P1575">
        <v>7</v>
      </c>
      <c r="Q1575">
        <v>17</v>
      </c>
      <c r="R1575">
        <v>61</v>
      </c>
      <c r="S1575">
        <v>1.22</v>
      </c>
      <c r="T1575">
        <v>0.56666666666666665</v>
      </c>
      <c r="U1575">
        <v>1.25</v>
      </c>
    </row>
    <row r="1576" spans="1:21" x14ac:dyDescent="0.35">
      <c r="A1576">
        <v>971</v>
      </c>
      <c r="B1576" s="16">
        <v>40422</v>
      </c>
      <c r="C1576" s="15" t="s">
        <v>76</v>
      </c>
      <c r="D1576" s="15" t="s">
        <v>58</v>
      </c>
      <c r="E1576" s="15" t="s">
        <v>53</v>
      </c>
      <c r="F1576" s="15" t="s">
        <v>52</v>
      </c>
      <c r="G1576" s="15" t="s">
        <v>80</v>
      </c>
      <c r="H1576" s="15" t="s">
        <v>45</v>
      </c>
      <c r="I1576">
        <v>50</v>
      </c>
      <c r="J1576">
        <v>70</v>
      </c>
      <c r="K1576">
        <v>50</v>
      </c>
      <c r="L1576">
        <v>120</v>
      </c>
      <c r="M1576">
        <v>61</v>
      </c>
      <c r="N1576">
        <v>579</v>
      </c>
      <c r="O1576">
        <v>79</v>
      </c>
      <c r="P1576">
        <v>20</v>
      </c>
      <c r="Q1576">
        <v>47</v>
      </c>
      <c r="R1576">
        <v>140</v>
      </c>
      <c r="S1576">
        <v>1.1666666666666667</v>
      </c>
      <c r="T1576">
        <v>0.94</v>
      </c>
      <c r="U1576">
        <v>1.22</v>
      </c>
    </row>
    <row r="1577" spans="1:21" x14ac:dyDescent="0.35">
      <c r="A1577">
        <v>541</v>
      </c>
      <c r="B1577" s="16">
        <v>40422</v>
      </c>
      <c r="C1577" s="15" t="s">
        <v>76</v>
      </c>
      <c r="D1577" s="15" t="s">
        <v>58</v>
      </c>
      <c r="E1577" s="15" t="s">
        <v>55</v>
      </c>
      <c r="F1577" s="15" t="s">
        <v>47</v>
      </c>
      <c r="G1577" s="15" t="s">
        <v>80</v>
      </c>
      <c r="H1577" s="15" t="s">
        <v>42</v>
      </c>
      <c r="I1577">
        <v>10</v>
      </c>
      <c r="J1577">
        <v>20</v>
      </c>
      <c r="K1577">
        <v>20</v>
      </c>
      <c r="L1577">
        <v>30</v>
      </c>
      <c r="M1577">
        <v>20</v>
      </c>
      <c r="N1577">
        <v>482</v>
      </c>
      <c r="O1577">
        <v>30</v>
      </c>
      <c r="P1577">
        <v>5</v>
      </c>
      <c r="Q1577">
        <v>13</v>
      </c>
      <c r="R1577">
        <v>50</v>
      </c>
      <c r="S1577">
        <v>1.6666666666666667</v>
      </c>
      <c r="T1577">
        <v>0.65</v>
      </c>
      <c r="U1577">
        <v>2</v>
      </c>
    </row>
    <row r="1578" spans="1:21" x14ac:dyDescent="0.35">
      <c r="A1578">
        <v>541</v>
      </c>
      <c r="B1578" s="16">
        <v>40422</v>
      </c>
      <c r="C1578" s="15" t="s">
        <v>76</v>
      </c>
      <c r="D1578" s="15" t="s">
        <v>58</v>
      </c>
      <c r="E1578" s="15" t="s">
        <v>56</v>
      </c>
      <c r="F1578" s="15" t="s">
        <v>47</v>
      </c>
      <c r="G1578" s="15" t="s">
        <v>80</v>
      </c>
      <c r="H1578" s="15" t="s">
        <v>42</v>
      </c>
      <c r="I1578">
        <v>60</v>
      </c>
      <c r="J1578">
        <v>100</v>
      </c>
      <c r="K1578">
        <v>60</v>
      </c>
      <c r="L1578">
        <v>160</v>
      </c>
      <c r="M1578">
        <v>99</v>
      </c>
      <c r="N1578">
        <v>798</v>
      </c>
      <c r="O1578">
        <v>150</v>
      </c>
      <c r="P1578">
        <v>32</v>
      </c>
      <c r="Q1578">
        <v>87</v>
      </c>
      <c r="R1578">
        <v>249</v>
      </c>
      <c r="S1578">
        <v>1.5562499999999999</v>
      </c>
      <c r="T1578">
        <v>1.45</v>
      </c>
      <c r="U1578">
        <v>1.65</v>
      </c>
    </row>
    <row r="1579" spans="1:21" x14ac:dyDescent="0.35">
      <c r="A1579">
        <v>541</v>
      </c>
      <c r="B1579" s="16">
        <v>40422</v>
      </c>
      <c r="C1579" s="15" t="s">
        <v>76</v>
      </c>
      <c r="D1579" s="15" t="s">
        <v>58</v>
      </c>
      <c r="E1579" s="15" t="s">
        <v>46</v>
      </c>
      <c r="F1579" s="15" t="s">
        <v>47</v>
      </c>
      <c r="G1579" s="15" t="s">
        <v>80</v>
      </c>
      <c r="H1579" s="15" t="s">
        <v>42</v>
      </c>
      <c r="I1579">
        <v>60</v>
      </c>
      <c r="J1579">
        <v>90</v>
      </c>
      <c r="K1579">
        <v>60</v>
      </c>
      <c r="L1579">
        <v>150</v>
      </c>
      <c r="M1579">
        <v>96</v>
      </c>
      <c r="N1579">
        <v>666</v>
      </c>
      <c r="O1579">
        <v>134</v>
      </c>
      <c r="P1579">
        <v>29</v>
      </c>
      <c r="Q1579">
        <v>81</v>
      </c>
      <c r="R1579">
        <v>230</v>
      </c>
      <c r="S1579">
        <v>1.5333333333333334</v>
      </c>
      <c r="T1579">
        <v>1.35</v>
      </c>
      <c r="U1579">
        <v>1.6</v>
      </c>
    </row>
    <row r="1580" spans="1:21" x14ac:dyDescent="0.35">
      <c r="A1580">
        <v>541</v>
      </c>
      <c r="B1580" s="16">
        <v>40422</v>
      </c>
      <c r="C1580" s="15" t="s">
        <v>76</v>
      </c>
      <c r="D1580" s="15" t="s">
        <v>58</v>
      </c>
      <c r="E1580" s="15" t="s">
        <v>43</v>
      </c>
      <c r="F1580" s="15" t="s">
        <v>40</v>
      </c>
      <c r="G1580" s="15" t="s">
        <v>80</v>
      </c>
      <c r="H1580" s="15" t="s">
        <v>42</v>
      </c>
      <c r="I1580">
        <v>70</v>
      </c>
      <c r="J1580">
        <v>100</v>
      </c>
      <c r="K1580">
        <v>50</v>
      </c>
      <c r="L1580">
        <v>170</v>
      </c>
      <c r="M1580">
        <v>57</v>
      </c>
      <c r="N1580">
        <v>469</v>
      </c>
      <c r="O1580">
        <v>80</v>
      </c>
      <c r="P1580">
        <v>18</v>
      </c>
      <c r="Q1580">
        <v>18</v>
      </c>
      <c r="R1580">
        <v>137</v>
      </c>
      <c r="S1580">
        <v>0.80588235294117649</v>
      </c>
      <c r="T1580">
        <v>0.36</v>
      </c>
      <c r="U1580">
        <v>0.81428571428571428</v>
      </c>
    </row>
    <row r="1581" spans="1:21" x14ac:dyDescent="0.35">
      <c r="A1581">
        <v>971</v>
      </c>
      <c r="B1581" s="16">
        <v>40422</v>
      </c>
      <c r="C1581" s="15" t="s">
        <v>76</v>
      </c>
      <c r="D1581" s="15" t="s">
        <v>58</v>
      </c>
      <c r="E1581" s="15" t="s">
        <v>44</v>
      </c>
      <c r="F1581" s="15" t="s">
        <v>40</v>
      </c>
      <c r="G1581" s="15" t="s">
        <v>80</v>
      </c>
      <c r="H1581" s="15" t="s">
        <v>45</v>
      </c>
      <c r="I1581">
        <v>50</v>
      </c>
      <c r="J1581">
        <v>80</v>
      </c>
      <c r="K1581">
        <v>50</v>
      </c>
      <c r="L1581">
        <v>130</v>
      </c>
      <c r="M1581">
        <v>43</v>
      </c>
      <c r="N1581">
        <v>424</v>
      </c>
      <c r="O1581">
        <v>64</v>
      </c>
      <c r="P1581">
        <v>13</v>
      </c>
      <c r="Q1581">
        <v>28</v>
      </c>
      <c r="R1581">
        <v>107</v>
      </c>
      <c r="S1581">
        <v>0.82307692307692304</v>
      </c>
      <c r="T1581">
        <v>0.56000000000000005</v>
      </c>
      <c r="U1581">
        <v>0.86</v>
      </c>
    </row>
    <row r="1582" spans="1:21" x14ac:dyDescent="0.35">
      <c r="A1582">
        <v>503</v>
      </c>
      <c r="B1582" s="16">
        <v>40422</v>
      </c>
      <c r="C1582" s="15" t="s">
        <v>76</v>
      </c>
      <c r="D1582" s="15" t="s">
        <v>58</v>
      </c>
      <c r="E1582" s="15" t="s">
        <v>72</v>
      </c>
      <c r="F1582" s="15" t="s">
        <v>49</v>
      </c>
      <c r="G1582" s="15" t="s">
        <v>80</v>
      </c>
      <c r="H1582" s="15" t="s">
        <v>42</v>
      </c>
      <c r="I1582">
        <v>40</v>
      </c>
      <c r="J1582">
        <v>50</v>
      </c>
      <c r="K1582">
        <v>10</v>
      </c>
      <c r="L1582">
        <v>90</v>
      </c>
      <c r="M1582">
        <v>45</v>
      </c>
      <c r="N1582">
        <v>409</v>
      </c>
      <c r="O1582">
        <v>57</v>
      </c>
      <c r="P1582">
        <v>17</v>
      </c>
      <c r="Q1582">
        <v>6</v>
      </c>
      <c r="R1582">
        <v>102</v>
      </c>
      <c r="S1582">
        <v>1.1333333333333333</v>
      </c>
      <c r="T1582">
        <v>0.6</v>
      </c>
      <c r="U1582">
        <v>1.125</v>
      </c>
    </row>
    <row r="1583" spans="1:21" x14ac:dyDescent="0.35">
      <c r="A1583">
        <v>541</v>
      </c>
      <c r="B1583" s="16">
        <v>40422</v>
      </c>
      <c r="C1583" s="15" t="s">
        <v>76</v>
      </c>
      <c r="D1583" s="15" t="s">
        <v>58</v>
      </c>
      <c r="E1583" s="15" t="s">
        <v>48</v>
      </c>
      <c r="F1583" s="15" t="s">
        <v>49</v>
      </c>
      <c r="G1583" s="15" t="s">
        <v>80</v>
      </c>
      <c r="H1583" s="15" t="s">
        <v>42</v>
      </c>
      <c r="I1583">
        <v>50</v>
      </c>
      <c r="J1583">
        <v>70</v>
      </c>
      <c r="K1583">
        <v>40</v>
      </c>
      <c r="L1583">
        <v>120</v>
      </c>
      <c r="M1583">
        <v>53</v>
      </c>
      <c r="N1583">
        <v>410</v>
      </c>
      <c r="O1583">
        <v>72</v>
      </c>
      <c r="P1583">
        <v>17</v>
      </c>
      <c r="Q1583">
        <v>28</v>
      </c>
      <c r="R1583">
        <v>125</v>
      </c>
      <c r="S1583">
        <v>1.0416666666666667</v>
      </c>
      <c r="T1583">
        <v>0.7</v>
      </c>
      <c r="U1583">
        <v>1.06</v>
      </c>
    </row>
    <row r="1584" spans="1:21" x14ac:dyDescent="0.35">
      <c r="A1584">
        <v>541</v>
      </c>
      <c r="B1584" s="16">
        <v>40422</v>
      </c>
      <c r="C1584" s="15" t="s">
        <v>76</v>
      </c>
      <c r="D1584" s="15" t="s">
        <v>58</v>
      </c>
      <c r="E1584" s="15" t="s">
        <v>50</v>
      </c>
      <c r="F1584" s="15" t="s">
        <v>49</v>
      </c>
      <c r="G1584" s="15" t="s">
        <v>80</v>
      </c>
      <c r="H1584" s="15" t="s">
        <v>45</v>
      </c>
      <c r="I1584">
        <v>140</v>
      </c>
      <c r="J1584">
        <v>150</v>
      </c>
      <c r="K1584">
        <v>90</v>
      </c>
      <c r="L1584">
        <v>290</v>
      </c>
      <c r="M1584">
        <v>155</v>
      </c>
      <c r="N1584">
        <v>1280</v>
      </c>
      <c r="O1584">
        <v>155</v>
      </c>
      <c r="P1584">
        <v>43</v>
      </c>
      <c r="Q1584">
        <v>87</v>
      </c>
      <c r="R1584">
        <v>310</v>
      </c>
      <c r="S1584">
        <v>1.0689655172413792</v>
      </c>
      <c r="T1584">
        <v>0.96666666666666667</v>
      </c>
      <c r="U1584">
        <v>1.1071428571428572</v>
      </c>
    </row>
    <row r="1585" spans="1:21" x14ac:dyDescent="0.35">
      <c r="A1585">
        <v>253</v>
      </c>
      <c r="B1585" s="16">
        <v>40422</v>
      </c>
      <c r="C1585" s="15" t="s">
        <v>76</v>
      </c>
      <c r="D1585" s="15" t="s">
        <v>58</v>
      </c>
      <c r="E1585" s="15" t="s">
        <v>51</v>
      </c>
      <c r="F1585" s="15" t="s">
        <v>52</v>
      </c>
      <c r="G1585" s="15" t="s">
        <v>81</v>
      </c>
      <c r="H1585" s="15" t="s">
        <v>45</v>
      </c>
      <c r="I1585">
        <v>80</v>
      </c>
      <c r="J1585">
        <v>140</v>
      </c>
      <c r="K1585">
        <v>100</v>
      </c>
      <c r="L1585">
        <v>220</v>
      </c>
      <c r="M1585">
        <v>103</v>
      </c>
      <c r="N1585">
        <v>1130</v>
      </c>
      <c r="O1585">
        <v>155</v>
      </c>
      <c r="P1585">
        <v>33</v>
      </c>
      <c r="Q1585">
        <v>91</v>
      </c>
      <c r="R1585">
        <v>258</v>
      </c>
      <c r="S1585">
        <v>1.1727272727272726</v>
      </c>
      <c r="T1585">
        <v>0.91</v>
      </c>
      <c r="U1585">
        <v>1.2875000000000001</v>
      </c>
    </row>
    <row r="1586" spans="1:21" x14ac:dyDescent="0.35">
      <c r="A1586">
        <v>360</v>
      </c>
      <c r="B1586" s="16">
        <v>40422</v>
      </c>
      <c r="C1586" s="15" t="s">
        <v>76</v>
      </c>
      <c r="D1586" s="15" t="s">
        <v>58</v>
      </c>
      <c r="E1586" s="15" t="s">
        <v>53</v>
      </c>
      <c r="F1586" s="15" t="s">
        <v>52</v>
      </c>
      <c r="G1586" s="15" t="s">
        <v>81</v>
      </c>
      <c r="H1586" s="15" t="s">
        <v>45</v>
      </c>
      <c r="I1586">
        <v>40</v>
      </c>
      <c r="J1586">
        <v>60</v>
      </c>
      <c r="K1586">
        <v>50</v>
      </c>
      <c r="L1586">
        <v>100</v>
      </c>
      <c r="M1586">
        <v>48</v>
      </c>
      <c r="N1586">
        <v>834</v>
      </c>
      <c r="O1586">
        <v>71</v>
      </c>
      <c r="P1586">
        <v>13</v>
      </c>
      <c r="Q1586">
        <v>47</v>
      </c>
      <c r="R1586">
        <v>119</v>
      </c>
      <c r="S1586">
        <v>1.19</v>
      </c>
      <c r="T1586">
        <v>0.94</v>
      </c>
      <c r="U1586">
        <v>1.2</v>
      </c>
    </row>
    <row r="1587" spans="1:21" x14ac:dyDescent="0.35">
      <c r="A1587">
        <v>425</v>
      </c>
      <c r="B1587" s="16">
        <v>40422</v>
      </c>
      <c r="C1587" s="15" t="s">
        <v>76</v>
      </c>
      <c r="D1587" s="15" t="s">
        <v>58</v>
      </c>
      <c r="E1587" s="15" t="s">
        <v>55</v>
      </c>
      <c r="F1587" s="15" t="s">
        <v>47</v>
      </c>
      <c r="G1587" s="15" t="s">
        <v>81</v>
      </c>
      <c r="H1587" s="15" t="s">
        <v>42</v>
      </c>
      <c r="I1587">
        <v>30</v>
      </c>
      <c r="J1587">
        <v>70</v>
      </c>
      <c r="K1587">
        <v>40</v>
      </c>
      <c r="L1587">
        <v>100</v>
      </c>
      <c r="M1587">
        <v>57</v>
      </c>
      <c r="N1587">
        <v>349</v>
      </c>
      <c r="O1587">
        <v>94</v>
      </c>
      <c r="P1587">
        <v>17</v>
      </c>
      <c r="Q1587">
        <v>54</v>
      </c>
      <c r="R1587">
        <v>151</v>
      </c>
      <c r="S1587">
        <v>1.51</v>
      </c>
      <c r="T1587">
        <v>1.35</v>
      </c>
      <c r="U1587">
        <v>1.9</v>
      </c>
    </row>
    <row r="1588" spans="1:21" x14ac:dyDescent="0.35">
      <c r="A1588">
        <v>360</v>
      </c>
      <c r="B1588" s="16">
        <v>40422</v>
      </c>
      <c r="C1588" s="15" t="s">
        <v>76</v>
      </c>
      <c r="D1588" s="15" t="s">
        <v>58</v>
      </c>
      <c r="E1588" s="15" t="s">
        <v>56</v>
      </c>
      <c r="F1588" s="15" t="s">
        <v>47</v>
      </c>
      <c r="G1588" s="15" t="s">
        <v>81</v>
      </c>
      <c r="H1588" s="15" t="s">
        <v>42</v>
      </c>
      <c r="I1588">
        <v>30</v>
      </c>
      <c r="J1588">
        <v>40</v>
      </c>
      <c r="K1588">
        <v>30</v>
      </c>
      <c r="L1588">
        <v>70</v>
      </c>
      <c r="M1588">
        <v>46</v>
      </c>
      <c r="N1588">
        <v>454</v>
      </c>
      <c r="O1588">
        <v>67</v>
      </c>
      <c r="P1588">
        <v>14</v>
      </c>
      <c r="Q1588">
        <v>31</v>
      </c>
      <c r="R1588">
        <v>113</v>
      </c>
      <c r="S1588">
        <v>1.6142857142857143</v>
      </c>
      <c r="T1588">
        <v>1.0333333333333334</v>
      </c>
      <c r="U1588">
        <v>1.5333333333333334</v>
      </c>
    </row>
    <row r="1589" spans="1:21" x14ac:dyDescent="0.35">
      <c r="A1589">
        <v>425</v>
      </c>
      <c r="B1589" s="16">
        <v>40422</v>
      </c>
      <c r="C1589" s="15" t="s">
        <v>76</v>
      </c>
      <c r="D1589" s="15" t="s">
        <v>58</v>
      </c>
      <c r="E1589" s="15" t="s">
        <v>46</v>
      </c>
      <c r="F1589" s="15" t="s">
        <v>47</v>
      </c>
      <c r="G1589" s="15" t="s">
        <v>81</v>
      </c>
      <c r="H1589" s="15" t="s">
        <v>42</v>
      </c>
      <c r="I1589">
        <v>40</v>
      </c>
      <c r="J1589">
        <v>60</v>
      </c>
      <c r="K1589">
        <v>10</v>
      </c>
      <c r="L1589">
        <v>100</v>
      </c>
      <c r="M1589">
        <v>62</v>
      </c>
      <c r="N1589">
        <v>612</v>
      </c>
      <c r="O1589">
        <v>87</v>
      </c>
      <c r="P1589">
        <v>56</v>
      </c>
      <c r="Q1589">
        <v>2</v>
      </c>
      <c r="R1589">
        <v>149</v>
      </c>
      <c r="S1589">
        <v>1.49</v>
      </c>
      <c r="T1589">
        <v>0.2</v>
      </c>
      <c r="U1589">
        <v>1.55</v>
      </c>
    </row>
    <row r="1590" spans="1:21" x14ac:dyDescent="0.35">
      <c r="A1590">
        <v>360</v>
      </c>
      <c r="B1590" s="16">
        <v>40422</v>
      </c>
      <c r="C1590" s="15" t="s">
        <v>76</v>
      </c>
      <c r="D1590" s="15" t="s">
        <v>58</v>
      </c>
      <c r="E1590" s="15" t="s">
        <v>43</v>
      </c>
      <c r="F1590" s="15" t="s">
        <v>40</v>
      </c>
      <c r="G1590" s="15" t="s">
        <v>81</v>
      </c>
      <c r="H1590" s="15" t="s">
        <v>42</v>
      </c>
      <c r="I1590">
        <v>80</v>
      </c>
      <c r="J1590">
        <v>120</v>
      </c>
      <c r="K1590">
        <v>80</v>
      </c>
      <c r="L1590">
        <v>200</v>
      </c>
      <c r="M1590">
        <v>68</v>
      </c>
      <c r="N1590">
        <v>445</v>
      </c>
      <c r="O1590">
        <v>99</v>
      </c>
      <c r="P1590">
        <v>21</v>
      </c>
      <c r="Q1590">
        <v>56</v>
      </c>
      <c r="R1590">
        <v>167</v>
      </c>
      <c r="S1590">
        <v>0.83499999999999996</v>
      </c>
      <c r="T1590">
        <v>0.7</v>
      </c>
      <c r="U1590">
        <v>0.85</v>
      </c>
    </row>
    <row r="1591" spans="1:21" x14ac:dyDescent="0.35">
      <c r="A1591">
        <v>360</v>
      </c>
      <c r="B1591" s="16">
        <v>40422</v>
      </c>
      <c r="C1591" s="15" t="s">
        <v>76</v>
      </c>
      <c r="D1591" s="15" t="s">
        <v>58</v>
      </c>
      <c r="E1591" s="15" t="s">
        <v>44</v>
      </c>
      <c r="F1591" s="15" t="s">
        <v>40</v>
      </c>
      <c r="G1591" s="15" t="s">
        <v>81</v>
      </c>
      <c r="H1591" s="15" t="s">
        <v>45</v>
      </c>
      <c r="I1591">
        <v>110</v>
      </c>
      <c r="J1591">
        <v>160</v>
      </c>
      <c r="K1591">
        <v>60</v>
      </c>
      <c r="L1591">
        <v>270</v>
      </c>
      <c r="M1591">
        <v>93</v>
      </c>
      <c r="N1591">
        <v>692</v>
      </c>
      <c r="O1591">
        <v>130</v>
      </c>
      <c r="P1591">
        <v>84</v>
      </c>
      <c r="Q1591">
        <v>16</v>
      </c>
      <c r="R1591">
        <v>223</v>
      </c>
      <c r="S1591">
        <v>0.82592592592592595</v>
      </c>
      <c r="T1591">
        <v>0.26666666666666666</v>
      </c>
      <c r="U1591">
        <v>0.84545454545454546</v>
      </c>
    </row>
    <row r="1592" spans="1:21" x14ac:dyDescent="0.35">
      <c r="A1592">
        <v>206</v>
      </c>
      <c r="B1592" s="16">
        <v>40422</v>
      </c>
      <c r="C1592" s="15" t="s">
        <v>76</v>
      </c>
      <c r="D1592" s="15" t="s">
        <v>58</v>
      </c>
      <c r="E1592" s="15" t="s">
        <v>72</v>
      </c>
      <c r="F1592" s="15" t="s">
        <v>49</v>
      </c>
      <c r="G1592" s="15" t="s">
        <v>81</v>
      </c>
      <c r="H1592" s="15" t="s">
        <v>42</v>
      </c>
      <c r="I1592">
        <v>30</v>
      </c>
      <c r="J1592">
        <v>40</v>
      </c>
      <c r="K1592">
        <v>30</v>
      </c>
      <c r="L1592">
        <v>70</v>
      </c>
      <c r="M1592">
        <v>33</v>
      </c>
      <c r="N1592">
        <v>577</v>
      </c>
      <c r="O1592">
        <v>43</v>
      </c>
      <c r="P1592">
        <v>10</v>
      </c>
      <c r="Q1592">
        <v>21</v>
      </c>
      <c r="R1592">
        <v>76</v>
      </c>
      <c r="S1592">
        <v>1.0857142857142856</v>
      </c>
      <c r="T1592">
        <v>0.7</v>
      </c>
      <c r="U1592">
        <v>1.1000000000000001</v>
      </c>
    </row>
    <row r="1593" spans="1:21" x14ac:dyDescent="0.35">
      <c r="A1593">
        <v>253</v>
      </c>
      <c r="B1593" s="16">
        <v>40422</v>
      </c>
      <c r="C1593" s="15" t="s">
        <v>76</v>
      </c>
      <c r="D1593" s="15" t="s">
        <v>58</v>
      </c>
      <c r="E1593" s="15" t="s">
        <v>48</v>
      </c>
      <c r="F1593" s="15" t="s">
        <v>49</v>
      </c>
      <c r="G1593" s="15" t="s">
        <v>81</v>
      </c>
      <c r="H1593" s="15" t="s">
        <v>42</v>
      </c>
      <c r="I1593">
        <v>60</v>
      </c>
      <c r="J1593">
        <v>80</v>
      </c>
      <c r="K1593">
        <v>30</v>
      </c>
      <c r="L1593">
        <v>140</v>
      </c>
      <c r="M1593">
        <v>67</v>
      </c>
      <c r="N1593">
        <v>391</v>
      </c>
      <c r="O1593">
        <v>82</v>
      </c>
      <c r="P1593">
        <v>25</v>
      </c>
      <c r="Q1593">
        <v>23</v>
      </c>
      <c r="R1593">
        <v>149</v>
      </c>
      <c r="S1593">
        <v>1.0642857142857143</v>
      </c>
      <c r="T1593">
        <v>0.76666666666666672</v>
      </c>
      <c r="U1593">
        <v>1.1166666666666667</v>
      </c>
    </row>
    <row r="1594" spans="1:21" x14ac:dyDescent="0.35">
      <c r="A1594">
        <v>206</v>
      </c>
      <c r="B1594" s="16">
        <v>40422</v>
      </c>
      <c r="C1594" s="15" t="s">
        <v>76</v>
      </c>
      <c r="D1594" s="15" t="s">
        <v>58</v>
      </c>
      <c r="E1594" s="15" t="s">
        <v>50</v>
      </c>
      <c r="F1594" s="15" t="s">
        <v>49</v>
      </c>
      <c r="G1594" s="15" t="s">
        <v>81</v>
      </c>
      <c r="H1594" s="15" t="s">
        <v>45</v>
      </c>
      <c r="I1594">
        <v>70</v>
      </c>
      <c r="J1594">
        <v>100</v>
      </c>
      <c r="K1594">
        <v>70</v>
      </c>
      <c r="L1594">
        <v>170</v>
      </c>
      <c r="M1594">
        <v>83</v>
      </c>
      <c r="N1594">
        <v>1063</v>
      </c>
      <c r="O1594">
        <v>99</v>
      </c>
      <c r="P1594">
        <v>25</v>
      </c>
      <c r="Q1594">
        <v>53</v>
      </c>
      <c r="R1594">
        <v>182</v>
      </c>
      <c r="S1594">
        <v>1.0705882352941176</v>
      </c>
      <c r="T1594">
        <v>0.75714285714285712</v>
      </c>
      <c r="U1594">
        <v>1.1857142857142857</v>
      </c>
    </row>
    <row r="1595" spans="1:21" x14ac:dyDescent="0.35">
      <c r="A1595">
        <v>720</v>
      </c>
      <c r="B1595" s="16">
        <v>40452</v>
      </c>
      <c r="C1595" s="15" t="s">
        <v>37</v>
      </c>
      <c r="D1595" s="15" t="s">
        <v>38</v>
      </c>
      <c r="E1595" s="15" t="s">
        <v>46</v>
      </c>
      <c r="F1595" s="15" t="s">
        <v>47</v>
      </c>
      <c r="G1595" s="15" t="s">
        <v>41</v>
      </c>
      <c r="H1595" s="15" t="s">
        <v>42</v>
      </c>
      <c r="I1595">
        <v>50</v>
      </c>
      <c r="J1595">
        <v>90</v>
      </c>
      <c r="K1595">
        <v>80</v>
      </c>
      <c r="L1595">
        <v>140</v>
      </c>
      <c r="M1595">
        <v>90</v>
      </c>
      <c r="N1595">
        <v>572</v>
      </c>
      <c r="O1595">
        <v>115</v>
      </c>
      <c r="P1595">
        <v>29</v>
      </c>
      <c r="Q1595">
        <v>74</v>
      </c>
      <c r="R1595">
        <v>205</v>
      </c>
      <c r="S1595">
        <v>1.4642857142857142</v>
      </c>
      <c r="T1595">
        <v>0.92500000000000004</v>
      </c>
      <c r="U1595">
        <v>1.8</v>
      </c>
    </row>
    <row r="1596" spans="1:21" x14ac:dyDescent="0.35">
      <c r="A1596">
        <v>719</v>
      </c>
      <c r="B1596" s="16">
        <v>40452</v>
      </c>
      <c r="C1596" s="15" t="s">
        <v>37</v>
      </c>
      <c r="D1596" s="15" t="s">
        <v>38</v>
      </c>
      <c r="E1596" s="15" t="s">
        <v>51</v>
      </c>
      <c r="F1596" s="15" t="s">
        <v>52</v>
      </c>
      <c r="G1596" s="15" t="s">
        <v>41</v>
      </c>
      <c r="H1596" s="15" t="s">
        <v>45</v>
      </c>
      <c r="I1596">
        <v>120</v>
      </c>
      <c r="J1596">
        <v>140</v>
      </c>
      <c r="K1596">
        <v>110</v>
      </c>
      <c r="L1596">
        <v>260</v>
      </c>
      <c r="M1596">
        <v>161</v>
      </c>
      <c r="N1596">
        <v>1267</v>
      </c>
      <c r="O1596">
        <v>161</v>
      </c>
      <c r="P1596">
        <v>45</v>
      </c>
      <c r="Q1596">
        <v>92</v>
      </c>
      <c r="R1596">
        <v>322</v>
      </c>
      <c r="S1596">
        <v>1.2384615384615385</v>
      </c>
      <c r="T1596">
        <v>0.83636363636363631</v>
      </c>
      <c r="U1596">
        <v>1.3416666666666666</v>
      </c>
    </row>
    <row r="1597" spans="1:21" x14ac:dyDescent="0.35">
      <c r="A1597">
        <v>303</v>
      </c>
      <c r="B1597" s="16">
        <v>40452</v>
      </c>
      <c r="C1597" s="15" t="s">
        <v>37</v>
      </c>
      <c r="D1597" s="15" t="s">
        <v>38</v>
      </c>
      <c r="E1597" s="15" t="s">
        <v>53</v>
      </c>
      <c r="F1597" s="15" t="s">
        <v>52</v>
      </c>
      <c r="G1597" s="15" t="s">
        <v>41</v>
      </c>
      <c r="H1597" s="15" t="s">
        <v>45</v>
      </c>
      <c r="I1597">
        <v>30</v>
      </c>
      <c r="J1597">
        <v>60</v>
      </c>
      <c r="K1597">
        <v>30</v>
      </c>
      <c r="L1597">
        <v>90</v>
      </c>
      <c r="M1597">
        <v>51</v>
      </c>
      <c r="N1597">
        <v>503</v>
      </c>
      <c r="O1597">
        <v>71</v>
      </c>
      <c r="P1597">
        <v>46</v>
      </c>
      <c r="Q1597">
        <v>-5</v>
      </c>
      <c r="R1597">
        <v>122</v>
      </c>
      <c r="S1597">
        <v>1.3555555555555556</v>
      </c>
      <c r="T1597">
        <v>-0.16666666666666666</v>
      </c>
      <c r="U1597">
        <v>1.7</v>
      </c>
    </row>
    <row r="1598" spans="1:21" x14ac:dyDescent="0.35">
      <c r="A1598">
        <v>970</v>
      </c>
      <c r="B1598" s="16">
        <v>40452</v>
      </c>
      <c r="C1598" s="15" t="s">
        <v>37</v>
      </c>
      <c r="D1598" s="15" t="s">
        <v>38</v>
      </c>
      <c r="E1598" s="15" t="s">
        <v>54</v>
      </c>
      <c r="F1598" s="15" t="s">
        <v>52</v>
      </c>
      <c r="G1598" s="15" t="s">
        <v>41</v>
      </c>
      <c r="H1598" s="15" t="s">
        <v>45</v>
      </c>
      <c r="I1598">
        <v>30</v>
      </c>
      <c r="J1598">
        <v>60</v>
      </c>
      <c r="K1598">
        <v>50</v>
      </c>
      <c r="L1598">
        <v>90</v>
      </c>
      <c r="M1598">
        <v>52</v>
      </c>
      <c r="N1598">
        <v>405</v>
      </c>
      <c r="O1598">
        <v>71</v>
      </c>
      <c r="P1598">
        <v>17</v>
      </c>
      <c r="Q1598">
        <v>26</v>
      </c>
      <c r="R1598">
        <v>123</v>
      </c>
      <c r="S1598">
        <v>1.3666666666666667</v>
      </c>
      <c r="T1598">
        <v>0.52</v>
      </c>
      <c r="U1598">
        <v>1.7333333333333334</v>
      </c>
    </row>
    <row r="1599" spans="1:21" x14ac:dyDescent="0.35">
      <c r="A1599">
        <v>303</v>
      </c>
      <c r="B1599" s="16">
        <v>40452</v>
      </c>
      <c r="C1599" s="15" t="s">
        <v>37</v>
      </c>
      <c r="D1599" s="15" t="s">
        <v>38</v>
      </c>
      <c r="E1599" s="15" t="s">
        <v>55</v>
      </c>
      <c r="F1599" s="15" t="s">
        <v>47</v>
      </c>
      <c r="G1599" s="15" t="s">
        <v>41</v>
      </c>
      <c r="H1599" s="15" t="s">
        <v>42</v>
      </c>
      <c r="I1599">
        <v>30</v>
      </c>
      <c r="J1599">
        <v>50</v>
      </c>
      <c r="K1599">
        <v>30</v>
      </c>
      <c r="L1599">
        <v>80</v>
      </c>
      <c r="M1599">
        <v>54</v>
      </c>
      <c r="N1599">
        <v>404</v>
      </c>
      <c r="O1599">
        <v>66</v>
      </c>
      <c r="P1599">
        <v>20</v>
      </c>
      <c r="Q1599">
        <v>13</v>
      </c>
      <c r="R1599">
        <v>120</v>
      </c>
      <c r="S1599">
        <v>1.5</v>
      </c>
      <c r="T1599">
        <v>0.43333333333333335</v>
      </c>
      <c r="U1599">
        <v>1.8</v>
      </c>
    </row>
    <row r="1600" spans="1:21" x14ac:dyDescent="0.35">
      <c r="A1600">
        <v>303</v>
      </c>
      <c r="B1600" s="16">
        <v>40452</v>
      </c>
      <c r="C1600" s="15" t="s">
        <v>37</v>
      </c>
      <c r="D1600" s="15" t="s">
        <v>38</v>
      </c>
      <c r="E1600" s="15" t="s">
        <v>56</v>
      </c>
      <c r="F1600" s="15" t="s">
        <v>47</v>
      </c>
      <c r="G1600" s="15" t="s">
        <v>41</v>
      </c>
      <c r="H1600" s="15" t="s">
        <v>42</v>
      </c>
      <c r="I1600">
        <v>30</v>
      </c>
      <c r="J1600">
        <v>50</v>
      </c>
      <c r="K1600">
        <v>40</v>
      </c>
      <c r="L1600">
        <v>80</v>
      </c>
      <c r="M1600">
        <v>54</v>
      </c>
      <c r="N1600">
        <v>1037</v>
      </c>
      <c r="O1600">
        <v>64</v>
      </c>
      <c r="P1600">
        <v>16</v>
      </c>
      <c r="Q1600">
        <v>27</v>
      </c>
      <c r="R1600">
        <v>118</v>
      </c>
      <c r="S1600">
        <v>1.4750000000000001</v>
      </c>
      <c r="T1600">
        <v>0.67500000000000004</v>
      </c>
      <c r="U1600">
        <v>1.8</v>
      </c>
    </row>
    <row r="1601" spans="1:21" x14ac:dyDescent="0.35">
      <c r="A1601">
        <v>303</v>
      </c>
      <c r="B1601" s="16">
        <v>40452</v>
      </c>
      <c r="C1601" s="15" t="s">
        <v>37</v>
      </c>
      <c r="D1601" s="15" t="s">
        <v>38</v>
      </c>
      <c r="E1601" s="15" t="s">
        <v>50</v>
      </c>
      <c r="F1601" s="15" t="s">
        <v>49</v>
      </c>
      <c r="G1601" s="15" t="s">
        <v>41</v>
      </c>
      <c r="H1601" s="15" t="s">
        <v>45</v>
      </c>
      <c r="I1601">
        <v>100</v>
      </c>
      <c r="J1601">
        <v>160</v>
      </c>
      <c r="K1601">
        <v>130</v>
      </c>
      <c r="L1601">
        <v>260</v>
      </c>
      <c r="M1601">
        <v>72</v>
      </c>
      <c r="N1601">
        <v>650</v>
      </c>
      <c r="O1601">
        <v>110</v>
      </c>
      <c r="P1601">
        <v>23</v>
      </c>
      <c r="Q1601">
        <v>56</v>
      </c>
      <c r="R1601">
        <v>182</v>
      </c>
      <c r="S1601">
        <v>0.7</v>
      </c>
      <c r="T1601">
        <v>0.43076923076923079</v>
      </c>
      <c r="U1601">
        <v>0.72</v>
      </c>
    </row>
    <row r="1602" spans="1:21" x14ac:dyDescent="0.35">
      <c r="A1602">
        <v>303</v>
      </c>
      <c r="B1602" s="16">
        <v>40452</v>
      </c>
      <c r="C1602" s="15" t="s">
        <v>37</v>
      </c>
      <c r="D1602" s="15" t="s">
        <v>38</v>
      </c>
      <c r="E1602" s="15" t="s">
        <v>48</v>
      </c>
      <c r="F1602" s="15" t="s">
        <v>49</v>
      </c>
      <c r="G1602" s="15" t="s">
        <v>41</v>
      </c>
      <c r="H1602" s="15" t="s">
        <v>42</v>
      </c>
      <c r="I1602">
        <v>100</v>
      </c>
      <c r="J1602">
        <v>180</v>
      </c>
      <c r="K1602">
        <v>170</v>
      </c>
      <c r="L1602">
        <v>280</v>
      </c>
      <c r="M1602">
        <v>76</v>
      </c>
      <c r="N1602">
        <v>580</v>
      </c>
      <c r="O1602">
        <v>111</v>
      </c>
      <c r="P1602">
        <v>21</v>
      </c>
      <c r="Q1602">
        <v>79</v>
      </c>
      <c r="R1602">
        <v>187</v>
      </c>
      <c r="S1602">
        <v>0.66785714285714282</v>
      </c>
      <c r="T1602">
        <v>0.46470588235294119</v>
      </c>
      <c r="U1602">
        <v>0.76</v>
      </c>
    </row>
    <row r="1603" spans="1:21" x14ac:dyDescent="0.35">
      <c r="A1603">
        <v>719</v>
      </c>
      <c r="B1603" s="16">
        <v>40452</v>
      </c>
      <c r="C1603" s="15" t="s">
        <v>37</v>
      </c>
      <c r="D1603" s="15" t="s">
        <v>38</v>
      </c>
      <c r="E1603" s="15" t="s">
        <v>44</v>
      </c>
      <c r="F1603" s="15" t="s">
        <v>40</v>
      </c>
      <c r="G1603" s="15" t="s">
        <v>41</v>
      </c>
      <c r="H1603" s="15" t="s">
        <v>45</v>
      </c>
      <c r="I1603">
        <v>100</v>
      </c>
      <c r="J1603">
        <v>160</v>
      </c>
      <c r="K1603">
        <v>150</v>
      </c>
      <c r="L1603">
        <v>260</v>
      </c>
      <c r="M1603">
        <v>108</v>
      </c>
      <c r="N1603">
        <v>971</v>
      </c>
      <c r="O1603">
        <v>157</v>
      </c>
      <c r="P1603">
        <v>30</v>
      </c>
      <c r="Q1603">
        <v>116</v>
      </c>
      <c r="R1603">
        <v>265</v>
      </c>
      <c r="S1603">
        <v>1.0192307692307692</v>
      </c>
      <c r="T1603">
        <v>0.77333333333333332</v>
      </c>
      <c r="U1603">
        <v>1.08</v>
      </c>
    </row>
    <row r="1604" spans="1:21" x14ac:dyDescent="0.35">
      <c r="A1604">
        <v>970</v>
      </c>
      <c r="B1604" s="16">
        <v>40452</v>
      </c>
      <c r="C1604" s="15" t="s">
        <v>37</v>
      </c>
      <c r="D1604" s="15" t="s">
        <v>38</v>
      </c>
      <c r="E1604" s="15" t="s">
        <v>39</v>
      </c>
      <c r="F1604" s="15" t="s">
        <v>40</v>
      </c>
      <c r="G1604" s="15" t="s">
        <v>41</v>
      </c>
      <c r="H1604" s="15" t="s">
        <v>42</v>
      </c>
      <c r="I1604">
        <v>120</v>
      </c>
      <c r="J1604">
        <v>180</v>
      </c>
      <c r="K1604">
        <v>160</v>
      </c>
      <c r="L1604">
        <v>300</v>
      </c>
      <c r="M1604">
        <v>123</v>
      </c>
      <c r="N1604">
        <v>915</v>
      </c>
      <c r="O1604">
        <v>179</v>
      </c>
      <c r="P1604">
        <v>34</v>
      </c>
      <c r="Q1604">
        <v>133</v>
      </c>
      <c r="R1604">
        <v>302</v>
      </c>
      <c r="S1604">
        <v>1.0066666666666666</v>
      </c>
      <c r="T1604">
        <v>0.83125000000000004</v>
      </c>
      <c r="U1604">
        <v>1.0249999999999999</v>
      </c>
    </row>
    <row r="1605" spans="1:21" x14ac:dyDescent="0.35">
      <c r="A1605">
        <v>719</v>
      </c>
      <c r="B1605" s="16">
        <v>40452</v>
      </c>
      <c r="C1605" s="15" t="s">
        <v>37</v>
      </c>
      <c r="D1605" s="15" t="s">
        <v>38</v>
      </c>
      <c r="E1605" s="15" t="s">
        <v>43</v>
      </c>
      <c r="F1605" s="15" t="s">
        <v>40</v>
      </c>
      <c r="G1605" s="15" t="s">
        <v>41</v>
      </c>
      <c r="H1605" s="15" t="s">
        <v>42</v>
      </c>
      <c r="I1605">
        <v>30</v>
      </c>
      <c r="J1605">
        <v>50</v>
      </c>
      <c r="K1605">
        <v>50</v>
      </c>
      <c r="L1605">
        <v>80</v>
      </c>
      <c r="M1605">
        <v>39</v>
      </c>
      <c r="N1605">
        <v>541</v>
      </c>
      <c r="O1605">
        <v>51</v>
      </c>
      <c r="P1605">
        <v>12</v>
      </c>
      <c r="Q1605">
        <v>27</v>
      </c>
      <c r="R1605">
        <v>90</v>
      </c>
      <c r="S1605">
        <v>1.125</v>
      </c>
      <c r="T1605">
        <v>0.54</v>
      </c>
      <c r="U1605">
        <v>1.3</v>
      </c>
    </row>
    <row r="1606" spans="1:21" x14ac:dyDescent="0.35">
      <c r="A1606">
        <v>708</v>
      </c>
      <c r="B1606" s="16">
        <v>40452</v>
      </c>
      <c r="C1606" s="15" t="s">
        <v>37</v>
      </c>
      <c r="D1606" s="15" t="s">
        <v>38</v>
      </c>
      <c r="E1606" s="15" t="s">
        <v>51</v>
      </c>
      <c r="F1606" s="15" t="s">
        <v>52</v>
      </c>
      <c r="G1606" s="15" t="s">
        <v>57</v>
      </c>
      <c r="H1606" s="15" t="s">
        <v>45</v>
      </c>
      <c r="I1606">
        <v>90</v>
      </c>
      <c r="J1606">
        <v>150</v>
      </c>
      <c r="K1606">
        <v>140</v>
      </c>
      <c r="L1606">
        <v>240</v>
      </c>
      <c r="M1606">
        <v>123</v>
      </c>
      <c r="N1606">
        <v>915</v>
      </c>
      <c r="O1606">
        <v>179</v>
      </c>
      <c r="P1606">
        <v>34</v>
      </c>
      <c r="Q1606">
        <v>133</v>
      </c>
      <c r="R1606">
        <v>302</v>
      </c>
      <c r="S1606">
        <v>1.2583333333333333</v>
      </c>
      <c r="T1606">
        <v>0.95</v>
      </c>
      <c r="U1606">
        <v>1.3666666666666667</v>
      </c>
    </row>
    <row r="1607" spans="1:21" x14ac:dyDescent="0.35">
      <c r="A1607">
        <v>630</v>
      </c>
      <c r="B1607" s="16">
        <v>40452</v>
      </c>
      <c r="C1607" s="15" t="s">
        <v>37</v>
      </c>
      <c r="D1607" s="15" t="s">
        <v>38</v>
      </c>
      <c r="E1607" s="15" t="s">
        <v>53</v>
      </c>
      <c r="F1607" s="15" t="s">
        <v>52</v>
      </c>
      <c r="G1607" s="15" t="s">
        <v>57</v>
      </c>
      <c r="H1607" s="15" t="s">
        <v>45</v>
      </c>
      <c r="I1607">
        <v>20</v>
      </c>
      <c r="J1607">
        <v>40</v>
      </c>
      <c r="K1607">
        <v>40</v>
      </c>
      <c r="L1607">
        <v>60</v>
      </c>
      <c r="M1607">
        <v>39</v>
      </c>
      <c r="N1607">
        <v>541</v>
      </c>
      <c r="O1607">
        <v>51</v>
      </c>
      <c r="P1607">
        <v>12</v>
      </c>
      <c r="Q1607">
        <v>27</v>
      </c>
      <c r="R1607">
        <v>90</v>
      </c>
      <c r="S1607">
        <v>1.5</v>
      </c>
      <c r="T1607">
        <v>0.67500000000000004</v>
      </c>
      <c r="U1607">
        <v>1.95</v>
      </c>
    </row>
    <row r="1608" spans="1:21" x14ac:dyDescent="0.35">
      <c r="A1608">
        <v>815</v>
      </c>
      <c r="B1608" s="16">
        <v>40452</v>
      </c>
      <c r="C1608" s="15" t="s">
        <v>37</v>
      </c>
      <c r="D1608" s="15" t="s">
        <v>38</v>
      </c>
      <c r="E1608" s="15" t="s">
        <v>54</v>
      </c>
      <c r="F1608" s="15" t="s">
        <v>52</v>
      </c>
      <c r="G1608" s="15" t="s">
        <v>57</v>
      </c>
      <c r="H1608" s="15" t="s">
        <v>45</v>
      </c>
      <c r="I1608">
        <v>80</v>
      </c>
      <c r="J1608">
        <v>130</v>
      </c>
      <c r="K1608">
        <v>120</v>
      </c>
      <c r="L1608">
        <v>210</v>
      </c>
      <c r="M1608">
        <v>108</v>
      </c>
      <c r="N1608">
        <v>971</v>
      </c>
      <c r="O1608">
        <v>157</v>
      </c>
      <c r="P1608">
        <v>30</v>
      </c>
      <c r="Q1608">
        <v>116</v>
      </c>
      <c r="R1608">
        <v>265</v>
      </c>
      <c r="S1608">
        <v>1.2619047619047619</v>
      </c>
      <c r="T1608">
        <v>0.96666666666666667</v>
      </c>
      <c r="U1608">
        <v>1.35</v>
      </c>
    </row>
    <row r="1609" spans="1:21" x14ac:dyDescent="0.35">
      <c r="A1609">
        <v>217</v>
      </c>
      <c r="B1609" s="16">
        <v>40452</v>
      </c>
      <c r="C1609" s="15" t="s">
        <v>37</v>
      </c>
      <c r="D1609" s="15" t="s">
        <v>38</v>
      </c>
      <c r="E1609" s="15" t="s">
        <v>55</v>
      </c>
      <c r="F1609" s="15" t="s">
        <v>47</v>
      </c>
      <c r="G1609" s="15" t="s">
        <v>57</v>
      </c>
      <c r="H1609" s="15" t="s">
        <v>42</v>
      </c>
      <c r="I1609">
        <v>50</v>
      </c>
      <c r="J1609">
        <v>80</v>
      </c>
      <c r="K1609">
        <v>80</v>
      </c>
      <c r="L1609">
        <v>130</v>
      </c>
      <c r="M1609">
        <v>76</v>
      </c>
      <c r="N1609">
        <v>580</v>
      </c>
      <c r="O1609">
        <v>111</v>
      </c>
      <c r="P1609">
        <v>21</v>
      </c>
      <c r="Q1609">
        <v>78</v>
      </c>
      <c r="R1609">
        <v>187</v>
      </c>
      <c r="S1609">
        <v>1.4384615384615385</v>
      </c>
      <c r="T1609">
        <v>0.97499999999999998</v>
      </c>
      <c r="U1609">
        <v>1.52</v>
      </c>
    </row>
    <row r="1610" spans="1:21" x14ac:dyDescent="0.35">
      <c r="A1610">
        <v>847</v>
      </c>
      <c r="B1610" s="16">
        <v>40452</v>
      </c>
      <c r="C1610" s="15" t="s">
        <v>37</v>
      </c>
      <c r="D1610" s="15" t="s">
        <v>38</v>
      </c>
      <c r="E1610" s="15" t="s">
        <v>56</v>
      </c>
      <c r="F1610" s="15" t="s">
        <v>47</v>
      </c>
      <c r="G1610" s="15" t="s">
        <v>57</v>
      </c>
      <c r="H1610" s="15" t="s">
        <v>42</v>
      </c>
      <c r="I1610">
        <v>50</v>
      </c>
      <c r="J1610">
        <v>80</v>
      </c>
      <c r="K1610">
        <v>50</v>
      </c>
      <c r="L1610">
        <v>130</v>
      </c>
      <c r="M1610">
        <v>72</v>
      </c>
      <c r="N1610">
        <v>650</v>
      </c>
      <c r="O1610">
        <v>110</v>
      </c>
      <c r="P1610">
        <v>23</v>
      </c>
      <c r="Q1610">
        <v>55</v>
      </c>
      <c r="R1610">
        <v>182</v>
      </c>
      <c r="S1610">
        <v>1.4</v>
      </c>
      <c r="T1610">
        <v>1.1000000000000001</v>
      </c>
      <c r="U1610">
        <v>1.44</v>
      </c>
    </row>
    <row r="1611" spans="1:21" x14ac:dyDescent="0.35">
      <c r="A1611">
        <v>312</v>
      </c>
      <c r="B1611" s="16">
        <v>40452</v>
      </c>
      <c r="C1611" s="15" t="s">
        <v>37</v>
      </c>
      <c r="D1611" s="15" t="s">
        <v>38</v>
      </c>
      <c r="E1611" s="15" t="s">
        <v>50</v>
      </c>
      <c r="F1611" s="15" t="s">
        <v>49</v>
      </c>
      <c r="G1611" s="15" t="s">
        <v>57</v>
      </c>
      <c r="H1611" s="15" t="s">
        <v>45</v>
      </c>
      <c r="I1611">
        <v>340</v>
      </c>
      <c r="J1611">
        <v>370</v>
      </c>
      <c r="K1611">
        <v>300</v>
      </c>
      <c r="L1611">
        <v>710</v>
      </c>
      <c r="M1611">
        <v>239</v>
      </c>
      <c r="N1611">
        <v>1755</v>
      </c>
      <c r="O1611">
        <v>239</v>
      </c>
      <c r="P1611">
        <v>66</v>
      </c>
      <c r="Q1611">
        <v>149</v>
      </c>
      <c r="R1611">
        <v>478</v>
      </c>
      <c r="S1611">
        <v>0.6732394366197183</v>
      </c>
      <c r="T1611">
        <v>0.49666666666666665</v>
      </c>
      <c r="U1611">
        <v>0.70294117647058818</v>
      </c>
    </row>
    <row r="1612" spans="1:21" x14ac:dyDescent="0.35">
      <c r="A1612">
        <v>815</v>
      </c>
      <c r="B1612" s="16">
        <v>40452</v>
      </c>
      <c r="C1612" s="15" t="s">
        <v>37</v>
      </c>
      <c r="D1612" s="15" t="s">
        <v>38</v>
      </c>
      <c r="E1612" s="15" t="s">
        <v>48</v>
      </c>
      <c r="F1612" s="15" t="s">
        <v>49</v>
      </c>
      <c r="G1612" s="15" t="s">
        <v>57</v>
      </c>
      <c r="H1612" s="15" t="s">
        <v>42</v>
      </c>
      <c r="I1612">
        <v>370</v>
      </c>
      <c r="J1612">
        <v>520</v>
      </c>
      <c r="K1612">
        <v>420</v>
      </c>
      <c r="L1612">
        <v>890</v>
      </c>
      <c r="M1612">
        <v>257</v>
      </c>
      <c r="N1612">
        <v>1662</v>
      </c>
      <c r="O1612">
        <v>341</v>
      </c>
      <c r="P1612">
        <v>84</v>
      </c>
      <c r="Q1612">
        <v>224</v>
      </c>
      <c r="R1612">
        <v>598</v>
      </c>
      <c r="S1612">
        <v>0.67191011235955056</v>
      </c>
      <c r="T1612">
        <v>0.53333333333333333</v>
      </c>
      <c r="U1612">
        <v>0.69459459459459461</v>
      </c>
    </row>
    <row r="1613" spans="1:21" x14ac:dyDescent="0.35">
      <c r="A1613">
        <v>815</v>
      </c>
      <c r="B1613" s="16">
        <v>40452</v>
      </c>
      <c r="C1613" s="15" t="s">
        <v>37</v>
      </c>
      <c r="D1613" s="15" t="s">
        <v>38</v>
      </c>
      <c r="E1613" s="15" t="s">
        <v>44</v>
      </c>
      <c r="F1613" s="15" t="s">
        <v>40</v>
      </c>
      <c r="G1613" s="15" t="s">
        <v>57</v>
      </c>
      <c r="H1613" s="15" t="s">
        <v>45</v>
      </c>
      <c r="I1613">
        <v>110</v>
      </c>
      <c r="J1613">
        <v>190</v>
      </c>
      <c r="K1613">
        <v>160</v>
      </c>
      <c r="L1613">
        <v>300</v>
      </c>
      <c r="M1613">
        <v>122</v>
      </c>
      <c r="N1613">
        <v>789</v>
      </c>
      <c r="O1613">
        <v>176</v>
      </c>
      <c r="P1613">
        <v>39</v>
      </c>
      <c r="Q1613">
        <v>115</v>
      </c>
      <c r="R1613">
        <v>298</v>
      </c>
      <c r="S1613">
        <v>0.99333333333333329</v>
      </c>
      <c r="T1613">
        <v>0.71875</v>
      </c>
      <c r="U1613">
        <v>1.1090909090909091</v>
      </c>
    </row>
    <row r="1614" spans="1:21" x14ac:dyDescent="0.35">
      <c r="A1614">
        <v>815</v>
      </c>
      <c r="B1614" s="16">
        <v>40452</v>
      </c>
      <c r="C1614" s="15" t="s">
        <v>37</v>
      </c>
      <c r="D1614" s="15" t="s">
        <v>38</v>
      </c>
      <c r="E1614" s="15" t="s">
        <v>43</v>
      </c>
      <c r="F1614" s="15" t="s">
        <v>40</v>
      </c>
      <c r="G1614" s="15" t="s">
        <v>57</v>
      </c>
      <c r="H1614" s="15" t="s">
        <v>42</v>
      </c>
      <c r="I1614">
        <v>150</v>
      </c>
      <c r="J1614">
        <v>220</v>
      </c>
      <c r="K1614">
        <v>160</v>
      </c>
      <c r="L1614">
        <v>370</v>
      </c>
      <c r="M1614">
        <v>154</v>
      </c>
      <c r="N1614">
        <v>1132</v>
      </c>
      <c r="O1614">
        <v>213</v>
      </c>
      <c r="P1614">
        <v>50</v>
      </c>
      <c r="Q1614">
        <v>120</v>
      </c>
      <c r="R1614">
        <v>367</v>
      </c>
      <c r="S1614">
        <v>0.99189189189189186</v>
      </c>
      <c r="T1614">
        <v>0.75</v>
      </c>
      <c r="U1614">
        <v>1.0266666666666666</v>
      </c>
    </row>
    <row r="1615" spans="1:21" x14ac:dyDescent="0.35">
      <c r="A1615">
        <v>712</v>
      </c>
      <c r="B1615" s="16">
        <v>40452</v>
      </c>
      <c r="C1615" s="15" t="s">
        <v>37</v>
      </c>
      <c r="D1615" s="15" t="s">
        <v>58</v>
      </c>
      <c r="E1615" s="15" t="s">
        <v>51</v>
      </c>
      <c r="F1615" s="15" t="s">
        <v>52</v>
      </c>
      <c r="G1615" s="15" t="s">
        <v>59</v>
      </c>
      <c r="H1615" s="15" t="s">
        <v>45</v>
      </c>
      <c r="I1615">
        <v>200</v>
      </c>
      <c r="J1615">
        <v>280</v>
      </c>
      <c r="K1615">
        <v>210</v>
      </c>
      <c r="L1615">
        <v>480</v>
      </c>
      <c r="M1615">
        <v>257</v>
      </c>
      <c r="N1615">
        <v>1662</v>
      </c>
      <c r="O1615">
        <v>341</v>
      </c>
      <c r="P1615">
        <v>84</v>
      </c>
      <c r="Q1615">
        <v>224</v>
      </c>
      <c r="R1615">
        <v>598</v>
      </c>
      <c r="S1615">
        <v>1.2458333333333333</v>
      </c>
      <c r="T1615">
        <v>1.0666666666666667</v>
      </c>
      <c r="U1615">
        <v>1.2849999999999999</v>
      </c>
    </row>
    <row r="1616" spans="1:21" x14ac:dyDescent="0.35">
      <c r="A1616">
        <v>641</v>
      </c>
      <c r="B1616" s="16">
        <v>40452</v>
      </c>
      <c r="C1616" s="15" t="s">
        <v>37</v>
      </c>
      <c r="D1616" s="15" t="s">
        <v>58</v>
      </c>
      <c r="E1616" s="15" t="s">
        <v>53</v>
      </c>
      <c r="F1616" s="15" t="s">
        <v>52</v>
      </c>
      <c r="G1616" s="15" t="s">
        <v>59</v>
      </c>
      <c r="H1616" s="15" t="s">
        <v>45</v>
      </c>
      <c r="I1616">
        <v>90</v>
      </c>
      <c r="J1616">
        <v>150</v>
      </c>
      <c r="K1616">
        <v>130</v>
      </c>
      <c r="L1616">
        <v>240</v>
      </c>
      <c r="M1616">
        <v>122</v>
      </c>
      <c r="N1616">
        <v>789</v>
      </c>
      <c r="O1616">
        <v>176</v>
      </c>
      <c r="P1616">
        <v>39</v>
      </c>
      <c r="Q1616">
        <v>114</v>
      </c>
      <c r="R1616">
        <v>298</v>
      </c>
      <c r="S1616">
        <v>1.2416666666666667</v>
      </c>
      <c r="T1616">
        <v>0.87692307692307692</v>
      </c>
      <c r="U1616">
        <v>1.3555555555555556</v>
      </c>
    </row>
    <row r="1617" spans="1:21" x14ac:dyDescent="0.35">
      <c r="A1617">
        <v>563</v>
      </c>
      <c r="B1617" s="16">
        <v>40452</v>
      </c>
      <c r="C1617" s="15" t="s">
        <v>37</v>
      </c>
      <c r="D1617" s="15" t="s">
        <v>58</v>
      </c>
      <c r="E1617" s="15" t="s">
        <v>55</v>
      </c>
      <c r="F1617" s="15" t="s">
        <v>47</v>
      </c>
      <c r="G1617" s="15" t="s">
        <v>59</v>
      </c>
      <c r="H1617" s="15" t="s">
        <v>42</v>
      </c>
      <c r="I1617">
        <v>170</v>
      </c>
      <c r="J1617">
        <v>170</v>
      </c>
      <c r="K1617">
        <v>110</v>
      </c>
      <c r="L1617">
        <v>340</v>
      </c>
      <c r="M1617">
        <v>239</v>
      </c>
      <c r="N1617">
        <v>1755</v>
      </c>
      <c r="O1617">
        <v>239</v>
      </c>
      <c r="P1617">
        <v>66</v>
      </c>
      <c r="Q1617">
        <v>149</v>
      </c>
      <c r="R1617">
        <v>478</v>
      </c>
      <c r="S1617">
        <v>1.4058823529411764</v>
      </c>
      <c r="T1617">
        <v>1.3545454545454545</v>
      </c>
      <c r="U1617">
        <v>1.4058823529411764</v>
      </c>
    </row>
    <row r="1618" spans="1:21" x14ac:dyDescent="0.35">
      <c r="A1618">
        <v>563</v>
      </c>
      <c r="B1618" s="16">
        <v>40452</v>
      </c>
      <c r="C1618" s="15" t="s">
        <v>37</v>
      </c>
      <c r="D1618" s="15" t="s">
        <v>58</v>
      </c>
      <c r="E1618" s="15" t="s">
        <v>56</v>
      </c>
      <c r="F1618" s="15" t="s">
        <v>47</v>
      </c>
      <c r="G1618" s="15" t="s">
        <v>59</v>
      </c>
      <c r="H1618" s="15" t="s">
        <v>42</v>
      </c>
      <c r="I1618">
        <v>170</v>
      </c>
      <c r="J1618">
        <v>230</v>
      </c>
      <c r="K1618">
        <v>130</v>
      </c>
      <c r="L1618">
        <v>400</v>
      </c>
      <c r="M1618">
        <v>255</v>
      </c>
      <c r="N1618">
        <v>1756</v>
      </c>
      <c r="O1618">
        <v>312</v>
      </c>
      <c r="P1618">
        <v>96</v>
      </c>
      <c r="Q1618">
        <v>183</v>
      </c>
      <c r="R1618">
        <v>567</v>
      </c>
      <c r="S1618">
        <v>1.4175</v>
      </c>
      <c r="T1618">
        <v>1.4076923076923078</v>
      </c>
      <c r="U1618">
        <v>1.5</v>
      </c>
    </row>
    <row r="1619" spans="1:21" x14ac:dyDescent="0.35">
      <c r="A1619">
        <v>319</v>
      </c>
      <c r="B1619" s="16">
        <v>40452</v>
      </c>
      <c r="C1619" s="15" t="s">
        <v>37</v>
      </c>
      <c r="D1619" s="15" t="s">
        <v>58</v>
      </c>
      <c r="E1619" s="15" t="s">
        <v>48</v>
      </c>
      <c r="F1619" s="15" t="s">
        <v>49</v>
      </c>
      <c r="G1619" s="15" t="s">
        <v>59</v>
      </c>
      <c r="H1619" s="15" t="s">
        <v>42</v>
      </c>
      <c r="I1619">
        <v>20</v>
      </c>
      <c r="J1619">
        <v>50</v>
      </c>
      <c r="K1619">
        <v>50</v>
      </c>
      <c r="L1619">
        <v>70</v>
      </c>
      <c r="M1619">
        <v>23</v>
      </c>
      <c r="N1619">
        <v>800</v>
      </c>
      <c r="O1619">
        <v>35</v>
      </c>
      <c r="P1619">
        <v>6</v>
      </c>
      <c r="Q1619">
        <v>18</v>
      </c>
      <c r="R1619">
        <v>58</v>
      </c>
      <c r="S1619">
        <v>0.82857142857142863</v>
      </c>
      <c r="T1619">
        <v>0.36</v>
      </c>
      <c r="U1619">
        <v>1.1499999999999999</v>
      </c>
    </row>
    <row r="1620" spans="1:21" x14ac:dyDescent="0.35">
      <c r="A1620">
        <v>712</v>
      </c>
      <c r="B1620" s="16">
        <v>40452</v>
      </c>
      <c r="C1620" s="15" t="s">
        <v>37</v>
      </c>
      <c r="D1620" s="15" t="s">
        <v>58</v>
      </c>
      <c r="E1620" s="15" t="s">
        <v>50</v>
      </c>
      <c r="F1620" s="15" t="s">
        <v>49</v>
      </c>
      <c r="G1620" s="15" t="s">
        <v>59</v>
      </c>
      <c r="H1620" s="15" t="s">
        <v>45</v>
      </c>
      <c r="I1620">
        <v>0</v>
      </c>
      <c r="J1620">
        <v>60</v>
      </c>
      <c r="K1620">
        <v>60</v>
      </c>
      <c r="L1620">
        <v>60</v>
      </c>
      <c r="M1620">
        <v>0</v>
      </c>
      <c r="N1620">
        <v>430</v>
      </c>
      <c r="O1620">
        <v>43</v>
      </c>
      <c r="P1620">
        <v>0</v>
      </c>
      <c r="Q1620">
        <v>31</v>
      </c>
      <c r="R1620">
        <v>43</v>
      </c>
      <c r="S1620">
        <v>0.71666666666666667</v>
      </c>
      <c r="T1620">
        <v>0.51666666666666672</v>
      </c>
    </row>
    <row r="1621" spans="1:21" x14ac:dyDescent="0.35">
      <c r="A1621">
        <v>641</v>
      </c>
      <c r="B1621" s="16">
        <v>40452</v>
      </c>
      <c r="C1621" s="15" t="s">
        <v>37</v>
      </c>
      <c r="D1621" s="15" t="s">
        <v>58</v>
      </c>
      <c r="E1621" s="15" t="s">
        <v>44</v>
      </c>
      <c r="F1621" s="15" t="s">
        <v>40</v>
      </c>
      <c r="G1621" s="15" t="s">
        <v>59</v>
      </c>
      <c r="H1621" s="15" t="s">
        <v>45</v>
      </c>
      <c r="I1621">
        <v>0</v>
      </c>
      <c r="J1621">
        <v>10</v>
      </c>
      <c r="K1621">
        <v>10</v>
      </c>
      <c r="L1621">
        <v>10</v>
      </c>
      <c r="M1621">
        <v>10</v>
      </c>
      <c r="N1621">
        <v>598</v>
      </c>
      <c r="O1621">
        <v>13</v>
      </c>
      <c r="P1621">
        <v>3</v>
      </c>
      <c r="Q1621">
        <v>-2</v>
      </c>
      <c r="R1621">
        <v>23</v>
      </c>
      <c r="S1621">
        <v>2.2999999999999998</v>
      </c>
      <c r="T1621">
        <v>-0.2</v>
      </c>
    </row>
    <row r="1622" spans="1:21" x14ac:dyDescent="0.35">
      <c r="A1622">
        <v>563</v>
      </c>
      <c r="B1622" s="16">
        <v>40452</v>
      </c>
      <c r="C1622" s="15" t="s">
        <v>37</v>
      </c>
      <c r="D1622" s="15" t="s">
        <v>58</v>
      </c>
      <c r="E1622" s="15" t="s">
        <v>39</v>
      </c>
      <c r="F1622" s="15" t="s">
        <v>40</v>
      </c>
      <c r="G1622" s="15" t="s">
        <v>59</v>
      </c>
      <c r="H1622" s="15" t="s">
        <v>42</v>
      </c>
      <c r="I1622">
        <v>10</v>
      </c>
      <c r="J1622">
        <v>30</v>
      </c>
      <c r="K1622">
        <v>30</v>
      </c>
      <c r="L1622">
        <v>40</v>
      </c>
      <c r="M1622">
        <v>21</v>
      </c>
      <c r="N1622">
        <v>846</v>
      </c>
      <c r="O1622">
        <v>31</v>
      </c>
      <c r="P1622">
        <v>5</v>
      </c>
      <c r="Q1622">
        <v>15</v>
      </c>
      <c r="R1622">
        <v>52</v>
      </c>
      <c r="S1622">
        <v>1.3</v>
      </c>
      <c r="T1622">
        <v>0.5</v>
      </c>
      <c r="U1622">
        <v>2.1</v>
      </c>
    </row>
    <row r="1623" spans="1:21" x14ac:dyDescent="0.35">
      <c r="A1623">
        <v>515</v>
      </c>
      <c r="B1623" s="16">
        <v>40452</v>
      </c>
      <c r="C1623" s="15" t="s">
        <v>37</v>
      </c>
      <c r="D1623" s="15" t="s">
        <v>58</v>
      </c>
      <c r="E1623" s="15" t="s">
        <v>43</v>
      </c>
      <c r="F1623" s="15" t="s">
        <v>40</v>
      </c>
      <c r="G1623" s="15" t="s">
        <v>59</v>
      </c>
      <c r="H1623" s="15" t="s">
        <v>42</v>
      </c>
      <c r="I1623">
        <v>20</v>
      </c>
      <c r="J1623">
        <v>40</v>
      </c>
      <c r="K1623">
        <v>30</v>
      </c>
      <c r="L1623">
        <v>60</v>
      </c>
      <c r="M1623">
        <v>31</v>
      </c>
      <c r="N1623">
        <v>1000</v>
      </c>
      <c r="O1623">
        <v>37</v>
      </c>
      <c r="P1623">
        <v>9</v>
      </c>
      <c r="Q1623">
        <v>7</v>
      </c>
      <c r="R1623">
        <v>68</v>
      </c>
      <c r="S1623">
        <v>1.1333333333333333</v>
      </c>
      <c r="T1623">
        <v>0.23333333333333334</v>
      </c>
      <c r="U1623">
        <v>1.55</v>
      </c>
    </row>
    <row r="1624" spans="1:21" x14ac:dyDescent="0.35">
      <c r="A1624">
        <v>314</v>
      </c>
      <c r="B1624" s="16">
        <v>40452</v>
      </c>
      <c r="C1624" s="15" t="s">
        <v>37</v>
      </c>
      <c r="D1624" s="15" t="s">
        <v>58</v>
      </c>
      <c r="E1624" s="15" t="s">
        <v>46</v>
      </c>
      <c r="F1624" s="15" t="s">
        <v>47</v>
      </c>
      <c r="G1624" s="15" t="s">
        <v>60</v>
      </c>
      <c r="H1624" s="15" t="s">
        <v>42</v>
      </c>
      <c r="I1624">
        <v>10</v>
      </c>
      <c r="J1624">
        <v>30</v>
      </c>
      <c r="K1624">
        <v>10</v>
      </c>
      <c r="L1624">
        <v>40</v>
      </c>
      <c r="M1624">
        <v>34</v>
      </c>
      <c r="N1624">
        <v>240</v>
      </c>
      <c r="O1624">
        <v>43</v>
      </c>
      <c r="P1624">
        <v>12</v>
      </c>
      <c r="Q1624">
        <v>-3</v>
      </c>
      <c r="R1624">
        <v>77</v>
      </c>
      <c r="S1624">
        <v>1.925</v>
      </c>
      <c r="T1624">
        <v>-0.3</v>
      </c>
      <c r="U1624">
        <v>3.4</v>
      </c>
    </row>
    <row r="1625" spans="1:21" x14ac:dyDescent="0.35">
      <c r="A1625">
        <v>573</v>
      </c>
      <c r="B1625" s="16">
        <v>40452</v>
      </c>
      <c r="C1625" s="15" t="s">
        <v>37</v>
      </c>
      <c r="D1625" s="15" t="s">
        <v>58</v>
      </c>
      <c r="E1625" s="15" t="s">
        <v>51</v>
      </c>
      <c r="F1625" s="15" t="s">
        <v>52</v>
      </c>
      <c r="G1625" s="15" t="s">
        <v>60</v>
      </c>
      <c r="H1625" s="15" t="s">
        <v>45</v>
      </c>
      <c r="I1625">
        <v>20</v>
      </c>
      <c r="J1625">
        <v>60</v>
      </c>
      <c r="K1625">
        <v>30</v>
      </c>
      <c r="L1625">
        <v>80</v>
      </c>
      <c r="M1625">
        <v>45</v>
      </c>
      <c r="N1625">
        <v>320</v>
      </c>
      <c r="O1625">
        <v>64</v>
      </c>
      <c r="P1625">
        <v>41</v>
      </c>
      <c r="Q1625">
        <v>-6</v>
      </c>
      <c r="R1625">
        <v>109</v>
      </c>
      <c r="S1625">
        <v>1.3625</v>
      </c>
      <c r="T1625">
        <v>-0.2</v>
      </c>
      <c r="U1625">
        <v>2.25</v>
      </c>
    </row>
    <row r="1626" spans="1:21" x14ac:dyDescent="0.35">
      <c r="A1626">
        <v>573</v>
      </c>
      <c r="B1626" s="16">
        <v>40452</v>
      </c>
      <c r="C1626" s="15" t="s">
        <v>37</v>
      </c>
      <c r="D1626" s="15" t="s">
        <v>58</v>
      </c>
      <c r="E1626" s="15" t="s">
        <v>53</v>
      </c>
      <c r="F1626" s="15" t="s">
        <v>52</v>
      </c>
      <c r="G1626" s="15" t="s">
        <v>60</v>
      </c>
      <c r="H1626" s="15" t="s">
        <v>45</v>
      </c>
      <c r="I1626">
        <v>60</v>
      </c>
      <c r="J1626">
        <v>20</v>
      </c>
      <c r="K1626">
        <v>10</v>
      </c>
      <c r="L1626">
        <v>80</v>
      </c>
      <c r="M1626">
        <v>86</v>
      </c>
      <c r="N1626">
        <v>1698</v>
      </c>
      <c r="O1626">
        <v>23</v>
      </c>
      <c r="P1626">
        <v>26</v>
      </c>
      <c r="Q1626">
        <v>-26</v>
      </c>
      <c r="R1626">
        <v>109</v>
      </c>
      <c r="S1626">
        <v>1.3625</v>
      </c>
      <c r="T1626">
        <v>-2.6</v>
      </c>
      <c r="U1626">
        <v>1.4333333333333333</v>
      </c>
    </row>
    <row r="1627" spans="1:21" x14ac:dyDescent="0.35">
      <c r="A1627">
        <v>636</v>
      </c>
      <c r="B1627" s="16">
        <v>40452</v>
      </c>
      <c r="C1627" s="15" t="s">
        <v>37</v>
      </c>
      <c r="D1627" s="15" t="s">
        <v>58</v>
      </c>
      <c r="E1627" s="15" t="s">
        <v>55</v>
      </c>
      <c r="F1627" s="15" t="s">
        <v>47</v>
      </c>
      <c r="G1627" s="15" t="s">
        <v>60</v>
      </c>
      <c r="H1627" s="15" t="s">
        <v>42</v>
      </c>
      <c r="I1627">
        <v>20</v>
      </c>
      <c r="J1627">
        <v>40</v>
      </c>
      <c r="K1627">
        <v>30</v>
      </c>
      <c r="L1627">
        <v>60</v>
      </c>
      <c r="M1627">
        <v>39</v>
      </c>
      <c r="N1627">
        <v>244</v>
      </c>
      <c r="O1627">
        <v>53</v>
      </c>
      <c r="P1627">
        <v>12</v>
      </c>
      <c r="Q1627">
        <v>13</v>
      </c>
      <c r="R1627">
        <v>92</v>
      </c>
      <c r="S1627">
        <v>1.5333333333333334</v>
      </c>
      <c r="T1627">
        <v>0.43333333333333335</v>
      </c>
      <c r="U1627">
        <v>1.95</v>
      </c>
    </row>
    <row r="1628" spans="1:21" x14ac:dyDescent="0.35">
      <c r="A1628">
        <v>417</v>
      </c>
      <c r="B1628" s="16">
        <v>40452</v>
      </c>
      <c r="C1628" s="15" t="s">
        <v>37</v>
      </c>
      <c r="D1628" s="15" t="s">
        <v>58</v>
      </c>
      <c r="E1628" s="15" t="s">
        <v>56</v>
      </c>
      <c r="F1628" s="15" t="s">
        <v>47</v>
      </c>
      <c r="G1628" s="15" t="s">
        <v>60</v>
      </c>
      <c r="H1628" s="15" t="s">
        <v>42</v>
      </c>
      <c r="I1628">
        <v>10</v>
      </c>
      <c r="J1628">
        <v>20</v>
      </c>
      <c r="K1628">
        <v>0</v>
      </c>
      <c r="L1628">
        <v>30</v>
      </c>
      <c r="M1628">
        <v>25</v>
      </c>
      <c r="N1628">
        <v>209</v>
      </c>
      <c r="O1628">
        <v>31</v>
      </c>
      <c r="P1628">
        <v>9</v>
      </c>
      <c r="Q1628">
        <v>-11</v>
      </c>
      <c r="R1628">
        <v>56</v>
      </c>
      <c r="S1628">
        <v>1.8666666666666667</v>
      </c>
      <c r="U1628">
        <v>2.5</v>
      </c>
    </row>
    <row r="1629" spans="1:21" x14ac:dyDescent="0.35">
      <c r="A1629">
        <v>314</v>
      </c>
      <c r="B1629" s="16">
        <v>40452</v>
      </c>
      <c r="C1629" s="15" t="s">
        <v>37</v>
      </c>
      <c r="D1629" s="15" t="s">
        <v>58</v>
      </c>
      <c r="E1629" s="15" t="s">
        <v>48</v>
      </c>
      <c r="F1629" s="15" t="s">
        <v>49</v>
      </c>
      <c r="G1629" s="15" t="s">
        <v>60</v>
      </c>
      <c r="H1629" s="15" t="s">
        <v>42</v>
      </c>
      <c r="I1629">
        <v>50</v>
      </c>
      <c r="J1629">
        <v>90</v>
      </c>
      <c r="K1629">
        <v>90</v>
      </c>
      <c r="L1629">
        <v>140</v>
      </c>
      <c r="M1629">
        <v>40</v>
      </c>
      <c r="N1629">
        <v>881</v>
      </c>
      <c r="O1629">
        <v>59</v>
      </c>
      <c r="P1629">
        <v>11</v>
      </c>
      <c r="Q1629">
        <v>36</v>
      </c>
      <c r="R1629">
        <v>99</v>
      </c>
      <c r="S1629">
        <v>0.70714285714285718</v>
      </c>
      <c r="T1629">
        <v>0.4</v>
      </c>
      <c r="U1629">
        <v>0.8</v>
      </c>
    </row>
    <row r="1630" spans="1:21" x14ac:dyDescent="0.35">
      <c r="A1630">
        <v>660</v>
      </c>
      <c r="B1630" s="16">
        <v>40452</v>
      </c>
      <c r="C1630" s="15" t="s">
        <v>37</v>
      </c>
      <c r="D1630" s="15" t="s">
        <v>58</v>
      </c>
      <c r="E1630" s="15" t="s">
        <v>50</v>
      </c>
      <c r="F1630" s="15" t="s">
        <v>49</v>
      </c>
      <c r="G1630" s="15" t="s">
        <v>60</v>
      </c>
      <c r="H1630" s="15" t="s">
        <v>45</v>
      </c>
      <c r="I1630">
        <v>30</v>
      </c>
      <c r="J1630">
        <v>80</v>
      </c>
      <c r="K1630">
        <v>80</v>
      </c>
      <c r="L1630">
        <v>110</v>
      </c>
      <c r="M1630">
        <v>32</v>
      </c>
      <c r="N1630">
        <v>833</v>
      </c>
      <c r="O1630">
        <v>47</v>
      </c>
      <c r="P1630">
        <v>8</v>
      </c>
      <c r="Q1630">
        <v>28</v>
      </c>
      <c r="R1630">
        <v>79</v>
      </c>
      <c r="S1630">
        <v>0.71818181818181814</v>
      </c>
      <c r="T1630">
        <v>0.35</v>
      </c>
      <c r="U1630">
        <v>1.0666666666666667</v>
      </c>
    </row>
    <row r="1631" spans="1:21" x14ac:dyDescent="0.35">
      <c r="A1631">
        <v>660</v>
      </c>
      <c r="B1631" s="16">
        <v>40452</v>
      </c>
      <c r="C1631" s="15" t="s">
        <v>37</v>
      </c>
      <c r="D1631" s="15" t="s">
        <v>58</v>
      </c>
      <c r="E1631" s="15" t="s">
        <v>44</v>
      </c>
      <c r="F1631" s="15" t="s">
        <v>40</v>
      </c>
      <c r="G1631" s="15" t="s">
        <v>60</v>
      </c>
      <c r="H1631" s="15" t="s">
        <v>45</v>
      </c>
      <c r="I1631">
        <v>50</v>
      </c>
      <c r="J1631">
        <v>80</v>
      </c>
      <c r="K1631">
        <v>70</v>
      </c>
      <c r="L1631">
        <v>130</v>
      </c>
      <c r="M1631">
        <v>65</v>
      </c>
      <c r="N1631">
        <v>1053</v>
      </c>
      <c r="O1631">
        <v>77</v>
      </c>
      <c r="P1631">
        <v>20</v>
      </c>
      <c r="Q1631">
        <v>35</v>
      </c>
      <c r="R1631">
        <v>142</v>
      </c>
      <c r="S1631">
        <v>1.0923076923076922</v>
      </c>
      <c r="T1631">
        <v>0.5</v>
      </c>
      <c r="U1631">
        <v>1.3</v>
      </c>
    </row>
    <row r="1632" spans="1:21" x14ac:dyDescent="0.35">
      <c r="A1632">
        <v>816</v>
      </c>
      <c r="B1632" s="16">
        <v>40452</v>
      </c>
      <c r="C1632" s="15" t="s">
        <v>37</v>
      </c>
      <c r="D1632" s="15" t="s">
        <v>58</v>
      </c>
      <c r="E1632" s="15" t="s">
        <v>43</v>
      </c>
      <c r="F1632" s="15" t="s">
        <v>40</v>
      </c>
      <c r="G1632" s="15" t="s">
        <v>60</v>
      </c>
      <c r="H1632" s="15" t="s">
        <v>42</v>
      </c>
      <c r="I1632">
        <v>70</v>
      </c>
      <c r="J1632">
        <v>100</v>
      </c>
      <c r="K1632">
        <v>70</v>
      </c>
      <c r="L1632">
        <v>170</v>
      </c>
      <c r="M1632">
        <v>79</v>
      </c>
      <c r="N1632">
        <v>593</v>
      </c>
      <c r="O1632">
        <v>98</v>
      </c>
      <c r="P1632">
        <v>30</v>
      </c>
      <c r="Q1632">
        <v>35</v>
      </c>
      <c r="R1632">
        <v>177</v>
      </c>
      <c r="S1632">
        <v>1.0411764705882354</v>
      </c>
      <c r="T1632">
        <v>0.5</v>
      </c>
      <c r="U1632">
        <v>1.1285714285714286</v>
      </c>
    </row>
    <row r="1633" spans="1:21" x14ac:dyDescent="0.35">
      <c r="A1633">
        <v>234</v>
      </c>
      <c r="B1633" s="16">
        <v>40452</v>
      </c>
      <c r="C1633" s="15" t="s">
        <v>37</v>
      </c>
      <c r="D1633" s="15" t="s">
        <v>38</v>
      </c>
      <c r="E1633" s="15" t="s">
        <v>55</v>
      </c>
      <c r="F1633" s="15" t="s">
        <v>47</v>
      </c>
      <c r="G1633" s="15" t="s">
        <v>61</v>
      </c>
      <c r="H1633" s="15" t="s">
        <v>42</v>
      </c>
      <c r="I1633">
        <v>50</v>
      </c>
      <c r="J1633">
        <v>90</v>
      </c>
      <c r="K1633">
        <v>60</v>
      </c>
      <c r="L1633">
        <v>140</v>
      </c>
      <c r="M1633">
        <v>82</v>
      </c>
      <c r="N1633">
        <v>788</v>
      </c>
      <c r="O1633">
        <v>123</v>
      </c>
      <c r="P1633">
        <v>27</v>
      </c>
      <c r="Q1633">
        <v>65</v>
      </c>
      <c r="R1633">
        <v>205</v>
      </c>
      <c r="S1633">
        <v>1.4642857142857142</v>
      </c>
      <c r="T1633">
        <v>1.0833333333333333</v>
      </c>
      <c r="U1633">
        <v>1.64</v>
      </c>
    </row>
    <row r="1634" spans="1:21" x14ac:dyDescent="0.35">
      <c r="A1634">
        <v>614</v>
      </c>
      <c r="B1634" s="16">
        <v>40452</v>
      </c>
      <c r="C1634" s="15" t="s">
        <v>37</v>
      </c>
      <c r="D1634" s="15" t="s">
        <v>38</v>
      </c>
      <c r="E1634" s="15" t="s">
        <v>56</v>
      </c>
      <c r="F1634" s="15" t="s">
        <v>47</v>
      </c>
      <c r="G1634" s="15" t="s">
        <v>61</v>
      </c>
      <c r="H1634" s="15" t="s">
        <v>42</v>
      </c>
      <c r="I1634">
        <v>50</v>
      </c>
      <c r="J1634">
        <v>100</v>
      </c>
      <c r="K1634">
        <v>80</v>
      </c>
      <c r="L1634">
        <v>150</v>
      </c>
      <c r="M1634">
        <v>91</v>
      </c>
      <c r="N1634">
        <v>656</v>
      </c>
      <c r="O1634">
        <v>127</v>
      </c>
      <c r="P1634">
        <v>28</v>
      </c>
      <c r="Q1634">
        <v>76</v>
      </c>
      <c r="R1634">
        <v>218</v>
      </c>
      <c r="S1634">
        <v>1.4533333333333334</v>
      </c>
      <c r="T1634">
        <v>0.95</v>
      </c>
      <c r="U1634">
        <v>1.82</v>
      </c>
    </row>
    <row r="1635" spans="1:21" x14ac:dyDescent="0.35">
      <c r="A1635">
        <v>937</v>
      </c>
      <c r="B1635" s="16">
        <v>40452</v>
      </c>
      <c r="C1635" s="15" t="s">
        <v>37</v>
      </c>
      <c r="D1635" s="15" t="s">
        <v>38</v>
      </c>
      <c r="E1635" s="15" t="s">
        <v>51</v>
      </c>
      <c r="F1635" s="15" t="s">
        <v>52</v>
      </c>
      <c r="G1635" s="15" t="s">
        <v>61</v>
      </c>
      <c r="H1635" s="15" t="s">
        <v>45</v>
      </c>
      <c r="I1635">
        <v>0</v>
      </c>
      <c r="J1635">
        <v>30</v>
      </c>
      <c r="K1635">
        <v>30</v>
      </c>
      <c r="L1635">
        <v>30</v>
      </c>
      <c r="M1635">
        <v>21</v>
      </c>
      <c r="N1635">
        <v>480</v>
      </c>
      <c r="O1635">
        <v>32</v>
      </c>
      <c r="P1635">
        <v>5</v>
      </c>
      <c r="Q1635">
        <v>16</v>
      </c>
      <c r="R1635">
        <v>53</v>
      </c>
      <c r="S1635">
        <v>1.7666666666666666</v>
      </c>
      <c r="T1635">
        <v>0.53333333333333333</v>
      </c>
    </row>
    <row r="1636" spans="1:21" x14ac:dyDescent="0.35">
      <c r="A1636">
        <v>513</v>
      </c>
      <c r="B1636" s="16">
        <v>40452</v>
      </c>
      <c r="C1636" s="15" t="s">
        <v>37</v>
      </c>
      <c r="D1636" s="15" t="s">
        <v>38</v>
      </c>
      <c r="E1636" s="15" t="s">
        <v>53</v>
      </c>
      <c r="F1636" s="15" t="s">
        <v>52</v>
      </c>
      <c r="G1636" s="15" t="s">
        <v>61</v>
      </c>
      <c r="H1636" s="15" t="s">
        <v>45</v>
      </c>
      <c r="I1636">
        <v>10</v>
      </c>
      <c r="J1636">
        <v>30</v>
      </c>
      <c r="K1636">
        <v>30</v>
      </c>
      <c r="L1636">
        <v>40</v>
      </c>
      <c r="M1636">
        <v>27</v>
      </c>
      <c r="N1636">
        <v>859</v>
      </c>
      <c r="O1636">
        <v>39</v>
      </c>
      <c r="P1636">
        <v>7</v>
      </c>
      <c r="Q1636">
        <v>20</v>
      </c>
      <c r="R1636">
        <v>66</v>
      </c>
      <c r="S1636">
        <v>1.65</v>
      </c>
      <c r="T1636">
        <v>0.66666666666666663</v>
      </c>
      <c r="U1636">
        <v>2.7</v>
      </c>
    </row>
    <row r="1637" spans="1:21" x14ac:dyDescent="0.35">
      <c r="A1637">
        <v>567</v>
      </c>
      <c r="B1637" s="16">
        <v>40452</v>
      </c>
      <c r="C1637" s="15" t="s">
        <v>37</v>
      </c>
      <c r="D1637" s="15" t="s">
        <v>38</v>
      </c>
      <c r="E1637" s="15" t="s">
        <v>48</v>
      </c>
      <c r="F1637" s="15" t="s">
        <v>49</v>
      </c>
      <c r="G1637" s="15" t="s">
        <v>61</v>
      </c>
      <c r="H1637" s="15" t="s">
        <v>42</v>
      </c>
      <c r="I1637">
        <v>230</v>
      </c>
      <c r="J1637">
        <v>240</v>
      </c>
      <c r="K1637">
        <v>190</v>
      </c>
      <c r="L1637">
        <v>470</v>
      </c>
      <c r="M1637">
        <v>161</v>
      </c>
      <c r="N1637">
        <v>1267</v>
      </c>
      <c r="O1637">
        <v>161</v>
      </c>
      <c r="P1637">
        <v>45</v>
      </c>
      <c r="Q1637">
        <v>92</v>
      </c>
      <c r="R1637">
        <v>322</v>
      </c>
      <c r="S1637">
        <v>0.68510638297872339</v>
      </c>
      <c r="T1637">
        <v>0.48421052631578948</v>
      </c>
      <c r="U1637">
        <v>0.7</v>
      </c>
    </row>
    <row r="1638" spans="1:21" x14ac:dyDescent="0.35">
      <c r="A1638">
        <v>614</v>
      </c>
      <c r="B1638" s="16">
        <v>40452</v>
      </c>
      <c r="C1638" s="15" t="s">
        <v>37</v>
      </c>
      <c r="D1638" s="15" t="s">
        <v>38</v>
      </c>
      <c r="E1638" s="15" t="s">
        <v>50</v>
      </c>
      <c r="F1638" s="15" t="s">
        <v>49</v>
      </c>
      <c r="G1638" s="15" t="s">
        <v>61</v>
      </c>
      <c r="H1638" s="15" t="s">
        <v>45</v>
      </c>
      <c r="I1638">
        <v>70</v>
      </c>
      <c r="J1638">
        <v>100</v>
      </c>
      <c r="K1638">
        <v>70</v>
      </c>
      <c r="L1638">
        <v>170</v>
      </c>
      <c r="M1638">
        <v>54</v>
      </c>
      <c r="N1638">
        <v>404</v>
      </c>
      <c r="O1638">
        <v>66</v>
      </c>
      <c r="P1638">
        <v>20</v>
      </c>
      <c r="Q1638">
        <v>12</v>
      </c>
      <c r="R1638">
        <v>120</v>
      </c>
      <c r="S1638">
        <v>0.70588235294117652</v>
      </c>
      <c r="T1638">
        <v>0.17142857142857143</v>
      </c>
      <c r="U1638">
        <v>0.77142857142857146</v>
      </c>
    </row>
    <row r="1639" spans="1:21" x14ac:dyDescent="0.35">
      <c r="A1639">
        <v>440</v>
      </c>
      <c r="B1639" s="16">
        <v>40452</v>
      </c>
      <c r="C1639" s="15" t="s">
        <v>37</v>
      </c>
      <c r="D1639" s="15" t="s">
        <v>38</v>
      </c>
      <c r="E1639" s="15" t="s">
        <v>39</v>
      </c>
      <c r="F1639" s="15" t="s">
        <v>40</v>
      </c>
      <c r="G1639" s="15" t="s">
        <v>61</v>
      </c>
      <c r="H1639" s="15" t="s">
        <v>42</v>
      </c>
      <c r="I1639">
        <v>40</v>
      </c>
      <c r="J1639">
        <v>70</v>
      </c>
      <c r="K1639">
        <v>60</v>
      </c>
      <c r="L1639">
        <v>110</v>
      </c>
      <c r="M1639">
        <v>52</v>
      </c>
      <c r="N1639">
        <v>405</v>
      </c>
      <c r="O1639">
        <v>71</v>
      </c>
      <c r="P1639">
        <v>17</v>
      </c>
      <c r="Q1639">
        <v>26</v>
      </c>
      <c r="R1639">
        <v>123</v>
      </c>
      <c r="S1639">
        <v>1.1181818181818182</v>
      </c>
      <c r="T1639">
        <v>0.43333333333333335</v>
      </c>
      <c r="U1639">
        <v>1.3</v>
      </c>
    </row>
    <row r="1640" spans="1:21" x14ac:dyDescent="0.35">
      <c r="A1640">
        <v>937</v>
      </c>
      <c r="B1640" s="16">
        <v>40452</v>
      </c>
      <c r="C1640" s="15" t="s">
        <v>37</v>
      </c>
      <c r="D1640" s="15" t="s">
        <v>38</v>
      </c>
      <c r="E1640" s="15" t="s">
        <v>43</v>
      </c>
      <c r="F1640" s="15" t="s">
        <v>40</v>
      </c>
      <c r="G1640" s="15" t="s">
        <v>61</v>
      </c>
      <c r="H1640" s="15" t="s">
        <v>42</v>
      </c>
      <c r="I1640">
        <v>30</v>
      </c>
      <c r="J1640">
        <v>70</v>
      </c>
      <c r="K1640">
        <v>60</v>
      </c>
      <c r="L1640">
        <v>100</v>
      </c>
      <c r="M1640">
        <v>43</v>
      </c>
      <c r="N1640">
        <v>419</v>
      </c>
      <c r="O1640">
        <v>64</v>
      </c>
      <c r="P1640">
        <v>13</v>
      </c>
      <c r="Q1640">
        <v>28</v>
      </c>
      <c r="R1640">
        <v>107</v>
      </c>
      <c r="S1640">
        <v>1.07</v>
      </c>
      <c r="T1640">
        <v>0.46666666666666667</v>
      </c>
      <c r="U1640">
        <v>1.4333333333333333</v>
      </c>
    </row>
    <row r="1641" spans="1:21" x14ac:dyDescent="0.35">
      <c r="A1641">
        <v>216</v>
      </c>
      <c r="B1641" s="16">
        <v>40452</v>
      </c>
      <c r="C1641" s="15" t="s">
        <v>37</v>
      </c>
      <c r="D1641" s="15" t="s">
        <v>38</v>
      </c>
      <c r="E1641" s="15" t="s">
        <v>44</v>
      </c>
      <c r="F1641" s="15" t="s">
        <v>40</v>
      </c>
      <c r="G1641" s="15" t="s">
        <v>61</v>
      </c>
      <c r="H1641" s="15" t="s">
        <v>45</v>
      </c>
      <c r="I1641">
        <v>40</v>
      </c>
      <c r="J1641">
        <v>70</v>
      </c>
      <c r="K1641">
        <v>30</v>
      </c>
      <c r="L1641">
        <v>110</v>
      </c>
      <c r="M1641">
        <v>51</v>
      </c>
      <c r="N1641">
        <v>503</v>
      </c>
      <c r="O1641">
        <v>71</v>
      </c>
      <c r="P1641">
        <v>46</v>
      </c>
      <c r="Q1641">
        <v>-5</v>
      </c>
      <c r="R1641">
        <v>122</v>
      </c>
      <c r="S1641">
        <v>1.1090909090909091</v>
      </c>
      <c r="T1641">
        <v>-0.16666666666666666</v>
      </c>
      <c r="U1641">
        <v>1.2749999999999999</v>
      </c>
    </row>
    <row r="1642" spans="1:21" x14ac:dyDescent="0.35">
      <c r="A1642">
        <v>262</v>
      </c>
      <c r="B1642" s="16">
        <v>40452</v>
      </c>
      <c r="C1642" s="15" t="s">
        <v>37</v>
      </c>
      <c r="D1642" s="15" t="s">
        <v>58</v>
      </c>
      <c r="E1642" s="15" t="s">
        <v>55</v>
      </c>
      <c r="F1642" s="15" t="s">
        <v>47</v>
      </c>
      <c r="G1642" s="15" t="s">
        <v>62</v>
      </c>
      <c r="H1642" s="15" t="s">
        <v>42</v>
      </c>
      <c r="I1642">
        <v>20</v>
      </c>
      <c r="J1642">
        <v>50</v>
      </c>
      <c r="K1642">
        <v>40</v>
      </c>
      <c r="L1642">
        <v>70</v>
      </c>
      <c r="M1642">
        <v>46</v>
      </c>
      <c r="N1642">
        <v>449</v>
      </c>
      <c r="O1642">
        <v>67</v>
      </c>
      <c r="P1642">
        <v>14</v>
      </c>
      <c r="Q1642">
        <v>30</v>
      </c>
      <c r="R1642">
        <v>113</v>
      </c>
      <c r="S1642">
        <v>1.6142857142857143</v>
      </c>
      <c r="T1642">
        <v>0.75</v>
      </c>
      <c r="U1642">
        <v>2.2999999999999998</v>
      </c>
    </row>
    <row r="1643" spans="1:21" x14ac:dyDescent="0.35">
      <c r="A1643">
        <v>715</v>
      </c>
      <c r="B1643" s="16">
        <v>40452</v>
      </c>
      <c r="C1643" s="15" t="s">
        <v>37</v>
      </c>
      <c r="D1643" s="15" t="s">
        <v>58</v>
      </c>
      <c r="E1643" s="15" t="s">
        <v>56</v>
      </c>
      <c r="F1643" s="15" t="s">
        <v>47</v>
      </c>
      <c r="G1643" s="15" t="s">
        <v>62</v>
      </c>
      <c r="H1643" s="15" t="s">
        <v>42</v>
      </c>
      <c r="I1643">
        <v>40</v>
      </c>
      <c r="J1643">
        <v>50</v>
      </c>
      <c r="K1643">
        <v>0</v>
      </c>
      <c r="L1643">
        <v>90</v>
      </c>
      <c r="M1643">
        <v>60</v>
      </c>
      <c r="N1643">
        <v>606</v>
      </c>
      <c r="O1643">
        <v>84</v>
      </c>
      <c r="P1643">
        <v>54</v>
      </c>
      <c r="Q1643">
        <v>0</v>
      </c>
      <c r="R1643">
        <v>144</v>
      </c>
      <c r="S1643">
        <v>1.6</v>
      </c>
      <c r="U1643">
        <v>1.5</v>
      </c>
    </row>
    <row r="1644" spans="1:21" x14ac:dyDescent="0.35">
      <c r="A1644">
        <v>414</v>
      </c>
      <c r="B1644" s="16">
        <v>40452</v>
      </c>
      <c r="C1644" s="15" t="s">
        <v>37</v>
      </c>
      <c r="D1644" s="15" t="s">
        <v>58</v>
      </c>
      <c r="E1644" s="15" t="s">
        <v>51</v>
      </c>
      <c r="F1644" s="15" t="s">
        <v>52</v>
      </c>
      <c r="G1644" s="15" t="s">
        <v>62</v>
      </c>
      <c r="H1644" s="15" t="s">
        <v>45</v>
      </c>
      <c r="I1644">
        <v>40</v>
      </c>
      <c r="J1644">
        <v>80</v>
      </c>
      <c r="K1644">
        <v>80</v>
      </c>
      <c r="L1644">
        <v>120</v>
      </c>
      <c r="M1644">
        <v>60</v>
      </c>
      <c r="N1644">
        <v>329</v>
      </c>
      <c r="O1644">
        <v>99</v>
      </c>
      <c r="P1644">
        <v>18</v>
      </c>
      <c r="Q1644">
        <v>57</v>
      </c>
      <c r="R1644">
        <v>159</v>
      </c>
      <c r="S1644">
        <v>1.325</v>
      </c>
      <c r="T1644">
        <v>0.71250000000000002</v>
      </c>
      <c r="U1644">
        <v>1.5</v>
      </c>
    </row>
    <row r="1645" spans="1:21" x14ac:dyDescent="0.35">
      <c r="A1645">
        <v>262</v>
      </c>
      <c r="B1645" s="16">
        <v>40452</v>
      </c>
      <c r="C1645" s="15" t="s">
        <v>37</v>
      </c>
      <c r="D1645" s="15" t="s">
        <v>58</v>
      </c>
      <c r="E1645" s="15" t="s">
        <v>53</v>
      </c>
      <c r="F1645" s="15" t="s">
        <v>52</v>
      </c>
      <c r="G1645" s="15" t="s">
        <v>62</v>
      </c>
      <c r="H1645" s="15" t="s">
        <v>45</v>
      </c>
      <c r="I1645">
        <v>30</v>
      </c>
      <c r="J1645">
        <v>60</v>
      </c>
      <c r="K1645">
        <v>60</v>
      </c>
      <c r="L1645">
        <v>90</v>
      </c>
      <c r="M1645">
        <v>48</v>
      </c>
      <c r="N1645">
        <v>851</v>
      </c>
      <c r="O1645">
        <v>70</v>
      </c>
      <c r="P1645">
        <v>13</v>
      </c>
      <c r="Q1645">
        <v>45</v>
      </c>
      <c r="R1645">
        <v>118</v>
      </c>
      <c r="S1645">
        <v>1.3111111111111111</v>
      </c>
      <c r="T1645">
        <v>0.75</v>
      </c>
      <c r="U1645">
        <v>1.6</v>
      </c>
    </row>
    <row r="1646" spans="1:21" x14ac:dyDescent="0.35">
      <c r="A1646">
        <v>608</v>
      </c>
      <c r="B1646" s="16">
        <v>40452</v>
      </c>
      <c r="C1646" s="15" t="s">
        <v>37</v>
      </c>
      <c r="D1646" s="15" t="s">
        <v>58</v>
      </c>
      <c r="E1646" s="15" t="s">
        <v>48</v>
      </c>
      <c r="F1646" s="15" t="s">
        <v>49</v>
      </c>
      <c r="G1646" s="15" t="s">
        <v>62</v>
      </c>
      <c r="H1646" s="15" t="s">
        <v>42</v>
      </c>
      <c r="I1646">
        <v>110</v>
      </c>
      <c r="J1646">
        <v>140</v>
      </c>
      <c r="K1646">
        <v>120</v>
      </c>
      <c r="L1646">
        <v>250</v>
      </c>
      <c r="M1646">
        <v>80</v>
      </c>
      <c r="N1646">
        <v>1055</v>
      </c>
      <c r="O1646">
        <v>94</v>
      </c>
      <c r="P1646">
        <v>24</v>
      </c>
      <c r="Q1646">
        <v>48</v>
      </c>
      <c r="R1646">
        <v>174</v>
      </c>
      <c r="S1646">
        <v>0.69599999999999995</v>
      </c>
      <c r="T1646">
        <v>0.4</v>
      </c>
      <c r="U1646">
        <v>0.72727272727272729</v>
      </c>
    </row>
    <row r="1647" spans="1:21" x14ac:dyDescent="0.35">
      <c r="A1647">
        <v>715</v>
      </c>
      <c r="B1647" s="16">
        <v>40452</v>
      </c>
      <c r="C1647" s="15" t="s">
        <v>37</v>
      </c>
      <c r="D1647" s="15" t="s">
        <v>58</v>
      </c>
      <c r="E1647" s="15" t="s">
        <v>50</v>
      </c>
      <c r="F1647" s="15" t="s">
        <v>49</v>
      </c>
      <c r="G1647" s="15" t="s">
        <v>62</v>
      </c>
      <c r="H1647" s="15" t="s">
        <v>45</v>
      </c>
      <c r="I1647">
        <v>20</v>
      </c>
      <c r="J1647">
        <v>50</v>
      </c>
      <c r="K1647">
        <v>50</v>
      </c>
      <c r="L1647">
        <v>70</v>
      </c>
      <c r="M1647">
        <v>22</v>
      </c>
      <c r="N1647">
        <v>573</v>
      </c>
      <c r="O1647">
        <v>29</v>
      </c>
      <c r="P1647">
        <v>7</v>
      </c>
      <c r="Q1647">
        <v>10</v>
      </c>
      <c r="R1647">
        <v>51</v>
      </c>
      <c r="S1647">
        <v>0.72857142857142854</v>
      </c>
      <c r="T1647">
        <v>0.2</v>
      </c>
      <c r="U1647">
        <v>1.1000000000000001</v>
      </c>
    </row>
    <row r="1648" spans="1:21" x14ac:dyDescent="0.35">
      <c r="A1648">
        <v>715</v>
      </c>
      <c r="B1648" s="16">
        <v>40452</v>
      </c>
      <c r="C1648" s="15" t="s">
        <v>37</v>
      </c>
      <c r="D1648" s="15" t="s">
        <v>58</v>
      </c>
      <c r="E1648" s="15" t="s">
        <v>39</v>
      </c>
      <c r="F1648" s="15" t="s">
        <v>40</v>
      </c>
      <c r="G1648" s="15" t="s">
        <v>62</v>
      </c>
      <c r="H1648" s="15" t="s">
        <v>42</v>
      </c>
      <c r="I1648">
        <v>40</v>
      </c>
      <c r="J1648">
        <v>80</v>
      </c>
      <c r="K1648">
        <v>50</v>
      </c>
      <c r="L1648">
        <v>120</v>
      </c>
      <c r="M1648">
        <v>56</v>
      </c>
      <c r="N1648">
        <v>385</v>
      </c>
      <c r="O1648">
        <v>70</v>
      </c>
      <c r="P1648">
        <v>21</v>
      </c>
      <c r="Q1648">
        <v>15</v>
      </c>
      <c r="R1648">
        <v>126</v>
      </c>
      <c r="S1648">
        <v>1.05</v>
      </c>
      <c r="T1648">
        <v>0.3</v>
      </c>
      <c r="U1648">
        <v>1.4</v>
      </c>
    </row>
    <row r="1649" spans="1:21" x14ac:dyDescent="0.35">
      <c r="A1649">
        <v>715</v>
      </c>
      <c r="B1649" s="16">
        <v>40452</v>
      </c>
      <c r="C1649" s="15" t="s">
        <v>37</v>
      </c>
      <c r="D1649" s="15" t="s">
        <v>58</v>
      </c>
      <c r="E1649" s="15" t="s">
        <v>43</v>
      </c>
      <c r="F1649" s="15" t="s">
        <v>40</v>
      </c>
      <c r="G1649" s="15" t="s">
        <v>62</v>
      </c>
      <c r="H1649" s="15" t="s">
        <v>42</v>
      </c>
      <c r="I1649">
        <v>90</v>
      </c>
      <c r="J1649">
        <v>140</v>
      </c>
      <c r="K1649">
        <v>60</v>
      </c>
      <c r="L1649">
        <v>230</v>
      </c>
      <c r="M1649">
        <v>96</v>
      </c>
      <c r="N1649">
        <v>683</v>
      </c>
      <c r="O1649">
        <v>134</v>
      </c>
      <c r="P1649">
        <v>87</v>
      </c>
      <c r="Q1649">
        <v>18</v>
      </c>
      <c r="R1649">
        <v>230</v>
      </c>
      <c r="S1649">
        <v>1</v>
      </c>
      <c r="T1649">
        <v>0.3</v>
      </c>
      <c r="U1649">
        <v>1.0666666666666667</v>
      </c>
    </row>
    <row r="1650" spans="1:21" x14ac:dyDescent="0.35">
      <c r="A1650">
        <v>715</v>
      </c>
      <c r="B1650" s="16">
        <v>40452</v>
      </c>
      <c r="C1650" s="15" t="s">
        <v>37</v>
      </c>
      <c r="D1650" s="15" t="s">
        <v>58</v>
      </c>
      <c r="E1650" s="15" t="s">
        <v>44</v>
      </c>
      <c r="F1650" s="15" t="s">
        <v>40</v>
      </c>
      <c r="G1650" s="15" t="s">
        <v>62</v>
      </c>
      <c r="H1650" s="15" t="s">
        <v>45</v>
      </c>
      <c r="I1650">
        <v>80</v>
      </c>
      <c r="J1650">
        <v>120</v>
      </c>
      <c r="K1650">
        <v>100</v>
      </c>
      <c r="L1650">
        <v>200</v>
      </c>
      <c r="M1650">
        <v>86</v>
      </c>
      <c r="N1650">
        <v>547</v>
      </c>
      <c r="O1650">
        <v>116</v>
      </c>
      <c r="P1650">
        <v>28</v>
      </c>
      <c r="Q1650">
        <v>61</v>
      </c>
      <c r="R1650">
        <v>202</v>
      </c>
      <c r="S1650">
        <v>1.01</v>
      </c>
      <c r="T1650">
        <v>0.61</v>
      </c>
      <c r="U1650">
        <v>1.075</v>
      </c>
    </row>
    <row r="1651" spans="1:21" x14ac:dyDescent="0.35">
      <c r="A1651">
        <v>860</v>
      </c>
      <c r="B1651" s="16">
        <v>40452</v>
      </c>
      <c r="C1651" s="15" t="s">
        <v>63</v>
      </c>
      <c r="D1651" s="15" t="s">
        <v>58</v>
      </c>
      <c r="E1651" s="15" t="s">
        <v>55</v>
      </c>
      <c r="F1651" s="15" t="s">
        <v>47</v>
      </c>
      <c r="G1651" s="15" t="s">
        <v>64</v>
      </c>
      <c r="H1651" s="15" t="s">
        <v>42</v>
      </c>
      <c r="I1651">
        <v>40</v>
      </c>
      <c r="J1651">
        <v>60</v>
      </c>
      <c r="K1651">
        <v>50</v>
      </c>
      <c r="L1651">
        <v>100</v>
      </c>
      <c r="M1651">
        <v>40</v>
      </c>
      <c r="N1651">
        <v>881</v>
      </c>
      <c r="O1651">
        <v>59</v>
      </c>
      <c r="P1651">
        <v>11</v>
      </c>
      <c r="Q1651">
        <v>36</v>
      </c>
      <c r="R1651">
        <v>99</v>
      </c>
      <c r="S1651">
        <v>0.99</v>
      </c>
      <c r="T1651">
        <v>0.72</v>
      </c>
      <c r="U1651">
        <v>1</v>
      </c>
    </row>
    <row r="1652" spans="1:21" x14ac:dyDescent="0.35">
      <c r="A1652">
        <v>959</v>
      </c>
      <c r="B1652" s="16">
        <v>40452</v>
      </c>
      <c r="C1652" s="15" t="s">
        <v>63</v>
      </c>
      <c r="D1652" s="15" t="s">
        <v>58</v>
      </c>
      <c r="E1652" s="15" t="s">
        <v>46</v>
      </c>
      <c r="F1652" s="15" t="s">
        <v>47</v>
      </c>
      <c r="G1652" s="15" t="s">
        <v>64</v>
      </c>
      <c r="H1652" s="15" t="s">
        <v>42</v>
      </c>
      <c r="I1652">
        <v>20</v>
      </c>
      <c r="J1652">
        <v>40</v>
      </c>
      <c r="K1652">
        <v>40</v>
      </c>
      <c r="L1652">
        <v>60</v>
      </c>
      <c r="M1652">
        <v>24</v>
      </c>
      <c r="N1652">
        <v>806</v>
      </c>
      <c r="O1652">
        <v>36</v>
      </c>
      <c r="P1652">
        <v>6</v>
      </c>
      <c r="Q1652">
        <v>18</v>
      </c>
      <c r="R1652">
        <v>60</v>
      </c>
      <c r="S1652">
        <v>1</v>
      </c>
      <c r="T1652">
        <v>0.45</v>
      </c>
      <c r="U1652">
        <v>1.2</v>
      </c>
    </row>
    <row r="1653" spans="1:21" x14ac:dyDescent="0.35">
      <c r="A1653">
        <v>959</v>
      </c>
      <c r="B1653" s="16">
        <v>40452</v>
      </c>
      <c r="C1653" s="15" t="s">
        <v>63</v>
      </c>
      <c r="D1653" s="15" t="s">
        <v>58</v>
      </c>
      <c r="E1653" s="15" t="s">
        <v>53</v>
      </c>
      <c r="F1653" s="15" t="s">
        <v>52</v>
      </c>
      <c r="G1653" s="15" t="s">
        <v>64</v>
      </c>
      <c r="H1653" s="15" t="s">
        <v>45</v>
      </c>
      <c r="I1653">
        <v>40</v>
      </c>
      <c r="J1653">
        <v>50</v>
      </c>
      <c r="K1653">
        <v>30</v>
      </c>
      <c r="L1653">
        <v>90</v>
      </c>
      <c r="M1653">
        <v>79</v>
      </c>
      <c r="N1653">
        <v>593</v>
      </c>
      <c r="O1653">
        <v>98</v>
      </c>
      <c r="P1653">
        <v>30</v>
      </c>
      <c r="Q1653">
        <v>34</v>
      </c>
      <c r="R1653">
        <v>177</v>
      </c>
      <c r="S1653">
        <v>1.9666666666666666</v>
      </c>
      <c r="T1653">
        <v>1.1333333333333333</v>
      </c>
      <c r="U1653">
        <v>1.9750000000000001</v>
      </c>
    </row>
    <row r="1654" spans="1:21" x14ac:dyDescent="0.35">
      <c r="A1654">
        <v>860</v>
      </c>
      <c r="B1654" s="16">
        <v>40452</v>
      </c>
      <c r="C1654" s="15" t="s">
        <v>63</v>
      </c>
      <c r="D1654" s="15" t="s">
        <v>58</v>
      </c>
      <c r="E1654" s="15" t="s">
        <v>54</v>
      </c>
      <c r="F1654" s="15" t="s">
        <v>52</v>
      </c>
      <c r="G1654" s="15" t="s">
        <v>64</v>
      </c>
      <c r="H1654" s="15" t="s">
        <v>45</v>
      </c>
      <c r="I1654">
        <v>30</v>
      </c>
      <c r="J1654">
        <v>50</v>
      </c>
      <c r="K1654">
        <v>50</v>
      </c>
      <c r="L1654">
        <v>80</v>
      </c>
      <c r="M1654">
        <v>65</v>
      </c>
      <c r="N1654">
        <v>1053</v>
      </c>
      <c r="O1654">
        <v>77</v>
      </c>
      <c r="P1654">
        <v>20</v>
      </c>
      <c r="Q1654">
        <v>35</v>
      </c>
      <c r="R1654">
        <v>142</v>
      </c>
      <c r="S1654">
        <v>1.7749999999999999</v>
      </c>
      <c r="T1654">
        <v>0.7</v>
      </c>
      <c r="U1654">
        <v>2.1666666666666665</v>
      </c>
    </row>
    <row r="1655" spans="1:21" x14ac:dyDescent="0.35">
      <c r="A1655">
        <v>203</v>
      </c>
      <c r="B1655" s="16">
        <v>40452</v>
      </c>
      <c r="C1655" s="15" t="s">
        <v>63</v>
      </c>
      <c r="D1655" s="15" t="s">
        <v>58</v>
      </c>
      <c r="E1655" s="15" t="s">
        <v>48</v>
      </c>
      <c r="F1655" s="15" t="s">
        <v>49</v>
      </c>
      <c r="G1655" s="15" t="s">
        <v>64</v>
      </c>
      <c r="H1655" s="15" t="s">
        <v>42</v>
      </c>
      <c r="I1655">
        <v>40</v>
      </c>
      <c r="J1655">
        <v>90</v>
      </c>
      <c r="K1655">
        <v>40</v>
      </c>
      <c r="L1655">
        <v>130</v>
      </c>
      <c r="M1655">
        <v>60</v>
      </c>
      <c r="N1655">
        <v>606</v>
      </c>
      <c r="O1655">
        <v>84</v>
      </c>
      <c r="P1655">
        <v>54</v>
      </c>
      <c r="Q1655">
        <v>1</v>
      </c>
      <c r="R1655">
        <v>144</v>
      </c>
      <c r="S1655">
        <v>1.1076923076923078</v>
      </c>
      <c r="T1655">
        <v>2.5000000000000001E-2</v>
      </c>
      <c r="U1655">
        <v>1.5</v>
      </c>
    </row>
    <row r="1656" spans="1:21" x14ac:dyDescent="0.35">
      <c r="A1656">
        <v>860</v>
      </c>
      <c r="B1656" s="16">
        <v>40452</v>
      </c>
      <c r="C1656" s="15" t="s">
        <v>63</v>
      </c>
      <c r="D1656" s="15" t="s">
        <v>58</v>
      </c>
      <c r="E1656" s="15" t="s">
        <v>50</v>
      </c>
      <c r="F1656" s="15" t="s">
        <v>49</v>
      </c>
      <c r="G1656" s="15" t="s">
        <v>64</v>
      </c>
      <c r="H1656" s="15" t="s">
        <v>45</v>
      </c>
      <c r="I1656">
        <v>30</v>
      </c>
      <c r="J1656">
        <v>60</v>
      </c>
      <c r="K1656">
        <v>50</v>
      </c>
      <c r="L1656">
        <v>90</v>
      </c>
      <c r="M1656">
        <v>47</v>
      </c>
      <c r="N1656">
        <v>375</v>
      </c>
      <c r="O1656">
        <v>64</v>
      </c>
      <c r="P1656">
        <v>15</v>
      </c>
      <c r="Q1656">
        <v>21</v>
      </c>
      <c r="R1656">
        <v>111</v>
      </c>
      <c r="S1656">
        <v>1.2333333333333334</v>
      </c>
      <c r="T1656">
        <v>0.42</v>
      </c>
      <c r="U1656">
        <v>1.5666666666666667</v>
      </c>
    </row>
    <row r="1657" spans="1:21" x14ac:dyDescent="0.35">
      <c r="A1657">
        <v>860</v>
      </c>
      <c r="B1657" s="16">
        <v>40452</v>
      </c>
      <c r="C1657" s="15" t="s">
        <v>63</v>
      </c>
      <c r="D1657" s="15" t="s">
        <v>58</v>
      </c>
      <c r="E1657" s="15" t="s">
        <v>43</v>
      </c>
      <c r="F1657" s="15" t="s">
        <v>40</v>
      </c>
      <c r="G1657" s="15" t="s">
        <v>64</v>
      </c>
      <c r="H1657" s="15" t="s">
        <v>42</v>
      </c>
      <c r="I1657">
        <v>100</v>
      </c>
      <c r="J1657">
        <v>160</v>
      </c>
      <c r="K1657">
        <v>130</v>
      </c>
      <c r="L1657">
        <v>260</v>
      </c>
      <c r="M1657">
        <v>125</v>
      </c>
      <c r="N1657">
        <v>1119</v>
      </c>
      <c r="O1657">
        <v>188</v>
      </c>
      <c r="P1657">
        <v>41</v>
      </c>
      <c r="Q1657">
        <v>115</v>
      </c>
      <c r="R1657">
        <v>313</v>
      </c>
      <c r="S1657">
        <v>1.2038461538461538</v>
      </c>
      <c r="T1657">
        <v>0.88461538461538458</v>
      </c>
      <c r="U1657">
        <v>1.25</v>
      </c>
    </row>
    <row r="1658" spans="1:21" x14ac:dyDescent="0.35">
      <c r="A1658">
        <v>850</v>
      </c>
      <c r="B1658" s="16">
        <v>40452</v>
      </c>
      <c r="C1658" s="15" t="s">
        <v>63</v>
      </c>
      <c r="D1658" s="15" t="s">
        <v>38</v>
      </c>
      <c r="E1658" s="15" t="s">
        <v>55</v>
      </c>
      <c r="F1658" s="15" t="s">
        <v>47</v>
      </c>
      <c r="G1658" s="15" t="s">
        <v>65</v>
      </c>
      <c r="H1658" s="15" t="s">
        <v>42</v>
      </c>
      <c r="I1658">
        <v>40</v>
      </c>
      <c r="J1658">
        <v>60</v>
      </c>
      <c r="K1658">
        <v>50</v>
      </c>
      <c r="L1658">
        <v>100</v>
      </c>
      <c r="M1658">
        <v>38</v>
      </c>
      <c r="N1658">
        <v>871</v>
      </c>
      <c r="O1658">
        <v>56</v>
      </c>
      <c r="P1658">
        <v>10</v>
      </c>
      <c r="Q1658">
        <v>35</v>
      </c>
      <c r="R1658">
        <v>94</v>
      </c>
      <c r="S1658">
        <v>0.94</v>
      </c>
      <c r="T1658">
        <v>0.7</v>
      </c>
      <c r="U1658">
        <v>0.95</v>
      </c>
    </row>
    <row r="1659" spans="1:21" x14ac:dyDescent="0.35">
      <c r="A1659">
        <v>863</v>
      </c>
      <c r="B1659" s="16">
        <v>40452</v>
      </c>
      <c r="C1659" s="15" t="s">
        <v>63</v>
      </c>
      <c r="D1659" s="15" t="s">
        <v>38</v>
      </c>
      <c r="E1659" s="15" t="s">
        <v>46</v>
      </c>
      <c r="F1659" s="15" t="s">
        <v>47</v>
      </c>
      <c r="G1659" s="15" t="s">
        <v>65</v>
      </c>
      <c r="H1659" s="15" t="s">
        <v>42</v>
      </c>
      <c r="I1659">
        <v>50</v>
      </c>
      <c r="J1659">
        <v>70</v>
      </c>
      <c r="K1659">
        <v>60</v>
      </c>
      <c r="L1659">
        <v>120</v>
      </c>
      <c r="M1659">
        <v>48</v>
      </c>
      <c r="N1659">
        <v>851</v>
      </c>
      <c r="O1659">
        <v>70</v>
      </c>
      <c r="P1659">
        <v>13</v>
      </c>
      <c r="Q1659">
        <v>46</v>
      </c>
      <c r="R1659">
        <v>118</v>
      </c>
      <c r="S1659">
        <v>0.98333333333333328</v>
      </c>
      <c r="T1659">
        <v>0.76666666666666672</v>
      </c>
      <c r="U1659">
        <v>0.96</v>
      </c>
    </row>
    <row r="1660" spans="1:21" x14ac:dyDescent="0.35">
      <c r="A1660">
        <v>386</v>
      </c>
      <c r="B1660" s="16">
        <v>40452</v>
      </c>
      <c r="C1660" s="15" t="s">
        <v>63</v>
      </c>
      <c r="D1660" s="15" t="s">
        <v>38</v>
      </c>
      <c r="E1660" s="15" t="s">
        <v>51</v>
      </c>
      <c r="F1660" s="15" t="s">
        <v>52</v>
      </c>
      <c r="G1660" s="15" t="s">
        <v>65</v>
      </c>
      <c r="H1660" s="15" t="s">
        <v>45</v>
      </c>
      <c r="I1660">
        <v>0</v>
      </c>
      <c r="J1660">
        <v>20</v>
      </c>
      <c r="K1660">
        <v>20</v>
      </c>
      <c r="L1660">
        <v>20</v>
      </c>
      <c r="M1660">
        <v>22</v>
      </c>
      <c r="N1660">
        <v>573</v>
      </c>
      <c r="O1660">
        <v>29</v>
      </c>
      <c r="P1660">
        <v>7</v>
      </c>
      <c r="Q1660">
        <v>10</v>
      </c>
      <c r="R1660">
        <v>51</v>
      </c>
      <c r="S1660">
        <v>2.5499999999999998</v>
      </c>
      <c r="T1660">
        <v>0.5</v>
      </c>
    </row>
    <row r="1661" spans="1:21" x14ac:dyDescent="0.35">
      <c r="A1661">
        <v>850</v>
      </c>
      <c r="B1661" s="16">
        <v>40452</v>
      </c>
      <c r="C1661" s="15" t="s">
        <v>63</v>
      </c>
      <c r="D1661" s="15" t="s">
        <v>38</v>
      </c>
      <c r="E1661" s="15" t="s">
        <v>53</v>
      </c>
      <c r="F1661" s="15" t="s">
        <v>52</v>
      </c>
      <c r="G1661" s="15" t="s">
        <v>65</v>
      </c>
      <c r="H1661" s="15" t="s">
        <v>45</v>
      </c>
      <c r="I1661">
        <v>30</v>
      </c>
      <c r="J1661">
        <v>30</v>
      </c>
      <c r="K1661">
        <v>20</v>
      </c>
      <c r="L1661">
        <v>60</v>
      </c>
      <c r="M1661">
        <v>56</v>
      </c>
      <c r="N1661">
        <v>385</v>
      </c>
      <c r="O1661">
        <v>70</v>
      </c>
      <c r="P1661">
        <v>21</v>
      </c>
      <c r="Q1661">
        <v>16</v>
      </c>
      <c r="R1661">
        <v>126</v>
      </c>
      <c r="S1661">
        <v>2.1</v>
      </c>
      <c r="T1661">
        <v>0.8</v>
      </c>
      <c r="U1661">
        <v>1.8666666666666667</v>
      </c>
    </row>
    <row r="1662" spans="1:21" x14ac:dyDescent="0.35">
      <c r="A1662">
        <v>305</v>
      </c>
      <c r="B1662" s="16">
        <v>40452</v>
      </c>
      <c r="C1662" s="15" t="s">
        <v>63</v>
      </c>
      <c r="D1662" s="15" t="s">
        <v>38</v>
      </c>
      <c r="E1662" s="15" t="s">
        <v>54</v>
      </c>
      <c r="F1662" s="15" t="s">
        <v>52</v>
      </c>
      <c r="G1662" s="15" t="s">
        <v>65</v>
      </c>
      <c r="H1662" s="15" t="s">
        <v>45</v>
      </c>
      <c r="I1662">
        <v>40</v>
      </c>
      <c r="J1662">
        <v>50</v>
      </c>
      <c r="K1662">
        <v>40</v>
      </c>
      <c r="L1662">
        <v>90</v>
      </c>
      <c r="M1662">
        <v>80</v>
      </c>
      <c r="N1662">
        <v>1055</v>
      </c>
      <c r="O1662">
        <v>94</v>
      </c>
      <c r="P1662">
        <v>24</v>
      </c>
      <c r="Q1662">
        <v>48</v>
      </c>
      <c r="R1662">
        <v>174</v>
      </c>
      <c r="S1662">
        <v>1.9333333333333333</v>
      </c>
      <c r="T1662">
        <v>1.2</v>
      </c>
      <c r="U1662">
        <v>2</v>
      </c>
    </row>
    <row r="1663" spans="1:21" x14ac:dyDescent="0.35">
      <c r="A1663">
        <v>239</v>
      </c>
      <c r="B1663" s="16">
        <v>40452</v>
      </c>
      <c r="C1663" s="15" t="s">
        <v>63</v>
      </c>
      <c r="D1663" s="15" t="s">
        <v>38</v>
      </c>
      <c r="E1663" s="15" t="s">
        <v>48</v>
      </c>
      <c r="F1663" s="15" t="s">
        <v>49</v>
      </c>
      <c r="G1663" s="15" t="s">
        <v>65</v>
      </c>
      <c r="H1663" s="15" t="s">
        <v>42</v>
      </c>
      <c r="I1663">
        <v>80</v>
      </c>
      <c r="J1663">
        <v>130</v>
      </c>
      <c r="K1663">
        <v>50</v>
      </c>
      <c r="L1663">
        <v>210</v>
      </c>
      <c r="M1663">
        <v>96</v>
      </c>
      <c r="N1663">
        <v>683</v>
      </c>
      <c r="O1663">
        <v>134</v>
      </c>
      <c r="P1663">
        <v>87</v>
      </c>
      <c r="Q1663">
        <v>18</v>
      </c>
      <c r="R1663">
        <v>230</v>
      </c>
      <c r="S1663">
        <v>1.0952380952380953</v>
      </c>
      <c r="T1663">
        <v>0.36</v>
      </c>
      <c r="U1663">
        <v>1.2</v>
      </c>
    </row>
    <row r="1664" spans="1:21" x14ac:dyDescent="0.35">
      <c r="A1664">
        <v>239</v>
      </c>
      <c r="B1664" s="16">
        <v>40452</v>
      </c>
      <c r="C1664" s="15" t="s">
        <v>63</v>
      </c>
      <c r="D1664" s="15" t="s">
        <v>38</v>
      </c>
      <c r="E1664" s="15" t="s">
        <v>50</v>
      </c>
      <c r="F1664" s="15" t="s">
        <v>49</v>
      </c>
      <c r="G1664" s="15" t="s">
        <v>65</v>
      </c>
      <c r="H1664" s="15" t="s">
        <v>45</v>
      </c>
      <c r="I1664">
        <v>70</v>
      </c>
      <c r="J1664">
        <v>110</v>
      </c>
      <c r="K1664">
        <v>90</v>
      </c>
      <c r="L1664">
        <v>180</v>
      </c>
      <c r="M1664">
        <v>86</v>
      </c>
      <c r="N1664">
        <v>547</v>
      </c>
      <c r="O1664">
        <v>116</v>
      </c>
      <c r="P1664">
        <v>28</v>
      </c>
      <c r="Q1664">
        <v>60</v>
      </c>
      <c r="R1664">
        <v>202</v>
      </c>
      <c r="S1664">
        <v>1.1222222222222222</v>
      </c>
      <c r="T1664">
        <v>0.66666666666666663</v>
      </c>
      <c r="U1664">
        <v>1.2285714285714286</v>
      </c>
    </row>
    <row r="1665" spans="1:21" x14ac:dyDescent="0.35">
      <c r="A1665">
        <v>561</v>
      </c>
      <c r="B1665" s="16">
        <v>40452</v>
      </c>
      <c r="C1665" s="15" t="s">
        <v>63</v>
      </c>
      <c r="D1665" s="15" t="s">
        <v>38</v>
      </c>
      <c r="E1665" s="15" t="s">
        <v>44</v>
      </c>
      <c r="F1665" s="15" t="s">
        <v>40</v>
      </c>
      <c r="G1665" s="15" t="s">
        <v>65</v>
      </c>
      <c r="H1665" s="15" t="s">
        <v>45</v>
      </c>
      <c r="I1665">
        <v>70</v>
      </c>
      <c r="J1665">
        <v>110</v>
      </c>
      <c r="K1665">
        <v>90</v>
      </c>
      <c r="L1665">
        <v>180</v>
      </c>
      <c r="M1665">
        <v>91</v>
      </c>
      <c r="N1665">
        <v>656</v>
      </c>
      <c r="O1665">
        <v>127</v>
      </c>
      <c r="P1665">
        <v>28</v>
      </c>
      <c r="Q1665">
        <v>76</v>
      </c>
      <c r="R1665">
        <v>218</v>
      </c>
      <c r="S1665">
        <v>1.211111111111111</v>
      </c>
      <c r="T1665">
        <v>0.84444444444444444</v>
      </c>
      <c r="U1665">
        <v>1.3</v>
      </c>
    </row>
    <row r="1666" spans="1:21" x14ac:dyDescent="0.35">
      <c r="A1666">
        <v>407</v>
      </c>
      <c r="B1666" s="16">
        <v>40452</v>
      </c>
      <c r="C1666" s="15" t="s">
        <v>63</v>
      </c>
      <c r="D1666" s="15" t="s">
        <v>38</v>
      </c>
      <c r="E1666" s="15" t="s">
        <v>43</v>
      </c>
      <c r="F1666" s="15" t="s">
        <v>40</v>
      </c>
      <c r="G1666" s="15" t="s">
        <v>65</v>
      </c>
      <c r="H1666" s="15" t="s">
        <v>42</v>
      </c>
      <c r="I1666">
        <v>60</v>
      </c>
      <c r="J1666">
        <v>110</v>
      </c>
      <c r="K1666">
        <v>90</v>
      </c>
      <c r="L1666">
        <v>170</v>
      </c>
      <c r="M1666">
        <v>82</v>
      </c>
      <c r="N1666">
        <v>788</v>
      </c>
      <c r="O1666">
        <v>123</v>
      </c>
      <c r="P1666">
        <v>27</v>
      </c>
      <c r="Q1666">
        <v>64</v>
      </c>
      <c r="R1666">
        <v>205</v>
      </c>
      <c r="S1666">
        <v>1.2058823529411764</v>
      </c>
      <c r="T1666">
        <v>0.71111111111111114</v>
      </c>
      <c r="U1666">
        <v>1.3666666666666667</v>
      </c>
    </row>
    <row r="1667" spans="1:21" x14ac:dyDescent="0.35">
      <c r="A1667">
        <v>508</v>
      </c>
      <c r="B1667" s="16">
        <v>40452</v>
      </c>
      <c r="C1667" s="15" t="s">
        <v>63</v>
      </c>
      <c r="D1667" s="15" t="s">
        <v>38</v>
      </c>
      <c r="E1667" s="15" t="s">
        <v>55</v>
      </c>
      <c r="F1667" s="15" t="s">
        <v>47</v>
      </c>
      <c r="G1667" s="15" t="s">
        <v>66</v>
      </c>
      <c r="H1667" s="15" t="s">
        <v>42</v>
      </c>
      <c r="I1667">
        <v>20</v>
      </c>
      <c r="J1667">
        <v>50</v>
      </c>
      <c r="K1667">
        <v>50</v>
      </c>
      <c r="L1667">
        <v>70</v>
      </c>
      <c r="M1667">
        <v>27</v>
      </c>
      <c r="N1667">
        <v>859</v>
      </c>
      <c r="O1667">
        <v>39</v>
      </c>
      <c r="P1667">
        <v>7</v>
      </c>
      <c r="Q1667">
        <v>20</v>
      </c>
      <c r="R1667">
        <v>66</v>
      </c>
      <c r="S1667">
        <v>0.94285714285714284</v>
      </c>
      <c r="T1667">
        <v>0.4</v>
      </c>
      <c r="U1667">
        <v>1.35</v>
      </c>
    </row>
    <row r="1668" spans="1:21" x14ac:dyDescent="0.35">
      <c r="A1668">
        <v>413</v>
      </c>
      <c r="B1668" s="16">
        <v>40452</v>
      </c>
      <c r="C1668" s="15" t="s">
        <v>63</v>
      </c>
      <c r="D1668" s="15" t="s">
        <v>38</v>
      </c>
      <c r="E1668" s="15" t="s">
        <v>46</v>
      </c>
      <c r="F1668" s="15" t="s">
        <v>47</v>
      </c>
      <c r="G1668" s="15" t="s">
        <v>66</v>
      </c>
      <c r="H1668" s="15" t="s">
        <v>42</v>
      </c>
      <c r="I1668">
        <v>20</v>
      </c>
      <c r="J1668">
        <v>30</v>
      </c>
      <c r="K1668">
        <v>30</v>
      </c>
      <c r="L1668">
        <v>50</v>
      </c>
      <c r="M1668">
        <v>21</v>
      </c>
      <c r="N1668">
        <v>480</v>
      </c>
      <c r="O1668">
        <v>32</v>
      </c>
      <c r="P1668">
        <v>5</v>
      </c>
      <c r="Q1668">
        <v>15</v>
      </c>
      <c r="R1668">
        <v>53</v>
      </c>
      <c r="S1668">
        <v>1.06</v>
      </c>
      <c r="T1668">
        <v>0.5</v>
      </c>
      <c r="U1668">
        <v>1.05</v>
      </c>
    </row>
    <row r="1669" spans="1:21" x14ac:dyDescent="0.35">
      <c r="A1669">
        <v>781</v>
      </c>
      <c r="B1669" s="16">
        <v>40452</v>
      </c>
      <c r="C1669" s="15" t="s">
        <v>63</v>
      </c>
      <c r="D1669" s="15" t="s">
        <v>38</v>
      </c>
      <c r="E1669" s="15" t="s">
        <v>53</v>
      </c>
      <c r="F1669" s="15" t="s">
        <v>52</v>
      </c>
      <c r="G1669" s="15" t="s">
        <v>66</v>
      </c>
      <c r="H1669" s="15" t="s">
        <v>45</v>
      </c>
      <c r="I1669">
        <v>30</v>
      </c>
      <c r="J1669">
        <v>30</v>
      </c>
      <c r="K1669">
        <v>20</v>
      </c>
      <c r="L1669">
        <v>60</v>
      </c>
      <c r="M1669">
        <v>54</v>
      </c>
      <c r="N1669">
        <v>404</v>
      </c>
      <c r="O1669">
        <v>66</v>
      </c>
      <c r="P1669">
        <v>20</v>
      </c>
      <c r="Q1669">
        <v>13</v>
      </c>
      <c r="R1669">
        <v>120</v>
      </c>
      <c r="S1669">
        <v>2</v>
      </c>
      <c r="T1669">
        <v>0.65</v>
      </c>
      <c r="U1669">
        <v>1.8</v>
      </c>
    </row>
    <row r="1670" spans="1:21" x14ac:dyDescent="0.35">
      <c r="A1670">
        <v>774</v>
      </c>
      <c r="B1670" s="16">
        <v>40452</v>
      </c>
      <c r="C1670" s="15" t="s">
        <v>63</v>
      </c>
      <c r="D1670" s="15" t="s">
        <v>38</v>
      </c>
      <c r="E1670" s="15" t="s">
        <v>48</v>
      </c>
      <c r="F1670" s="15" t="s">
        <v>49</v>
      </c>
      <c r="G1670" s="15" t="s">
        <v>66</v>
      </c>
      <c r="H1670" s="15" t="s">
        <v>42</v>
      </c>
      <c r="I1670">
        <v>30</v>
      </c>
      <c r="J1670">
        <v>70</v>
      </c>
      <c r="K1670">
        <v>30</v>
      </c>
      <c r="L1670">
        <v>100</v>
      </c>
      <c r="M1670">
        <v>51</v>
      </c>
      <c r="N1670">
        <v>542</v>
      </c>
      <c r="O1670">
        <v>65</v>
      </c>
      <c r="P1670">
        <v>46</v>
      </c>
      <c r="Q1670">
        <v>-11</v>
      </c>
      <c r="R1670">
        <v>116</v>
      </c>
      <c r="S1670">
        <v>1.1599999999999999</v>
      </c>
      <c r="T1670">
        <v>-0.36666666666666664</v>
      </c>
      <c r="U1670">
        <v>1.7</v>
      </c>
    </row>
    <row r="1671" spans="1:21" x14ac:dyDescent="0.35">
      <c r="A1671">
        <v>781</v>
      </c>
      <c r="B1671" s="16">
        <v>40452</v>
      </c>
      <c r="C1671" s="15" t="s">
        <v>63</v>
      </c>
      <c r="D1671" s="15" t="s">
        <v>38</v>
      </c>
      <c r="E1671" s="15" t="s">
        <v>67</v>
      </c>
      <c r="F1671" s="15" t="s">
        <v>49</v>
      </c>
      <c r="G1671" s="15" t="s">
        <v>66</v>
      </c>
      <c r="H1671" s="15" t="s">
        <v>42</v>
      </c>
      <c r="I1671">
        <v>140</v>
      </c>
      <c r="J1671">
        <v>160</v>
      </c>
      <c r="K1671">
        <v>120</v>
      </c>
      <c r="L1671">
        <v>300</v>
      </c>
      <c r="M1671">
        <v>161</v>
      </c>
      <c r="N1671">
        <v>1267</v>
      </c>
      <c r="O1671">
        <v>161</v>
      </c>
      <c r="P1671">
        <v>45</v>
      </c>
      <c r="Q1671">
        <v>92</v>
      </c>
      <c r="R1671">
        <v>322</v>
      </c>
      <c r="S1671">
        <v>1.0733333333333333</v>
      </c>
      <c r="T1671">
        <v>0.76666666666666672</v>
      </c>
      <c r="U1671">
        <v>1.1499999999999999</v>
      </c>
    </row>
    <row r="1672" spans="1:21" x14ac:dyDescent="0.35">
      <c r="A1672">
        <v>857</v>
      </c>
      <c r="B1672" s="16">
        <v>40452</v>
      </c>
      <c r="C1672" s="15" t="s">
        <v>63</v>
      </c>
      <c r="D1672" s="15" t="s">
        <v>38</v>
      </c>
      <c r="E1672" s="15" t="s">
        <v>43</v>
      </c>
      <c r="F1672" s="15" t="s">
        <v>40</v>
      </c>
      <c r="G1672" s="15" t="s">
        <v>66</v>
      </c>
      <c r="H1672" s="15" t="s">
        <v>42</v>
      </c>
      <c r="I1672">
        <v>50</v>
      </c>
      <c r="J1672">
        <v>350</v>
      </c>
      <c r="K1672">
        <v>330</v>
      </c>
      <c r="L1672">
        <v>400</v>
      </c>
      <c r="M1672">
        <v>72</v>
      </c>
      <c r="N1672">
        <v>-3004</v>
      </c>
      <c r="O1672">
        <v>402</v>
      </c>
      <c r="P1672">
        <v>23</v>
      </c>
      <c r="Q1672">
        <v>348</v>
      </c>
      <c r="R1672">
        <v>474</v>
      </c>
      <c r="S1672">
        <v>1.1850000000000001</v>
      </c>
      <c r="T1672">
        <v>1.0545454545454545</v>
      </c>
      <c r="U1672">
        <v>1.44</v>
      </c>
    </row>
    <row r="1673" spans="1:21" x14ac:dyDescent="0.35">
      <c r="A1673">
        <v>603</v>
      </c>
      <c r="B1673" s="16">
        <v>40452</v>
      </c>
      <c r="C1673" s="15" t="s">
        <v>63</v>
      </c>
      <c r="D1673" s="15" t="s">
        <v>58</v>
      </c>
      <c r="E1673" s="15" t="s">
        <v>55</v>
      </c>
      <c r="F1673" s="15" t="s">
        <v>47</v>
      </c>
      <c r="G1673" s="15" t="s">
        <v>68</v>
      </c>
      <c r="H1673" s="15" t="s">
        <v>42</v>
      </c>
      <c r="I1673">
        <v>20</v>
      </c>
      <c r="J1673">
        <v>30</v>
      </c>
      <c r="K1673">
        <v>30</v>
      </c>
      <c r="L1673">
        <v>50</v>
      </c>
      <c r="M1673">
        <v>21</v>
      </c>
      <c r="N1673">
        <v>846</v>
      </c>
      <c r="O1673">
        <v>31</v>
      </c>
      <c r="P1673">
        <v>5</v>
      </c>
      <c r="Q1673">
        <v>14</v>
      </c>
      <c r="R1673">
        <v>52</v>
      </c>
      <c r="S1673">
        <v>1.04</v>
      </c>
      <c r="T1673">
        <v>0.46666666666666667</v>
      </c>
      <c r="U1673">
        <v>1.05</v>
      </c>
    </row>
    <row r="1674" spans="1:21" x14ac:dyDescent="0.35">
      <c r="A1674">
        <v>603</v>
      </c>
      <c r="B1674" s="16">
        <v>40452</v>
      </c>
      <c r="C1674" s="15" t="s">
        <v>63</v>
      </c>
      <c r="D1674" s="15" t="s">
        <v>58</v>
      </c>
      <c r="E1674" s="15" t="s">
        <v>46</v>
      </c>
      <c r="F1674" s="15" t="s">
        <v>47</v>
      </c>
      <c r="G1674" s="15" t="s">
        <v>68</v>
      </c>
      <c r="H1674" s="15" t="s">
        <v>42</v>
      </c>
      <c r="I1674">
        <v>0</v>
      </c>
      <c r="J1674">
        <v>40</v>
      </c>
      <c r="K1674">
        <v>40</v>
      </c>
      <c r="L1674">
        <v>40</v>
      </c>
      <c r="M1674">
        <v>0</v>
      </c>
      <c r="N1674">
        <v>430</v>
      </c>
      <c r="O1674">
        <v>43</v>
      </c>
      <c r="P1674">
        <v>0</v>
      </c>
      <c r="Q1674">
        <v>32</v>
      </c>
      <c r="R1674">
        <v>43</v>
      </c>
      <c r="S1674">
        <v>1.075</v>
      </c>
      <c r="T1674">
        <v>0.8</v>
      </c>
    </row>
    <row r="1675" spans="1:21" x14ac:dyDescent="0.35">
      <c r="A1675">
        <v>603</v>
      </c>
      <c r="B1675" s="16">
        <v>40452</v>
      </c>
      <c r="C1675" s="15" t="s">
        <v>63</v>
      </c>
      <c r="D1675" s="15" t="s">
        <v>58</v>
      </c>
      <c r="E1675" s="15" t="s">
        <v>53</v>
      </c>
      <c r="F1675" s="15" t="s">
        <v>52</v>
      </c>
      <c r="G1675" s="15" t="s">
        <v>68</v>
      </c>
      <c r="H1675" s="15" t="s">
        <v>45</v>
      </c>
      <c r="I1675">
        <v>10</v>
      </c>
      <c r="J1675">
        <v>30</v>
      </c>
      <c r="K1675">
        <v>20</v>
      </c>
      <c r="L1675">
        <v>40</v>
      </c>
      <c r="M1675">
        <v>34</v>
      </c>
      <c r="N1675">
        <v>240</v>
      </c>
      <c r="O1675">
        <v>43</v>
      </c>
      <c r="P1675">
        <v>12</v>
      </c>
      <c r="Q1675">
        <v>-3</v>
      </c>
      <c r="R1675">
        <v>77</v>
      </c>
      <c r="S1675">
        <v>1.925</v>
      </c>
      <c r="T1675">
        <v>-0.15</v>
      </c>
      <c r="U1675">
        <v>3.4</v>
      </c>
    </row>
    <row r="1676" spans="1:21" x14ac:dyDescent="0.35">
      <c r="A1676">
        <v>603</v>
      </c>
      <c r="B1676" s="16">
        <v>40452</v>
      </c>
      <c r="C1676" s="15" t="s">
        <v>63</v>
      </c>
      <c r="D1676" s="15" t="s">
        <v>58</v>
      </c>
      <c r="E1676" s="15" t="s">
        <v>48</v>
      </c>
      <c r="F1676" s="15" t="s">
        <v>49</v>
      </c>
      <c r="G1676" s="15" t="s">
        <v>68</v>
      </c>
      <c r="H1676" s="15" t="s">
        <v>42</v>
      </c>
      <c r="I1676">
        <v>30</v>
      </c>
      <c r="J1676">
        <v>60</v>
      </c>
      <c r="K1676">
        <v>30</v>
      </c>
      <c r="L1676">
        <v>90</v>
      </c>
      <c r="M1676">
        <v>45</v>
      </c>
      <c r="N1676">
        <v>320</v>
      </c>
      <c r="O1676">
        <v>64</v>
      </c>
      <c r="P1676">
        <v>41</v>
      </c>
      <c r="Q1676">
        <v>-7</v>
      </c>
      <c r="R1676">
        <v>109</v>
      </c>
      <c r="S1676">
        <v>1.211111111111111</v>
      </c>
      <c r="T1676">
        <v>-0.23333333333333334</v>
      </c>
      <c r="U1676">
        <v>1.5</v>
      </c>
    </row>
    <row r="1677" spans="1:21" x14ac:dyDescent="0.35">
      <c r="A1677">
        <v>603</v>
      </c>
      <c r="B1677" s="16">
        <v>40452</v>
      </c>
      <c r="C1677" s="15" t="s">
        <v>63</v>
      </c>
      <c r="D1677" s="15" t="s">
        <v>58</v>
      </c>
      <c r="E1677" s="15" t="s">
        <v>67</v>
      </c>
      <c r="F1677" s="15" t="s">
        <v>49</v>
      </c>
      <c r="G1677" s="15" t="s">
        <v>68</v>
      </c>
      <c r="H1677" s="15" t="s">
        <v>42</v>
      </c>
      <c r="I1677">
        <v>10</v>
      </c>
      <c r="J1677">
        <v>30</v>
      </c>
      <c r="K1677">
        <v>10</v>
      </c>
      <c r="L1677">
        <v>40</v>
      </c>
      <c r="M1677">
        <v>25</v>
      </c>
      <c r="N1677">
        <v>209</v>
      </c>
      <c r="O1677">
        <v>31</v>
      </c>
      <c r="P1677">
        <v>9</v>
      </c>
      <c r="Q1677">
        <v>-12</v>
      </c>
      <c r="R1677">
        <v>56</v>
      </c>
      <c r="S1677">
        <v>1.4</v>
      </c>
      <c r="T1677">
        <v>-1.2</v>
      </c>
      <c r="U1677">
        <v>2.5</v>
      </c>
    </row>
    <row r="1678" spans="1:21" x14ac:dyDescent="0.35">
      <c r="A1678">
        <v>603</v>
      </c>
      <c r="B1678" s="16">
        <v>40452</v>
      </c>
      <c r="C1678" s="15" t="s">
        <v>63</v>
      </c>
      <c r="D1678" s="15" t="s">
        <v>58</v>
      </c>
      <c r="E1678" s="15" t="s">
        <v>43</v>
      </c>
      <c r="F1678" s="15" t="s">
        <v>40</v>
      </c>
      <c r="G1678" s="15" t="s">
        <v>68</v>
      </c>
      <c r="H1678" s="15" t="s">
        <v>42</v>
      </c>
      <c r="I1678">
        <v>30</v>
      </c>
      <c r="J1678">
        <v>60</v>
      </c>
      <c r="K1678">
        <v>50</v>
      </c>
      <c r="L1678">
        <v>90</v>
      </c>
      <c r="M1678">
        <v>45</v>
      </c>
      <c r="N1678">
        <v>447</v>
      </c>
      <c r="O1678">
        <v>69</v>
      </c>
      <c r="P1678">
        <v>14</v>
      </c>
      <c r="Q1678">
        <v>24</v>
      </c>
      <c r="R1678">
        <v>114</v>
      </c>
      <c r="S1678">
        <v>1.2666666666666666</v>
      </c>
      <c r="T1678">
        <v>0.48</v>
      </c>
      <c r="U1678">
        <v>1.5</v>
      </c>
    </row>
    <row r="1679" spans="1:21" x14ac:dyDescent="0.35">
      <c r="A1679">
        <v>603</v>
      </c>
      <c r="B1679" s="16">
        <v>40452</v>
      </c>
      <c r="C1679" s="15" t="s">
        <v>63</v>
      </c>
      <c r="D1679" s="15" t="s">
        <v>58</v>
      </c>
      <c r="E1679" s="15" t="s">
        <v>39</v>
      </c>
      <c r="F1679" s="15" t="s">
        <v>40</v>
      </c>
      <c r="G1679" s="15" t="s">
        <v>68</v>
      </c>
      <c r="H1679" s="15" t="s">
        <v>42</v>
      </c>
      <c r="I1679">
        <v>30</v>
      </c>
      <c r="J1679">
        <v>60</v>
      </c>
      <c r="K1679">
        <v>60</v>
      </c>
      <c r="L1679">
        <v>90</v>
      </c>
      <c r="M1679">
        <v>49</v>
      </c>
      <c r="N1679">
        <v>310</v>
      </c>
      <c r="O1679">
        <v>71</v>
      </c>
      <c r="P1679">
        <v>15</v>
      </c>
      <c r="Q1679">
        <v>33</v>
      </c>
      <c r="R1679">
        <v>120</v>
      </c>
      <c r="S1679">
        <v>1.3333333333333333</v>
      </c>
      <c r="T1679">
        <v>0.55000000000000004</v>
      </c>
      <c r="U1679">
        <v>1.6333333333333333</v>
      </c>
    </row>
    <row r="1680" spans="1:21" x14ac:dyDescent="0.35">
      <c r="A1680">
        <v>516</v>
      </c>
      <c r="B1680" s="16">
        <v>40452</v>
      </c>
      <c r="C1680" s="15" t="s">
        <v>63</v>
      </c>
      <c r="D1680" s="15" t="s">
        <v>38</v>
      </c>
      <c r="E1680" s="15" t="s">
        <v>55</v>
      </c>
      <c r="F1680" s="15" t="s">
        <v>47</v>
      </c>
      <c r="G1680" s="15" t="s">
        <v>69</v>
      </c>
      <c r="H1680" s="15" t="s">
        <v>42</v>
      </c>
      <c r="I1680">
        <v>110</v>
      </c>
      <c r="J1680">
        <v>170</v>
      </c>
      <c r="K1680">
        <v>140</v>
      </c>
      <c r="L1680">
        <v>280</v>
      </c>
      <c r="M1680">
        <v>108</v>
      </c>
      <c r="N1680">
        <v>971</v>
      </c>
      <c r="O1680">
        <v>157</v>
      </c>
      <c r="P1680">
        <v>30</v>
      </c>
      <c r="Q1680">
        <v>115</v>
      </c>
      <c r="R1680">
        <v>265</v>
      </c>
      <c r="S1680">
        <v>0.9464285714285714</v>
      </c>
      <c r="T1680">
        <v>0.8214285714285714</v>
      </c>
      <c r="U1680">
        <v>0.98181818181818181</v>
      </c>
    </row>
    <row r="1681" spans="1:21" x14ac:dyDescent="0.35">
      <c r="A1681">
        <v>716</v>
      </c>
      <c r="B1681" s="16">
        <v>40452</v>
      </c>
      <c r="C1681" s="15" t="s">
        <v>63</v>
      </c>
      <c r="D1681" s="15" t="s">
        <v>38</v>
      </c>
      <c r="E1681" s="15" t="s">
        <v>56</v>
      </c>
      <c r="F1681" s="15" t="s">
        <v>47</v>
      </c>
      <c r="G1681" s="15" t="s">
        <v>69</v>
      </c>
      <c r="H1681" s="15" t="s">
        <v>42</v>
      </c>
      <c r="I1681">
        <v>130</v>
      </c>
      <c r="J1681">
        <v>190</v>
      </c>
      <c r="K1681">
        <v>160</v>
      </c>
      <c r="L1681">
        <v>320</v>
      </c>
      <c r="M1681">
        <v>123</v>
      </c>
      <c r="N1681">
        <v>915</v>
      </c>
      <c r="O1681">
        <v>179</v>
      </c>
      <c r="P1681">
        <v>34</v>
      </c>
      <c r="Q1681">
        <v>134</v>
      </c>
      <c r="R1681">
        <v>302</v>
      </c>
      <c r="S1681">
        <v>0.94374999999999998</v>
      </c>
      <c r="T1681">
        <v>0.83750000000000002</v>
      </c>
      <c r="U1681">
        <v>0.94615384615384612</v>
      </c>
    </row>
    <row r="1682" spans="1:21" x14ac:dyDescent="0.35">
      <c r="A1682">
        <v>518</v>
      </c>
      <c r="B1682" s="16">
        <v>40452</v>
      </c>
      <c r="C1682" s="15" t="s">
        <v>63</v>
      </c>
      <c r="D1682" s="15" t="s">
        <v>38</v>
      </c>
      <c r="E1682" s="15" t="s">
        <v>46</v>
      </c>
      <c r="F1682" s="15" t="s">
        <v>47</v>
      </c>
      <c r="G1682" s="15" t="s">
        <v>69</v>
      </c>
      <c r="H1682" s="15" t="s">
        <v>42</v>
      </c>
      <c r="I1682">
        <v>80</v>
      </c>
      <c r="J1682">
        <v>120</v>
      </c>
      <c r="K1682">
        <v>100</v>
      </c>
      <c r="L1682">
        <v>200</v>
      </c>
      <c r="M1682">
        <v>76</v>
      </c>
      <c r="N1682">
        <v>580</v>
      </c>
      <c r="O1682">
        <v>111</v>
      </c>
      <c r="P1682">
        <v>21</v>
      </c>
      <c r="Q1682">
        <v>78</v>
      </c>
      <c r="R1682">
        <v>187</v>
      </c>
      <c r="S1682">
        <v>0.93500000000000005</v>
      </c>
      <c r="T1682">
        <v>0.78</v>
      </c>
      <c r="U1682">
        <v>0.95</v>
      </c>
    </row>
    <row r="1683" spans="1:21" x14ac:dyDescent="0.35">
      <c r="A1683">
        <v>845</v>
      </c>
      <c r="B1683" s="16">
        <v>40452</v>
      </c>
      <c r="C1683" s="15" t="s">
        <v>63</v>
      </c>
      <c r="D1683" s="15" t="s">
        <v>38</v>
      </c>
      <c r="E1683" s="15" t="s">
        <v>53</v>
      </c>
      <c r="F1683" s="15" t="s">
        <v>52</v>
      </c>
      <c r="G1683" s="15" t="s">
        <v>69</v>
      </c>
      <c r="H1683" s="15" t="s">
        <v>45</v>
      </c>
      <c r="I1683">
        <v>140</v>
      </c>
      <c r="J1683">
        <v>150</v>
      </c>
      <c r="K1683">
        <v>70</v>
      </c>
      <c r="L1683">
        <v>290</v>
      </c>
      <c r="M1683">
        <v>255</v>
      </c>
      <c r="N1683">
        <v>1622</v>
      </c>
      <c r="O1683">
        <v>258</v>
      </c>
      <c r="P1683">
        <v>96</v>
      </c>
      <c r="Q1683">
        <v>129</v>
      </c>
      <c r="R1683">
        <v>513</v>
      </c>
      <c r="S1683">
        <v>1.7689655172413794</v>
      </c>
      <c r="T1683">
        <v>1.8428571428571427</v>
      </c>
      <c r="U1683">
        <v>1.8214285714285714</v>
      </c>
    </row>
    <row r="1684" spans="1:21" x14ac:dyDescent="0.35">
      <c r="A1684">
        <v>315</v>
      </c>
      <c r="B1684" s="16">
        <v>40452</v>
      </c>
      <c r="C1684" s="15" t="s">
        <v>63</v>
      </c>
      <c r="D1684" s="15" t="s">
        <v>38</v>
      </c>
      <c r="E1684" s="15" t="s">
        <v>54</v>
      </c>
      <c r="F1684" s="15" t="s">
        <v>52</v>
      </c>
      <c r="G1684" s="15" t="s">
        <v>69</v>
      </c>
      <c r="H1684" s="15" t="s">
        <v>45</v>
      </c>
      <c r="I1684">
        <v>130</v>
      </c>
      <c r="J1684">
        <v>-50</v>
      </c>
      <c r="K1684">
        <v>-100</v>
      </c>
      <c r="L1684">
        <v>80</v>
      </c>
      <c r="M1684">
        <v>239</v>
      </c>
      <c r="N1684">
        <v>4360</v>
      </c>
      <c r="O1684">
        <v>-75</v>
      </c>
      <c r="P1684">
        <v>74</v>
      </c>
      <c r="Q1684">
        <v>-170</v>
      </c>
      <c r="R1684">
        <v>164</v>
      </c>
      <c r="S1684">
        <v>2.0499999999999998</v>
      </c>
      <c r="T1684">
        <v>1.7</v>
      </c>
      <c r="U1684">
        <v>1.8384615384615384</v>
      </c>
    </row>
    <row r="1685" spans="1:21" x14ac:dyDescent="0.35">
      <c r="A1685">
        <v>845</v>
      </c>
      <c r="B1685" s="16">
        <v>40452</v>
      </c>
      <c r="C1685" s="15" t="s">
        <v>63</v>
      </c>
      <c r="D1685" s="15" t="s">
        <v>38</v>
      </c>
      <c r="E1685" s="15" t="s">
        <v>48</v>
      </c>
      <c r="F1685" s="15" t="s">
        <v>49</v>
      </c>
      <c r="G1685" s="15" t="s">
        <v>69</v>
      </c>
      <c r="H1685" s="15" t="s">
        <v>42</v>
      </c>
      <c r="I1685">
        <v>110</v>
      </c>
      <c r="J1685">
        <v>-60</v>
      </c>
      <c r="K1685">
        <v>-170</v>
      </c>
      <c r="L1685">
        <v>50</v>
      </c>
      <c r="M1685">
        <v>125</v>
      </c>
      <c r="N1685">
        <v>3142</v>
      </c>
      <c r="O1685">
        <v>-56</v>
      </c>
      <c r="P1685">
        <v>113</v>
      </c>
      <c r="Q1685">
        <v>-202</v>
      </c>
      <c r="R1685">
        <v>69</v>
      </c>
      <c r="S1685">
        <v>1.38</v>
      </c>
      <c r="T1685">
        <v>1.1882352941176471</v>
      </c>
      <c r="U1685">
        <v>1.1363636363636365</v>
      </c>
    </row>
    <row r="1686" spans="1:21" x14ac:dyDescent="0.35">
      <c r="A1686">
        <v>718</v>
      </c>
      <c r="B1686" s="16">
        <v>40452</v>
      </c>
      <c r="C1686" s="15" t="s">
        <v>63</v>
      </c>
      <c r="D1686" s="15" t="s">
        <v>38</v>
      </c>
      <c r="E1686" s="15" t="s">
        <v>67</v>
      </c>
      <c r="F1686" s="15" t="s">
        <v>49</v>
      </c>
      <c r="G1686" s="15" t="s">
        <v>69</v>
      </c>
      <c r="H1686" s="15" t="s">
        <v>42</v>
      </c>
      <c r="I1686">
        <v>210</v>
      </c>
      <c r="J1686">
        <v>510</v>
      </c>
      <c r="K1686">
        <v>450</v>
      </c>
      <c r="L1686">
        <v>720</v>
      </c>
      <c r="M1686">
        <v>239</v>
      </c>
      <c r="N1686">
        <v>1197</v>
      </c>
      <c r="O1686">
        <v>526</v>
      </c>
      <c r="P1686">
        <v>66</v>
      </c>
      <c r="Q1686">
        <v>435</v>
      </c>
      <c r="R1686">
        <v>765</v>
      </c>
      <c r="S1686">
        <v>1.0625</v>
      </c>
      <c r="T1686">
        <v>0.96666666666666667</v>
      </c>
      <c r="U1686">
        <v>1.138095238095238</v>
      </c>
    </row>
    <row r="1687" spans="1:21" x14ac:dyDescent="0.35">
      <c r="A1687">
        <v>315</v>
      </c>
      <c r="B1687" s="16">
        <v>40452</v>
      </c>
      <c r="C1687" s="15" t="s">
        <v>63</v>
      </c>
      <c r="D1687" s="15" t="s">
        <v>38</v>
      </c>
      <c r="E1687" s="15" t="s">
        <v>43</v>
      </c>
      <c r="F1687" s="15" t="s">
        <v>40</v>
      </c>
      <c r="G1687" s="15" t="s">
        <v>69</v>
      </c>
      <c r="H1687" s="15" t="s">
        <v>42</v>
      </c>
      <c r="I1687">
        <v>210</v>
      </c>
      <c r="J1687">
        <v>330</v>
      </c>
      <c r="K1687">
        <v>230</v>
      </c>
      <c r="L1687">
        <v>540</v>
      </c>
      <c r="M1687">
        <v>260</v>
      </c>
      <c r="N1687">
        <v>2548</v>
      </c>
      <c r="O1687">
        <v>390</v>
      </c>
      <c r="P1687">
        <v>91</v>
      </c>
      <c r="Q1687">
        <v>247</v>
      </c>
      <c r="R1687">
        <v>650</v>
      </c>
      <c r="S1687">
        <v>1.2037037037037037</v>
      </c>
      <c r="T1687">
        <v>1.0739130434782609</v>
      </c>
      <c r="U1687">
        <v>1.2380952380952381</v>
      </c>
    </row>
    <row r="1688" spans="1:21" x14ac:dyDescent="0.35">
      <c r="A1688">
        <v>225</v>
      </c>
      <c r="B1688" s="16">
        <v>40452</v>
      </c>
      <c r="C1688" s="15" t="s">
        <v>70</v>
      </c>
      <c r="D1688" s="15" t="s">
        <v>58</v>
      </c>
      <c r="E1688" s="15" t="s">
        <v>43</v>
      </c>
      <c r="F1688" s="15" t="s">
        <v>40</v>
      </c>
      <c r="G1688" s="15" t="s">
        <v>71</v>
      </c>
      <c r="H1688" s="15" t="s">
        <v>42</v>
      </c>
      <c r="I1688">
        <v>70</v>
      </c>
      <c r="J1688">
        <v>90</v>
      </c>
      <c r="K1688">
        <v>80</v>
      </c>
      <c r="L1688">
        <v>160</v>
      </c>
      <c r="M1688">
        <v>48</v>
      </c>
      <c r="N1688">
        <v>829</v>
      </c>
      <c r="O1688">
        <v>71</v>
      </c>
      <c r="P1688">
        <v>13</v>
      </c>
      <c r="Q1688">
        <v>47</v>
      </c>
      <c r="R1688">
        <v>119</v>
      </c>
      <c r="S1688">
        <v>0.74375000000000002</v>
      </c>
      <c r="T1688">
        <v>0.58750000000000002</v>
      </c>
      <c r="U1688">
        <v>0.68571428571428572</v>
      </c>
    </row>
    <row r="1689" spans="1:21" x14ac:dyDescent="0.35">
      <c r="A1689">
        <v>225</v>
      </c>
      <c r="B1689" s="16">
        <v>40452</v>
      </c>
      <c r="C1689" s="15" t="s">
        <v>70</v>
      </c>
      <c r="D1689" s="15" t="s">
        <v>58</v>
      </c>
      <c r="E1689" s="15" t="s">
        <v>44</v>
      </c>
      <c r="F1689" s="15" t="s">
        <v>40</v>
      </c>
      <c r="G1689" s="15" t="s">
        <v>71</v>
      </c>
      <c r="H1689" s="15" t="s">
        <v>45</v>
      </c>
      <c r="I1689">
        <v>70</v>
      </c>
      <c r="J1689">
        <v>90</v>
      </c>
      <c r="K1689">
        <v>80</v>
      </c>
      <c r="L1689">
        <v>160</v>
      </c>
      <c r="M1689">
        <v>48</v>
      </c>
      <c r="N1689">
        <v>851</v>
      </c>
      <c r="O1689">
        <v>70</v>
      </c>
      <c r="P1689">
        <v>13</v>
      </c>
      <c r="Q1689">
        <v>45</v>
      </c>
      <c r="R1689">
        <v>118</v>
      </c>
      <c r="S1689">
        <v>0.73750000000000004</v>
      </c>
      <c r="T1689">
        <v>0.5625</v>
      </c>
      <c r="U1689">
        <v>0.68571428571428572</v>
      </c>
    </row>
    <row r="1690" spans="1:21" x14ac:dyDescent="0.35">
      <c r="A1690">
        <v>225</v>
      </c>
      <c r="B1690" s="16">
        <v>40452</v>
      </c>
      <c r="C1690" s="15" t="s">
        <v>70</v>
      </c>
      <c r="D1690" s="15" t="s">
        <v>58</v>
      </c>
      <c r="E1690" s="15" t="s">
        <v>51</v>
      </c>
      <c r="F1690" s="15" t="s">
        <v>52</v>
      </c>
      <c r="G1690" s="15" t="s">
        <v>71</v>
      </c>
      <c r="H1690" s="15" t="s">
        <v>45</v>
      </c>
      <c r="I1690">
        <v>80</v>
      </c>
      <c r="J1690">
        <v>130</v>
      </c>
      <c r="K1690">
        <v>110</v>
      </c>
      <c r="L1690">
        <v>210</v>
      </c>
      <c r="M1690">
        <v>103</v>
      </c>
      <c r="N1690">
        <v>564</v>
      </c>
      <c r="O1690">
        <v>133</v>
      </c>
      <c r="P1690">
        <v>33</v>
      </c>
      <c r="Q1690">
        <v>87</v>
      </c>
      <c r="R1690">
        <v>236</v>
      </c>
      <c r="S1690">
        <v>1.1238095238095238</v>
      </c>
      <c r="T1690">
        <v>0.79090909090909089</v>
      </c>
      <c r="U1690">
        <v>1.2875000000000001</v>
      </c>
    </row>
    <row r="1691" spans="1:21" x14ac:dyDescent="0.35">
      <c r="A1691">
        <v>504</v>
      </c>
      <c r="B1691" s="16">
        <v>40452</v>
      </c>
      <c r="C1691" s="15" t="s">
        <v>70</v>
      </c>
      <c r="D1691" s="15" t="s">
        <v>58</v>
      </c>
      <c r="E1691" s="15" t="s">
        <v>53</v>
      </c>
      <c r="F1691" s="15" t="s">
        <v>52</v>
      </c>
      <c r="G1691" s="15" t="s">
        <v>71</v>
      </c>
      <c r="H1691" s="15" t="s">
        <v>45</v>
      </c>
      <c r="I1691">
        <v>60</v>
      </c>
      <c r="J1691">
        <v>90</v>
      </c>
      <c r="K1691">
        <v>60</v>
      </c>
      <c r="L1691">
        <v>150</v>
      </c>
      <c r="M1691">
        <v>79</v>
      </c>
      <c r="N1691">
        <v>593</v>
      </c>
      <c r="O1691">
        <v>98</v>
      </c>
      <c r="P1691">
        <v>30</v>
      </c>
      <c r="Q1691">
        <v>34</v>
      </c>
      <c r="R1691">
        <v>177</v>
      </c>
      <c r="S1691">
        <v>1.18</v>
      </c>
      <c r="T1691">
        <v>0.56666666666666665</v>
      </c>
      <c r="U1691">
        <v>1.3166666666666667</v>
      </c>
    </row>
    <row r="1692" spans="1:21" x14ac:dyDescent="0.35">
      <c r="A1692">
        <v>318</v>
      </c>
      <c r="B1692" s="16">
        <v>40452</v>
      </c>
      <c r="C1692" s="15" t="s">
        <v>70</v>
      </c>
      <c r="D1692" s="15" t="s">
        <v>58</v>
      </c>
      <c r="E1692" s="15" t="s">
        <v>72</v>
      </c>
      <c r="F1692" s="15" t="s">
        <v>49</v>
      </c>
      <c r="G1692" s="15" t="s">
        <v>71</v>
      </c>
      <c r="H1692" s="15" t="s">
        <v>42</v>
      </c>
      <c r="I1692">
        <v>30</v>
      </c>
      <c r="J1692">
        <v>60</v>
      </c>
      <c r="K1692">
        <v>10</v>
      </c>
      <c r="L1692">
        <v>90</v>
      </c>
      <c r="M1692">
        <v>60</v>
      </c>
      <c r="N1692">
        <v>-762</v>
      </c>
      <c r="O1692">
        <v>84</v>
      </c>
      <c r="P1692">
        <v>54</v>
      </c>
      <c r="Q1692">
        <v>1</v>
      </c>
      <c r="R1692">
        <v>144</v>
      </c>
      <c r="S1692">
        <v>1.6</v>
      </c>
      <c r="T1692">
        <v>0.1</v>
      </c>
      <c r="U1692">
        <v>2</v>
      </c>
    </row>
    <row r="1693" spans="1:21" x14ac:dyDescent="0.35">
      <c r="A1693">
        <v>985</v>
      </c>
      <c r="B1693" s="16">
        <v>40452</v>
      </c>
      <c r="C1693" s="15" t="s">
        <v>70</v>
      </c>
      <c r="D1693" s="15" t="s">
        <v>58</v>
      </c>
      <c r="E1693" s="15" t="s">
        <v>48</v>
      </c>
      <c r="F1693" s="15" t="s">
        <v>49</v>
      </c>
      <c r="G1693" s="15" t="s">
        <v>71</v>
      </c>
      <c r="H1693" s="15" t="s">
        <v>42</v>
      </c>
      <c r="I1693">
        <v>30</v>
      </c>
      <c r="J1693">
        <v>70</v>
      </c>
      <c r="K1693">
        <v>70</v>
      </c>
      <c r="L1693">
        <v>100</v>
      </c>
      <c r="M1693">
        <v>60</v>
      </c>
      <c r="N1693">
        <v>329</v>
      </c>
      <c r="O1693">
        <v>99</v>
      </c>
      <c r="P1693">
        <v>18</v>
      </c>
      <c r="Q1693">
        <v>58</v>
      </c>
      <c r="R1693">
        <v>159</v>
      </c>
      <c r="S1693">
        <v>1.59</v>
      </c>
      <c r="T1693">
        <v>0.82857142857142863</v>
      </c>
      <c r="U1693">
        <v>2</v>
      </c>
    </row>
    <row r="1694" spans="1:21" x14ac:dyDescent="0.35">
      <c r="A1694">
        <v>318</v>
      </c>
      <c r="B1694" s="16">
        <v>40452</v>
      </c>
      <c r="C1694" s="15" t="s">
        <v>70</v>
      </c>
      <c r="D1694" s="15" t="s">
        <v>58</v>
      </c>
      <c r="E1694" s="15" t="s">
        <v>50</v>
      </c>
      <c r="F1694" s="15" t="s">
        <v>49</v>
      </c>
      <c r="G1694" s="15" t="s">
        <v>71</v>
      </c>
      <c r="H1694" s="15" t="s">
        <v>45</v>
      </c>
      <c r="I1694">
        <v>20</v>
      </c>
      <c r="J1694">
        <v>40</v>
      </c>
      <c r="K1694">
        <v>40</v>
      </c>
      <c r="L1694">
        <v>60</v>
      </c>
      <c r="M1694">
        <v>46</v>
      </c>
      <c r="N1694">
        <v>449</v>
      </c>
      <c r="O1694">
        <v>67</v>
      </c>
      <c r="P1694">
        <v>14</v>
      </c>
      <c r="Q1694">
        <v>30</v>
      </c>
      <c r="R1694">
        <v>113</v>
      </c>
      <c r="S1694">
        <v>1.8833333333333333</v>
      </c>
      <c r="T1694">
        <v>0.75</v>
      </c>
      <c r="U1694">
        <v>2.2999999999999998</v>
      </c>
    </row>
    <row r="1695" spans="1:21" x14ac:dyDescent="0.35">
      <c r="A1695">
        <v>505</v>
      </c>
      <c r="B1695" s="16">
        <v>40452</v>
      </c>
      <c r="C1695" s="15" t="s">
        <v>70</v>
      </c>
      <c r="D1695" s="15" t="s">
        <v>58</v>
      </c>
      <c r="E1695" s="15" t="s">
        <v>43</v>
      </c>
      <c r="F1695" s="15" t="s">
        <v>40</v>
      </c>
      <c r="G1695" s="15" t="s">
        <v>73</v>
      </c>
      <c r="H1695" s="15" t="s">
        <v>42</v>
      </c>
      <c r="I1695">
        <v>50</v>
      </c>
      <c r="J1695">
        <v>110</v>
      </c>
      <c r="K1695">
        <v>80</v>
      </c>
      <c r="L1695">
        <v>160</v>
      </c>
      <c r="M1695">
        <v>45</v>
      </c>
      <c r="N1695">
        <v>447</v>
      </c>
      <c r="O1695">
        <v>69</v>
      </c>
      <c r="P1695">
        <v>14</v>
      </c>
      <c r="Q1695">
        <v>23</v>
      </c>
      <c r="R1695">
        <v>114</v>
      </c>
      <c r="S1695">
        <v>0.71250000000000002</v>
      </c>
      <c r="T1695">
        <v>0.28749999999999998</v>
      </c>
      <c r="U1695">
        <v>0.9</v>
      </c>
    </row>
    <row r="1696" spans="1:21" x14ac:dyDescent="0.35">
      <c r="A1696">
        <v>505</v>
      </c>
      <c r="B1696" s="16">
        <v>40452</v>
      </c>
      <c r="C1696" s="15" t="s">
        <v>70</v>
      </c>
      <c r="D1696" s="15" t="s">
        <v>58</v>
      </c>
      <c r="E1696" s="15" t="s">
        <v>44</v>
      </c>
      <c r="F1696" s="15" t="s">
        <v>40</v>
      </c>
      <c r="G1696" s="15" t="s">
        <v>73</v>
      </c>
      <c r="H1696" s="15" t="s">
        <v>45</v>
      </c>
      <c r="I1696">
        <v>110</v>
      </c>
      <c r="J1696">
        <v>40</v>
      </c>
      <c r="K1696">
        <v>10</v>
      </c>
      <c r="L1696">
        <v>150</v>
      </c>
      <c r="M1696">
        <v>86</v>
      </c>
      <c r="N1696">
        <v>1698</v>
      </c>
      <c r="O1696">
        <v>23</v>
      </c>
      <c r="P1696">
        <v>26</v>
      </c>
      <c r="Q1696">
        <v>-26</v>
      </c>
      <c r="R1696">
        <v>109</v>
      </c>
      <c r="S1696">
        <v>0.72666666666666668</v>
      </c>
      <c r="T1696">
        <v>-2.6</v>
      </c>
      <c r="U1696">
        <v>0.78181818181818186</v>
      </c>
    </row>
    <row r="1697" spans="1:21" x14ac:dyDescent="0.35">
      <c r="A1697">
        <v>505</v>
      </c>
      <c r="B1697" s="16">
        <v>40452</v>
      </c>
      <c r="C1697" s="15" t="s">
        <v>70</v>
      </c>
      <c r="D1697" s="15" t="s">
        <v>58</v>
      </c>
      <c r="E1697" s="15" t="s">
        <v>51</v>
      </c>
      <c r="F1697" s="15" t="s">
        <v>52</v>
      </c>
      <c r="G1697" s="15" t="s">
        <v>73</v>
      </c>
      <c r="H1697" s="15" t="s">
        <v>45</v>
      </c>
      <c r="I1697">
        <v>10</v>
      </c>
      <c r="J1697">
        <v>30</v>
      </c>
      <c r="K1697">
        <v>30</v>
      </c>
      <c r="L1697">
        <v>40</v>
      </c>
      <c r="M1697">
        <v>21</v>
      </c>
      <c r="N1697">
        <v>846</v>
      </c>
      <c r="O1697">
        <v>31</v>
      </c>
      <c r="P1697">
        <v>5</v>
      </c>
      <c r="Q1697">
        <v>14</v>
      </c>
      <c r="R1697">
        <v>52</v>
      </c>
      <c r="S1697">
        <v>1.3</v>
      </c>
      <c r="T1697">
        <v>0.46666666666666667</v>
      </c>
      <c r="U1697">
        <v>2.1</v>
      </c>
    </row>
    <row r="1698" spans="1:21" x14ac:dyDescent="0.35">
      <c r="A1698">
        <v>505</v>
      </c>
      <c r="B1698" s="16">
        <v>40452</v>
      </c>
      <c r="C1698" s="15" t="s">
        <v>70</v>
      </c>
      <c r="D1698" s="15" t="s">
        <v>58</v>
      </c>
      <c r="E1698" s="15" t="s">
        <v>53</v>
      </c>
      <c r="F1698" s="15" t="s">
        <v>52</v>
      </c>
      <c r="G1698" s="15" t="s">
        <v>73</v>
      </c>
      <c r="H1698" s="15" t="s">
        <v>45</v>
      </c>
      <c r="I1698">
        <v>10</v>
      </c>
      <c r="J1698">
        <v>40</v>
      </c>
      <c r="K1698">
        <v>30</v>
      </c>
      <c r="L1698">
        <v>50</v>
      </c>
      <c r="M1698">
        <v>31</v>
      </c>
      <c r="N1698">
        <v>1000</v>
      </c>
      <c r="O1698">
        <v>37</v>
      </c>
      <c r="P1698">
        <v>9</v>
      </c>
      <c r="Q1698">
        <v>6</v>
      </c>
      <c r="R1698">
        <v>68</v>
      </c>
      <c r="S1698">
        <v>1.36</v>
      </c>
      <c r="T1698">
        <v>0.2</v>
      </c>
      <c r="U1698">
        <v>3.1</v>
      </c>
    </row>
    <row r="1699" spans="1:21" x14ac:dyDescent="0.35">
      <c r="A1699">
        <v>505</v>
      </c>
      <c r="B1699" s="16">
        <v>40452</v>
      </c>
      <c r="C1699" s="15" t="s">
        <v>70</v>
      </c>
      <c r="D1699" s="15" t="s">
        <v>58</v>
      </c>
      <c r="E1699" s="15" t="s">
        <v>72</v>
      </c>
      <c r="F1699" s="15" t="s">
        <v>49</v>
      </c>
      <c r="G1699" s="15" t="s">
        <v>73</v>
      </c>
      <c r="H1699" s="15" t="s">
        <v>42</v>
      </c>
      <c r="I1699">
        <v>10</v>
      </c>
      <c r="J1699">
        <v>20</v>
      </c>
      <c r="K1699">
        <v>10</v>
      </c>
      <c r="L1699">
        <v>30</v>
      </c>
      <c r="M1699">
        <v>25</v>
      </c>
      <c r="N1699">
        <v>-466</v>
      </c>
      <c r="O1699">
        <v>31</v>
      </c>
      <c r="P1699">
        <v>9</v>
      </c>
      <c r="Q1699">
        <v>-12</v>
      </c>
      <c r="R1699">
        <v>56</v>
      </c>
      <c r="S1699">
        <v>1.8666666666666667</v>
      </c>
      <c r="T1699">
        <v>-1.2</v>
      </c>
      <c r="U1699">
        <v>2.5</v>
      </c>
    </row>
    <row r="1700" spans="1:21" x14ac:dyDescent="0.35">
      <c r="A1700">
        <v>505</v>
      </c>
      <c r="B1700" s="16">
        <v>40452</v>
      </c>
      <c r="C1700" s="15" t="s">
        <v>70</v>
      </c>
      <c r="D1700" s="15" t="s">
        <v>58</v>
      </c>
      <c r="E1700" s="15" t="s">
        <v>48</v>
      </c>
      <c r="F1700" s="15" t="s">
        <v>49</v>
      </c>
      <c r="G1700" s="15" t="s">
        <v>73</v>
      </c>
      <c r="H1700" s="15" t="s">
        <v>42</v>
      </c>
      <c r="I1700">
        <v>20</v>
      </c>
      <c r="J1700">
        <v>40</v>
      </c>
      <c r="K1700">
        <v>10</v>
      </c>
      <c r="L1700">
        <v>60</v>
      </c>
      <c r="M1700">
        <v>45</v>
      </c>
      <c r="N1700">
        <v>320</v>
      </c>
      <c r="O1700">
        <v>64</v>
      </c>
      <c r="P1700">
        <v>41</v>
      </c>
      <c r="Q1700">
        <v>-6</v>
      </c>
      <c r="R1700">
        <v>109</v>
      </c>
      <c r="S1700">
        <v>1.8166666666666667</v>
      </c>
      <c r="T1700">
        <v>-0.6</v>
      </c>
      <c r="U1700">
        <v>2.25</v>
      </c>
    </row>
    <row r="1701" spans="1:21" x14ac:dyDescent="0.35">
      <c r="A1701">
        <v>505</v>
      </c>
      <c r="B1701" s="16">
        <v>40452</v>
      </c>
      <c r="C1701" s="15" t="s">
        <v>70</v>
      </c>
      <c r="D1701" s="15" t="s">
        <v>58</v>
      </c>
      <c r="E1701" s="15" t="s">
        <v>50</v>
      </c>
      <c r="F1701" s="15" t="s">
        <v>49</v>
      </c>
      <c r="G1701" s="15" t="s">
        <v>73</v>
      </c>
      <c r="H1701" s="15" t="s">
        <v>45</v>
      </c>
      <c r="I1701">
        <v>20</v>
      </c>
      <c r="J1701">
        <v>30</v>
      </c>
      <c r="K1701">
        <v>20</v>
      </c>
      <c r="L1701">
        <v>50</v>
      </c>
      <c r="M1701">
        <v>39</v>
      </c>
      <c r="N1701">
        <v>244</v>
      </c>
      <c r="O1701">
        <v>53</v>
      </c>
      <c r="P1701">
        <v>12</v>
      </c>
      <c r="Q1701">
        <v>14</v>
      </c>
      <c r="R1701">
        <v>92</v>
      </c>
      <c r="S1701">
        <v>1.84</v>
      </c>
      <c r="T1701">
        <v>0.7</v>
      </c>
      <c r="U1701">
        <v>1.95</v>
      </c>
    </row>
    <row r="1702" spans="1:21" x14ac:dyDescent="0.35">
      <c r="A1702">
        <v>918</v>
      </c>
      <c r="B1702" s="16">
        <v>40452</v>
      </c>
      <c r="C1702" s="15" t="s">
        <v>70</v>
      </c>
      <c r="D1702" s="15" t="s">
        <v>58</v>
      </c>
      <c r="E1702" s="15" t="s">
        <v>43</v>
      </c>
      <c r="F1702" s="15" t="s">
        <v>40</v>
      </c>
      <c r="G1702" s="15" t="s">
        <v>74</v>
      </c>
      <c r="H1702" s="15" t="s">
        <v>42</v>
      </c>
      <c r="I1702">
        <v>130</v>
      </c>
      <c r="J1702">
        <v>160</v>
      </c>
      <c r="K1702">
        <v>140</v>
      </c>
      <c r="L1702">
        <v>290</v>
      </c>
      <c r="M1702">
        <v>90</v>
      </c>
      <c r="N1702">
        <v>572</v>
      </c>
      <c r="O1702">
        <v>115</v>
      </c>
      <c r="P1702">
        <v>29</v>
      </c>
      <c r="Q1702">
        <v>74</v>
      </c>
      <c r="R1702">
        <v>205</v>
      </c>
      <c r="S1702">
        <v>0.7068965517241379</v>
      </c>
      <c r="T1702">
        <v>0.52857142857142858</v>
      </c>
      <c r="U1702">
        <v>0.69230769230769229</v>
      </c>
    </row>
    <row r="1703" spans="1:21" x14ac:dyDescent="0.35">
      <c r="A1703">
        <v>918</v>
      </c>
      <c r="B1703" s="16">
        <v>40452</v>
      </c>
      <c r="C1703" s="15" t="s">
        <v>70</v>
      </c>
      <c r="D1703" s="15" t="s">
        <v>58</v>
      </c>
      <c r="E1703" s="15" t="s">
        <v>44</v>
      </c>
      <c r="F1703" s="15" t="s">
        <v>40</v>
      </c>
      <c r="G1703" s="15" t="s">
        <v>74</v>
      </c>
      <c r="H1703" s="15" t="s">
        <v>45</v>
      </c>
      <c r="I1703">
        <v>30</v>
      </c>
      <c r="J1703">
        <v>60</v>
      </c>
      <c r="K1703">
        <v>60</v>
      </c>
      <c r="L1703">
        <v>90</v>
      </c>
      <c r="M1703">
        <v>27</v>
      </c>
      <c r="N1703">
        <v>859</v>
      </c>
      <c r="O1703">
        <v>39</v>
      </c>
      <c r="P1703">
        <v>7</v>
      </c>
      <c r="Q1703">
        <v>21</v>
      </c>
      <c r="R1703">
        <v>66</v>
      </c>
      <c r="S1703">
        <v>0.73333333333333328</v>
      </c>
      <c r="T1703">
        <v>0.35</v>
      </c>
      <c r="U1703">
        <v>0.9</v>
      </c>
    </row>
    <row r="1704" spans="1:21" x14ac:dyDescent="0.35">
      <c r="A1704">
        <v>405</v>
      </c>
      <c r="B1704" s="16">
        <v>40452</v>
      </c>
      <c r="C1704" s="15" t="s">
        <v>70</v>
      </c>
      <c r="D1704" s="15" t="s">
        <v>58</v>
      </c>
      <c r="E1704" s="15" t="s">
        <v>51</v>
      </c>
      <c r="F1704" s="15" t="s">
        <v>52</v>
      </c>
      <c r="G1704" s="15" t="s">
        <v>74</v>
      </c>
      <c r="H1704" s="15" t="s">
        <v>45</v>
      </c>
      <c r="I1704">
        <v>40</v>
      </c>
      <c r="J1704">
        <v>70</v>
      </c>
      <c r="K1704">
        <v>50</v>
      </c>
      <c r="L1704">
        <v>110</v>
      </c>
      <c r="M1704">
        <v>56</v>
      </c>
      <c r="N1704">
        <v>385</v>
      </c>
      <c r="O1704">
        <v>70</v>
      </c>
      <c r="P1704">
        <v>21</v>
      </c>
      <c r="Q1704">
        <v>16</v>
      </c>
      <c r="R1704">
        <v>126</v>
      </c>
      <c r="S1704">
        <v>1.1454545454545455</v>
      </c>
      <c r="T1704">
        <v>0.32</v>
      </c>
      <c r="U1704">
        <v>1.4</v>
      </c>
    </row>
    <row r="1705" spans="1:21" x14ac:dyDescent="0.35">
      <c r="A1705">
        <v>405</v>
      </c>
      <c r="B1705" s="16">
        <v>40452</v>
      </c>
      <c r="C1705" s="15" t="s">
        <v>70</v>
      </c>
      <c r="D1705" s="15" t="s">
        <v>58</v>
      </c>
      <c r="E1705" s="15" t="s">
        <v>53</v>
      </c>
      <c r="F1705" s="15" t="s">
        <v>52</v>
      </c>
      <c r="G1705" s="15" t="s">
        <v>74</v>
      </c>
      <c r="H1705" s="15" t="s">
        <v>45</v>
      </c>
      <c r="I1705">
        <v>80</v>
      </c>
      <c r="J1705">
        <v>120</v>
      </c>
      <c r="K1705">
        <v>40</v>
      </c>
      <c r="L1705">
        <v>200</v>
      </c>
      <c r="M1705">
        <v>96</v>
      </c>
      <c r="N1705">
        <v>683</v>
      </c>
      <c r="O1705">
        <v>134</v>
      </c>
      <c r="P1705">
        <v>87</v>
      </c>
      <c r="Q1705">
        <v>17</v>
      </c>
      <c r="R1705">
        <v>230</v>
      </c>
      <c r="S1705">
        <v>1.1499999999999999</v>
      </c>
      <c r="T1705">
        <v>0.42499999999999999</v>
      </c>
      <c r="U1705">
        <v>1.2</v>
      </c>
    </row>
    <row r="1706" spans="1:21" x14ac:dyDescent="0.35">
      <c r="A1706">
        <v>405</v>
      </c>
      <c r="B1706" s="16">
        <v>40452</v>
      </c>
      <c r="C1706" s="15" t="s">
        <v>70</v>
      </c>
      <c r="D1706" s="15" t="s">
        <v>58</v>
      </c>
      <c r="E1706" s="15" t="s">
        <v>72</v>
      </c>
      <c r="F1706" s="15" t="s">
        <v>49</v>
      </c>
      <c r="G1706" s="15" t="s">
        <v>74</v>
      </c>
      <c r="H1706" s="15" t="s">
        <v>42</v>
      </c>
      <c r="I1706">
        <v>50</v>
      </c>
      <c r="J1706">
        <v>80</v>
      </c>
      <c r="K1706">
        <v>70</v>
      </c>
      <c r="L1706">
        <v>130</v>
      </c>
      <c r="M1706">
        <v>91</v>
      </c>
      <c r="N1706">
        <v>-1785</v>
      </c>
      <c r="O1706">
        <v>127</v>
      </c>
      <c r="P1706">
        <v>28</v>
      </c>
      <c r="Q1706">
        <v>76</v>
      </c>
      <c r="R1706">
        <v>218</v>
      </c>
      <c r="S1706">
        <v>1.676923076923077</v>
      </c>
      <c r="T1706">
        <v>1.0857142857142856</v>
      </c>
      <c r="U1706">
        <v>1.82</v>
      </c>
    </row>
    <row r="1707" spans="1:21" x14ac:dyDescent="0.35">
      <c r="A1707">
        <v>405</v>
      </c>
      <c r="B1707" s="16">
        <v>40452</v>
      </c>
      <c r="C1707" s="15" t="s">
        <v>70</v>
      </c>
      <c r="D1707" s="15" t="s">
        <v>58</v>
      </c>
      <c r="E1707" s="15" t="s">
        <v>48</v>
      </c>
      <c r="F1707" s="15" t="s">
        <v>49</v>
      </c>
      <c r="G1707" s="15" t="s">
        <v>74</v>
      </c>
      <c r="H1707" s="15" t="s">
        <v>42</v>
      </c>
      <c r="I1707">
        <v>0</v>
      </c>
      <c r="J1707">
        <v>30</v>
      </c>
      <c r="K1707">
        <v>30</v>
      </c>
      <c r="L1707">
        <v>30</v>
      </c>
      <c r="M1707">
        <v>21</v>
      </c>
      <c r="N1707">
        <v>480</v>
      </c>
      <c r="O1707">
        <v>32</v>
      </c>
      <c r="P1707">
        <v>5</v>
      </c>
      <c r="Q1707">
        <v>15</v>
      </c>
      <c r="R1707">
        <v>53</v>
      </c>
      <c r="S1707">
        <v>1.7666666666666666</v>
      </c>
      <c r="T1707">
        <v>0.5</v>
      </c>
    </row>
    <row r="1708" spans="1:21" x14ac:dyDescent="0.35">
      <c r="A1708">
        <v>405</v>
      </c>
      <c r="B1708" s="16">
        <v>40452</v>
      </c>
      <c r="C1708" s="15" t="s">
        <v>70</v>
      </c>
      <c r="D1708" s="15" t="s">
        <v>58</v>
      </c>
      <c r="E1708" s="15" t="s">
        <v>50</v>
      </c>
      <c r="F1708" s="15" t="s">
        <v>49</v>
      </c>
      <c r="G1708" s="15" t="s">
        <v>74</v>
      </c>
      <c r="H1708" s="15" t="s">
        <v>45</v>
      </c>
      <c r="I1708">
        <v>50</v>
      </c>
      <c r="J1708">
        <v>80</v>
      </c>
      <c r="K1708">
        <v>60</v>
      </c>
      <c r="L1708">
        <v>130</v>
      </c>
      <c r="M1708">
        <v>82</v>
      </c>
      <c r="N1708">
        <v>788</v>
      </c>
      <c r="O1708">
        <v>123</v>
      </c>
      <c r="P1708">
        <v>27</v>
      </c>
      <c r="Q1708">
        <v>65</v>
      </c>
      <c r="R1708">
        <v>205</v>
      </c>
      <c r="S1708">
        <v>1.5769230769230769</v>
      </c>
      <c r="T1708">
        <v>1.0833333333333333</v>
      </c>
      <c r="U1708">
        <v>1.64</v>
      </c>
    </row>
    <row r="1709" spans="1:21" x14ac:dyDescent="0.35">
      <c r="A1709">
        <v>936</v>
      </c>
      <c r="B1709" s="16">
        <v>40452</v>
      </c>
      <c r="C1709" s="15" t="s">
        <v>70</v>
      </c>
      <c r="D1709" s="15" t="s">
        <v>38</v>
      </c>
      <c r="E1709" s="15" t="s">
        <v>43</v>
      </c>
      <c r="F1709" s="15" t="s">
        <v>40</v>
      </c>
      <c r="G1709" s="15" t="s">
        <v>75</v>
      </c>
      <c r="H1709" s="15" t="s">
        <v>42</v>
      </c>
      <c r="I1709">
        <v>350</v>
      </c>
      <c r="J1709">
        <v>420</v>
      </c>
      <c r="K1709">
        <v>340</v>
      </c>
      <c r="L1709">
        <v>770</v>
      </c>
      <c r="M1709">
        <v>239</v>
      </c>
      <c r="N1709">
        <v>1246</v>
      </c>
      <c r="O1709">
        <v>281</v>
      </c>
      <c r="P1709">
        <v>74</v>
      </c>
      <c r="Q1709">
        <v>185</v>
      </c>
      <c r="R1709">
        <v>520</v>
      </c>
      <c r="S1709">
        <v>0.67532467532467533</v>
      </c>
      <c r="T1709">
        <v>0.54411764705882348</v>
      </c>
      <c r="U1709">
        <v>0.68285714285714283</v>
      </c>
    </row>
    <row r="1710" spans="1:21" x14ac:dyDescent="0.35">
      <c r="A1710">
        <v>214</v>
      </c>
      <c r="B1710" s="16">
        <v>40452</v>
      </c>
      <c r="C1710" s="15" t="s">
        <v>70</v>
      </c>
      <c r="D1710" s="15" t="s">
        <v>38</v>
      </c>
      <c r="E1710" s="15" t="s">
        <v>44</v>
      </c>
      <c r="F1710" s="15" t="s">
        <v>40</v>
      </c>
      <c r="G1710" s="15" t="s">
        <v>75</v>
      </c>
      <c r="H1710" s="15" t="s">
        <v>45</v>
      </c>
      <c r="I1710">
        <v>40</v>
      </c>
      <c r="J1710">
        <v>90</v>
      </c>
      <c r="K1710">
        <v>80</v>
      </c>
      <c r="L1710">
        <v>130</v>
      </c>
      <c r="M1710">
        <v>39</v>
      </c>
      <c r="N1710">
        <v>541</v>
      </c>
      <c r="O1710">
        <v>51</v>
      </c>
      <c r="P1710">
        <v>12</v>
      </c>
      <c r="Q1710">
        <v>26</v>
      </c>
      <c r="R1710">
        <v>90</v>
      </c>
      <c r="S1710">
        <v>0.69230769230769229</v>
      </c>
      <c r="T1710">
        <v>0.32500000000000001</v>
      </c>
      <c r="U1710">
        <v>0.97499999999999998</v>
      </c>
    </row>
    <row r="1711" spans="1:21" x14ac:dyDescent="0.35">
      <c r="A1711">
        <v>713</v>
      </c>
      <c r="B1711" s="16">
        <v>40452</v>
      </c>
      <c r="C1711" s="15" t="s">
        <v>70</v>
      </c>
      <c r="D1711" s="15" t="s">
        <v>38</v>
      </c>
      <c r="E1711" s="15" t="s">
        <v>51</v>
      </c>
      <c r="F1711" s="15" t="s">
        <v>52</v>
      </c>
      <c r="G1711" s="15" t="s">
        <v>75</v>
      </c>
      <c r="H1711" s="15" t="s">
        <v>45</v>
      </c>
      <c r="I1711">
        <v>30</v>
      </c>
      <c r="J1711">
        <v>80</v>
      </c>
      <c r="K1711">
        <v>70</v>
      </c>
      <c r="L1711">
        <v>110</v>
      </c>
      <c r="M1711">
        <v>52</v>
      </c>
      <c r="N1711">
        <v>405</v>
      </c>
      <c r="O1711">
        <v>71</v>
      </c>
      <c r="P1711">
        <v>17</v>
      </c>
      <c r="Q1711">
        <v>26</v>
      </c>
      <c r="R1711">
        <v>123</v>
      </c>
      <c r="S1711">
        <v>1.1181818181818182</v>
      </c>
      <c r="T1711">
        <v>0.37142857142857144</v>
      </c>
      <c r="U1711">
        <v>1.7333333333333334</v>
      </c>
    </row>
    <row r="1712" spans="1:21" x14ac:dyDescent="0.35">
      <c r="A1712">
        <v>409</v>
      </c>
      <c r="B1712" s="16">
        <v>40452</v>
      </c>
      <c r="C1712" s="15" t="s">
        <v>70</v>
      </c>
      <c r="D1712" s="15" t="s">
        <v>38</v>
      </c>
      <c r="E1712" s="15" t="s">
        <v>53</v>
      </c>
      <c r="F1712" s="15" t="s">
        <v>52</v>
      </c>
      <c r="G1712" s="15" t="s">
        <v>75</v>
      </c>
      <c r="H1712" s="15" t="s">
        <v>45</v>
      </c>
      <c r="I1712">
        <v>30</v>
      </c>
      <c r="J1712">
        <v>60</v>
      </c>
      <c r="K1712">
        <v>50</v>
      </c>
      <c r="L1712">
        <v>90</v>
      </c>
      <c r="M1712">
        <v>43</v>
      </c>
      <c r="N1712">
        <v>419</v>
      </c>
      <c r="O1712">
        <v>64</v>
      </c>
      <c r="P1712">
        <v>13</v>
      </c>
      <c r="Q1712">
        <v>28</v>
      </c>
      <c r="R1712">
        <v>107</v>
      </c>
      <c r="S1712">
        <v>1.1888888888888889</v>
      </c>
      <c r="T1712">
        <v>0.56000000000000005</v>
      </c>
      <c r="U1712">
        <v>1.4333333333333333</v>
      </c>
    </row>
    <row r="1713" spans="1:21" x14ac:dyDescent="0.35">
      <c r="A1713">
        <v>832</v>
      </c>
      <c r="B1713" s="16">
        <v>40452</v>
      </c>
      <c r="C1713" s="15" t="s">
        <v>70</v>
      </c>
      <c r="D1713" s="15" t="s">
        <v>38</v>
      </c>
      <c r="E1713" s="15" t="s">
        <v>72</v>
      </c>
      <c r="F1713" s="15" t="s">
        <v>49</v>
      </c>
      <c r="G1713" s="15" t="s">
        <v>75</v>
      </c>
      <c r="H1713" s="15" t="s">
        <v>42</v>
      </c>
      <c r="I1713">
        <v>40</v>
      </c>
      <c r="J1713">
        <v>70</v>
      </c>
      <c r="K1713">
        <v>50</v>
      </c>
      <c r="L1713">
        <v>110</v>
      </c>
      <c r="M1713">
        <v>72</v>
      </c>
      <c r="N1713">
        <v>-868</v>
      </c>
      <c r="O1713">
        <v>110</v>
      </c>
      <c r="P1713">
        <v>23</v>
      </c>
      <c r="Q1713">
        <v>55</v>
      </c>
      <c r="R1713">
        <v>182</v>
      </c>
      <c r="S1713">
        <v>1.6545454545454545</v>
      </c>
      <c r="T1713">
        <v>1.1000000000000001</v>
      </c>
      <c r="U1713">
        <v>1.8</v>
      </c>
    </row>
    <row r="1714" spans="1:21" x14ac:dyDescent="0.35">
      <c r="A1714">
        <v>210</v>
      </c>
      <c r="B1714" s="16">
        <v>40452</v>
      </c>
      <c r="C1714" s="15" t="s">
        <v>70</v>
      </c>
      <c r="D1714" s="15" t="s">
        <v>38</v>
      </c>
      <c r="E1714" s="15" t="s">
        <v>48</v>
      </c>
      <c r="F1714" s="15" t="s">
        <v>49</v>
      </c>
      <c r="G1714" s="15" t="s">
        <v>75</v>
      </c>
      <c r="H1714" s="15" t="s">
        <v>42</v>
      </c>
      <c r="I1714">
        <v>70</v>
      </c>
      <c r="J1714">
        <v>120</v>
      </c>
      <c r="K1714">
        <v>100</v>
      </c>
      <c r="L1714">
        <v>190</v>
      </c>
      <c r="M1714">
        <v>123</v>
      </c>
      <c r="N1714">
        <v>915</v>
      </c>
      <c r="O1714">
        <v>179</v>
      </c>
      <c r="P1714">
        <v>34</v>
      </c>
      <c r="Q1714">
        <v>133</v>
      </c>
      <c r="R1714">
        <v>302</v>
      </c>
      <c r="S1714">
        <v>1.5894736842105264</v>
      </c>
      <c r="T1714">
        <v>1.33</v>
      </c>
      <c r="U1714">
        <v>1.7571428571428571</v>
      </c>
    </row>
    <row r="1715" spans="1:21" x14ac:dyDescent="0.35">
      <c r="A1715">
        <v>915</v>
      </c>
      <c r="B1715" s="16">
        <v>40452</v>
      </c>
      <c r="C1715" s="15" t="s">
        <v>70</v>
      </c>
      <c r="D1715" s="15" t="s">
        <v>38</v>
      </c>
      <c r="E1715" s="15" t="s">
        <v>50</v>
      </c>
      <c r="F1715" s="15" t="s">
        <v>49</v>
      </c>
      <c r="G1715" s="15" t="s">
        <v>75</v>
      </c>
      <c r="H1715" s="15" t="s">
        <v>45</v>
      </c>
      <c r="I1715">
        <v>40</v>
      </c>
      <c r="J1715">
        <v>80</v>
      </c>
      <c r="K1715">
        <v>80</v>
      </c>
      <c r="L1715">
        <v>120</v>
      </c>
      <c r="M1715">
        <v>76</v>
      </c>
      <c r="N1715">
        <v>580</v>
      </c>
      <c r="O1715">
        <v>111</v>
      </c>
      <c r="P1715">
        <v>21</v>
      </c>
      <c r="Q1715">
        <v>78</v>
      </c>
      <c r="R1715">
        <v>187</v>
      </c>
      <c r="S1715">
        <v>1.5583333333333333</v>
      </c>
      <c r="T1715">
        <v>0.97499999999999998</v>
      </c>
      <c r="U1715">
        <v>1.9</v>
      </c>
    </row>
    <row r="1716" spans="1:21" x14ac:dyDescent="0.35">
      <c r="A1716">
        <v>801</v>
      </c>
      <c r="B1716" s="16">
        <v>40452</v>
      </c>
      <c r="C1716" s="15" t="s">
        <v>76</v>
      </c>
      <c r="D1716" s="15" t="s">
        <v>58</v>
      </c>
      <c r="E1716" s="15" t="s">
        <v>51</v>
      </c>
      <c r="F1716" s="15" t="s">
        <v>52</v>
      </c>
      <c r="G1716" s="15" t="s">
        <v>77</v>
      </c>
      <c r="H1716" s="15" t="s">
        <v>45</v>
      </c>
      <c r="I1716">
        <v>30</v>
      </c>
      <c r="J1716">
        <v>60</v>
      </c>
      <c r="K1716">
        <v>60</v>
      </c>
      <c r="L1716">
        <v>90</v>
      </c>
      <c r="M1716">
        <v>49</v>
      </c>
      <c r="N1716">
        <v>310</v>
      </c>
      <c r="O1716">
        <v>71</v>
      </c>
      <c r="P1716">
        <v>15</v>
      </c>
      <c r="Q1716">
        <v>33</v>
      </c>
      <c r="R1716">
        <v>120</v>
      </c>
      <c r="S1716">
        <v>1.3333333333333333</v>
      </c>
      <c r="T1716">
        <v>0.55000000000000004</v>
      </c>
      <c r="U1716">
        <v>1.6333333333333333</v>
      </c>
    </row>
    <row r="1717" spans="1:21" x14ac:dyDescent="0.35">
      <c r="A1717">
        <v>435</v>
      </c>
      <c r="B1717" s="16">
        <v>40452</v>
      </c>
      <c r="C1717" s="15" t="s">
        <v>76</v>
      </c>
      <c r="D1717" s="15" t="s">
        <v>58</v>
      </c>
      <c r="E1717" s="15" t="s">
        <v>53</v>
      </c>
      <c r="F1717" s="15" t="s">
        <v>52</v>
      </c>
      <c r="G1717" s="15" t="s">
        <v>77</v>
      </c>
      <c r="H1717" s="15" t="s">
        <v>45</v>
      </c>
      <c r="I1717">
        <v>20</v>
      </c>
      <c r="J1717">
        <v>70</v>
      </c>
      <c r="K1717">
        <v>60</v>
      </c>
      <c r="L1717">
        <v>90</v>
      </c>
      <c r="M1717">
        <v>45</v>
      </c>
      <c r="N1717">
        <v>447</v>
      </c>
      <c r="O1717">
        <v>69</v>
      </c>
      <c r="P1717">
        <v>14</v>
      </c>
      <c r="Q1717">
        <v>23</v>
      </c>
      <c r="R1717">
        <v>114</v>
      </c>
      <c r="S1717">
        <v>1.2666666666666666</v>
      </c>
      <c r="T1717">
        <v>0.38333333333333336</v>
      </c>
      <c r="U1717">
        <v>2.25</v>
      </c>
    </row>
    <row r="1718" spans="1:21" x14ac:dyDescent="0.35">
      <c r="A1718">
        <v>435</v>
      </c>
      <c r="B1718" s="16">
        <v>40452</v>
      </c>
      <c r="C1718" s="15" t="s">
        <v>76</v>
      </c>
      <c r="D1718" s="15" t="s">
        <v>58</v>
      </c>
      <c r="E1718" s="15" t="s">
        <v>54</v>
      </c>
      <c r="F1718" s="15" t="s">
        <v>52</v>
      </c>
      <c r="G1718" s="15" t="s">
        <v>77</v>
      </c>
      <c r="H1718" s="15" t="s">
        <v>45</v>
      </c>
      <c r="I1718">
        <v>60</v>
      </c>
      <c r="J1718">
        <v>20</v>
      </c>
      <c r="K1718">
        <v>0</v>
      </c>
      <c r="L1718">
        <v>80</v>
      </c>
      <c r="M1718">
        <v>86</v>
      </c>
      <c r="N1718">
        <v>1698</v>
      </c>
      <c r="O1718">
        <v>23</v>
      </c>
      <c r="P1718">
        <v>26</v>
      </c>
      <c r="Q1718">
        <v>-27</v>
      </c>
      <c r="R1718">
        <v>109</v>
      </c>
      <c r="S1718">
        <v>1.3625</v>
      </c>
      <c r="U1718">
        <v>1.4333333333333333</v>
      </c>
    </row>
    <row r="1719" spans="1:21" x14ac:dyDescent="0.35">
      <c r="A1719">
        <v>801</v>
      </c>
      <c r="B1719" s="16">
        <v>40452</v>
      </c>
      <c r="C1719" s="15" t="s">
        <v>76</v>
      </c>
      <c r="D1719" s="15" t="s">
        <v>58</v>
      </c>
      <c r="E1719" s="15" t="s">
        <v>55</v>
      </c>
      <c r="F1719" s="15" t="s">
        <v>47</v>
      </c>
      <c r="G1719" s="15" t="s">
        <v>77</v>
      </c>
      <c r="H1719" s="15" t="s">
        <v>42</v>
      </c>
      <c r="I1719">
        <v>10</v>
      </c>
      <c r="J1719">
        <v>40</v>
      </c>
      <c r="K1719">
        <v>20</v>
      </c>
      <c r="L1719">
        <v>50</v>
      </c>
      <c r="M1719">
        <v>45</v>
      </c>
      <c r="N1719">
        <v>320</v>
      </c>
      <c r="O1719">
        <v>64</v>
      </c>
      <c r="P1719">
        <v>41</v>
      </c>
      <c r="Q1719">
        <v>-6</v>
      </c>
      <c r="R1719">
        <v>109</v>
      </c>
      <c r="S1719">
        <v>2.1800000000000002</v>
      </c>
      <c r="T1719">
        <v>-0.3</v>
      </c>
      <c r="U1719">
        <v>4.5</v>
      </c>
    </row>
    <row r="1720" spans="1:21" x14ac:dyDescent="0.35">
      <c r="A1720">
        <v>435</v>
      </c>
      <c r="B1720" s="16">
        <v>40452</v>
      </c>
      <c r="C1720" s="15" t="s">
        <v>76</v>
      </c>
      <c r="D1720" s="15" t="s">
        <v>58</v>
      </c>
      <c r="E1720" s="15" t="s">
        <v>56</v>
      </c>
      <c r="F1720" s="15" t="s">
        <v>47</v>
      </c>
      <c r="G1720" s="15" t="s">
        <v>77</v>
      </c>
      <c r="H1720" s="15" t="s">
        <v>42</v>
      </c>
      <c r="I1720">
        <v>10</v>
      </c>
      <c r="J1720">
        <v>30</v>
      </c>
      <c r="K1720">
        <v>20</v>
      </c>
      <c r="L1720">
        <v>40</v>
      </c>
      <c r="M1720">
        <v>39</v>
      </c>
      <c r="N1720">
        <v>244</v>
      </c>
      <c r="O1720">
        <v>53</v>
      </c>
      <c r="P1720">
        <v>12</v>
      </c>
      <c r="Q1720">
        <v>14</v>
      </c>
      <c r="R1720">
        <v>92</v>
      </c>
      <c r="S1720">
        <v>2.2999999999999998</v>
      </c>
      <c r="T1720">
        <v>0.7</v>
      </c>
      <c r="U1720">
        <v>3.9</v>
      </c>
    </row>
    <row r="1721" spans="1:21" x14ac:dyDescent="0.35">
      <c r="A1721">
        <v>435</v>
      </c>
      <c r="B1721" s="16">
        <v>40452</v>
      </c>
      <c r="C1721" s="15" t="s">
        <v>76</v>
      </c>
      <c r="D1721" s="15" t="s">
        <v>58</v>
      </c>
      <c r="E1721" s="15" t="s">
        <v>46</v>
      </c>
      <c r="F1721" s="15" t="s">
        <v>47</v>
      </c>
      <c r="G1721" s="15" t="s">
        <v>77</v>
      </c>
      <c r="H1721" s="15" t="s">
        <v>42</v>
      </c>
      <c r="I1721">
        <v>0</v>
      </c>
      <c r="J1721">
        <v>20</v>
      </c>
      <c r="K1721">
        <v>10</v>
      </c>
      <c r="L1721">
        <v>20</v>
      </c>
      <c r="M1721">
        <v>25</v>
      </c>
      <c r="N1721">
        <v>209</v>
      </c>
      <c r="O1721">
        <v>31</v>
      </c>
      <c r="P1721">
        <v>9</v>
      </c>
      <c r="Q1721">
        <v>-12</v>
      </c>
      <c r="R1721">
        <v>56</v>
      </c>
      <c r="S1721">
        <v>2.8</v>
      </c>
      <c r="T1721">
        <v>-1.2</v>
      </c>
    </row>
    <row r="1722" spans="1:21" x14ac:dyDescent="0.35">
      <c r="A1722">
        <v>435</v>
      </c>
      <c r="B1722" s="16">
        <v>40452</v>
      </c>
      <c r="C1722" s="15" t="s">
        <v>76</v>
      </c>
      <c r="D1722" s="15" t="s">
        <v>58</v>
      </c>
      <c r="E1722" s="15" t="s">
        <v>39</v>
      </c>
      <c r="F1722" s="15" t="s">
        <v>40</v>
      </c>
      <c r="G1722" s="15" t="s">
        <v>77</v>
      </c>
      <c r="H1722" s="15" t="s">
        <v>42</v>
      </c>
      <c r="I1722">
        <v>90</v>
      </c>
      <c r="J1722">
        <v>110</v>
      </c>
      <c r="K1722">
        <v>90</v>
      </c>
      <c r="L1722">
        <v>200</v>
      </c>
      <c r="M1722">
        <v>65</v>
      </c>
      <c r="N1722">
        <v>1053</v>
      </c>
      <c r="O1722">
        <v>77</v>
      </c>
      <c r="P1722">
        <v>20</v>
      </c>
      <c r="Q1722">
        <v>36</v>
      </c>
      <c r="R1722">
        <v>142</v>
      </c>
      <c r="S1722">
        <v>0.71</v>
      </c>
      <c r="T1722">
        <v>0.4</v>
      </c>
      <c r="U1722">
        <v>0.72222222222222221</v>
      </c>
    </row>
    <row r="1723" spans="1:21" x14ac:dyDescent="0.35">
      <c r="A1723">
        <v>435</v>
      </c>
      <c r="B1723" s="16">
        <v>40452</v>
      </c>
      <c r="C1723" s="15" t="s">
        <v>76</v>
      </c>
      <c r="D1723" s="15" t="s">
        <v>58</v>
      </c>
      <c r="E1723" s="15" t="s">
        <v>43</v>
      </c>
      <c r="F1723" s="15" t="s">
        <v>40</v>
      </c>
      <c r="G1723" s="15" t="s">
        <v>77</v>
      </c>
      <c r="H1723" s="15" t="s">
        <v>42</v>
      </c>
      <c r="I1723">
        <v>50</v>
      </c>
      <c r="J1723">
        <v>100</v>
      </c>
      <c r="K1723">
        <v>80</v>
      </c>
      <c r="L1723">
        <v>150</v>
      </c>
      <c r="M1723">
        <v>47</v>
      </c>
      <c r="N1723">
        <v>375</v>
      </c>
      <c r="O1723">
        <v>64</v>
      </c>
      <c r="P1723">
        <v>15</v>
      </c>
      <c r="Q1723">
        <v>22</v>
      </c>
      <c r="R1723">
        <v>111</v>
      </c>
      <c r="S1723">
        <v>0.74</v>
      </c>
      <c r="T1723">
        <v>0.27500000000000002</v>
      </c>
      <c r="U1723">
        <v>0.94</v>
      </c>
    </row>
    <row r="1724" spans="1:21" x14ac:dyDescent="0.35">
      <c r="A1724">
        <v>435</v>
      </c>
      <c r="B1724" s="16">
        <v>40452</v>
      </c>
      <c r="C1724" s="15" t="s">
        <v>76</v>
      </c>
      <c r="D1724" s="15" t="s">
        <v>58</v>
      </c>
      <c r="E1724" s="15" t="s">
        <v>44</v>
      </c>
      <c r="F1724" s="15" t="s">
        <v>40</v>
      </c>
      <c r="G1724" s="15" t="s">
        <v>77</v>
      </c>
      <c r="H1724" s="15" t="s">
        <v>45</v>
      </c>
      <c r="I1724">
        <v>100</v>
      </c>
      <c r="J1724">
        <v>160</v>
      </c>
      <c r="K1724">
        <v>120</v>
      </c>
      <c r="L1724">
        <v>260</v>
      </c>
      <c r="M1724">
        <v>79</v>
      </c>
      <c r="N1724">
        <v>593</v>
      </c>
      <c r="O1724">
        <v>98</v>
      </c>
      <c r="P1724">
        <v>30</v>
      </c>
      <c r="Q1724">
        <v>34</v>
      </c>
      <c r="R1724">
        <v>177</v>
      </c>
      <c r="S1724">
        <v>0.68076923076923079</v>
      </c>
      <c r="T1724">
        <v>0.28333333333333333</v>
      </c>
      <c r="U1724">
        <v>0.79</v>
      </c>
    </row>
    <row r="1725" spans="1:21" x14ac:dyDescent="0.35">
      <c r="A1725">
        <v>801</v>
      </c>
      <c r="B1725" s="16">
        <v>40452</v>
      </c>
      <c r="C1725" s="15" t="s">
        <v>76</v>
      </c>
      <c r="D1725" s="15" t="s">
        <v>58</v>
      </c>
      <c r="E1725" s="15" t="s">
        <v>72</v>
      </c>
      <c r="F1725" s="15" t="s">
        <v>49</v>
      </c>
      <c r="G1725" s="15" t="s">
        <v>77</v>
      </c>
      <c r="H1725" s="15" t="s">
        <v>42</v>
      </c>
      <c r="I1725">
        <v>20</v>
      </c>
      <c r="J1725">
        <v>40</v>
      </c>
      <c r="K1725">
        <v>40</v>
      </c>
      <c r="L1725">
        <v>60</v>
      </c>
      <c r="M1725">
        <v>32</v>
      </c>
      <c r="N1725">
        <v>833</v>
      </c>
      <c r="O1725">
        <v>47</v>
      </c>
      <c r="P1725">
        <v>8</v>
      </c>
      <c r="Q1725">
        <v>28</v>
      </c>
      <c r="R1725">
        <v>79</v>
      </c>
      <c r="S1725">
        <v>1.3166666666666667</v>
      </c>
      <c r="T1725">
        <v>0.7</v>
      </c>
      <c r="U1725">
        <v>1.6</v>
      </c>
    </row>
    <row r="1726" spans="1:21" x14ac:dyDescent="0.35">
      <c r="A1726">
        <v>801</v>
      </c>
      <c r="B1726" s="16">
        <v>40452</v>
      </c>
      <c r="C1726" s="15" t="s">
        <v>76</v>
      </c>
      <c r="D1726" s="15" t="s">
        <v>58</v>
      </c>
      <c r="E1726" s="15" t="s">
        <v>48</v>
      </c>
      <c r="F1726" s="15" t="s">
        <v>49</v>
      </c>
      <c r="G1726" s="15" t="s">
        <v>77</v>
      </c>
      <c r="H1726" s="15" t="s">
        <v>42</v>
      </c>
      <c r="I1726">
        <v>80</v>
      </c>
      <c r="J1726">
        <v>130</v>
      </c>
      <c r="K1726">
        <v>110</v>
      </c>
      <c r="L1726">
        <v>210</v>
      </c>
      <c r="M1726">
        <v>103</v>
      </c>
      <c r="N1726">
        <v>564</v>
      </c>
      <c r="O1726">
        <v>133</v>
      </c>
      <c r="P1726">
        <v>33</v>
      </c>
      <c r="Q1726">
        <v>87</v>
      </c>
      <c r="R1726">
        <v>236</v>
      </c>
      <c r="S1726">
        <v>1.1238095238095238</v>
      </c>
      <c r="T1726">
        <v>0.79090909090909089</v>
      </c>
      <c r="U1726">
        <v>1.2875000000000001</v>
      </c>
    </row>
    <row r="1727" spans="1:21" x14ac:dyDescent="0.35">
      <c r="A1727">
        <v>435</v>
      </c>
      <c r="B1727" s="16">
        <v>40452</v>
      </c>
      <c r="C1727" s="15" t="s">
        <v>76</v>
      </c>
      <c r="D1727" s="15" t="s">
        <v>58</v>
      </c>
      <c r="E1727" s="15" t="s">
        <v>50</v>
      </c>
      <c r="F1727" s="15" t="s">
        <v>49</v>
      </c>
      <c r="G1727" s="15" t="s">
        <v>77</v>
      </c>
      <c r="H1727" s="15" t="s">
        <v>45</v>
      </c>
      <c r="I1727">
        <v>20</v>
      </c>
      <c r="J1727">
        <v>60</v>
      </c>
      <c r="K1727">
        <v>60</v>
      </c>
      <c r="L1727">
        <v>80</v>
      </c>
      <c r="M1727">
        <v>40</v>
      </c>
      <c r="N1727">
        <v>881</v>
      </c>
      <c r="O1727">
        <v>59</v>
      </c>
      <c r="P1727">
        <v>11</v>
      </c>
      <c r="Q1727">
        <v>37</v>
      </c>
      <c r="R1727">
        <v>99</v>
      </c>
      <c r="S1727">
        <v>1.2375</v>
      </c>
      <c r="T1727">
        <v>0.6166666666666667</v>
      </c>
      <c r="U1727">
        <v>2</v>
      </c>
    </row>
    <row r="1728" spans="1:21" x14ac:dyDescent="0.35">
      <c r="A1728">
        <v>661</v>
      </c>
      <c r="B1728" s="16">
        <v>40452</v>
      </c>
      <c r="C1728" s="15" t="s">
        <v>76</v>
      </c>
      <c r="D1728" s="15" t="s">
        <v>38</v>
      </c>
      <c r="E1728" s="15" t="s">
        <v>51</v>
      </c>
      <c r="F1728" s="15" t="s">
        <v>52</v>
      </c>
      <c r="G1728" s="15" t="s">
        <v>78</v>
      </c>
      <c r="H1728" s="15" t="s">
        <v>45</v>
      </c>
      <c r="I1728">
        <v>80</v>
      </c>
      <c r="J1728">
        <v>130</v>
      </c>
      <c r="K1728">
        <v>120</v>
      </c>
      <c r="L1728">
        <v>210</v>
      </c>
      <c r="M1728">
        <v>108</v>
      </c>
      <c r="N1728">
        <v>971</v>
      </c>
      <c r="O1728">
        <v>157</v>
      </c>
      <c r="P1728">
        <v>30</v>
      </c>
      <c r="Q1728">
        <v>115</v>
      </c>
      <c r="R1728">
        <v>265</v>
      </c>
      <c r="S1728">
        <v>1.2619047619047619</v>
      </c>
      <c r="T1728">
        <v>0.95833333333333337</v>
      </c>
      <c r="U1728">
        <v>1.35</v>
      </c>
    </row>
    <row r="1729" spans="1:21" x14ac:dyDescent="0.35">
      <c r="A1729">
        <v>562</v>
      </c>
      <c r="B1729" s="16">
        <v>40452</v>
      </c>
      <c r="C1729" s="15" t="s">
        <v>76</v>
      </c>
      <c r="D1729" s="15" t="s">
        <v>38</v>
      </c>
      <c r="E1729" s="15" t="s">
        <v>53</v>
      </c>
      <c r="F1729" s="15" t="s">
        <v>52</v>
      </c>
      <c r="G1729" s="15" t="s">
        <v>78</v>
      </c>
      <c r="H1729" s="15" t="s">
        <v>45</v>
      </c>
      <c r="I1729">
        <v>190</v>
      </c>
      <c r="J1729">
        <v>220</v>
      </c>
      <c r="K1729">
        <v>170</v>
      </c>
      <c r="L1729">
        <v>410</v>
      </c>
      <c r="M1729">
        <v>239</v>
      </c>
      <c r="N1729">
        <v>1246</v>
      </c>
      <c r="O1729">
        <v>281</v>
      </c>
      <c r="P1729">
        <v>74</v>
      </c>
      <c r="Q1729">
        <v>186</v>
      </c>
      <c r="R1729">
        <v>520</v>
      </c>
      <c r="S1729">
        <v>1.2682926829268293</v>
      </c>
      <c r="T1729">
        <v>1.0941176470588236</v>
      </c>
      <c r="U1729">
        <v>1.2578947368421052</v>
      </c>
    </row>
    <row r="1730" spans="1:21" x14ac:dyDescent="0.35">
      <c r="A1730">
        <v>209</v>
      </c>
      <c r="B1730" s="16">
        <v>40452</v>
      </c>
      <c r="C1730" s="15" t="s">
        <v>76</v>
      </c>
      <c r="D1730" s="15" t="s">
        <v>38</v>
      </c>
      <c r="E1730" s="15" t="s">
        <v>54</v>
      </c>
      <c r="F1730" s="15" t="s">
        <v>52</v>
      </c>
      <c r="G1730" s="15" t="s">
        <v>78</v>
      </c>
      <c r="H1730" s="15" t="s">
        <v>45</v>
      </c>
      <c r="I1730">
        <v>20</v>
      </c>
      <c r="J1730">
        <v>40</v>
      </c>
      <c r="K1730">
        <v>40</v>
      </c>
      <c r="L1730">
        <v>60</v>
      </c>
      <c r="M1730">
        <v>39</v>
      </c>
      <c r="N1730">
        <v>541</v>
      </c>
      <c r="O1730">
        <v>51</v>
      </c>
      <c r="P1730">
        <v>12</v>
      </c>
      <c r="Q1730">
        <v>26</v>
      </c>
      <c r="R1730">
        <v>90</v>
      </c>
      <c r="S1730">
        <v>1.5</v>
      </c>
      <c r="T1730">
        <v>0.65</v>
      </c>
      <c r="U1730">
        <v>1.95</v>
      </c>
    </row>
    <row r="1731" spans="1:21" x14ac:dyDescent="0.35">
      <c r="A1731">
        <v>562</v>
      </c>
      <c r="B1731" s="16">
        <v>40452</v>
      </c>
      <c r="C1731" s="15" t="s">
        <v>76</v>
      </c>
      <c r="D1731" s="15" t="s">
        <v>38</v>
      </c>
      <c r="E1731" s="15" t="s">
        <v>55</v>
      </c>
      <c r="F1731" s="15" t="s">
        <v>47</v>
      </c>
      <c r="G1731" s="15" t="s">
        <v>78</v>
      </c>
      <c r="H1731" s="15" t="s">
        <v>42</v>
      </c>
      <c r="I1731">
        <v>50</v>
      </c>
      <c r="J1731">
        <v>90</v>
      </c>
      <c r="K1731">
        <v>80</v>
      </c>
      <c r="L1731">
        <v>140</v>
      </c>
      <c r="M1731">
        <v>123</v>
      </c>
      <c r="N1731">
        <v>915</v>
      </c>
      <c r="O1731">
        <v>179</v>
      </c>
      <c r="P1731">
        <v>34</v>
      </c>
      <c r="Q1731">
        <v>134</v>
      </c>
      <c r="R1731">
        <v>302</v>
      </c>
      <c r="S1731">
        <v>2.157142857142857</v>
      </c>
      <c r="T1731">
        <v>1.675</v>
      </c>
      <c r="U1731">
        <v>2.46</v>
      </c>
    </row>
    <row r="1732" spans="1:21" x14ac:dyDescent="0.35">
      <c r="A1732">
        <v>209</v>
      </c>
      <c r="B1732" s="16">
        <v>40452</v>
      </c>
      <c r="C1732" s="15" t="s">
        <v>76</v>
      </c>
      <c r="D1732" s="15" t="s">
        <v>38</v>
      </c>
      <c r="E1732" s="15" t="s">
        <v>56</v>
      </c>
      <c r="F1732" s="15" t="s">
        <v>47</v>
      </c>
      <c r="G1732" s="15" t="s">
        <v>78</v>
      </c>
      <c r="H1732" s="15" t="s">
        <v>42</v>
      </c>
      <c r="I1732">
        <v>30</v>
      </c>
      <c r="J1732">
        <v>50</v>
      </c>
      <c r="K1732">
        <v>50</v>
      </c>
      <c r="L1732">
        <v>80</v>
      </c>
      <c r="M1732">
        <v>76</v>
      </c>
      <c r="N1732">
        <v>580</v>
      </c>
      <c r="O1732">
        <v>111</v>
      </c>
      <c r="P1732">
        <v>21</v>
      </c>
      <c r="Q1732">
        <v>79</v>
      </c>
      <c r="R1732">
        <v>187</v>
      </c>
      <c r="S1732">
        <v>2.3374999999999999</v>
      </c>
      <c r="T1732">
        <v>1.58</v>
      </c>
      <c r="U1732">
        <v>2.5333333333333332</v>
      </c>
    </row>
    <row r="1733" spans="1:21" x14ac:dyDescent="0.35">
      <c r="A1733">
        <v>562</v>
      </c>
      <c r="B1733" s="16">
        <v>40452</v>
      </c>
      <c r="C1733" s="15" t="s">
        <v>76</v>
      </c>
      <c r="D1733" s="15" t="s">
        <v>38</v>
      </c>
      <c r="E1733" s="15" t="s">
        <v>46</v>
      </c>
      <c r="F1733" s="15" t="s">
        <v>47</v>
      </c>
      <c r="G1733" s="15" t="s">
        <v>78</v>
      </c>
      <c r="H1733" s="15" t="s">
        <v>42</v>
      </c>
      <c r="I1733">
        <v>20</v>
      </c>
      <c r="J1733">
        <v>60</v>
      </c>
      <c r="K1733">
        <v>50</v>
      </c>
      <c r="L1733">
        <v>80</v>
      </c>
      <c r="M1733">
        <v>72</v>
      </c>
      <c r="N1733">
        <v>650</v>
      </c>
      <c r="O1733">
        <v>110</v>
      </c>
      <c r="P1733">
        <v>23</v>
      </c>
      <c r="Q1733">
        <v>56</v>
      </c>
      <c r="R1733">
        <v>182</v>
      </c>
      <c r="S1733">
        <v>2.2749999999999999</v>
      </c>
      <c r="T1733">
        <v>1.1200000000000001</v>
      </c>
      <c r="U1733">
        <v>3.6</v>
      </c>
    </row>
    <row r="1734" spans="1:21" x14ac:dyDescent="0.35">
      <c r="A1734">
        <v>818</v>
      </c>
      <c r="B1734" s="16">
        <v>40452</v>
      </c>
      <c r="C1734" s="15" t="s">
        <v>76</v>
      </c>
      <c r="D1734" s="15" t="s">
        <v>38</v>
      </c>
      <c r="E1734" s="15" t="s">
        <v>39</v>
      </c>
      <c r="F1734" s="15" t="s">
        <v>40</v>
      </c>
      <c r="G1734" s="15" t="s">
        <v>78</v>
      </c>
      <c r="H1734" s="15" t="s">
        <v>42</v>
      </c>
      <c r="I1734">
        <v>170</v>
      </c>
      <c r="J1734">
        <v>-20</v>
      </c>
      <c r="K1734">
        <v>-60</v>
      </c>
      <c r="L1734">
        <v>150</v>
      </c>
      <c r="M1734">
        <v>122</v>
      </c>
      <c r="N1734">
        <v>2555</v>
      </c>
      <c r="O1734">
        <v>-13</v>
      </c>
      <c r="P1734">
        <v>39</v>
      </c>
      <c r="Q1734">
        <v>-74</v>
      </c>
      <c r="R1734">
        <v>109</v>
      </c>
      <c r="S1734">
        <v>0.72666666666666668</v>
      </c>
      <c r="T1734">
        <v>1.2333333333333334</v>
      </c>
      <c r="U1734">
        <v>0.71764705882352942</v>
      </c>
    </row>
    <row r="1735" spans="1:21" x14ac:dyDescent="0.35">
      <c r="A1735">
        <v>626</v>
      </c>
      <c r="B1735" s="16">
        <v>40452</v>
      </c>
      <c r="C1735" s="15" t="s">
        <v>76</v>
      </c>
      <c r="D1735" s="15" t="s">
        <v>38</v>
      </c>
      <c r="E1735" s="15" t="s">
        <v>43</v>
      </c>
      <c r="F1735" s="15" t="s">
        <v>40</v>
      </c>
      <c r="G1735" s="15" t="s">
        <v>78</v>
      </c>
      <c r="H1735" s="15" t="s">
        <v>42</v>
      </c>
      <c r="I1735">
        <v>380</v>
      </c>
      <c r="J1735">
        <v>580</v>
      </c>
      <c r="K1735">
        <v>470</v>
      </c>
      <c r="L1735">
        <v>960</v>
      </c>
      <c r="M1735">
        <v>260</v>
      </c>
      <c r="N1735">
        <v>2548</v>
      </c>
      <c r="O1735">
        <v>390</v>
      </c>
      <c r="P1735">
        <v>91</v>
      </c>
      <c r="Q1735">
        <v>247</v>
      </c>
      <c r="R1735">
        <v>650</v>
      </c>
      <c r="S1735">
        <v>0.67708333333333337</v>
      </c>
      <c r="T1735">
        <v>0.52553191489361706</v>
      </c>
      <c r="U1735">
        <v>0.68421052631578949</v>
      </c>
    </row>
    <row r="1736" spans="1:21" x14ac:dyDescent="0.35">
      <c r="A1736">
        <v>951</v>
      </c>
      <c r="B1736" s="16">
        <v>40452</v>
      </c>
      <c r="C1736" s="15" t="s">
        <v>76</v>
      </c>
      <c r="D1736" s="15" t="s">
        <v>38</v>
      </c>
      <c r="E1736" s="15" t="s">
        <v>44</v>
      </c>
      <c r="F1736" s="15" t="s">
        <v>40</v>
      </c>
      <c r="G1736" s="15" t="s">
        <v>78</v>
      </c>
      <c r="H1736" s="15" t="s">
        <v>45</v>
      </c>
      <c r="I1736">
        <v>220</v>
      </c>
      <c r="J1736">
        <v>-30</v>
      </c>
      <c r="K1736">
        <v>-100</v>
      </c>
      <c r="L1736">
        <v>190</v>
      </c>
      <c r="M1736">
        <v>154</v>
      </c>
      <c r="N1736">
        <v>3654</v>
      </c>
      <c r="O1736">
        <v>-24</v>
      </c>
      <c r="P1736">
        <v>50</v>
      </c>
      <c r="Q1736">
        <v>-117</v>
      </c>
      <c r="R1736">
        <v>130</v>
      </c>
      <c r="S1736">
        <v>0.68421052631578949</v>
      </c>
      <c r="T1736">
        <v>1.17</v>
      </c>
      <c r="U1736">
        <v>0.7</v>
      </c>
    </row>
    <row r="1737" spans="1:21" x14ac:dyDescent="0.35">
      <c r="A1737">
        <v>562</v>
      </c>
      <c r="B1737" s="16">
        <v>40452</v>
      </c>
      <c r="C1737" s="15" t="s">
        <v>76</v>
      </c>
      <c r="D1737" s="15" t="s">
        <v>38</v>
      </c>
      <c r="E1737" s="15" t="s">
        <v>72</v>
      </c>
      <c r="F1737" s="15" t="s">
        <v>49</v>
      </c>
      <c r="G1737" s="15" t="s">
        <v>78</v>
      </c>
      <c r="H1737" s="15" t="s">
        <v>42</v>
      </c>
      <c r="I1737">
        <v>210</v>
      </c>
      <c r="J1737">
        <v>220</v>
      </c>
      <c r="K1737">
        <v>160</v>
      </c>
      <c r="L1737">
        <v>430</v>
      </c>
      <c r="M1737">
        <v>239</v>
      </c>
      <c r="N1737">
        <v>1755</v>
      </c>
      <c r="O1737">
        <v>239</v>
      </c>
      <c r="P1737">
        <v>66</v>
      </c>
      <c r="Q1737">
        <v>149</v>
      </c>
      <c r="R1737">
        <v>478</v>
      </c>
      <c r="S1737">
        <v>1.1116279069767443</v>
      </c>
      <c r="T1737">
        <v>0.93125000000000002</v>
      </c>
      <c r="U1737">
        <v>1.138095238095238</v>
      </c>
    </row>
    <row r="1738" spans="1:21" x14ac:dyDescent="0.35">
      <c r="A1738">
        <v>562</v>
      </c>
      <c r="B1738" s="16">
        <v>40452</v>
      </c>
      <c r="C1738" s="15" t="s">
        <v>76</v>
      </c>
      <c r="D1738" s="15" t="s">
        <v>38</v>
      </c>
      <c r="E1738" s="15" t="s">
        <v>48</v>
      </c>
      <c r="F1738" s="15" t="s">
        <v>49</v>
      </c>
      <c r="G1738" s="15" t="s">
        <v>78</v>
      </c>
      <c r="H1738" s="15" t="s">
        <v>42</v>
      </c>
      <c r="I1738">
        <v>110</v>
      </c>
      <c r="J1738">
        <v>160</v>
      </c>
      <c r="K1738">
        <v>50</v>
      </c>
      <c r="L1738">
        <v>270</v>
      </c>
      <c r="M1738">
        <v>125</v>
      </c>
      <c r="N1738">
        <v>898</v>
      </c>
      <c r="O1738">
        <v>173</v>
      </c>
      <c r="P1738">
        <v>113</v>
      </c>
      <c r="Q1738">
        <v>27</v>
      </c>
      <c r="R1738">
        <v>298</v>
      </c>
      <c r="S1738">
        <v>1.1037037037037036</v>
      </c>
      <c r="T1738">
        <v>0.54</v>
      </c>
      <c r="U1738">
        <v>1.1363636363636365</v>
      </c>
    </row>
    <row r="1739" spans="1:21" x14ac:dyDescent="0.35">
      <c r="A1739">
        <v>714</v>
      </c>
      <c r="B1739" s="16">
        <v>40452</v>
      </c>
      <c r="C1739" s="15" t="s">
        <v>76</v>
      </c>
      <c r="D1739" s="15" t="s">
        <v>38</v>
      </c>
      <c r="E1739" s="15" t="s">
        <v>50</v>
      </c>
      <c r="F1739" s="15" t="s">
        <v>49</v>
      </c>
      <c r="G1739" s="15" t="s">
        <v>78</v>
      </c>
      <c r="H1739" s="15" t="s">
        <v>45</v>
      </c>
      <c r="I1739">
        <v>230</v>
      </c>
      <c r="J1739">
        <v>320</v>
      </c>
      <c r="K1739">
        <v>240</v>
      </c>
      <c r="L1739">
        <v>550</v>
      </c>
      <c r="M1739">
        <v>257</v>
      </c>
      <c r="N1739">
        <v>1662</v>
      </c>
      <c r="O1739">
        <v>341</v>
      </c>
      <c r="P1739">
        <v>84</v>
      </c>
      <c r="Q1739">
        <v>225</v>
      </c>
      <c r="R1739">
        <v>598</v>
      </c>
      <c r="S1739">
        <v>1.0872727272727272</v>
      </c>
      <c r="T1739">
        <v>0.9375</v>
      </c>
      <c r="U1739">
        <v>1.1173913043478261</v>
      </c>
    </row>
    <row r="1740" spans="1:21" x14ac:dyDescent="0.35">
      <c r="A1740">
        <v>775</v>
      </c>
      <c r="B1740" s="16">
        <v>40452</v>
      </c>
      <c r="C1740" s="15" t="s">
        <v>76</v>
      </c>
      <c r="D1740" s="15" t="s">
        <v>58</v>
      </c>
      <c r="E1740" s="15" t="s">
        <v>51</v>
      </c>
      <c r="F1740" s="15" t="s">
        <v>52</v>
      </c>
      <c r="G1740" s="15" t="s">
        <v>79</v>
      </c>
      <c r="H1740" s="15" t="s">
        <v>45</v>
      </c>
      <c r="I1740">
        <v>90</v>
      </c>
      <c r="J1740">
        <v>150</v>
      </c>
      <c r="K1740">
        <v>60</v>
      </c>
      <c r="L1740">
        <v>240</v>
      </c>
      <c r="M1740">
        <v>125</v>
      </c>
      <c r="N1740">
        <v>898</v>
      </c>
      <c r="O1740">
        <v>173</v>
      </c>
      <c r="P1740">
        <v>113</v>
      </c>
      <c r="Q1740">
        <v>26</v>
      </c>
      <c r="R1740">
        <v>298</v>
      </c>
      <c r="S1740">
        <v>1.2416666666666667</v>
      </c>
      <c r="T1740">
        <v>0.43333333333333335</v>
      </c>
      <c r="U1740">
        <v>1.3888888888888888</v>
      </c>
    </row>
    <row r="1741" spans="1:21" x14ac:dyDescent="0.35">
      <c r="A1741">
        <v>702</v>
      </c>
      <c r="B1741" s="16">
        <v>40452</v>
      </c>
      <c r="C1741" s="15" t="s">
        <v>76</v>
      </c>
      <c r="D1741" s="15" t="s">
        <v>58</v>
      </c>
      <c r="E1741" s="15" t="s">
        <v>53</v>
      </c>
      <c r="F1741" s="15" t="s">
        <v>52</v>
      </c>
      <c r="G1741" s="15" t="s">
        <v>79</v>
      </c>
      <c r="H1741" s="15" t="s">
        <v>45</v>
      </c>
      <c r="I1741">
        <v>120</v>
      </c>
      <c r="J1741">
        <v>170</v>
      </c>
      <c r="K1741">
        <v>120</v>
      </c>
      <c r="L1741">
        <v>290</v>
      </c>
      <c r="M1741">
        <v>154</v>
      </c>
      <c r="N1741">
        <v>1132</v>
      </c>
      <c r="O1741">
        <v>213</v>
      </c>
      <c r="P1741">
        <v>50</v>
      </c>
      <c r="Q1741">
        <v>120</v>
      </c>
      <c r="R1741">
        <v>367</v>
      </c>
      <c r="S1741">
        <v>1.2655172413793103</v>
      </c>
      <c r="T1741">
        <v>1</v>
      </c>
      <c r="U1741">
        <v>1.2833333333333334</v>
      </c>
    </row>
    <row r="1742" spans="1:21" x14ac:dyDescent="0.35">
      <c r="A1742">
        <v>702</v>
      </c>
      <c r="B1742" s="16">
        <v>40452</v>
      </c>
      <c r="C1742" s="15" t="s">
        <v>76</v>
      </c>
      <c r="D1742" s="15" t="s">
        <v>58</v>
      </c>
      <c r="E1742" s="15" t="s">
        <v>54</v>
      </c>
      <c r="F1742" s="15" t="s">
        <v>52</v>
      </c>
      <c r="G1742" s="15" t="s">
        <v>79</v>
      </c>
      <c r="H1742" s="15" t="s">
        <v>45</v>
      </c>
      <c r="I1742">
        <v>90</v>
      </c>
      <c r="J1742">
        <v>150</v>
      </c>
      <c r="K1742">
        <v>130</v>
      </c>
      <c r="L1742">
        <v>240</v>
      </c>
      <c r="M1742">
        <v>122</v>
      </c>
      <c r="N1742">
        <v>789</v>
      </c>
      <c r="O1742">
        <v>176</v>
      </c>
      <c r="P1742">
        <v>39</v>
      </c>
      <c r="Q1742">
        <v>114</v>
      </c>
      <c r="R1742">
        <v>298</v>
      </c>
      <c r="S1742">
        <v>1.2416666666666667</v>
      </c>
      <c r="T1742">
        <v>0.87692307692307692</v>
      </c>
      <c r="U1742">
        <v>1.3555555555555556</v>
      </c>
    </row>
    <row r="1743" spans="1:21" x14ac:dyDescent="0.35">
      <c r="A1743">
        <v>702</v>
      </c>
      <c r="B1743" s="16">
        <v>40452</v>
      </c>
      <c r="C1743" s="15" t="s">
        <v>76</v>
      </c>
      <c r="D1743" s="15" t="s">
        <v>58</v>
      </c>
      <c r="E1743" s="15" t="s">
        <v>55</v>
      </c>
      <c r="F1743" s="15" t="s">
        <v>47</v>
      </c>
      <c r="G1743" s="15" t="s">
        <v>79</v>
      </c>
      <c r="H1743" s="15" t="s">
        <v>42</v>
      </c>
      <c r="I1743">
        <v>110</v>
      </c>
      <c r="J1743">
        <v>180</v>
      </c>
      <c r="K1743">
        <v>130</v>
      </c>
      <c r="L1743">
        <v>290</v>
      </c>
      <c r="M1743">
        <v>257</v>
      </c>
      <c r="N1743">
        <v>1662</v>
      </c>
      <c r="O1743">
        <v>341</v>
      </c>
      <c r="P1743">
        <v>84</v>
      </c>
      <c r="Q1743">
        <v>224</v>
      </c>
      <c r="R1743">
        <v>598</v>
      </c>
      <c r="S1743">
        <v>2.0620689655172413</v>
      </c>
      <c r="T1743">
        <v>1.7230769230769232</v>
      </c>
      <c r="U1743">
        <v>2.3363636363636364</v>
      </c>
    </row>
    <row r="1744" spans="1:21" x14ac:dyDescent="0.35">
      <c r="A1744">
        <v>775</v>
      </c>
      <c r="B1744" s="16">
        <v>40452</v>
      </c>
      <c r="C1744" s="15" t="s">
        <v>76</v>
      </c>
      <c r="D1744" s="15" t="s">
        <v>58</v>
      </c>
      <c r="E1744" s="15" t="s">
        <v>56</v>
      </c>
      <c r="F1744" s="15" t="s">
        <v>47</v>
      </c>
      <c r="G1744" s="15" t="s">
        <v>79</v>
      </c>
      <c r="H1744" s="15" t="s">
        <v>42</v>
      </c>
      <c r="I1744">
        <v>110</v>
      </c>
      <c r="J1744">
        <v>120</v>
      </c>
      <c r="K1744">
        <v>80</v>
      </c>
      <c r="L1744">
        <v>230</v>
      </c>
      <c r="M1744">
        <v>239</v>
      </c>
      <c r="N1744">
        <v>1755</v>
      </c>
      <c r="O1744">
        <v>239</v>
      </c>
      <c r="P1744">
        <v>66</v>
      </c>
      <c r="Q1744">
        <v>149</v>
      </c>
      <c r="R1744">
        <v>478</v>
      </c>
      <c r="S1744">
        <v>2.0782608695652174</v>
      </c>
      <c r="T1744">
        <v>1.8625</v>
      </c>
      <c r="U1744">
        <v>2.1727272727272728</v>
      </c>
    </row>
    <row r="1745" spans="1:21" x14ac:dyDescent="0.35">
      <c r="A1745">
        <v>702</v>
      </c>
      <c r="B1745" s="16">
        <v>40452</v>
      </c>
      <c r="C1745" s="15" t="s">
        <v>76</v>
      </c>
      <c r="D1745" s="15" t="s">
        <v>58</v>
      </c>
      <c r="E1745" s="15" t="s">
        <v>46</v>
      </c>
      <c r="F1745" s="15" t="s">
        <v>47</v>
      </c>
      <c r="G1745" s="15" t="s">
        <v>79</v>
      </c>
      <c r="H1745" s="15" t="s">
        <v>42</v>
      </c>
      <c r="I1745">
        <v>110</v>
      </c>
      <c r="J1745">
        <v>-110</v>
      </c>
      <c r="K1745">
        <v>-170</v>
      </c>
      <c r="L1745">
        <v>0</v>
      </c>
      <c r="M1745">
        <v>255</v>
      </c>
      <c r="N1745">
        <v>7058</v>
      </c>
      <c r="O1745">
        <v>-255</v>
      </c>
      <c r="P1745">
        <v>96</v>
      </c>
      <c r="Q1745">
        <v>-363</v>
      </c>
      <c r="R1745">
        <v>21</v>
      </c>
      <c r="T1745">
        <v>2.1352941176470588</v>
      </c>
      <c r="U1745">
        <v>2.3181818181818183</v>
      </c>
    </row>
    <row r="1746" spans="1:21" x14ac:dyDescent="0.35">
      <c r="A1746">
        <v>775</v>
      </c>
      <c r="B1746" s="16">
        <v>40452</v>
      </c>
      <c r="C1746" s="15" t="s">
        <v>76</v>
      </c>
      <c r="D1746" s="15" t="s">
        <v>58</v>
      </c>
      <c r="E1746" s="15" t="s">
        <v>43</v>
      </c>
      <c r="F1746" s="15" t="s">
        <v>40</v>
      </c>
      <c r="G1746" s="15" t="s">
        <v>79</v>
      </c>
      <c r="H1746" s="15" t="s">
        <v>42</v>
      </c>
      <c r="I1746">
        <v>40</v>
      </c>
      <c r="J1746">
        <v>60</v>
      </c>
      <c r="K1746">
        <v>30</v>
      </c>
      <c r="L1746">
        <v>100</v>
      </c>
      <c r="M1746">
        <v>34</v>
      </c>
      <c r="N1746">
        <v>240</v>
      </c>
      <c r="O1746">
        <v>43</v>
      </c>
      <c r="P1746">
        <v>12</v>
      </c>
      <c r="Q1746">
        <v>-2</v>
      </c>
      <c r="R1746">
        <v>77</v>
      </c>
      <c r="S1746">
        <v>0.77</v>
      </c>
      <c r="T1746">
        <v>-6.6666666666666666E-2</v>
      </c>
      <c r="U1746">
        <v>0.85</v>
      </c>
    </row>
    <row r="1747" spans="1:21" x14ac:dyDescent="0.35">
      <c r="A1747">
        <v>775</v>
      </c>
      <c r="B1747" s="16">
        <v>40452</v>
      </c>
      <c r="C1747" s="15" t="s">
        <v>76</v>
      </c>
      <c r="D1747" s="15" t="s">
        <v>58</v>
      </c>
      <c r="E1747" s="15" t="s">
        <v>44</v>
      </c>
      <c r="F1747" s="15" t="s">
        <v>40</v>
      </c>
      <c r="G1747" s="15" t="s">
        <v>79</v>
      </c>
      <c r="H1747" s="15" t="s">
        <v>45</v>
      </c>
      <c r="I1747">
        <v>30</v>
      </c>
      <c r="J1747">
        <v>60</v>
      </c>
      <c r="K1747">
        <v>50</v>
      </c>
      <c r="L1747">
        <v>90</v>
      </c>
      <c r="M1747">
        <v>31</v>
      </c>
      <c r="N1747">
        <v>1000</v>
      </c>
      <c r="O1747">
        <v>37</v>
      </c>
      <c r="P1747">
        <v>9</v>
      </c>
      <c r="Q1747">
        <v>7</v>
      </c>
      <c r="R1747">
        <v>68</v>
      </c>
      <c r="S1747">
        <v>0.75555555555555554</v>
      </c>
      <c r="T1747">
        <v>0.14000000000000001</v>
      </c>
      <c r="U1747">
        <v>1.0333333333333334</v>
      </c>
    </row>
    <row r="1748" spans="1:21" x14ac:dyDescent="0.35">
      <c r="A1748">
        <v>702</v>
      </c>
      <c r="B1748" s="16">
        <v>40452</v>
      </c>
      <c r="C1748" s="15" t="s">
        <v>76</v>
      </c>
      <c r="D1748" s="15" t="s">
        <v>58</v>
      </c>
      <c r="E1748" s="15" t="s">
        <v>72</v>
      </c>
      <c r="F1748" s="15" t="s">
        <v>49</v>
      </c>
      <c r="G1748" s="15" t="s">
        <v>79</v>
      </c>
      <c r="H1748" s="15" t="s">
        <v>42</v>
      </c>
      <c r="I1748">
        <v>0</v>
      </c>
      <c r="J1748">
        <v>30</v>
      </c>
      <c r="K1748">
        <v>30</v>
      </c>
      <c r="L1748">
        <v>30</v>
      </c>
      <c r="M1748">
        <v>0</v>
      </c>
      <c r="N1748">
        <v>430</v>
      </c>
      <c r="O1748">
        <v>43</v>
      </c>
      <c r="P1748">
        <v>0</v>
      </c>
      <c r="Q1748">
        <v>32</v>
      </c>
      <c r="R1748">
        <v>43</v>
      </c>
      <c r="S1748">
        <v>1.4333333333333333</v>
      </c>
      <c r="T1748">
        <v>1.0666666666666667</v>
      </c>
    </row>
    <row r="1749" spans="1:21" x14ac:dyDescent="0.35">
      <c r="A1749">
        <v>702</v>
      </c>
      <c r="B1749" s="16">
        <v>40452</v>
      </c>
      <c r="C1749" s="15" t="s">
        <v>76</v>
      </c>
      <c r="D1749" s="15" t="s">
        <v>58</v>
      </c>
      <c r="E1749" s="15" t="s">
        <v>48</v>
      </c>
      <c r="F1749" s="15" t="s">
        <v>49</v>
      </c>
      <c r="G1749" s="15" t="s">
        <v>79</v>
      </c>
      <c r="H1749" s="15" t="s">
        <v>42</v>
      </c>
      <c r="I1749">
        <v>10</v>
      </c>
      <c r="J1749">
        <v>20</v>
      </c>
      <c r="K1749">
        <v>20</v>
      </c>
      <c r="L1749">
        <v>30</v>
      </c>
      <c r="M1749">
        <v>21</v>
      </c>
      <c r="N1749">
        <v>846</v>
      </c>
      <c r="O1749">
        <v>31</v>
      </c>
      <c r="P1749">
        <v>5</v>
      </c>
      <c r="Q1749">
        <v>14</v>
      </c>
      <c r="R1749">
        <v>52</v>
      </c>
      <c r="S1749">
        <v>1.7333333333333334</v>
      </c>
      <c r="T1749">
        <v>0.7</v>
      </c>
      <c r="U1749">
        <v>2.1</v>
      </c>
    </row>
    <row r="1750" spans="1:21" x14ac:dyDescent="0.35">
      <c r="A1750">
        <v>702</v>
      </c>
      <c r="B1750" s="16">
        <v>40452</v>
      </c>
      <c r="C1750" s="15" t="s">
        <v>76</v>
      </c>
      <c r="D1750" s="15" t="s">
        <v>58</v>
      </c>
      <c r="E1750" s="15" t="s">
        <v>50</v>
      </c>
      <c r="F1750" s="15" t="s">
        <v>49</v>
      </c>
      <c r="G1750" s="15" t="s">
        <v>79</v>
      </c>
      <c r="H1750" s="15" t="s">
        <v>45</v>
      </c>
      <c r="I1750">
        <v>10</v>
      </c>
      <c r="J1750">
        <v>30</v>
      </c>
      <c r="K1750">
        <v>30</v>
      </c>
      <c r="L1750">
        <v>40</v>
      </c>
      <c r="M1750">
        <v>23</v>
      </c>
      <c r="N1750">
        <v>800</v>
      </c>
      <c r="O1750">
        <v>35</v>
      </c>
      <c r="P1750">
        <v>6</v>
      </c>
      <c r="Q1750">
        <v>17</v>
      </c>
      <c r="R1750">
        <v>58</v>
      </c>
      <c r="S1750">
        <v>1.45</v>
      </c>
      <c r="T1750">
        <v>0.56666666666666665</v>
      </c>
      <c r="U1750">
        <v>2.2999999999999998</v>
      </c>
    </row>
    <row r="1751" spans="1:21" x14ac:dyDescent="0.35">
      <c r="A1751">
        <v>971</v>
      </c>
      <c r="B1751" s="16">
        <v>40452</v>
      </c>
      <c r="C1751" s="15" t="s">
        <v>76</v>
      </c>
      <c r="D1751" s="15" t="s">
        <v>58</v>
      </c>
      <c r="E1751" s="15" t="s">
        <v>51</v>
      </c>
      <c r="F1751" s="15" t="s">
        <v>52</v>
      </c>
      <c r="G1751" s="15" t="s">
        <v>80</v>
      </c>
      <c r="H1751" s="15" t="s">
        <v>45</v>
      </c>
      <c r="I1751">
        <v>10</v>
      </c>
      <c r="J1751">
        <v>30</v>
      </c>
      <c r="K1751">
        <v>30</v>
      </c>
      <c r="L1751">
        <v>40</v>
      </c>
      <c r="M1751">
        <v>25</v>
      </c>
      <c r="N1751">
        <v>820</v>
      </c>
      <c r="O1751">
        <v>36</v>
      </c>
      <c r="P1751">
        <v>7</v>
      </c>
      <c r="Q1751">
        <v>17</v>
      </c>
      <c r="R1751">
        <v>61</v>
      </c>
      <c r="S1751">
        <v>1.5249999999999999</v>
      </c>
      <c r="T1751">
        <v>0.56666666666666665</v>
      </c>
      <c r="U1751">
        <v>2.5</v>
      </c>
    </row>
    <row r="1752" spans="1:21" x14ac:dyDescent="0.35">
      <c r="A1752">
        <v>971</v>
      </c>
      <c r="B1752" s="16">
        <v>40452</v>
      </c>
      <c r="C1752" s="15" t="s">
        <v>76</v>
      </c>
      <c r="D1752" s="15" t="s">
        <v>58</v>
      </c>
      <c r="E1752" s="15" t="s">
        <v>53</v>
      </c>
      <c r="F1752" s="15" t="s">
        <v>52</v>
      </c>
      <c r="G1752" s="15" t="s">
        <v>80</v>
      </c>
      <c r="H1752" s="15" t="s">
        <v>45</v>
      </c>
      <c r="I1752">
        <v>60</v>
      </c>
      <c r="J1752">
        <v>100</v>
      </c>
      <c r="K1752">
        <v>90</v>
      </c>
      <c r="L1752">
        <v>160</v>
      </c>
      <c r="M1752">
        <v>90</v>
      </c>
      <c r="N1752">
        <v>572</v>
      </c>
      <c r="O1752">
        <v>115</v>
      </c>
      <c r="P1752">
        <v>29</v>
      </c>
      <c r="Q1752">
        <v>73</v>
      </c>
      <c r="R1752">
        <v>205</v>
      </c>
      <c r="S1752">
        <v>1.28125</v>
      </c>
      <c r="T1752">
        <v>0.81111111111111112</v>
      </c>
      <c r="U1752">
        <v>1.5</v>
      </c>
    </row>
    <row r="1753" spans="1:21" x14ac:dyDescent="0.35">
      <c r="A1753">
        <v>541</v>
      </c>
      <c r="B1753" s="16">
        <v>40452</v>
      </c>
      <c r="C1753" s="15" t="s">
        <v>76</v>
      </c>
      <c r="D1753" s="15" t="s">
        <v>58</v>
      </c>
      <c r="E1753" s="15" t="s">
        <v>55</v>
      </c>
      <c r="F1753" s="15" t="s">
        <v>47</v>
      </c>
      <c r="G1753" s="15" t="s">
        <v>80</v>
      </c>
      <c r="H1753" s="15" t="s">
        <v>42</v>
      </c>
      <c r="I1753">
        <v>0</v>
      </c>
      <c r="J1753">
        <v>20</v>
      </c>
      <c r="K1753">
        <v>20</v>
      </c>
      <c r="L1753">
        <v>20</v>
      </c>
      <c r="M1753">
        <v>21</v>
      </c>
      <c r="N1753">
        <v>480</v>
      </c>
      <c r="O1753">
        <v>32</v>
      </c>
      <c r="P1753">
        <v>5</v>
      </c>
      <c r="Q1753">
        <v>16</v>
      </c>
      <c r="R1753">
        <v>53</v>
      </c>
      <c r="S1753">
        <v>2.65</v>
      </c>
      <c r="T1753">
        <v>0.8</v>
      </c>
    </row>
    <row r="1754" spans="1:21" x14ac:dyDescent="0.35">
      <c r="A1754">
        <v>971</v>
      </c>
      <c r="B1754" s="16">
        <v>40452</v>
      </c>
      <c r="C1754" s="15" t="s">
        <v>76</v>
      </c>
      <c r="D1754" s="15" t="s">
        <v>58</v>
      </c>
      <c r="E1754" s="15" t="s">
        <v>56</v>
      </c>
      <c r="F1754" s="15" t="s">
        <v>47</v>
      </c>
      <c r="G1754" s="15" t="s">
        <v>80</v>
      </c>
      <c r="H1754" s="15" t="s">
        <v>42</v>
      </c>
      <c r="I1754">
        <v>30</v>
      </c>
      <c r="J1754">
        <v>60</v>
      </c>
      <c r="K1754">
        <v>50</v>
      </c>
      <c r="L1754">
        <v>90</v>
      </c>
      <c r="M1754">
        <v>82</v>
      </c>
      <c r="N1754">
        <v>788</v>
      </c>
      <c r="O1754">
        <v>123</v>
      </c>
      <c r="P1754">
        <v>27</v>
      </c>
      <c r="Q1754">
        <v>64</v>
      </c>
      <c r="R1754">
        <v>205</v>
      </c>
      <c r="S1754">
        <v>2.2777777777777777</v>
      </c>
      <c r="T1754">
        <v>1.28</v>
      </c>
      <c r="U1754">
        <v>2.7333333333333334</v>
      </c>
    </row>
    <row r="1755" spans="1:21" x14ac:dyDescent="0.35">
      <c r="A1755">
        <v>971</v>
      </c>
      <c r="B1755" s="16">
        <v>40452</v>
      </c>
      <c r="C1755" s="15" t="s">
        <v>76</v>
      </c>
      <c r="D1755" s="15" t="s">
        <v>58</v>
      </c>
      <c r="E1755" s="15" t="s">
        <v>46</v>
      </c>
      <c r="F1755" s="15" t="s">
        <v>47</v>
      </c>
      <c r="G1755" s="15" t="s">
        <v>80</v>
      </c>
      <c r="H1755" s="15" t="s">
        <v>42</v>
      </c>
      <c r="I1755">
        <v>40</v>
      </c>
      <c r="J1755">
        <v>60</v>
      </c>
      <c r="K1755">
        <v>50</v>
      </c>
      <c r="L1755">
        <v>100</v>
      </c>
      <c r="M1755">
        <v>91</v>
      </c>
      <c r="N1755">
        <v>656</v>
      </c>
      <c r="O1755">
        <v>127</v>
      </c>
      <c r="P1755">
        <v>28</v>
      </c>
      <c r="Q1755">
        <v>76</v>
      </c>
      <c r="R1755">
        <v>218</v>
      </c>
      <c r="S1755">
        <v>2.1800000000000002</v>
      </c>
      <c r="T1755">
        <v>1.52</v>
      </c>
      <c r="U1755">
        <v>2.2749999999999999</v>
      </c>
    </row>
    <row r="1756" spans="1:21" x14ac:dyDescent="0.35">
      <c r="A1756">
        <v>971</v>
      </c>
      <c r="B1756" s="16">
        <v>40452</v>
      </c>
      <c r="C1756" s="15" t="s">
        <v>76</v>
      </c>
      <c r="D1756" s="15" t="s">
        <v>58</v>
      </c>
      <c r="E1756" s="15" t="s">
        <v>39</v>
      </c>
      <c r="F1756" s="15" t="s">
        <v>40</v>
      </c>
      <c r="G1756" s="15" t="s">
        <v>80</v>
      </c>
      <c r="H1756" s="15" t="s">
        <v>42</v>
      </c>
      <c r="I1756">
        <v>70</v>
      </c>
      <c r="J1756">
        <v>100</v>
      </c>
      <c r="K1756">
        <v>50</v>
      </c>
      <c r="L1756">
        <v>170</v>
      </c>
      <c r="M1756">
        <v>51</v>
      </c>
      <c r="N1756">
        <v>503</v>
      </c>
      <c r="O1756">
        <v>71</v>
      </c>
      <c r="P1756">
        <v>46</v>
      </c>
      <c r="Q1756">
        <v>-5</v>
      </c>
      <c r="R1756">
        <v>122</v>
      </c>
      <c r="S1756">
        <v>0.71764705882352942</v>
      </c>
      <c r="T1756">
        <v>-0.1</v>
      </c>
      <c r="U1756">
        <v>0.72857142857142854</v>
      </c>
    </row>
    <row r="1757" spans="1:21" x14ac:dyDescent="0.35">
      <c r="A1757">
        <v>971</v>
      </c>
      <c r="B1757" s="16">
        <v>40452</v>
      </c>
      <c r="C1757" s="15" t="s">
        <v>76</v>
      </c>
      <c r="D1757" s="15" t="s">
        <v>58</v>
      </c>
      <c r="E1757" s="15" t="s">
        <v>43</v>
      </c>
      <c r="F1757" s="15" t="s">
        <v>40</v>
      </c>
      <c r="G1757" s="15" t="s">
        <v>80</v>
      </c>
      <c r="H1757" s="15" t="s">
        <v>42</v>
      </c>
      <c r="I1757">
        <v>80</v>
      </c>
      <c r="J1757">
        <v>130</v>
      </c>
      <c r="K1757">
        <v>90</v>
      </c>
      <c r="L1757">
        <v>210</v>
      </c>
      <c r="M1757">
        <v>60</v>
      </c>
      <c r="N1757">
        <v>463</v>
      </c>
      <c r="O1757">
        <v>84</v>
      </c>
      <c r="P1757">
        <v>19</v>
      </c>
      <c r="Q1757">
        <v>21</v>
      </c>
      <c r="R1757">
        <v>144</v>
      </c>
      <c r="S1757">
        <v>0.68571428571428572</v>
      </c>
      <c r="T1757">
        <v>0.23333333333333334</v>
      </c>
      <c r="U1757">
        <v>0.75</v>
      </c>
    </row>
    <row r="1758" spans="1:21" x14ac:dyDescent="0.35">
      <c r="A1758">
        <v>971</v>
      </c>
      <c r="B1758" s="16">
        <v>40452</v>
      </c>
      <c r="C1758" s="15" t="s">
        <v>76</v>
      </c>
      <c r="D1758" s="15" t="s">
        <v>58</v>
      </c>
      <c r="E1758" s="15" t="s">
        <v>44</v>
      </c>
      <c r="F1758" s="15" t="s">
        <v>40</v>
      </c>
      <c r="G1758" s="15" t="s">
        <v>80</v>
      </c>
      <c r="H1758" s="15" t="s">
        <v>45</v>
      </c>
      <c r="I1758">
        <v>50</v>
      </c>
      <c r="J1758">
        <v>100</v>
      </c>
      <c r="K1758">
        <v>80</v>
      </c>
      <c r="L1758">
        <v>150</v>
      </c>
      <c r="M1758">
        <v>43</v>
      </c>
      <c r="N1758">
        <v>419</v>
      </c>
      <c r="O1758">
        <v>64</v>
      </c>
      <c r="P1758">
        <v>13</v>
      </c>
      <c r="Q1758">
        <v>29</v>
      </c>
      <c r="R1758">
        <v>107</v>
      </c>
      <c r="S1758">
        <v>0.71333333333333337</v>
      </c>
      <c r="T1758">
        <v>0.36249999999999999</v>
      </c>
      <c r="U1758">
        <v>0.86</v>
      </c>
    </row>
    <row r="1759" spans="1:21" x14ac:dyDescent="0.35">
      <c r="A1759">
        <v>503</v>
      </c>
      <c r="B1759" s="16">
        <v>40452</v>
      </c>
      <c r="C1759" s="15" t="s">
        <v>76</v>
      </c>
      <c r="D1759" s="15" t="s">
        <v>58</v>
      </c>
      <c r="E1759" s="15" t="s">
        <v>72</v>
      </c>
      <c r="F1759" s="15" t="s">
        <v>49</v>
      </c>
      <c r="G1759" s="15" t="s">
        <v>80</v>
      </c>
      <c r="H1759" s="15" t="s">
        <v>42</v>
      </c>
      <c r="I1759">
        <v>40</v>
      </c>
      <c r="J1759">
        <v>60</v>
      </c>
      <c r="K1759">
        <v>40</v>
      </c>
      <c r="L1759">
        <v>100</v>
      </c>
      <c r="M1759">
        <v>54</v>
      </c>
      <c r="N1759">
        <v>404</v>
      </c>
      <c r="O1759">
        <v>66</v>
      </c>
      <c r="P1759">
        <v>20</v>
      </c>
      <c r="Q1759">
        <v>12</v>
      </c>
      <c r="R1759">
        <v>120</v>
      </c>
      <c r="S1759">
        <v>1.2</v>
      </c>
      <c r="T1759">
        <v>0.3</v>
      </c>
      <c r="U1759">
        <v>1.35</v>
      </c>
    </row>
    <row r="1760" spans="1:21" x14ac:dyDescent="0.35">
      <c r="A1760">
        <v>971</v>
      </c>
      <c r="B1760" s="16">
        <v>40452</v>
      </c>
      <c r="C1760" s="15" t="s">
        <v>76</v>
      </c>
      <c r="D1760" s="15" t="s">
        <v>58</v>
      </c>
      <c r="E1760" s="15" t="s">
        <v>48</v>
      </c>
      <c r="F1760" s="15" t="s">
        <v>49</v>
      </c>
      <c r="G1760" s="15" t="s">
        <v>80</v>
      </c>
      <c r="H1760" s="15" t="s">
        <v>42</v>
      </c>
      <c r="I1760">
        <v>30</v>
      </c>
      <c r="J1760">
        <v>70</v>
      </c>
      <c r="K1760">
        <v>60</v>
      </c>
      <c r="L1760">
        <v>100</v>
      </c>
      <c r="M1760">
        <v>52</v>
      </c>
      <c r="N1760">
        <v>405</v>
      </c>
      <c r="O1760">
        <v>71</v>
      </c>
      <c r="P1760">
        <v>17</v>
      </c>
      <c r="Q1760">
        <v>27</v>
      </c>
      <c r="R1760">
        <v>123</v>
      </c>
      <c r="S1760">
        <v>1.23</v>
      </c>
      <c r="T1760">
        <v>0.45</v>
      </c>
      <c r="U1760">
        <v>1.7333333333333334</v>
      </c>
    </row>
    <row r="1761" spans="1:21" x14ac:dyDescent="0.35">
      <c r="A1761">
        <v>503</v>
      </c>
      <c r="B1761" s="16">
        <v>40452</v>
      </c>
      <c r="C1761" s="15" t="s">
        <v>76</v>
      </c>
      <c r="D1761" s="15" t="s">
        <v>58</v>
      </c>
      <c r="E1761" s="15" t="s">
        <v>50</v>
      </c>
      <c r="F1761" s="15" t="s">
        <v>49</v>
      </c>
      <c r="G1761" s="15" t="s">
        <v>80</v>
      </c>
      <c r="H1761" s="15" t="s">
        <v>45</v>
      </c>
      <c r="I1761">
        <v>140</v>
      </c>
      <c r="J1761">
        <v>150</v>
      </c>
      <c r="K1761">
        <v>110</v>
      </c>
      <c r="L1761">
        <v>290</v>
      </c>
      <c r="M1761">
        <v>161</v>
      </c>
      <c r="N1761">
        <v>1267</v>
      </c>
      <c r="O1761">
        <v>161</v>
      </c>
      <c r="P1761">
        <v>45</v>
      </c>
      <c r="Q1761">
        <v>91</v>
      </c>
      <c r="R1761">
        <v>322</v>
      </c>
      <c r="S1761">
        <v>1.1103448275862069</v>
      </c>
      <c r="T1761">
        <v>0.82727272727272727</v>
      </c>
      <c r="U1761">
        <v>1.1499999999999999</v>
      </c>
    </row>
    <row r="1762" spans="1:21" x14ac:dyDescent="0.35">
      <c r="A1762">
        <v>206</v>
      </c>
      <c r="B1762" s="16">
        <v>40452</v>
      </c>
      <c r="C1762" s="15" t="s">
        <v>76</v>
      </c>
      <c r="D1762" s="15" t="s">
        <v>58</v>
      </c>
      <c r="E1762" s="15" t="s">
        <v>51</v>
      </c>
      <c r="F1762" s="15" t="s">
        <v>52</v>
      </c>
      <c r="G1762" s="15" t="s">
        <v>81</v>
      </c>
      <c r="H1762" s="15" t="s">
        <v>45</v>
      </c>
      <c r="I1762">
        <v>90</v>
      </c>
      <c r="J1762">
        <v>160</v>
      </c>
      <c r="K1762">
        <v>130</v>
      </c>
      <c r="L1762">
        <v>250</v>
      </c>
      <c r="M1762">
        <v>125</v>
      </c>
      <c r="N1762">
        <v>1119</v>
      </c>
      <c r="O1762">
        <v>188</v>
      </c>
      <c r="P1762">
        <v>41</v>
      </c>
      <c r="Q1762">
        <v>115</v>
      </c>
      <c r="R1762">
        <v>313</v>
      </c>
      <c r="S1762">
        <v>1.252</v>
      </c>
      <c r="T1762">
        <v>0.88461538461538458</v>
      </c>
      <c r="U1762">
        <v>1.3888888888888888</v>
      </c>
    </row>
    <row r="1763" spans="1:21" x14ac:dyDescent="0.35">
      <c r="A1763">
        <v>425</v>
      </c>
      <c r="B1763" s="16">
        <v>40452</v>
      </c>
      <c r="C1763" s="15" t="s">
        <v>76</v>
      </c>
      <c r="D1763" s="15" t="s">
        <v>58</v>
      </c>
      <c r="E1763" s="15" t="s">
        <v>53</v>
      </c>
      <c r="F1763" s="15" t="s">
        <v>52</v>
      </c>
      <c r="G1763" s="15" t="s">
        <v>81</v>
      </c>
      <c r="H1763" s="15" t="s">
        <v>45</v>
      </c>
      <c r="I1763">
        <v>30</v>
      </c>
      <c r="J1763">
        <v>60</v>
      </c>
      <c r="K1763">
        <v>60</v>
      </c>
      <c r="L1763">
        <v>90</v>
      </c>
      <c r="M1763">
        <v>48</v>
      </c>
      <c r="N1763">
        <v>829</v>
      </c>
      <c r="O1763">
        <v>71</v>
      </c>
      <c r="P1763">
        <v>13</v>
      </c>
      <c r="Q1763">
        <v>47</v>
      </c>
      <c r="R1763">
        <v>119</v>
      </c>
      <c r="S1763">
        <v>1.3222222222222222</v>
      </c>
      <c r="T1763">
        <v>0.78333333333333333</v>
      </c>
      <c r="U1763">
        <v>1.6</v>
      </c>
    </row>
    <row r="1764" spans="1:21" x14ac:dyDescent="0.35">
      <c r="A1764">
        <v>206</v>
      </c>
      <c r="B1764" s="16">
        <v>40452</v>
      </c>
      <c r="C1764" s="15" t="s">
        <v>76</v>
      </c>
      <c r="D1764" s="15" t="s">
        <v>58</v>
      </c>
      <c r="E1764" s="15" t="s">
        <v>55</v>
      </c>
      <c r="F1764" s="15" t="s">
        <v>47</v>
      </c>
      <c r="G1764" s="15" t="s">
        <v>81</v>
      </c>
      <c r="H1764" s="15" t="s">
        <v>42</v>
      </c>
      <c r="I1764">
        <v>20</v>
      </c>
      <c r="J1764">
        <v>50</v>
      </c>
      <c r="K1764">
        <v>40</v>
      </c>
      <c r="L1764">
        <v>70</v>
      </c>
      <c r="M1764">
        <v>60</v>
      </c>
      <c r="N1764">
        <v>329</v>
      </c>
      <c r="O1764">
        <v>99</v>
      </c>
      <c r="P1764">
        <v>18</v>
      </c>
      <c r="Q1764">
        <v>57</v>
      </c>
      <c r="R1764">
        <v>159</v>
      </c>
      <c r="S1764">
        <v>2.2714285714285714</v>
      </c>
      <c r="T1764">
        <v>1.425</v>
      </c>
      <c r="U1764">
        <v>3</v>
      </c>
    </row>
    <row r="1765" spans="1:21" x14ac:dyDescent="0.35">
      <c r="A1765">
        <v>360</v>
      </c>
      <c r="B1765" s="16">
        <v>40452</v>
      </c>
      <c r="C1765" s="15" t="s">
        <v>76</v>
      </c>
      <c r="D1765" s="15" t="s">
        <v>58</v>
      </c>
      <c r="E1765" s="15" t="s">
        <v>56</v>
      </c>
      <c r="F1765" s="15" t="s">
        <v>47</v>
      </c>
      <c r="G1765" s="15" t="s">
        <v>81</v>
      </c>
      <c r="H1765" s="15" t="s">
        <v>42</v>
      </c>
      <c r="I1765">
        <v>20</v>
      </c>
      <c r="J1765">
        <v>30</v>
      </c>
      <c r="K1765">
        <v>30</v>
      </c>
      <c r="L1765">
        <v>50</v>
      </c>
      <c r="M1765">
        <v>46</v>
      </c>
      <c r="N1765">
        <v>449</v>
      </c>
      <c r="O1765">
        <v>67</v>
      </c>
      <c r="P1765">
        <v>14</v>
      </c>
      <c r="Q1765">
        <v>31</v>
      </c>
      <c r="R1765">
        <v>113</v>
      </c>
      <c r="S1765">
        <v>2.2599999999999998</v>
      </c>
      <c r="T1765">
        <v>1.0333333333333334</v>
      </c>
      <c r="U1765">
        <v>2.2999999999999998</v>
      </c>
    </row>
    <row r="1766" spans="1:21" x14ac:dyDescent="0.35">
      <c r="A1766">
        <v>206</v>
      </c>
      <c r="B1766" s="16">
        <v>40452</v>
      </c>
      <c r="C1766" s="15" t="s">
        <v>76</v>
      </c>
      <c r="D1766" s="15" t="s">
        <v>58</v>
      </c>
      <c r="E1766" s="15" t="s">
        <v>46</v>
      </c>
      <c r="F1766" s="15" t="s">
        <v>47</v>
      </c>
      <c r="G1766" s="15" t="s">
        <v>81</v>
      </c>
      <c r="H1766" s="15" t="s">
        <v>42</v>
      </c>
      <c r="I1766">
        <v>20</v>
      </c>
      <c r="J1766">
        <v>40</v>
      </c>
      <c r="K1766">
        <v>10</v>
      </c>
      <c r="L1766">
        <v>60</v>
      </c>
      <c r="M1766">
        <v>60</v>
      </c>
      <c r="N1766">
        <v>606</v>
      </c>
      <c r="O1766">
        <v>84</v>
      </c>
      <c r="P1766">
        <v>54</v>
      </c>
      <c r="Q1766">
        <v>0</v>
      </c>
      <c r="R1766">
        <v>144</v>
      </c>
      <c r="S1766">
        <v>2.4</v>
      </c>
      <c r="T1766">
        <v>0</v>
      </c>
      <c r="U1766">
        <v>3</v>
      </c>
    </row>
    <row r="1767" spans="1:21" x14ac:dyDescent="0.35">
      <c r="A1767">
        <v>206</v>
      </c>
      <c r="B1767" s="16">
        <v>40452</v>
      </c>
      <c r="C1767" s="15" t="s">
        <v>76</v>
      </c>
      <c r="D1767" s="15" t="s">
        <v>58</v>
      </c>
      <c r="E1767" s="15" t="s">
        <v>43</v>
      </c>
      <c r="F1767" s="15" t="s">
        <v>40</v>
      </c>
      <c r="G1767" s="15" t="s">
        <v>81</v>
      </c>
      <c r="H1767" s="15" t="s">
        <v>42</v>
      </c>
      <c r="I1767">
        <v>90</v>
      </c>
      <c r="J1767">
        <v>140</v>
      </c>
      <c r="K1767">
        <v>110</v>
      </c>
      <c r="L1767">
        <v>230</v>
      </c>
      <c r="M1767">
        <v>68</v>
      </c>
      <c r="N1767">
        <v>438</v>
      </c>
      <c r="O1767">
        <v>99</v>
      </c>
      <c r="P1767">
        <v>21</v>
      </c>
      <c r="Q1767">
        <v>56</v>
      </c>
      <c r="R1767">
        <v>167</v>
      </c>
      <c r="S1767">
        <v>0.72608695652173916</v>
      </c>
      <c r="T1767">
        <v>0.50909090909090904</v>
      </c>
      <c r="U1767">
        <v>0.75555555555555554</v>
      </c>
    </row>
    <row r="1768" spans="1:21" x14ac:dyDescent="0.35">
      <c r="A1768">
        <v>425</v>
      </c>
      <c r="B1768" s="16">
        <v>40452</v>
      </c>
      <c r="C1768" s="15" t="s">
        <v>76</v>
      </c>
      <c r="D1768" s="15" t="s">
        <v>58</v>
      </c>
      <c r="E1768" s="15" t="s">
        <v>44</v>
      </c>
      <c r="F1768" s="15" t="s">
        <v>40</v>
      </c>
      <c r="G1768" s="15" t="s">
        <v>81</v>
      </c>
      <c r="H1768" s="15" t="s">
        <v>45</v>
      </c>
      <c r="I1768">
        <v>140</v>
      </c>
      <c r="J1768">
        <v>190</v>
      </c>
      <c r="K1768">
        <v>100</v>
      </c>
      <c r="L1768">
        <v>330</v>
      </c>
      <c r="M1768">
        <v>96</v>
      </c>
      <c r="N1768">
        <v>683</v>
      </c>
      <c r="O1768">
        <v>134</v>
      </c>
      <c r="P1768">
        <v>87</v>
      </c>
      <c r="Q1768">
        <v>17</v>
      </c>
      <c r="R1768">
        <v>230</v>
      </c>
      <c r="S1768">
        <v>0.69696969696969702</v>
      </c>
      <c r="T1768">
        <v>0.17</v>
      </c>
      <c r="U1768">
        <v>0.68571428571428572</v>
      </c>
    </row>
    <row r="1769" spans="1:21" x14ac:dyDescent="0.35">
      <c r="A1769">
        <v>206</v>
      </c>
      <c r="B1769" s="16">
        <v>40452</v>
      </c>
      <c r="C1769" s="15" t="s">
        <v>76</v>
      </c>
      <c r="D1769" s="15" t="s">
        <v>58</v>
      </c>
      <c r="E1769" s="15" t="s">
        <v>72</v>
      </c>
      <c r="F1769" s="15" t="s">
        <v>49</v>
      </c>
      <c r="G1769" s="15" t="s">
        <v>81</v>
      </c>
      <c r="H1769" s="15" t="s">
        <v>42</v>
      </c>
      <c r="I1769">
        <v>10</v>
      </c>
      <c r="J1769">
        <v>20</v>
      </c>
      <c r="K1769">
        <v>20</v>
      </c>
      <c r="L1769">
        <v>30</v>
      </c>
      <c r="M1769">
        <v>22</v>
      </c>
      <c r="N1769">
        <v>573</v>
      </c>
      <c r="O1769">
        <v>29</v>
      </c>
      <c r="P1769">
        <v>7</v>
      </c>
      <c r="Q1769">
        <v>10</v>
      </c>
      <c r="R1769">
        <v>51</v>
      </c>
      <c r="S1769">
        <v>1.7</v>
      </c>
      <c r="T1769">
        <v>0.5</v>
      </c>
      <c r="U1769">
        <v>2.2000000000000002</v>
      </c>
    </row>
    <row r="1770" spans="1:21" x14ac:dyDescent="0.35">
      <c r="A1770">
        <v>253</v>
      </c>
      <c r="B1770" s="16">
        <v>40452</v>
      </c>
      <c r="C1770" s="15" t="s">
        <v>76</v>
      </c>
      <c r="D1770" s="15" t="s">
        <v>58</v>
      </c>
      <c r="E1770" s="15" t="s">
        <v>48</v>
      </c>
      <c r="F1770" s="15" t="s">
        <v>49</v>
      </c>
      <c r="G1770" s="15" t="s">
        <v>81</v>
      </c>
      <c r="H1770" s="15" t="s">
        <v>42</v>
      </c>
      <c r="I1770">
        <v>40</v>
      </c>
      <c r="J1770">
        <v>70</v>
      </c>
      <c r="K1770">
        <v>50</v>
      </c>
      <c r="L1770">
        <v>110</v>
      </c>
      <c r="M1770">
        <v>56</v>
      </c>
      <c r="N1770">
        <v>385</v>
      </c>
      <c r="O1770">
        <v>70</v>
      </c>
      <c r="P1770">
        <v>21</v>
      </c>
      <c r="Q1770">
        <v>16</v>
      </c>
      <c r="R1770">
        <v>126</v>
      </c>
      <c r="S1770">
        <v>1.1454545454545455</v>
      </c>
      <c r="T1770">
        <v>0.32</v>
      </c>
      <c r="U1770">
        <v>1.4</v>
      </c>
    </row>
    <row r="1771" spans="1:21" x14ac:dyDescent="0.35">
      <c r="A1771">
        <v>253</v>
      </c>
      <c r="B1771" s="16">
        <v>40452</v>
      </c>
      <c r="C1771" s="15" t="s">
        <v>76</v>
      </c>
      <c r="D1771" s="15" t="s">
        <v>58</v>
      </c>
      <c r="E1771" s="15" t="s">
        <v>50</v>
      </c>
      <c r="F1771" s="15" t="s">
        <v>49</v>
      </c>
      <c r="G1771" s="15" t="s">
        <v>81</v>
      </c>
      <c r="H1771" s="15" t="s">
        <v>45</v>
      </c>
      <c r="I1771">
        <v>60</v>
      </c>
      <c r="J1771">
        <v>90</v>
      </c>
      <c r="K1771">
        <v>80</v>
      </c>
      <c r="L1771">
        <v>150</v>
      </c>
      <c r="M1771">
        <v>80</v>
      </c>
      <c r="N1771">
        <v>1055</v>
      </c>
      <c r="O1771">
        <v>94</v>
      </c>
      <c r="P1771">
        <v>24</v>
      </c>
      <c r="Q1771">
        <v>48</v>
      </c>
      <c r="R1771">
        <v>174</v>
      </c>
      <c r="S1771">
        <v>1.1599999999999999</v>
      </c>
      <c r="T1771">
        <v>0.6</v>
      </c>
      <c r="U1771">
        <v>1.3333333333333333</v>
      </c>
    </row>
    <row r="1772" spans="1:21" x14ac:dyDescent="0.35">
      <c r="A1772">
        <v>719</v>
      </c>
      <c r="B1772" s="16">
        <v>40483</v>
      </c>
      <c r="C1772" s="15" t="s">
        <v>37</v>
      </c>
      <c r="D1772" s="15" t="s">
        <v>38</v>
      </c>
      <c r="E1772" s="15" t="s">
        <v>46</v>
      </c>
      <c r="F1772" s="15" t="s">
        <v>47</v>
      </c>
      <c r="G1772" s="15" t="s">
        <v>41</v>
      </c>
      <c r="H1772" s="15" t="s">
        <v>42</v>
      </c>
      <c r="I1772">
        <v>70</v>
      </c>
      <c r="J1772">
        <v>90</v>
      </c>
      <c r="K1772">
        <v>60</v>
      </c>
      <c r="L1772">
        <v>160</v>
      </c>
      <c r="M1772">
        <v>88</v>
      </c>
      <c r="N1772">
        <v>561</v>
      </c>
      <c r="O1772">
        <v>112</v>
      </c>
      <c r="P1772">
        <v>29</v>
      </c>
      <c r="Q1772">
        <v>70</v>
      </c>
      <c r="R1772">
        <v>200</v>
      </c>
      <c r="S1772">
        <v>1.25</v>
      </c>
      <c r="T1772">
        <v>1.1666666666666667</v>
      </c>
      <c r="U1772">
        <v>1.2571428571428571</v>
      </c>
    </row>
    <row r="1773" spans="1:21" x14ac:dyDescent="0.35">
      <c r="A1773">
        <v>970</v>
      </c>
      <c r="B1773" s="16">
        <v>40483</v>
      </c>
      <c r="C1773" s="15" t="s">
        <v>37</v>
      </c>
      <c r="D1773" s="15" t="s">
        <v>38</v>
      </c>
      <c r="E1773" s="15" t="s">
        <v>51</v>
      </c>
      <c r="F1773" s="15" t="s">
        <v>52</v>
      </c>
      <c r="G1773" s="15" t="s">
        <v>41</v>
      </c>
      <c r="H1773" s="15" t="s">
        <v>45</v>
      </c>
      <c r="I1773">
        <v>170</v>
      </c>
      <c r="J1773">
        <v>160</v>
      </c>
      <c r="K1773">
        <v>100</v>
      </c>
      <c r="L1773">
        <v>330</v>
      </c>
      <c r="M1773">
        <v>181</v>
      </c>
      <c r="N1773">
        <v>1283</v>
      </c>
      <c r="O1773">
        <v>182</v>
      </c>
      <c r="P1773">
        <v>50</v>
      </c>
      <c r="Q1773">
        <v>107</v>
      </c>
      <c r="R1773">
        <v>363</v>
      </c>
      <c r="S1773">
        <v>1.1000000000000001</v>
      </c>
      <c r="T1773">
        <v>1.07</v>
      </c>
      <c r="U1773">
        <v>1.0647058823529412</v>
      </c>
    </row>
    <row r="1774" spans="1:21" x14ac:dyDescent="0.35">
      <c r="A1774">
        <v>303</v>
      </c>
      <c r="B1774" s="16">
        <v>40483</v>
      </c>
      <c r="C1774" s="15" t="s">
        <v>37</v>
      </c>
      <c r="D1774" s="15" t="s">
        <v>38</v>
      </c>
      <c r="E1774" s="15" t="s">
        <v>53</v>
      </c>
      <c r="F1774" s="15" t="s">
        <v>52</v>
      </c>
      <c r="G1774" s="15" t="s">
        <v>41</v>
      </c>
      <c r="H1774" s="15" t="s">
        <v>45</v>
      </c>
      <c r="I1774">
        <v>40</v>
      </c>
      <c r="J1774">
        <v>70</v>
      </c>
      <c r="K1774">
        <v>10</v>
      </c>
      <c r="L1774">
        <v>110</v>
      </c>
      <c r="M1774">
        <v>52</v>
      </c>
      <c r="N1774">
        <v>509</v>
      </c>
      <c r="O1774">
        <v>73</v>
      </c>
      <c r="P1774">
        <v>47</v>
      </c>
      <c r="Q1774">
        <v>-4</v>
      </c>
      <c r="R1774">
        <v>125</v>
      </c>
      <c r="S1774">
        <v>1.1363636363636365</v>
      </c>
      <c r="T1774">
        <v>-0.4</v>
      </c>
      <c r="U1774">
        <v>1.3</v>
      </c>
    </row>
    <row r="1775" spans="1:21" x14ac:dyDescent="0.35">
      <c r="A1775">
        <v>720</v>
      </c>
      <c r="B1775" s="16">
        <v>40483</v>
      </c>
      <c r="C1775" s="15" t="s">
        <v>37</v>
      </c>
      <c r="D1775" s="15" t="s">
        <v>38</v>
      </c>
      <c r="E1775" s="15" t="s">
        <v>54</v>
      </c>
      <c r="F1775" s="15" t="s">
        <v>52</v>
      </c>
      <c r="G1775" s="15" t="s">
        <v>41</v>
      </c>
      <c r="H1775" s="15" t="s">
        <v>45</v>
      </c>
      <c r="I1775">
        <v>50</v>
      </c>
      <c r="J1775">
        <v>70</v>
      </c>
      <c r="K1775">
        <v>40</v>
      </c>
      <c r="L1775">
        <v>120</v>
      </c>
      <c r="M1775">
        <v>59</v>
      </c>
      <c r="N1775">
        <v>411</v>
      </c>
      <c r="O1775">
        <v>79</v>
      </c>
      <c r="P1775">
        <v>19</v>
      </c>
      <c r="Q1775">
        <v>32</v>
      </c>
      <c r="R1775">
        <v>138</v>
      </c>
      <c r="S1775">
        <v>1.1499999999999999</v>
      </c>
      <c r="T1775">
        <v>0.8</v>
      </c>
      <c r="U1775">
        <v>1.18</v>
      </c>
    </row>
    <row r="1776" spans="1:21" x14ac:dyDescent="0.35">
      <c r="A1776">
        <v>719</v>
      </c>
      <c r="B1776" s="16">
        <v>40483</v>
      </c>
      <c r="C1776" s="15" t="s">
        <v>37</v>
      </c>
      <c r="D1776" s="15" t="s">
        <v>38</v>
      </c>
      <c r="E1776" s="15" t="s">
        <v>55</v>
      </c>
      <c r="F1776" s="15" t="s">
        <v>47</v>
      </c>
      <c r="G1776" s="15" t="s">
        <v>41</v>
      </c>
      <c r="H1776" s="15" t="s">
        <v>42</v>
      </c>
      <c r="I1776">
        <v>40</v>
      </c>
      <c r="J1776">
        <v>60</v>
      </c>
      <c r="K1776">
        <v>20</v>
      </c>
      <c r="L1776">
        <v>100</v>
      </c>
      <c r="M1776">
        <v>55</v>
      </c>
      <c r="N1776">
        <v>410</v>
      </c>
      <c r="O1776">
        <v>69</v>
      </c>
      <c r="P1776">
        <v>20</v>
      </c>
      <c r="Q1776">
        <v>15</v>
      </c>
      <c r="R1776">
        <v>124</v>
      </c>
      <c r="S1776">
        <v>1.24</v>
      </c>
      <c r="T1776">
        <v>0.75</v>
      </c>
      <c r="U1776">
        <v>1.375</v>
      </c>
    </row>
    <row r="1777" spans="1:21" x14ac:dyDescent="0.35">
      <c r="A1777">
        <v>719</v>
      </c>
      <c r="B1777" s="16">
        <v>40483</v>
      </c>
      <c r="C1777" s="15" t="s">
        <v>37</v>
      </c>
      <c r="D1777" s="15" t="s">
        <v>38</v>
      </c>
      <c r="E1777" s="15" t="s">
        <v>56</v>
      </c>
      <c r="F1777" s="15" t="s">
        <v>47</v>
      </c>
      <c r="G1777" s="15" t="s">
        <v>41</v>
      </c>
      <c r="H1777" s="15" t="s">
        <v>42</v>
      </c>
      <c r="I1777">
        <v>40</v>
      </c>
      <c r="J1777">
        <v>60</v>
      </c>
      <c r="K1777">
        <v>30</v>
      </c>
      <c r="L1777">
        <v>100</v>
      </c>
      <c r="M1777">
        <v>57</v>
      </c>
      <c r="N1777">
        <v>1042</v>
      </c>
      <c r="O1777">
        <v>68</v>
      </c>
      <c r="P1777">
        <v>17</v>
      </c>
      <c r="Q1777">
        <v>29</v>
      </c>
      <c r="R1777">
        <v>125</v>
      </c>
      <c r="S1777">
        <v>1.25</v>
      </c>
      <c r="T1777">
        <v>0.96666666666666667</v>
      </c>
      <c r="U1777">
        <v>1.425</v>
      </c>
    </row>
    <row r="1778" spans="1:21" x14ac:dyDescent="0.35">
      <c r="A1778">
        <v>303</v>
      </c>
      <c r="B1778" s="16">
        <v>40483</v>
      </c>
      <c r="C1778" s="15" t="s">
        <v>37</v>
      </c>
      <c r="D1778" s="15" t="s">
        <v>38</v>
      </c>
      <c r="E1778" s="15" t="s">
        <v>50</v>
      </c>
      <c r="F1778" s="15" t="s">
        <v>49</v>
      </c>
      <c r="G1778" s="15" t="s">
        <v>41</v>
      </c>
      <c r="H1778" s="15" t="s">
        <v>45</v>
      </c>
      <c r="I1778">
        <v>90</v>
      </c>
      <c r="J1778">
        <v>150</v>
      </c>
      <c r="K1778">
        <v>100</v>
      </c>
      <c r="L1778">
        <v>240</v>
      </c>
      <c r="M1778">
        <v>75</v>
      </c>
      <c r="N1778">
        <v>659</v>
      </c>
      <c r="O1778">
        <v>114</v>
      </c>
      <c r="P1778">
        <v>24</v>
      </c>
      <c r="Q1778">
        <v>58</v>
      </c>
      <c r="R1778">
        <v>189</v>
      </c>
      <c r="S1778">
        <v>0.78749999999999998</v>
      </c>
      <c r="T1778">
        <v>0.57999999999999996</v>
      </c>
      <c r="U1778">
        <v>0.83333333333333337</v>
      </c>
    </row>
    <row r="1779" spans="1:21" x14ac:dyDescent="0.35">
      <c r="A1779">
        <v>303</v>
      </c>
      <c r="B1779" s="16">
        <v>40483</v>
      </c>
      <c r="C1779" s="15" t="s">
        <v>37</v>
      </c>
      <c r="D1779" s="15" t="s">
        <v>38</v>
      </c>
      <c r="E1779" s="15" t="s">
        <v>48</v>
      </c>
      <c r="F1779" s="15" t="s">
        <v>49</v>
      </c>
      <c r="G1779" s="15" t="s">
        <v>41</v>
      </c>
      <c r="H1779" s="15" t="s">
        <v>42</v>
      </c>
      <c r="I1779">
        <v>60</v>
      </c>
      <c r="J1779">
        <v>90</v>
      </c>
      <c r="K1779">
        <v>70</v>
      </c>
      <c r="L1779">
        <v>150</v>
      </c>
      <c r="M1779">
        <v>50</v>
      </c>
      <c r="N1779">
        <v>589</v>
      </c>
      <c r="O1779">
        <v>73</v>
      </c>
      <c r="P1779">
        <v>14</v>
      </c>
      <c r="Q1779">
        <v>48</v>
      </c>
      <c r="R1779">
        <v>123</v>
      </c>
      <c r="S1779">
        <v>0.82</v>
      </c>
      <c r="T1779">
        <v>0.68571428571428572</v>
      </c>
      <c r="U1779">
        <v>0.83333333333333337</v>
      </c>
    </row>
    <row r="1780" spans="1:21" x14ac:dyDescent="0.35">
      <c r="A1780">
        <v>970</v>
      </c>
      <c r="B1780" s="16">
        <v>40483</v>
      </c>
      <c r="C1780" s="15" t="s">
        <v>37</v>
      </c>
      <c r="D1780" s="15" t="s">
        <v>38</v>
      </c>
      <c r="E1780" s="15" t="s">
        <v>44</v>
      </c>
      <c r="F1780" s="15" t="s">
        <v>40</v>
      </c>
      <c r="G1780" s="15" t="s">
        <v>41</v>
      </c>
      <c r="H1780" s="15" t="s">
        <v>45</v>
      </c>
      <c r="I1780">
        <v>80</v>
      </c>
      <c r="J1780">
        <v>110</v>
      </c>
      <c r="K1780">
        <v>80</v>
      </c>
      <c r="L1780">
        <v>190</v>
      </c>
      <c r="M1780">
        <v>81</v>
      </c>
      <c r="N1780">
        <v>984</v>
      </c>
      <c r="O1780">
        <v>117</v>
      </c>
      <c r="P1780">
        <v>22</v>
      </c>
      <c r="Q1780">
        <v>84</v>
      </c>
      <c r="R1780">
        <v>198</v>
      </c>
      <c r="S1780">
        <v>1.0421052631578946</v>
      </c>
      <c r="T1780">
        <v>1.05</v>
      </c>
      <c r="U1780">
        <v>1.0125</v>
      </c>
    </row>
    <row r="1781" spans="1:21" x14ac:dyDescent="0.35">
      <c r="A1781">
        <v>970</v>
      </c>
      <c r="B1781" s="16">
        <v>40483</v>
      </c>
      <c r="C1781" s="15" t="s">
        <v>37</v>
      </c>
      <c r="D1781" s="15" t="s">
        <v>38</v>
      </c>
      <c r="E1781" s="15" t="s">
        <v>39</v>
      </c>
      <c r="F1781" s="15" t="s">
        <v>40</v>
      </c>
      <c r="G1781" s="15" t="s">
        <v>41</v>
      </c>
      <c r="H1781" s="15" t="s">
        <v>42</v>
      </c>
      <c r="I1781">
        <v>110</v>
      </c>
      <c r="J1781">
        <v>170</v>
      </c>
      <c r="K1781">
        <v>130</v>
      </c>
      <c r="L1781">
        <v>280</v>
      </c>
      <c r="M1781">
        <v>118</v>
      </c>
      <c r="N1781">
        <v>930</v>
      </c>
      <c r="O1781">
        <v>172</v>
      </c>
      <c r="P1781">
        <v>33</v>
      </c>
      <c r="Q1781">
        <v>128</v>
      </c>
      <c r="R1781">
        <v>290</v>
      </c>
      <c r="S1781">
        <v>1.0357142857142858</v>
      </c>
      <c r="T1781">
        <v>0.98461538461538467</v>
      </c>
      <c r="U1781">
        <v>1.0727272727272728</v>
      </c>
    </row>
    <row r="1782" spans="1:21" x14ac:dyDescent="0.35">
      <c r="A1782">
        <v>970</v>
      </c>
      <c r="B1782" s="16">
        <v>40483</v>
      </c>
      <c r="C1782" s="15" t="s">
        <v>37</v>
      </c>
      <c r="D1782" s="15" t="s">
        <v>38</v>
      </c>
      <c r="E1782" s="15" t="s">
        <v>43</v>
      </c>
      <c r="F1782" s="15" t="s">
        <v>40</v>
      </c>
      <c r="G1782" s="15" t="s">
        <v>41</v>
      </c>
      <c r="H1782" s="15" t="s">
        <v>42</v>
      </c>
      <c r="I1782">
        <v>30</v>
      </c>
      <c r="J1782">
        <v>60</v>
      </c>
      <c r="K1782">
        <v>40</v>
      </c>
      <c r="L1782">
        <v>90</v>
      </c>
      <c r="M1782">
        <v>40</v>
      </c>
      <c r="N1782">
        <v>536</v>
      </c>
      <c r="O1782">
        <v>52</v>
      </c>
      <c r="P1782">
        <v>13</v>
      </c>
      <c r="Q1782">
        <v>27</v>
      </c>
      <c r="R1782">
        <v>92</v>
      </c>
      <c r="S1782">
        <v>1.0222222222222221</v>
      </c>
      <c r="T1782">
        <v>0.67500000000000004</v>
      </c>
      <c r="U1782">
        <v>1.3333333333333333</v>
      </c>
    </row>
    <row r="1783" spans="1:21" x14ac:dyDescent="0.35">
      <c r="A1783">
        <v>312</v>
      </c>
      <c r="B1783" s="16">
        <v>40483</v>
      </c>
      <c r="C1783" s="15" t="s">
        <v>37</v>
      </c>
      <c r="D1783" s="15" t="s">
        <v>38</v>
      </c>
      <c r="E1783" s="15" t="s">
        <v>51</v>
      </c>
      <c r="F1783" s="15" t="s">
        <v>52</v>
      </c>
      <c r="G1783" s="15" t="s">
        <v>57</v>
      </c>
      <c r="H1783" s="15" t="s">
        <v>45</v>
      </c>
      <c r="I1783">
        <v>110</v>
      </c>
      <c r="J1783">
        <v>150</v>
      </c>
      <c r="K1783">
        <v>110</v>
      </c>
      <c r="L1783">
        <v>260</v>
      </c>
      <c r="M1783">
        <v>118</v>
      </c>
      <c r="N1783">
        <v>930</v>
      </c>
      <c r="O1783">
        <v>172</v>
      </c>
      <c r="P1783">
        <v>33</v>
      </c>
      <c r="Q1783">
        <v>127</v>
      </c>
      <c r="R1783">
        <v>290</v>
      </c>
      <c r="S1783">
        <v>1.1153846153846154</v>
      </c>
      <c r="T1783">
        <v>1.1545454545454545</v>
      </c>
      <c r="U1783">
        <v>1.0727272727272728</v>
      </c>
    </row>
    <row r="1784" spans="1:21" x14ac:dyDescent="0.35">
      <c r="A1784">
        <v>773</v>
      </c>
      <c r="B1784" s="16">
        <v>40483</v>
      </c>
      <c r="C1784" s="15" t="s">
        <v>37</v>
      </c>
      <c r="D1784" s="15" t="s">
        <v>38</v>
      </c>
      <c r="E1784" s="15" t="s">
        <v>53</v>
      </c>
      <c r="F1784" s="15" t="s">
        <v>52</v>
      </c>
      <c r="G1784" s="15" t="s">
        <v>57</v>
      </c>
      <c r="H1784" s="15" t="s">
        <v>45</v>
      </c>
      <c r="I1784">
        <v>30</v>
      </c>
      <c r="J1784">
        <v>50</v>
      </c>
      <c r="K1784">
        <v>30</v>
      </c>
      <c r="L1784">
        <v>80</v>
      </c>
      <c r="M1784">
        <v>40</v>
      </c>
      <c r="N1784">
        <v>536</v>
      </c>
      <c r="O1784">
        <v>52</v>
      </c>
      <c r="P1784">
        <v>13</v>
      </c>
      <c r="Q1784">
        <v>27</v>
      </c>
      <c r="R1784">
        <v>92</v>
      </c>
      <c r="S1784">
        <v>1.1499999999999999</v>
      </c>
      <c r="T1784">
        <v>0.9</v>
      </c>
      <c r="U1784">
        <v>1.3333333333333333</v>
      </c>
    </row>
    <row r="1785" spans="1:21" x14ac:dyDescent="0.35">
      <c r="A1785">
        <v>630</v>
      </c>
      <c r="B1785" s="16">
        <v>40483</v>
      </c>
      <c r="C1785" s="15" t="s">
        <v>37</v>
      </c>
      <c r="D1785" s="15" t="s">
        <v>38</v>
      </c>
      <c r="E1785" s="15" t="s">
        <v>54</v>
      </c>
      <c r="F1785" s="15" t="s">
        <v>52</v>
      </c>
      <c r="G1785" s="15" t="s">
        <v>57</v>
      </c>
      <c r="H1785" s="15" t="s">
        <v>45</v>
      </c>
      <c r="I1785">
        <v>70</v>
      </c>
      <c r="J1785">
        <v>110</v>
      </c>
      <c r="K1785">
        <v>80</v>
      </c>
      <c r="L1785">
        <v>180</v>
      </c>
      <c r="M1785">
        <v>81</v>
      </c>
      <c r="N1785">
        <v>984</v>
      </c>
      <c r="O1785">
        <v>117</v>
      </c>
      <c r="P1785">
        <v>22</v>
      </c>
      <c r="Q1785">
        <v>84</v>
      </c>
      <c r="R1785">
        <v>198</v>
      </c>
      <c r="S1785">
        <v>1.1000000000000001</v>
      </c>
      <c r="T1785">
        <v>1.05</v>
      </c>
      <c r="U1785">
        <v>1.1571428571428573</v>
      </c>
    </row>
    <row r="1786" spans="1:21" x14ac:dyDescent="0.35">
      <c r="A1786">
        <v>847</v>
      </c>
      <c r="B1786" s="16">
        <v>40483</v>
      </c>
      <c r="C1786" s="15" t="s">
        <v>37</v>
      </c>
      <c r="D1786" s="15" t="s">
        <v>38</v>
      </c>
      <c r="E1786" s="15" t="s">
        <v>55</v>
      </c>
      <c r="F1786" s="15" t="s">
        <v>47</v>
      </c>
      <c r="G1786" s="15" t="s">
        <v>57</v>
      </c>
      <c r="H1786" s="15" t="s">
        <v>42</v>
      </c>
      <c r="I1786">
        <v>40</v>
      </c>
      <c r="J1786">
        <v>60</v>
      </c>
      <c r="K1786">
        <v>40</v>
      </c>
      <c r="L1786">
        <v>100</v>
      </c>
      <c r="M1786">
        <v>50</v>
      </c>
      <c r="N1786">
        <v>589</v>
      </c>
      <c r="O1786">
        <v>73</v>
      </c>
      <c r="P1786">
        <v>14</v>
      </c>
      <c r="Q1786">
        <v>48</v>
      </c>
      <c r="R1786">
        <v>123</v>
      </c>
      <c r="S1786">
        <v>1.23</v>
      </c>
      <c r="T1786">
        <v>1.2</v>
      </c>
      <c r="U1786">
        <v>1.25</v>
      </c>
    </row>
    <row r="1787" spans="1:21" x14ac:dyDescent="0.35">
      <c r="A1787">
        <v>630</v>
      </c>
      <c r="B1787" s="16">
        <v>40483</v>
      </c>
      <c r="C1787" s="15" t="s">
        <v>37</v>
      </c>
      <c r="D1787" s="15" t="s">
        <v>38</v>
      </c>
      <c r="E1787" s="15" t="s">
        <v>56</v>
      </c>
      <c r="F1787" s="15" t="s">
        <v>47</v>
      </c>
      <c r="G1787" s="15" t="s">
        <v>57</v>
      </c>
      <c r="H1787" s="15" t="s">
        <v>42</v>
      </c>
      <c r="I1787">
        <v>60</v>
      </c>
      <c r="J1787">
        <v>90</v>
      </c>
      <c r="K1787">
        <v>50</v>
      </c>
      <c r="L1787">
        <v>150</v>
      </c>
      <c r="M1787">
        <v>75</v>
      </c>
      <c r="N1787">
        <v>659</v>
      </c>
      <c r="O1787">
        <v>114</v>
      </c>
      <c r="P1787">
        <v>24</v>
      </c>
      <c r="Q1787">
        <v>59</v>
      </c>
      <c r="R1787">
        <v>189</v>
      </c>
      <c r="S1787">
        <v>1.26</v>
      </c>
      <c r="T1787">
        <v>1.18</v>
      </c>
      <c r="U1787">
        <v>1.25</v>
      </c>
    </row>
    <row r="1788" spans="1:21" x14ac:dyDescent="0.35">
      <c r="A1788">
        <v>847</v>
      </c>
      <c r="B1788" s="16">
        <v>40483</v>
      </c>
      <c r="C1788" s="15" t="s">
        <v>37</v>
      </c>
      <c r="D1788" s="15" t="s">
        <v>38</v>
      </c>
      <c r="E1788" s="15" t="s">
        <v>50</v>
      </c>
      <c r="F1788" s="15" t="s">
        <v>49</v>
      </c>
      <c r="G1788" s="15" t="s">
        <v>57</v>
      </c>
      <c r="H1788" s="15" t="s">
        <v>45</v>
      </c>
      <c r="I1788">
        <v>270</v>
      </c>
      <c r="J1788">
        <v>270</v>
      </c>
      <c r="K1788">
        <v>200</v>
      </c>
      <c r="L1788">
        <v>540</v>
      </c>
      <c r="M1788">
        <v>211</v>
      </c>
      <c r="N1788">
        <v>1778</v>
      </c>
      <c r="O1788">
        <v>212</v>
      </c>
      <c r="P1788">
        <v>59</v>
      </c>
      <c r="Q1788">
        <v>129</v>
      </c>
      <c r="R1788">
        <v>423</v>
      </c>
      <c r="S1788">
        <v>0.78333333333333333</v>
      </c>
      <c r="T1788">
        <v>0.64500000000000002</v>
      </c>
      <c r="U1788">
        <v>0.78148148148148144</v>
      </c>
    </row>
    <row r="1789" spans="1:21" x14ac:dyDescent="0.35">
      <c r="A1789">
        <v>224</v>
      </c>
      <c r="B1789" s="16">
        <v>40483</v>
      </c>
      <c r="C1789" s="15" t="s">
        <v>37</v>
      </c>
      <c r="D1789" s="15" t="s">
        <v>38</v>
      </c>
      <c r="E1789" s="15" t="s">
        <v>48</v>
      </c>
      <c r="F1789" s="15" t="s">
        <v>49</v>
      </c>
      <c r="G1789" s="15" t="s">
        <v>57</v>
      </c>
      <c r="H1789" s="15" t="s">
        <v>42</v>
      </c>
      <c r="I1789">
        <v>290</v>
      </c>
      <c r="J1789">
        <v>390</v>
      </c>
      <c r="K1789">
        <v>290</v>
      </c>
      <c r="L1789">
        <v>680</v>
      </c>
      <c r="M1789">
        <v>228</v>
      </c>
      <c r="N1789">
        <v>1691</v>
      </c>
      <c r="O1789">
        <v>304</v>
      </c>
      <c r="P1789">
        <v>75</v>
      </c>
      <c r="Q1789">
        <v>196</v>
      </c>
      <c r="R1789">
        <v>532</v>
      </c>
      <c r="S1789">
        <v>0.78235294117647058</v>
      </c>
      <c r="T1789">
        <v>0.67586206896551726</v>
      </c>
      <c r="U1789">
        <v>0.78620689655172415</v>
      </c>
    </row>
    <row r="1790" spans="1:21" x14ac:dyDescent="0.35">
      <c r="A1790">
        <v>815</v>
      </c>
      <c r="B1790" s="16">
        <v>40483</v>
      </c>
      <c r="C1790" s="15" t="s">
        <v>37</v>
      </c>
      <c r="D1790" s="15" t="s">
        <v>38</v>
      </c>
      <c r="E1790" s="15" t="s">
        <v>44</v>
      </c>
      <c r="F1790" s="15" t="s">
        <v>40</v>
      </c>
      <c r="G1790" s="15" t="s">
        <v>57</v>
      </c>
      <c r="H1790" s="15" t="s">
        <v>45</v>
      </c>
      <c r="I1790">
        <v>110</v>
      </c>
      <c r="J1790">
        <v>160</v>
      </c>
      <c r="K1790">
        <v>110</v>
      </c>
      <c r="L1790">
        <v>270</v>
      </c>
      <c r="M1790">
        <v>113</v>
      </c>
      <c r="N1790">
        <v>803</v>
      </c>
      <c r="O1790">
        <v>165</v>
      </c>
      <c r="P1790">
        <v>36</v>
      </c>
      <c r="Q1790">
        <v>106</v>
      </c>
      <c r="R1790">
        <v>278</v>
      </c>
      <c r="S1790">
        <v>1.0296296296296297</v>
      </c>
      <c r="T1790">
        <v>0.96363636363636362</v>
      </c>
      <c r="U1790">
        <v>1.0272727272727273</v>
      </c>
    </row>
    <row r="1791" spans="1:21" x14ac:dyDescent="0.35">
      <c r="A1791">
        <v>815</v>
      </c>
      <c r="B1791" s="16">
        <v>40483</v>
      </c>
      <c r="C1791" s="15" t="s">
        <v>37</v>
      </c>
      <c r="D1791" s="15" t="s">
        <v>38</v>
      </c>
      <c r="E1791" s="15" t="s">
        <v>43</v>
      </c>
      <c r="F1791" s="15" t="s">
        <v>40</v>
      </c>
      <c r="G1791" s="15" t="s">
        <v>57</v>
      </c>
      <c r="H1791" s="15" t="s">
        <v>42</v>
      </c>
      <c r="I1791">
        <v>170</v>
      </c>
      <c r="J1791">
        <v>230</v>
      </c>
      <c r="K1791">
        <v>140</v>
      </c>
      <c r="L1791">
        <v>400</v>
      </c>
      <c r="M1791">
        <v>173</v>
      </c>
      <c r="N1791">
        <v>1150</v>
      </c>
      <c r="O1791">
        <v>239</v>
      </c>
      <c r="P1791">
        <v>57</v>
      </c>
      <c r="Q1791">
        <v>139</v>
      </c>
      <c r="R1791">
        <v>412</v>
      </c>
      <c r="S1791">
        <v>1.03</v>
      </c>
      <c r="T1791">
        <v>0.99285714285714288</v>
      </c>
      <c r="U1791">
        <v>1.0176470588235293</v>
      </c>
    </row>
    <row r="1792" spans="1:21" x14ac:dyDescent="0.35">
      <c r="A1792">
        <v>712</v>
      </c>
      <c r="B1792" s="16">
        <v>40483</v>
      </c>
      <c r="C1792" s="15" t="s">
        <v>37</v>
      </c>
      <c r="D1792" s="15" t="s">
        <v>58</v>
      </c>
      <c r="E1792" s="15" t="s">
        <v>51</v>
      </c>
      <c r="F1792" s="15" t="s">
        <v>52</v>
      </c>
      <c r="G1792" s="15" t="s">
        <v>59</v>
      </c>
      <c r="H1792" s="15" t="s">
        <v>45</v>
      </c>
      <c r="I1792">
        <v>210</v>
      </c>
      <c r="J1792">
        <v>280</v>
      </c>
      <c r="K1792">
        <v>180</v>
      </c>
      <c r="L1792">
        <v>490</v>
      </c>
      <c r="M1792">
        <v>228</v>
      </c>
      <c r="N1792">
        <v>1691</v>
      </c>
      <c r="O1792">
        <v>304</v>
      </c>
      <c r="P1792">
        <v>75</v>
      </c>
      <c r="Q1792">
        <v>196</v>
      </c>
      <c r="R1792">
        <v>532</v>
      </c>
      <c r="S1792">
        <v>1.0857142857142856</v>
      </c>
      <c r="T1792">
        <v>1.0888888888888888</v>
      </c>
      <c r="U1792">
        <v>1.0857142857142856</v>
      </c>
    </row>
    <row r="1793" spans="1:21" x14ac:dyDescent="0.35">
      <c r="A1793">
        <v>712</v>
      </c>
      <c r="B1793" s="16">
        <v>40483</v>
      </c>
      <c r="C1793" s="15" t="s">
        <v>37</v>
      </c>
      <c r="D1793" s="15" t="s">
        <v>58</v>
      </c>
      <c r="E1793" s="15" t="s">
        <v>53</v>
      </c>
      <c r="F1793" s="15" t="s">
        <v>52</v>
      </c>
      <c r="G1793" s="15" t="s">
        <v>59</v>
      </c>
      <c r="H1793" s="15" t="s">
        <v>45</v>
      </c>
      <c r="I1793">
        <v>100</v>
      </c>
      <c r="J1793">
        <v>150</v>
      </c>
      <c r="K1793">
        <v>100</v>
      </c>
      <c r="L1793">
        <v>250</v>
      </c>
      <c r="M1793">
        <v>113</v>
      </c>
      <c r="N1793">
        <v>803</v>
      </c>
      <c r="O1793">
        <v>165</v>
      </c>
      <c r="P1793">
        <v>36</v>
      </c>
      <c r="Q1793">
        <v>107</v>
      </c>
      <c r="R1793">
        <v>278</v>
      </c>
      <c r="S1793">
        <v>1.1120000000000001</v>
      </c>
      <c r="T1793">
        <v>1.07</v>
      </c>
      <c r="U1793">
        <v>1.1299999999999999</v>
      </c>
    </row>
    <row r="1794" spans="1:21" x14ac:dyDescent="0.35">
      <c r="A1794">
        <v>712</v>
      </c>
      <c r="B1794" s="16">
        <v>40483</v>
      </c>
      <c r="C1794" s="15" t="s">
        <v>37</v>
      </c>
      <c r="D1794" s="15" t="s">
        <v>58</v>
      </c>
      <c r="E1794" s="15" t="s">
        <v>55</v>
      </c>
      <c r="F1794" s="15" t="s">
        <v>47</v>
      </c>
      <c r="G1794" s="15" t="s">
        <v>59</v>
      </c>
      <c r="H1794" s="15" t="s">
        <v>42</v>
      </c>
      <c r="I1794">
        <v>170</v>
      </c>
      <c r="J1794">
        <v>180</v>
      </c>
      <c r="K1794">
        <v>110</v>
      </c>
      <c r="L1794">
        <v>350</v>
      </c>
      <c r="M1794">
        <v>211</v>
      </c>
      <c r="N1794">
        <v>1778</v>
      </c>
      <c r="O1794">
        <v>212</v>
      </c>
      <c r="P1794">
        <v>59</v>
      </c>
      <c r="Q1794">
        <v>129</v>
      </c>
      <c r="R1794">
        <v>423</v>
      </c>
      <c r="S1794">
        <v>1.2085714285714286</v>
      </c>
      <c r="T1794">
        <v>1.1727272727272726</v>
      </c>
      <c r="U1794">
        <v>1.2411764705882353</v>
      </c>
    </row>
    <row r="1795" spans="1:21" x14ac:dyDescent="0.35">
      <c r="A1795">
        <v>319</v>
      </c>
      <c r="B1795" s="16">
        <v>40483</v>
      </c>
      <c r="C1795" s="15" t="s">
        <v>37</v>
      </c>
      <c r="D1795" s="15" t="s">
        <v>58</v>
      </c>
      <c r="E1795" s="15" t="s">
        <v>56</v>
      </c>
      <c r="F1795" s="15" t="s">
        <v>47</v>
      </c>
      <c r="G1795" s="15" t="s">
        <v>59</v>
      </c>
      <c r="H1795" s="15" t="s">
        <v>42</v>
      </c>
      <c r="I1795">
        <v>200</v>
      </c>
      <c r="J1795">
        <v>250</v>
      </c>
      <c r="K1795">
        <v>130</v>
      </c>
      <c r="L1795">
        <v>450</v>
      </c>
      <c r="M1795">
        <v>245</v>
      </c>
      <c r="N1795">
        <v>1784</v>
      </c>
      <c r="O1795">
        <v>300</v>
      </c>
      <c r="P1795">
        <v>93</v>
      </c>
      <c r="Q1795">
        <v>173</v>
      </c>
      <c r="R1795">
        <v>545</v>
      </c>
      <c r="S1795">
        <v>1.211111111111111</v>
      </c>
      <c r="T1795">
        <v>1.3307692307692307</v>
      </c>
      <c r="U1795">
        <v>1.2250000000000001</v>
      </c>
    </row>
    <row r="1796" spans="1:21" x14ac:dyDescent="0.35">
      <c r="A1796">
        <v>515</v>
      </c>
      <c r="B1796" s="16">
        <v>40483</v>
      </c>
      <c r="C1796" s="15" t="s">
        <v>37</v>
      </c>
      <c r="D1796" s="15" t="s">
        <v>58</v>
      </c>
      <c r="E1796" s="15" t="s">
        <v>48</v>
      </c>
      <c r="F1796" s="15" t="s">
        <v>49</v>
      </c>
      <c r="G1796" s="15" t="s">
        <v>59</v>
      </c>
      <c r="H1796" s="15" t="s">
        <v>42</v>
      </c>
      <c r="I1796">
        <v>20</v>
      </c>
      <c r="J1796">
        <v>50</v>
      </c>
      <c r="K1796">
        <v>40</v>
      </c>
      <c r="L1796">
        <v>70</v>
      </c>
      <c r="M1796">
        <v>22</v>
      </c>
      <c r="N1796">
        <v>802</v>
      </c>
      <c r="O1796">
        <v>34</v>
      </c>
      <c r="P1796">
        <v>6</v>
      </c>
      <c r="Q1796">
        <v>16</v>
      </c>
      <c r="R1796">
        <v>56</v>
      </c>
      <c r="S1796">
        <v>0.8</v>
      </c>
      <c r="T1796">
        <v>0.4</v>
      </c>
      <c r="U1796">
        <v>1.1000000000000001</v>
      </c>
    </row>
    <row r="1797" spans="1:21" x14ac:dyDescent="0.35">
      <c r="A1797">
        <v>712</v>
      </c>
      <c r="B1797" s="16">
        <v>40483</v>
      </c>
      <c r="C1797" s="15" t="s">
        <v>37</v>
      </c>
      <c r="D1797" s="15" t="s">
        <v>58</v>
      </c>
      <c r="E1797" s="15" t="s">
        <v>50</v>
      </c>
      <c r="F1797" s="15" t="s">
        <v>49</v>
      </c>
      <c r="G1797" s="15" t="s">
        <v>59</v>
      </c>
      <c r="H1797" s="15" t="s">
        <v>45</v>
      </c>
      <c r="I1797">
        <v>0</v>
      </c>
      <c r="J1797">
        <v>50</v>
      </c>
      <c r="K1797">
        <v>40</v>
      </c>
      <c r="L1797">
        <v>50</v>
      </c>
      <c r="M1797">
        <v>0</v>
      </c>
      <c r="N1797">
        <v>387</v>
      </c>
      <c r="O1797">
        <v>43</v>
      </c>
      <c r="P1797">
        <v>0</v>
      </c>
      <c r="Q1797">
        <v>31</v>
      </c>
      <c r="R1797">
        <v>43</v>
      </c>
      <c r="S1797">
        <v>0.86</v>
      </c>
      <c r="T1797">
        <v>0.77500000000000002</v>
      </c>
    </row>
    <row r="1798" spans="1:21" x14ac:dyDescent="0.35">
      <c r="A1798">
        <v>641</v>
      </c>
      <c r="B1798" s="16">
        <v>40483</v>
      </c>
      <c r="C1798" s="15" t="s">
        <v>37</v>
      </c>
      <c r="D1798" s="15" t="s">
        <v>58</v>
      </c>
      <c r="E1798" s="15" t="s">
        <v>44</v>
      </c>
      <c r="F1798" s="15" t="s">
        <v>40</v>
      </c>
      <c r="G1798" s="15" t="s">
        <v>59</v>
      </c>
      <c r="H1798" s="15" t="s">
        <v>45</v>
      </c>
      <c r="I1798">
        <v>0</v>
      </c>
      <c r="J1798">
        <v>20</v>
      </c>
      <c r="K1798">
        <v>10</v>
      </c>
      <c r="L1798">
        <v>20</v>
      </c>
      <c r="M1798">
        <v>10</v>
      </c>
      <c r="N1798">
        <v>596</v>
      </c>
      <c r="O1798">
        <v>13</v>
      </c>
      <c r="P1798">
        <v>3</v>
      </c>
      <c r="Q1798">
        <v>-3</v>
      </c>
      <c r="R1798">
        <v>23</v>
      </c>
      <c r="S1798">
        <v>1.1499999999999999</v>
      </c>
      <c r="T1798">
        <v>-0.3</v>
      </c>
    </row>
    <row r="1799" spans="1:21" x14ac:dyDescent="0.35">
      <c r="A1799">
        <v>563</v>
      </c>
      <c r="B1799" s="16">
        <v>40483</v>
      </c>
      <c r="C1799" s="15" t="s">
        <v>37</v>
      </c>
      <c r="D1799" s="15" t="s">
        <v>58</v>
      </c>
      <c r="E1799" s="15" t="s">
        <v>39</v>
      </c>
      <c r="F1799" s="15" t="s">
        <v>40</v>
      </c>
      <c r="G1799" s="15" t="s">
        <v>59</v>
      </c>
      <c r="H1799" s="15" t="s">
        <v>42</v>
      </c>
      <c r="I1799">
        <v>10</v>
      </c>
      <c r="J1799">
        <v>20</v>
      </c>
      <c r="K1799">
        <v>10</v>
      </c>
      <c r="L1799">
        <v>30</v>
      </c>
      <c r="M1799">
        <v>15</v>
      </c>
      <c r="N1799">
        <v>848</v>
      </c>
      <c r="O1799">
        <v>24</v>
      </c>
      <c r="P1799">
        <v>4</v>
      </c>
      <c r="Q1799">
        <v>8</v>
      </c>
      <c r="R1799">
        <v>39</v>
      </c>
      <c r="S1799">
        <v>1.3</v>
      </c>
      <c r="T1799">
        <v>0.8</v>
      </c>
      <c r="U1799">
        <v>1.5</v>
      </c>
    </row>
    <row r="1800" spans="1:21" x14ac:dyDescent="0.35">
      <c r="A1800">
        <v>563</v>
      </c>
      <c r="B1800" s="16">
        <v>40483</v>
      </c>
      <c r="C1800" s="15" t="s">
        <v>37</v>
      </c>
      <c r="D1800" s="15" t="s">
        <v>58</v>
      </c>
      <c r="E1800" s="15" t="s">
        <v>43</v>
      </c>
      <c r="F1800" s="15" t="s">
        <v>40</v>
      </c>
      <c r="G1800" s="15" t="s">
        <v>59</v>
      </c>
      <c r="H1800" s="15" t="s">
        <v>42</v>
      </c>
      <c r="I1800">
        <v>20</v>
      </c>
      <c r="J1800">
        <v>40</v>
      </c>
      <c r="K1800">
        <v>20</v>
      </c>
      <c r="L1800">
        <v>60</v>
      </c>
      <c r="M1800">
        <v>29</v>
      </c>
      <c r="N1800">
        <v>1003</v>
      </c>
      <c r="O1800">
        <v>35</v>
      </c>
      <c r="P1800">
        <v>8</v>
      </c>
      <c r="Q1800">
        <v>5</v>
      </c>
      <c r="R1800">
        <v>64</v>
      </c>
      <c r="S1800">
        <v>1.0666666666666667</v>
      </c>
      <c r="T1800">
        <v>0.25</v>
      </c>
      <c r="U1800">
        <v>1.45</v>
      </c>
    </row>
    <row r="1801" spans="1:21" x14ac:dyDescent="0.35">
      <c r="A1801">
        <v>314</v>
      </c>
      <c r="B1801" s="16">
        <v>40483</v>
      </c>
      <c r="C1801" s="15" t="s">
        <v>37</v>
      </c>
      <c r="D1801" s="15" t="s">
        <v>58</v>
      </c>
      <c r="E1801" s="15" t="s">
        <v>46</v>
      </c>
      <c r="F1801" s="15" t="s">
        <v>47</v>
      </c>
      <c r="G1801" s="15" t="s">
        <v>60</v>
      </c>
      <c r="H1801" s="15" t="s">
        <v>42</v>
      </c>
      <c r="I1801">
        <v>20</v>
      </c>
      <c r="J1801">
        <v>40</v>
      </c>
      <c r="K1801">
        <v>0</v>
      </c>
      <c r="L1801">
        <v>60</v>
      </c>
      <c r="M1801">
        <v>33</v>
      </c>
      <c r="N1801">
        <v>243</v>
      </c>
      <c r="O1801">
        <v>41</v>
      </c>
      <c r="P1801">
        <v>12</v>
      </c>
      <c r="Q1801">
        <v>-4</v>
      </c>
      <c r="R1801">
        <v>74</v>
      </c>
      <c r="S1801">
        <v>1.2333333333333334</v>
      </c>
      <c r="U1801">
        <v>1.65</v>
      </c>
    </row>
    <row r="1802" spans="1:21" x14ac:dyDescent="0.35">
      <c r="A1802">
        <v>573</v>
      </c>
      <c r="B1802" s="16">
        <v>40483</v>
      </c>
      <c r="C1802" s="15" t="s">
        <v>37</v>
      </c>
      <c r="D1802" s="15" t="s">
        <v>58</v>
      </c>
      <c r="E1802" s="15" t="s">
        <v>51</v>
      </c>
      <c r="F1802" s="15" t="s">
        <v>52</v>
      </c>
      <c r="G1802" s="15" t="s">
        <v>60</v>
      </c>
      <c r="H1802" s="15" t="s">
        <v>45</v>
      </c>
      <c r="I1802">
        <v>40</v>
      </c>
      <c r="J1802">
        <v>50</v>
      </c>
      <c r="K1802">
        <v>0</v>
      </c>
      <c r="L1802">
        <v>90</v>
      </c>
      <c r="M1802">
        <v>44</v>
      </c>
      <c r="N1802">
        <v>325</v>
      </c>
      <c r="O1802">
        <v>62</v>
      </c>
      <c r="P1802">
        <v>40</v>
      </c>
      <c r="Q1802">
        <v>-8</v>
      </c>
      <c r="R1802">
        <v>106</v>
      </c>
      <c r="S1802">
        <v>1.1777777777777778</v>
      </c>
      <c r="U1802">
        <v>1.1000000000000001</v>
      </c>
    </row>
    <row r="1803" spans="1:21" x14ac:dyDescent="0.35">
      <c r="A1803">
        <v>573</v>
      </c>
      <c r="B1803" s="16">
        <v>40483</v>
      </c>
      <c r="C1803" s="15" t="s">
        <v>37</v>
      </c>
      <c r="D1803" s="15" t="s">
        <v>58</v>
      </c>
      <c r="E1803" s="15" t="s">
        <v>53</v>
      </c>
      <c r="F1803" s="15" t="s">
        <v>52</v>
      </c>
      <c r="G1803" s="15" t="s">
        <v>60</v>
      </c>
      <c r="H1803" s="15" t="s">
        <v>45</v>
      </c>
      <c r="I1803">
        <v>70</v>
      </c>
      <c r="J1803">
        <v>40</v>
      </c>
      <c r="K1803">
        <v>0</v>
      </c>
      <c r="L1803">
        <v>110</v>
      </c>
      <c r="M1803">
        <v>82</v>
      </c>
      <c r="N1803">
        <v>1804</v>
      </c>
      <c r="O1803">
        <v>40</v>
      </c>
      <c r="P1803">
        <v>25</v>
      </c>
      <c r="Q1803">
        <v>-9</v>
      </c>
      <c r="R1803">
        <v>122</v>
      </c>
      <c r="S1803">
        <v>1.1090909090909091</v>
      </c>
      <c r="U1803">
        <v>1.1714285714285715</v>
      </c>
    </row>
    <row r="1804" spans="1:21" x14ac:dyDescent="0.35">
      <c r="A1804">
        <v>417</v>
      </c>
      <c r="B1804" s="16">
        <v>40483</v>
      </c>
      <c r="C1804" s="15" t="s">
        <v>37</v>
      </c>
      <c r="D1804" s="15" t="s">
        <v>58</v>
      </c>
      <c r="E1804" s="15" t="s">
        <v>55</v>
      </c>
      <c r="F1804" s="15" t="s">
        <v>47</v>
      </c>
      <c r="G1804" s="15" t="s">
        <v>60</v>
      </c>
      <c r="H1804" s="15" t="s">
        <v>42</v>
      </c>
      <c r="I1804">
        <v>20</v>
      </c>
      <c r="J1804">
        <v>40</v>
      </c>
      <c r="K1804">
        <v>10</v>
      </c>
      <c r="L1804">
        <v>60</v>
      </c>
      <c r="M1804">
        <v>35</v>
      </c>
      <c r="N1804">
        <v>248</v>
      </c>
      <c r="O1804">
        <v>47</v>
      </c>
      <c r="P1804">
        <v>11</v>
      </c>
      <c r="Q1804">
        <v>9</v>
      </c>
      <c r="R1804">
        <v>82</v>
      </c>
      <c r="S1804">
        <v>1.3666666666666667</v>
      </c>
      <c r="T1804">
        <v>0.9</v>
      </c>
      <c r="U1804">
        <v>1.75</v>
      </c>
    </row>
    <row r="1805" spans="1:21" x14ac:dyDescent="0.35">
      <c r="A1805">
        <v>636</v>
      </c>
      <c r="B1805" s="16">
        <v>40483</v>
      </c>
      <c r="C1805" s="15" t="s">
        <v>37</v>
      </c>
      <c r="D1805" s="15" t="s">
        <v>58</v>
      </c>
      <c r="E1805" s="15" t="s">
        <v>56</v>
      </c>
      <c r="F1805" s="15" t="s">
        <v>47</v>
      </c>
      <c r="G1805" s="15" t="s">
        <v>60</v>
      </c>
      <c r="H1805" s="15" t="s">
        <v>42</v>
      </c>
      <c r="I1805">
        <v>20</v>
      </c>
      <c r="J1805">
        <v>40</v>
      </c>
      <c r="K1805">
        <v>0</v>
      </c>
      <c r="L1805">
        <v>60</v>
      </c>
      <c r="M1805">
        <v>34</v>
      </c>
      <c r="N1805">
        <v>211</v>
      </c>
      <c r="O1805">
        <v>42</v>
      </c>
      <c r="P1805">
        <v>12</v>
      </c>
      <c r="Q1805">
        <v>-3</v>
      </c>
      <c r="R1805">
        <v>76</v>
      </c>
      <c r="S1805">
        <v>1.2666666666666666</v>
      </c>
      <c r="U1805">
        <v>1.7</v>
      </c>
    </row>
    <row r="1806" spans="1:21" x14ac:dyDescent="0.35">
      <c r="A1806">
        <v>314</v>
      </c>
      <c r="B1806" s="16">
        <v>40483</v>
      </c>
      <c r="C1806" s="15" t="s">
        <v>37</v>
      </c>
      <c r="D1806" s="15" t="s">
        <v>58</v>
      </c>
      <c r="E1806" s="15" t="s">
        <v>48</v>
      </c>
      <c r="F1806" s="15" t="s">
        <v>49</v>
      </c>
      <c r="G1806" s="15" t="s">
        <v>60</v>
      </c>
      <c r="H1806" s="15" t="s">
        <v>42</v>
      </c>
      <c r="I1806">
        <v>60</v>
      </c>
      <c r="J1806">
        <v>100</v>
      </c>
      <c r="K1806">
        <v>80</v>
      </c>
      <c r="L1806">
        <v>160</v>
      </c>
      <c r="M1806">
        <v>54</v>
      </c>
      <c r="N1806">
        <v>885</v>
      </c>
      <c r="O1806">
        <v>78</v>
      </c>
      <c r="P1806">
        <v>15</v>
      </c>
      <c r="Q1806">
        <v>51</v>
      </c>
      <c r="R1806">
        <v>132</v>
      </c>
      <c r="S1806">
        <v>0.82499999999999996</v>
      </c>
      <c r="T1806">
        <v>0.63749999999999996</v>
      </c>
      <c r="U1806">
        <v>0.9</v>
      </c>
    </row>
    <row r="1807" spans="1:21" x14ac:dyDescent="0.35">
      <c r="A1807">
        <v>314</v>
      </c>
      <c r="B1807" s="16">
        <v>40483</v>
      </c>
      <c r="C1807" s="15" t="s">
        <v>37</v>
      </c>
      <c r="D1807" s="15" t="s">
        <v>58</v>
      </c>
      <c r="E1807" s="15" t="s">
        <v>50</v>
      </c>
      <c r="F1807" s="15" t="s">
        <v>49</v>
      </c>
      <c r="G1807" s="15" t="s">
        <v>60</v>
      </c>
      <c r="H1807" s="15" t="s">
        <v>45</v>
      </c>
      <c r="I1807">
        <v>40</v>
      </c>
      <c r="J1807">
        <v>60</v>
      </c>
      <c r="K1807">
        <v>50</v>
      </c>
      <c r="L1807">
        <v>100</v>
      </c>
      <c r="M1807">
        <v>33</v>
      </c>
      <c r="N1807">
        <v>836</v>
      </c>
      <c r="O1807">
        <v>48</v>
      </c>
      <c r="P1807">
        <v>9</v>
      </c>
      <c r="Q1807">
        <v>27</v>
      </c>
      <c r="R1807">
        <v>81</v>
      </c>
      <c r="S1807">
        <v>0.81</v>
      </c>
      <c r="T1807">
        <v>0.54</v>
      </c>
      <c r="U1807">
        <v>0.82499999999999996</v>
      </c>
    </row>
    <row r="1808" spans="1:21" x14ac:dyDescent="0.35">
      <c r="A1808">
        <v>314</v>
      </c>
      <c r="B1808" s="16">
        <v>40483</v>
      </c>
      <c r="C1808" s="15" t="s">
        <v>37</v>
      </c>
      <c r="D1808" s="15" t="s">
        <v>58</v>
      </c>
      <c r="E1808" s="15" t="s">
        <v>44</v>
      </c>
      <c r="F1808" s="15" t="s">
        <v>40</v>
      </c>
      <c r="G1808" s="15" t="s">
        <v>60</v>
      </c>
      <c r="H1808" s="15" t="s">
        <v>45</v>
      </c>
      <c r="I1808">
        <v>60</v>
      </c>
      <c r="J1808">
        <v>80</v>
      </c>
      <c r="K1808">
        <v>40</v>
      </c>
      <c r="L1808">
        <v>140</v>
      </c>
      <c r="M1808">
        <v>69</v>
      </c>
      <c r="N1808">
        <v>1060</v>
      </c>
      <c r="O1808">
        <v>81</v>
      </c>
      <c r="P1808">
        <v>21</v>
      </c>
      <c r="Q1808">
        <v>38</v>
      </c>
      <c r="R1808">
        <v>150</v>
      </c>
      <c r="S1808">
        <v>1.0714285714285714</v>
      </c>
      <c r="T1808">
        <v>0.95</v>
      </c>
      <c r="U1808">
        <v>1.1499999999999999</v>
      </c>
    </row>
    <row r="1809" spans="1:21" x14ac:dyDescent="0.35">
      <c r="A1809">
        <v>573</v>
      </c>
      <c r="B1809" s="16">
        <v>40483</v>
      </c>
      <c r="C1809" s="15" t="s">
        <v>37</v>
      </c>
      <c r="D1809" s="15" t="s">
        <v>58</v>
      </c>
      <c r="E1809" s="15" t="s">
        <v>43</v>
      </c>
      <c r="F1809" s="15" t="s">
        <v>40</v>
      </c>
      <c r="G1809" s="15" t="s">
        <v>60</v>
      </c>
      <c r="H1809" s="15" t="s">
        <v>42</v>
      </c>
      <c r="I1809">
        <v>80</v>
      </c>
      <c r="J1809">
        <v>100</v>
      </c>
      <c r="K1809">
        <v>40</v>
      </c>
      <c r="L1809">
        <v>180</v>
      </c>
      <c r="M1809">
        <v>82</v>
      </c>
      <c r="N1809">
        <v>601</v>
      </c>
      <c r="O1809">
        <v>102</v>
      </c>
      <c r="P1809">
        <v>31</v>
      </c>
      <c r="Q1809">
        <v>38</v>
      </c>
      <c r="R1809">
        <v>184</v>
      </c>
      <c r="S1809">
        <v>1.0222222222222221</v>
      </c>
      <c r="T1809">
        <v>0.95</v>
      </c>
      <c r="U1809">
        <v>1.0249999999999999</v>
      </c>
    </row>
    <row r="1810" spans="1:21" x14ac:dyDescent="0.35">
      <c r="A1810">
        <v>330</v>
      </c>
      <c r="B1810" s="16">
        <v>40483</v>
      </c>
      <c r="C1810" s="15" t="s">
        <v>37</v>
      </c>
      <c r="D1810" s="15" t="s">
        <v>38</v>
      </c>
      <c r="E1810" s="15" t="s">
        <v>55</v>
      </c>
      <c r="F1810" s="15" t="s">
        <v>47</v>
      </c>
      <c r="G1810" s="15" t="s">
        <v>61</v>
      </c>
      <c r="H1810" s="15" t="s">
        <v>42</v>
      </c>
      <c r="I1810">
        <v>60</v>
      </c>
      <c r="J1810">
        <v>100</v>
      </c>
      <c r="K1810">
        <v>60</v>
      </c>
      <c r="L1810">
        <v>160</v>
      </c>
      <c r="M1810">
        <v>78</v>
      </c>
      <c r="N1810">
        <v>798</v>
      </c>
      <c r="O1810">
        <v>119</v>
      </c>
      <c r="P1810">
        <v>25</v>
      </c>
      <c r="Q1810">
        <v>62</v>
      </c>
      <c r="R1810">
        <v>197</v>
      </c>
      <c r="S1810">
        <v>1.23125</v>
      </c>
      <c r="T1810">
        <v>1.0333333333333334</v>
      </c>
      <c r="U1810">
        <v>1.3</v>
      </c>
    </row>
    <row r="1811" spans="1:21" x14ac:dyDescent="0.35">
      <c r="A1811">
        <v>419</v>
      </c>
      <c r="B1811" s="16">
        <v>40483</v>
      </c>
      <c r="C1811" s="15" t="s">
        <v>37</v>
      </c>
      <c r="D1811" s="15" t="s">
        <v>38</v>
      </c>
      <c r="E1811" s="15" t="s">
        <v>56</v>
      </c>
      <c r="F1811" s="15" t="s">
        <v>47</v>
      </c>
      <c r="G1811" s="15" t="s">
        <v>61</v>
      </c>
      <c r="H1811" s="15" t="s">
        <v>42</v>
      </c>
      <c r="I1811">
        <v>80</v>
      </c>
      <c r="J1811">
        <v>120</v>
      </c>
      <c r="K1811">
        <v>70</v>
      </c>
      <c r="L1811">
        <v>200</v>
      </c>
      <c r="M1811">
        <v>102</v>
      </c>
      <c r="N1811">
        <v>666</v>
      </c>
      <c r="O1811">
        <v>143</v>
      </c>
      <c r="P1811">
        <v>31</v>
      </c>
      <c r="Q1811">
        <v>89</v>
      </c>
      <c r="R1811">
        <v>245</v>
      </c>
      <c r="S1811">
        <v>1.2250000000000001</v>
      </c>
      <c r="T1811">
        <v>1.2714285714285714</v>
      </c>
      <c r="U1811">
        <v>1.2749999999999999</v>
      </c>
    </row>
    <row r="1812" spans="1:21" x14ac:dyDescent="0.35">
      <c r="A1812">
        <v>937</v>
      </c>
      <c r="B1812" s="16">
        <v>40483</v>
      </c>
      <c r="C1812" s="15" t="s">
        <v>37</v>
      </c>
      <c r="D1812" s="15" t="s">
        <v>38</v>
      </c>
      <c r="E1812" s="15" t="s">
        <v>51</v>
      </c>
      <c r="F1812" s="15" t="s">
        <v>52</v>
      </c>
      <c r="G1812" s="15" t="s">
        <v>61</v>
      </c>
      <c r="H1812" s="15" t="s">
        <v>45</v>
      </c>
      <c r="I1812">
        <v>30</v>
      </c>
      <c r="J1812">
        <v>40</v>
      </c>
      <c r="K1812">
        <v>30</v>
      </c>
      <c r="L1812">
        <v>70</v>
      </c>
      <c r="M1812">
        <v>32</v>
      </c>
      <c r="N1812">
        <v>482</v>
      </c>
      <c r="O1812">
        <v>48</v>
      </c>
      <c r="P1812">
        <v>8</v>
      </c>
      <c r="Q1812">
        <v>29</v>
      </c>
      <c r="R1812">
        <v>80</v>
      </c>
      <c r="S1812">
        <v>1.1428571428571428</v>
      </c>
      <c r="T1812">
        <v>0.96666666666666667</v>
      </c>
      <c r="U1812">
        <v>1.0666666666666667</v>
      </c>
    </row>
    <row r="1813" spans="1:21" x14ac:dyDescent="0.35">
      <c r="A1813">
        <v>614</v>
      </c>
      <c r="B1813" s="16">
        <v>40483</v>
      </c>
      <c r="C1813" s="15" t="s">
        <v>37</v>
      </c>
      <c r="D1813" s="15" t="s">
        <v>38</v>
      </c>
      <c r="E1813" s="15" t="s">
        <v>53</v>
      </c>
      <c r="F1813" s="15" t="s">
        <v>52</v>
      </c>
      <c r="G1813" s="15" t="s">
        <v>61</v>
      </c>
      <c r="H1813" s="15" t="s">
        <v>45</v>
      </c>
      <c r="I1813">
        <v>30</v>
      </c>
      <c r="J1813">
        <v>50</v>
      </c>
      <c r="K1813">
        <v>40</v>
      </c>
      <c r="L1813">
        <v>80</v>
      </c>
      <c r="M1813">
        <v>36</v>
      </c>
      <c r="N1813">
        <v>862</v>
      </c>
      <c r="O1813">
        <v>52</v>
      </c>
      <c r="P1813">
        <v>10</v>
      </c>
      <c r="Q1813">
        <v>30</v>
      </c>
      <c r="R1813">
        <v>88</v>
      </c>
      <c r="S1813">
        <v>1.1000000000000001</v>
      </c>
      <c r="T1813">
        <v>0.75</v>
      </c>
      <c r="U1813">
        <v>1.2</v>
      </c>
    </row>
    <row r="1814" spans="1:21" x14ac:dyDescent="0.35">
      <c r="A1814">
        <v>440</v>
      </c>
      <c r="B1814" s="16">
        <v>40483</v>
      </c>
      <c r="C1814" s="15" t="s">
        <v>37</v>
      </c>
      <c r="D1814" s="15" t="s">
        <v>38</v>
      </c>
      <c r="E1814" s="15" t="s">
        <v>48</v>
      </c>
      <c r="F1814" s="15" t="s">
        <v>49</v>
      </c>
      <c r="G1814" s="15" t="s">
        <v>61</v>
      </c>
      <c r="H1814" s="15" t="s">
        <v>42</v>
      </c>
      <c r="I1814">
        <v>230</v>
      </c>
      <c r="J1814">
        <v>230</v>
      </c>
      <c r="K1814">
        <v>170</v>
      </c>
      <c r="L1814">
        <v>460</v>
      </c>
      <c r="M1814">
        <v>181</v>
      </c>
      <c r="N1814">
        <v>1283</v>
      </c>
      <c r="O1814">
        <v>182</v>
      </c>
      <c r="P1814">
        <v>50</v>
      </c>
      <c r="Q1814">
        <v>107</v>
      </c>
      <c r="R1814">
        <v>363</v>
      </c>
      <c r="S1814">
        <v>0.78913043478260869</v>
      </c>
      <c r="T1814">
        <v>0.62941176470588234</v>
      </c>
      <c r="U1814">
        <v>0.78695652173913044</v>
      </c>
    </row>
    <row r="1815" spans="1:21" x14ac:dyDescent="0.35">
      <c r="A1815">
        <v>419</v>
      </c>
      <c r="B1815" s="16">
        <v>40483</v>
      </c>
      <c r="C1815" s="15" t="s">
        <v>37</v>
      </c>
      <c r="D1815" s="15" t="s">
        <v>38</v>
      </c>
      <c r="E1815" s="15" t="s">
        <v>50</v>
      </c>
      <c r="F1815" s="15" t="s">
        <v>49</v>
      </c>
      <c r="G1815" s="15" t="s">
        <v>61</v>
      </c>
      <c r="H1815" s="15" t="s">
        <v>45</v>
      </c>
      <c r="I1815">
        <v>70</v>
      </c>
      <c r="J1815">
        <v>80</v>
      </c>
      <c r="K1815">
        <v>40</v>
      </c>
      <c r="L1815">
        <v>150</v>
      </c>
      <c r="M1815">
        <v>55</v>
      </c>
      <c r="N1815">
        <v>410</v>
      </c>
      <c r="O1815">
        <v>69</v>
      </c>
      <c r="P1815">
        <v>20</v>
      </c>
      <c r="Q1815">
        <v>16</v>
      </c>
      <c r="R1815">
        <v>124</v>
      </c>
      <c r="S1815">
        <v>0.82666666666666666</v>
      </c>
      <c r="T1815">
        <v>0.4</v>
      </c>
      <c r="U1815">
        <v>0.7857142857142857</v>
      </c>
    </row>
    <row r="1816" spans="1:21" x14ac:dyDescent="0.35">
      <c r="A1816">
        <v>330</v>
      </c>
      <c r="B1816" s="16">
        <v>40483</v>
      </c>
      <c r="C1816" s="15" t="s">
        <v>37</v>
      </c>
      <c r="D1816" s="15" t="s">
        <v>38</v>
      </c>
      <c r="E1816" s="15" t="s">
        <v>39</v>
      </c>
      <c r="F1816" s="15" t="s">
        <v>40</v>
      </c>
      <c r="G1816" s="15" t="s">
        <v>61</v>
      </c>
      <c r="H1816" s="15" t="s">
        <v>42</v>
      </c>
      <c r="I1816">
        <v>50</v>
      </c>
      <c r="J1816">
        <v>80</v>
      </c>
      <c r="K1816">
        <v>50</v>
      </c>
      <c r="L1816">
        <v>130</v>
      </c>
      <c r="M1816">
        <v>59</v>
      </c>
      <c r="N1816">
        <v>411</v>
      </c>
      <c r="O1816">
        <v>79</v>
      </c>
      <c r="P1816">
        <v>19</v>
      </c>
      <c r="Q1816">
        <v>33</v>
      </c>
      <c r="R1816">
        <v>138</v>
      </c>
      <c r="S1816">
        <v>1.0615384615384615</v>
      </c>
      <c r="T1816">
        <v>0.66</v>
      </c>
      <c r="U1816">
        <v>1.18</v>
      </c>
    </row>
    <row r="1817" spans="1:21" x14ac:dyDescent="0.35">
      <c r="A1817">
        <v>614</v>
      </c>
      <c r="B1817" s="16">
        <v>40483</v>
      </c>
      <c r="C1817" s="15" t="s">
        <v>37</v>
      </c>
      <c r="D1817" s="15" t="s">
        <v>38</v>
      </c>
      <c r="E1817" s="15" t="s">
        <v>43</v>
      </c>
      <c r="F1817" s="15" t="s">
        <v>40</v>
      </c>
      <c r="G1817" s="15" t="s">
        <v>61</v>
      </c>
      <c r="H1817" s="15" t="s">
        <v>42</v>
      </c>
      <c r="I1817">
        <v>40</v>
      </c>
      <c r="J1817">
        <v>70</v>
      </c>
      <c r="K1817">
        <v>40</v>
      </c>
      <c r="L1817">
        <v>110</v>
      </c>
      <c r="M1817">
        <v>46</v>
      </c>
      <c r="N1817">
        <v>424</v>
      </c>
      <c r="O1817">
        <v>68</v>
      </c>
      <c r="P1817">
        <v>14</v>
      </c>
      <c r="Q1817">
        <v>32</v>
      </c>
      <c r="R1817">
        <v>114</v>
      </c>
      <c r="S1817">
        <v>1.0363636363636364</v>
      </c>
      <c r="T1817">
        <v>0.8</v>
      </c>
      <c r="U1817">
        <v>1.1499999999999999</v>
      </c>
    </row>
    <row r="1818" spans="1:21" x14ac:dyDescent="0.35">
      <c r="A1818">
        <v>567</v>
      </c>
      <c r="B1818" s="16">
        <v>40483</v>
      </c>
      <c r="C1818" s="15" t="s">
        <v>37</v>
      </c>
      <c r="D1818" s="15" t="s">
        <v>38</v>
      </c>
      <c r="E1818" s="15" t="s">
        <v>44</v>
      </c>
      <c r="F1818" s="15" t="s">
        <v>40</v>
      </c>
      <c r="G1818" s="15" t="s">
        <v>61</v>
      </c>
      <c r="H1818" s="15" t="s">
        <v>45</v>
      </c>
      <c r="I1818">
        <v>50</v>
      </c>
      <c r="J1818">
        <v>70</v>
      </c>
      <c r="K1818">
        <v>10</v>
      </c>
      <c r="L1818">
        <v>120</v>
      </c>
      <c r="M1818">
        <v>52</v>
      </c>
      <c r="N1818">
        <v>509</v>
      </c>
      <c r="O1818">
        <v>73</v>
      </c>
      <c r="P1818">
        <v>47</v>
      </c>
      <c r="Q1818">
        <v>-3</v>
      </c>
      <c r="R1818">
        <v>125</v>
      </c>
      <c r="S1818">
        <v>1.0416666666666667</v>
      </c>
      <c r="T1818">
        <v>-0.3</v>
      </c>
      <c r="U1818">
        <v>1.04</v>
      </c>
    </row>
    <row r="1819" spans="1:21" x14ac:dyDescent="0.35">
      <c r="A1819">
        <v>262</v>
      </c>
      <c r="B1819" s="16">
        <v>40483</v>
      </c>
      <c r="C1819" s="15" t="s">
        <v>37</v>
      </c>
      <c r="D1819" s="15" t="s">
        <v>58</v>
      </c>
      <c r="E1819" s="15" t="s">
        <v>55</v>
      </c>
      <c r="F1819" s="15" t="s">
        <v>47</v>
      </c>
      <c r="G1819" s="15" t="s">
        <v>62</v>
      </c>
      <c r="H1819" s="15" t="s">
        <v>42</v>
      </c>
      <c r="I1819">
        <v>40</v>
      </c>
      <c r="J1819">
        <v>50</v>
      </c>
      <c r="K1819">
        <v>20</v>
      </c>
      <c r="L1819">
        <v>90</v>
      </c>
      <c r="M1819">
        <v>49</v>
      </c>
      <c r="N1819">
        <v>454</v>
      </c>
      <c r="O1819">
        <v>71</v>
      </c>
      <c r="P1819">
        <v>15</v>
      </c>
      <c r="Q1819">
        <v>33</v>
      </c>
      <c r="R1819">
        <v>120</v>
      </c>
      <c r="S1819">
        <v>1.3333333333333333</v>
      </c>
      <c r="T1819">
        <v>1.65</v>
      </c>
      <c r="U1819">
        <v>1.2250000000000001</v>
      </c>
    </row>
    <row r="1820" spans="1:21" x14ac:dyDescent="0.35">
      <c r="A1820">
        <v>715</v>
      </c>
      <c r="B1820" s="16">
        <v>40483</v>
      </c>
      <c r="C1820" s="15" t="s">
        <v>37</v>
      </c>
      <c r="D1820" s="15" t="s">
        <v>58</v>
      </c>
      <c r="E1820" s="15" t="s">
        <v>56</v>
      </c>
      <c r="F1820" s="15" t="s">
        <v>47</v>
      </c>
      <c r="G1820" s="15" t="s">
        <v>62</v>
      </c>
      <c r="H1820" s="15" t="s">
        <v>42</v>
      </c>
      <c r="I1820">
        <v>50</v>
      </c>
      <c r="J1820">
        <v>70</v>
      </c>
      <c r="K1820">
        <v>0</v>
      </c>
      <c r="L1820">
        <v>120</v>
      </c>
      <c r="M1820">
        <v>61</v>
      </c>
      <c r="N1820">
        <v>613</v>
      </c>
      <c r="O1820">
        <v>86</v>
      </c>
      <c r="P1820">
        <v>55</v>
      </c>
      <c r="Q1820">
        <v>2</v>
      </c>
      <c r="R1820">
        <v>147</v>
      </c>
      <c r="S1820">
        <v>1.2250000000000001</v>
      </c>
      <c r="U1820">
        <v>1.22</v>
      </c>
    </row>
    <row r="1821" spans="1:21" x14ac:dyDescent="0.35">
      <c r="A1821">
        <v>920</v>
      </c>
      <c r="B1821" s="16">
        <v>40483</v>
      </c>
      <c r="C1821" s="15" t="s">
        <v>37</v>
      </c>
      <c r="D1821" s="15" t="s">
        <v>58</v>
      </c>
      <c r="E1821" s="15" t="s">
        <v>51</v>
      </c>
      <c r="F1821" s="15" t="s">
        <v>52</v>
      </c>
      <c r="G1821" s="15" t="s">
        <v>62</v>
      </c>
      <c r="H1821" s="15" t="s">
        <v>45</v>
      </c>
      <c r="I1821">
        <v>50</v>
      </c>
      <c r="J1821">
        <v>80</v>
      </c>
      <c r="K1821">
        <v>50</v>
      </c>
      <c r="L1821">
        <v>130</v>
      </c>
      <c r="M1821">
        <v>53</v>
      </c>
      <c r="N1821">
        <v>321</v>
      </c>
      <c r="O1821">
        <v>88</v>
      </c>
      <c r="P1821">
        <v>16</v>
      </c>
      <c r="Q1821">
        <v>48</v>
      </c>
      <c r="R1821">
        <v>141</v>
      </c>
      <c r="S1821">
        <v>1.0846153846153845</v>
      </c>
      <c r="T1821">
        <v>0.96</v>
      </c>
      <c r="U1821">
        <v>1.06</v>
      </c>
    </row>
    <row r="1822" spans="1:21" x14ac:dyDescent="0.35">
      <c r="A1822">
        <v>262</v>
      </c>
      <c r="B1822" s="16">
        <v>40483</v>
      </c>
      <c r="C1822" s="15" t="s">
        <v>37</v>
      </c>
      <c r="D1822" s="15" t="s">
        <v>58</v>
      </c>
      <c r="E1822" s="15" t="s">
        <v>53</v>
      </c>
      <c r="F1822" s="15" t="s">
        <v>52</v>
      </c>
      <c r="G1822" s="15" t="s">
        <v>62</v>
      </c>
      <c r="H1822" s="15" t="s">
        <v>45</v>
      </c>
      <c r="I1822">
        <v>20</v>
      </c>
      <c r="J1822">
        <v>50</v>
      </c>
      <c r="K1822">
        <v>40</v>
      </c>
      <c r="L1822">
        <v>70</v>
      </c>
      <c r="M1822">
        <v>31</v>
      </c>
      <c r="N1822">
        <v>856</v>
      </c>
      <c r="O1822">
        <v>47</v>
      </c>
      <c r="P1822">
        <v>8</v>
      </c>
      <c r="Q1822">
        <v>27</v>
      </c>
      <c r="R1822">
        <v>78</v>
      </c>
      <c r="S1822">
        <v>1.1142857142857143</v>
      </c>
      <c r="T1822">
        <v>0.67500000000000004</v>
      </c>
      <c r="U1822">
        <v>1.55</v>
      </c>
    </row>
    <row r="1823" spans="1:21" x14ac:dyDescent="0.35">
      <c r="A1823">
        <v>920</v>
      </c>
      <c r="B1823" s="16">
        <v>40483</v>
      </c>
      <c r="C1823" s="15" t="s">
        <v>37</v>
      </c>
      <c r="D1823" s="15" t="s">
        <v>58</v>
      </c>
      <c r="E1823" s="15" t="s">
        <v>48</v>
      </c>
      <c r="F1823" s="15" t="s">
        <v>49</v>
      </c>
      <c r="G1823" s="15" t="s">
        <v>62</v>
      </c>
      <c r="H1823" s="15" t="s">
        <v>42</v>
      </c>
      <c r="I1823">
        <v>90</v>
      </c>
      <c r="J1823">
        <v>110</v>
      </c>
      <c r="K1823">
        <v>70</v>
      </c>
      <c r="L1823">
        <v>200</v>
      </c>
      <c r="M1823">
        <v>75</v>
      </c>
      <c r="N1823">
        <v>1063</v>
      </c>
      <c r="O1823">
        <v>89</v>
      </c>
      <c r="P1823">
        <v>23</v>
      </c>
      <c r="Q1823">
        <v>45</v>
      </c>
      <c r="R1823">
        <v>164</v>
      </c>
      <c r="S1823">
        <v>0.82</v>
      </c>
      <c r="T1823">
        <v>0.6428571428571429</v>
      </c>
      <c r="U1823">
        <v>0.83333333333333337</v>
      </c>
    </row>
    <row r="1824" spans="1:21" x14ac:dyDescent="0.35">
      <c r="A1824">
        <v>715</v>
      </c>
      <c r="B1824" s="16">
        <v>40483</v>
      </c>
      <c r="C1824" s="15" t="s">
        <v>37</v>
      </c>
      <c r="D1824" s="15" t="s">
        <v>58</v>
      </c>
      <c r="E1824" s="15" t="s">
        <v>50</v>
      </c>
      <c r="F1824" s="15" t="s">
        <v>49</v>
      </c>
      <c r="G1824" s="15" t="s">
        <v>62</v>
      </c>
      <c r="H1824" s="15" t="s">
        <v>45</v>
      </c>
      <c r="I1824">
        <v>20</v>
      </c>
      <c r="J1824">
        <v>40</v>
      </c>
      <c r="K1824">
        <v>30</v>
      </c>
      <c r="L1824">
        <v>60</v>
      </c>
      <c r="M1824">
        <v>22</v>
      </c>
      <c r="N1824">
        <v>570</v>
      </c>
      <c r="O1824">
        <v>30</v>
      </c>
      <c r="P1824">
        <v>7</v>
      </c>
      <c r="Q1824">
        <v>11</v>
      </c>
      <c r="R1824">
        <v>52</v>
      </c>
      <c r="S1824">
        <v>0.8666666666666667</v>
      </c>
      <c r="T1824">
        <v>0.36666666666666664</v>
      </c>
      <c r="U1824">
        <v>1.1000000000000001</v>
      </c>
    </row>
    <row r="1825" spans="1:21" x14ac:dyDescent="0.35">
      <c r="A1825">
        <v>262</v>
      </c>
      <c r="B1825" s="16">
        <v>40483</v>
      </c>
      <c r="C1825" s="15" t="s">
        <v>37</v>
      </c>
      <c r="D1825" s="15" t="s">
        <v>58</v>
      </c>
      <c r="E1825" s="15" t="s">
        <v>39</v>
      </c>
      <c r="F1825" s="15" t="s">
        <v>40</v>
      </c>
      <c r="G1825" s="15" t="s">
        <v>62</v>
      </c>
      <c r="H1825" s="15" t="s">
        <v>42</v>
      </c>
      <c r="I1825">
        <v>50</v>
      </c>
      <c r="J1825">
        <v>60</v>
      </c>
      <c r="K1825">
        <v>20</v>
      </c>
      <c r="L1825">
        <v>110</v>
      </c>
      <c r="M1825">
        <v>54</v>
      </c>
      <c r="N1825">
        <v>391</v>
      </c>
      <c r="O1825">
        <v>67</v>
      </c>
      <c r="P1825">
        <v>20</v>
      </c>
      <c r="Q1825">
        <v>14</v>
      </c>
      <c r="R1825">
        <v>121</v>
      </c>
      <c r="S1825">
        <v>1.1000000000000001</v>
      </c>
      <c r="T1825">
        <v>0.7</v>
      </c>
      <c r="U1825">
        <v>1.08</v>
      </c>
    </row>
    <row r="1826" spans="1:21" x14ac:dyDescent="0.35">
      <c r="A1826">
        <v>262</v>
      </c>
      <c r="B1826" s="16">
        <v>40483</v>
      </c>
      <c r="C1826" s="15" t="s">
        <v>37</v>
      </c>
      <c r="D1826" s="15" t="s">
        <v>58</v>
      </c>
      <c r="E1826" s="15" t="s">
        <v>43</v>
      </c>
      <c r="F1826" s="15" t="s">
        <v>40</v>
      </c>
      <c r="G1826" s="15" t="s">
        <v>62</v>
      </c>
      <c r="H1826" s="15" t="s">
        <v>42</v>
      </c>
      <c r="I1826">
        <v>90</v>
      </c>
      <c r="J1826">
        <v>130</v>
      </c>
      <c r="K1826">
        <v>30</v>
      </c>
      <c r="L1826">
        <v>220</v>
      </c>
      <c r="M1826">
        <v>94</v>
      </c>
      <c r="N1826">
        <v>694</v>
      </c>
      <c r="O1826">
        <v>130</v>
      </c>
      <c r="P1826">
        <v>85</v>
      </c>
      <c r="Q1826">
        <v>16</v>
      </c>
      <c r="R1826">
        <v>224</v>
      </c>
      <c r="S1826">
        <v>1.0181818181818181</v>
      </c>
      <c r="T1826">
        <v>0.53333333333333333</v>
      </c>
      <c r="U1826">
        <v>1.0444444444444445</v>
      </c>
    </row>
    <row r="1827" spans="1:21" x14ac:dyDescent="0.35">
      <c r="A1827">
        <v>262</v>
      </c>
      <c r="B1827" s="16">
        <v>40483</v>
      </c>
      <c r="C1827" s="15" t="s">
        <v>37</v>
      </c>
      <c r="D1827" s="15" t="s">
        <v>58</v>
      </c>
      <c r="E1827" s="15" t="s">
        <v>44</v>
      </c>
      <c r="F1827" s="15" t="s">
        <v>40</v>
      </c>
      <c r="G1827" s="15" t="s">
        <v>62</v>
      </c>
      <c r="H1827" s="15" t="s">
        <v>45</v>
      </c>
      <c r="I1827">
        <v>70</v>
      </c>
      <c r="J1827">
        <v>100</v>
      </c>
      <c r="K1827">
        <v>60</v>
      </c>
      <c r="L1827">
        <v>170</v>
      </c>
      <c r="M1827">
        <v>77</v>
      </c>
      <c r="N1827">
        <v>557</v>
      </c>
      <c r="O1827">
        <v>103</v>
      </c>
      <c r="P1827">
        <v>25</v>
      </c>
      <c r="Q1827">
        <v>51</v>
      </c>
      <c r="R1827">
        <v>180</v>
      </c>
      <c r="S1827">
        <v>1.0588235294117647</v>
      </c>
      <c r="T1827">
        <v>0.85</v>
      </c>
      <c r="U1827">
        <v>1.1000000000000001</v>
      </c>
    </row>
    <row r="1828" spans="1:21" x14ac:dyDescent="0.35">
      <c r="A1828">
        <v>959</v>
      </c>
      <c r="B1828" s="16">
        <v>40483</v>
      </c>
      <c r="C1828" s="15" t="s">
        <v>63</v>
      </c>
      <c r="D1828" s="15" t="s">
        <v>58</v>
      </c>
      <c r="E1828" s="15" t="s">
        <v>55</v>
      </c>
      <c r="F1828" s="15" t="s">
        <v>47</v>
      </c>
      <c r="G1828" s="15" t="s">
        <v>64</v>
      </c>
      <c r="H1828" s="15" t="s">
        <v>42</v>
      </c>
      <c r="I1828">
        <v>50</v>
      </c>
      <c r="J1828">
        <v>80</v>
      </c>
      <c r="K1828">
        <v>60</v>
      </c>
      <c r="L1828">
        <v>130</v>
      </c>
      <c r="M1828">
        <v>54</v>
      </c>
      <c r="N1828">
        <v>885</v>
      </c>
      <c r="O1828">
        <v>78</v>
      </c>
      <c r="P1828">
        <v>15</v>
      </c>
      <c r="Q1828">
        <v>51</v>
      </c>
      <c r="R1828">
        <v>132</v>
      </c>
      <c r="S1828">
        <v>1.0153846153846153</v>
      </c>
      <c r="T1828">
        <v>0.85</v>
      </c>
      <c r="U1828">
        <v>1.08</v>
      </c>
    </row>
    <row r="1829" spans="1:21" x14ac:dyDescent="0.35">
      <c r="A1829">
        <v>203</v>
      </c>
      <c r="B1829" s="16">
        <v>40483</v>
      </c>
      <c r="C1829" s="15" t="s">
        <v>63</v>
      </c>
      <c r="D1829" s="15" t="s">
        <v>58</v>
      </c>
      <c r="E1829" s="15" t="s">
        <v>46</v>
      </c>
      <c r="F1829" s="15" t="s">
        <v>47</v>
      </c>
      <c r="G1829" s="15" t="s">
        <v>64</v>
      </c>
      <c r="H1829" s="15" t="s">
        <v>42</v>
      </c>
      <c r="I1829">
        <v>30</v>
      </c>
      <c r="J1829">
        <v>60</v>
      </c>
      <c r="K1829">
        <v>40</v>
      </c>
      <c r="L1829">
        <v>90</v>
      </c>
      <c r="M1829">
        <v>36</v>
      </c>
      <c r="N1829">
        <v>809</v>
      </c>
      <c r="O1829">
        <v>54</v>
      </c>
      <c r="P1829">
        <v>10</v>
      </c>
      <c r="Q1829">
        <v>33</v>
      </c>
      <c r="R1829">
        <v>90</v>
      </c>
      <c r="S1829">
        <v>1</v>
      </c>
      <c r="T1829">
        <v>0.82499999999999996</v>
      </c>
      <c r="U1829">
        <v>1.2</v>
      </c>
    </row>
    <row r="1830" spans="1:21" x14ac:dyDescent="0.35">
      <c r="A1830">
        <v>860</v>
      </c>
      <c r="B1830" s="16">
        <v>40483</v>
      </c>
      <c r="C1830" s="15" t="s">
        <v>63</v>
      </c>
      <c r="D1830" s="15" t="s">
        <v>58</v>
      </c>
      <c r="E1830" s="15" t="s">
        <v>53</v>
      </c>
      <c r="F1830" s="15" t="s">
        <v>52</v>
      </c>
      <c r="G1830" s="15" t="s">
        <v>64</v>
      </c>
      <c r="H1830" s="15" t="s">
        <v>45</v>
      </c>
      <c r="I1830">
        <v>60</v>
      </c>
      <c r="J1830">
        <v>70</v>
      </c>
      <c r="K1830">
        <v>30</v>
      </c>
      <c r="L1830">
        <v>130</v>
      </c>
      <c r="M1830">
        <v>82</v>
      </c>
      <c r="N1830">
        <v>601</v>
      </c>
      <c r="O1830">
        <v>102</v>
      </c>
      <c r="P1830">
        <v>31</v>
      </c>
      <c r="Q1830">
        <v>38</v>
      </c>
      <c r="R1830">
        <v>184</v>
      </c>
      <c r="S1830">
        <v>1.4153846153846155</v>
      </c>
      <c r="T1830">
        <v>1.2666666666666666</v>
      </c>
      <c r="U1830">
        <v>1.3666666666666667</v>
      </c>
    </row>
    <row r="1831" spans="1:21" x14ac:dyDescent="0.35">
      <c r="A1831">
        <v>475</v>
      </c>
      <c r="B1831" s="16">
        <v>40483</v>
      </c>
      <c r="C1831" s="15" t="s">
        <v>63</v>
      </c>
      <c r="D1831" s="15" t="s">
        <v>58</v>
      </c>
      <c r="E1831" s="15" t="s">
        <v>54</v>
      </c>
      <c r="F1831" s="15" t="s">
        <v>52</v>
      </c>
      <c r="G1831" s="15" t="s">
        <v>64</v>
      </c>
      <c r="H1831" s="15" t="s">
        <v>45</v>
      </c>
      <c r="I1831">
        <v>50</v>
      </c>
      <c r="J1831">
        <v>50</v>
      </c>
      <c r="K1831">
        <v>30</v>
      </c>
      <c r="L1831">
        <v>100</v>
      </c>
      <c r="M1831">
        <v>69</v>
      </c>
      <c r="N1831">
        <v>1060</v>
      </c>
      <c r="O1831">
        <v>81</v>
      </c>
      <c r="P1831">
        <v>21</v>
      </c>
      <c r="Q1831">
        <v>38</v>
      </c>
      <c r="R1831">
        <v>150</v>
      </c>
      <c r="S1831">
        <v>1.5</v>
      </c>
      <c r="T1831">
        <v>1.2666666666666666</v>
      </c>
      <c r="U1831">
        <v>1.38</v>
      </c>
    </row>
    <row r="1832" spans="1:21" x14ac:dyDescent="0.35">
      <c r="A1832">
        <v>203</v>
      </c>
      <c r="B1832" s="16">
        <v>40483</v>
      </c>
      <c r="C1832" s="15" t="s">
        <v>63</v>
      </c>
      <c r="D1832" s="15" t="s">
        <v>58</v>
      </c>
      <c r="E1832" s="15" t="s">
        <v>48</v>
      </c>
      <c r="F1832" s="15" t="s">
        <v>49</v>
      </c>
      <c r="G1832" s="15" t="s">
        <v>64</v>
      </c>
      <c r="H1832" s="15" t="s">
        <v>42</v>
      </c>
      <c r="I1832">
        <v>60</v>
      </c>
      <c r="J1832">
        <v>80</v>
      </c>
      <c r="K1832">
        <v>10</v>
      </c>
      <c r="L1832">
        <v>140</v>
      </c>
      <c r="M1832">
        <v>61</v>
      </c>
      <c r="N1832">
        <v>613</v>
      </c>
      <c r="O1832">
        <v>86</v>
      </c>
      <c r="P1832">
        <v>55</v>
      </c>
      <c r="Q1832">
        <v>2</v>
      </c>
      <c r="R1832">
        <v>147</v>
      </c>
      <c r="S1832">
        <v>1.05</v>
      </c>
      <c r="T1832">
        <v>0.2</v>
      </c>
      <c r="U1832">
        <v>1.0166666666666666</v>
      </c>
    </row>
    <row r="1833" spans="1:21" x14ac:dyDescent="0.35">
      <c r="A1833">
        <v>860</v>
      </c>
      <c r="B1833" s="16">
        <v>40483</v>
      </c>
      <c r="C1833" s="15" t="s">
        <v>63</v>
      </c>
      <c r="D1833" s="15" t="s">
        <v>58</v>
      </c>
      <c r="E1833" s="15" t="s">
        <v>50</v>
      </c>
      <c r="F1833" s="15" t="s">
        <v>49</v>
      </c>
      <c r="G1833" s="15" t="s">
        <v>64</v>
      </c>
      <c r="H1833" s="15" t="s">
        <v>45</v>
      </c>
      <c r="I1833">
        <v>50</v>
      </c>
      <c r="J1833">
        <v>70</v>
      </c>
      <c r="K1833">
        <v>40</v>
      </c>
      <c r="L1833">
        <v>120</v>
      </c>
      <c r="M1833">
        <v>53</v>
      </c>
      <c r="N1833">
        <v>380</v>
      </c>
      <c r="O1833">
        <v>71</v>
      </c>
      <c r="P1833">
        <v>17</v>
      </c>
      <c r="Q1833">
        <v>26</v>
      </c>
      <c r="R1833">
        <v>124</v>
      </c>
      <c r="S1833">
        <v>1.0333333333333334</v>
      </c>
      <c r="T1833">
        <v>0.65</v>
      </c>
      <c r="U1833">
        <v>1.06</v>
      </c>
    </row>
    <row r="1834" spans="1:21" x14ac:dyDescent="0.35">
      <c r="A1834">
        <v>203</v>
      </c>
      <c r="B1834" s="16">
        <v>40483</v>
      </c>
      <c r="C1834" s="15" t="s">
        <v>63</v>
      </c>
      <c r="D1834" s="15" t="s">
        <v>58</v>
      </c>
      <c r="E1834" s="15" t="s">
        <v>43</v>
      </c>
      <c r="F1834" s="15" t="s">
        <v>40</v>
      </c>
      <c r="G1834" s="15" t="s">
        <v>64</v>
      </c>
      <c r="H1834" s="15" t="s">
        <v>42</v>
      </c>
      <c r="I1834">
        <v>110</v>
      </c>
      <c r="J1834">
        <v>180</v>
      </c>
      <c r="K1834">
        <v>130</v>
      </c>
      <c r="L1834">
        <v>290</v>
      </c>
      <c r="M1834">
        <v>130</v>
      </c>
      <c r="N1834">
        <v>1134</v>
      </c>
      <c r="O1834">
        <v>195</v>
      </c>
      <c r="P1834">
        <v>42</v>
      </c>
      <c r="Q1834">
        <v>122</v>
      </c>
      <c r="R1834">
        <v>325</v>
      </c>
      <c r="S1834">
        <v>1.1206896551724137</v>
      </c>
      <c r="T1834">
        <v>0.93846153846153846</v>
      </c>
      <c r="U1834">
        <v>1.1818181818181819</v>
      </c>
    </row>
    <row r="1835" spans="1:21" x14ac:dyDescent="0.35">
      <c r="A1835">
        <v>352</v>
      </c>
      <c r="B1835" s="16">
        <v>40483</v>
      </c>
      <c r="C1835" s="15" t="s">
        <v>63</v>
      </c>
      <c r="D1835" s="15" t="s">
        <v>38</v>
      </c>
      <c r="E1835" s="15" t="s">
        <v>55</v>
      </c>
      <c r="F1835" s="15" t="s">
        <v>47</v>
      </c>
      <c r="G1835" s="15" t="s">
        <v>65</v>
      </c>
      <c r="H1835" s="15" t="s">
        <v>42</v>
      </c>
      <c r="I1835">
        <v>20</v>
      </c>
      <c r="J1835">
        <v>50</v>
      </c>
      <c r="K1835">
        <v>40</v>
      </c>
      <c r="L1835">
        <v>70</v>
      </c>
      <c r="M1835">
        <v>28</v>
      </c>
      <c r="N1835">
        <v>875</v>
      </c>
      <c r="O1835">
        <v>42</v>
      </c>
      <c r="P1835">
        <v>7</v>
      </c>
      <c r="Q1835">
        <v>23</v>
      </c>
      <c r="R1835">
        <v>70</v>
      </c>
      <c r="S1835">
        <v>1</v>
      </c>
      <c r="T1835">
        <v>0.57499999999999996</v>
      </c>
      <c r="U1835">
        <v>1.4</v>
      </c>
    </row>
    <row r="1836" spans="1:21" x14ac:dyDescent="0.35">
      <c r="A1836">
        <v>561</v>
      </c>
      <c r="B1836" s="16">
        <v>40483</v>
      </c>
      <c r="C1836" s="15" t="s">
        <v>63</v>
      </c>
      <c r="D1836" s="15" t="s">
        <v>38</v>
      </c>
      <c r="E1836" s="15" t="s">
        <v>46</v>
      </c>
      <c r="F1836" s="15" t="s">
        <v>47</v>
      </c>
      <c r="G1836" s="15" t="s">
        <v>65</v>
      </c>
      <c r="H1836" s="15" t="s">
        <v>42</v>
      </c>
      <c r="I1836">
        <v>30</v>
      </c>
      <c r="J1836">
        <v>50</v>
      </c>
      <c r="K1836">
        <v>40</v>
      </c>
      <c r="L1836">
        <v>80</v>
      </c>
      <c r="M1836">
        <v>31</v>
      </c>
      <c r="N1836">
        <v>856</v>
      </c>
      <c r="O1836">
        <v>47</v>
      </c>
      <c r="P1836">
        <v>8</v>
      </c>
      <c r="Q1836">
        <v>28</v>
      </c>
      <c r="R1836">
        <v>78</v>
      </c>
      <c r="S1836">
        <v>0.97499999999999998</v>
      </c>
      <c r="T1836">
        <v>0.7</v>
      </c>
      <c r="U1836">
        <v>1.0333333333333334</v>
      </c>
    </row>
    <row r="1837" spans="1:21" x14ac:dyDescent="0.35">
      <c r="A1837">
        <v>561</v>
      </c>
      <c r="B1837" s="16">
        <v>40483</v>
      </c>
      <c r="C1837" s="15" t="s">
        <v>63</v>
      </c>
      <c r="D1837" s="15" t="s">
        <v>38</v>
      </c>
      <c r="E1837" s="15" t="s">
        <v>51</v>
      </c>
      <c r="F1837" s="15" t="s">
        <v>52</v>
      </c>
      <c r="G1837" s="15" t="s">
        <v>65</v>
      </c>
      <c r="H1837" s="15" t="s">
        <v>45</v>
      </c>
      <c r="I1837">
        <v>10</v>
      </c>
      <c r="J1837">
        <v>20</v>
      </c>
      <c r="K1837">
        <v>10</v>
      </c>
      <c r="L1837">
        <v>30</v>
      </c>
      <c r="M1837">
        <v>22</v>
      </c>
      <c r="N1837">
        <v>570</v>
      </c>
      <c r="O1837">
        <v>30</v>
      </c>
      <c r="P1837">
        <v>7</v>
      </c>
      <c r="Q1837">
        <v>11</v>
      </c>
      <c r="R1837">
        <v>52</v>
      </c>
      <c r="S1837">
        <v>1.7333333333333334</v>
      </c>
      <c r="T1837">
        <v>1.1000000000000001</v>
      </c>
      <c r="U1837">
        <v>2.2000000000000002</v>
      </c>
    </row>
    <row r="1838" spans="1:21" x14ac:dyDescent="0.35">
      <c r="A1838">
        <v>407</v>
      </c>
      <c r="B1838" s="16">
        <v>40483</v>
      </c>
      <c r="C1838" s="15" t="s">
        <v>63</v>
      </c>
      <c r="D1838" s="15" t="s">
        <v>38</v>
      </c>
      <c r="E1838" s="15" t="s">
        <v>53</v>
      </c>
      <c r="F1838" s="15" t="s">
        <v>52</v>
      </c>
      <c r="G1838" s="15" t="s">
        <v>65</v>
      </c>
      <c r="H1838" s="15" t="s">
        <v>45</v>
      </c>
      <c r="I1838">
        <v>40</v>
      </c>
      <c r="J1838">
        <v>40</v>
      </c>
      <c r="K1838">
        <v>10</v>
      </c>
      <c r="L1838">
        <v>80</v>
      </c>
      <c r="M1838">
        <v>54</v>
      </c>
      <c r="N1838">
        <v>391</v>
      </c>
      <c r="O1838">
        <v>67</v>
      </c>
      <c r="P1838">
        <v>20</v>
      </c>
      <c r="Q1838">
        <v>13</v>
      </c>
      <c r="R1838">
        <v>121</v>
      </c>
      <c r="S1838">
        <v>1.5125</v>
      </c>
      <c r="T1838">
        <v>1.3</v>
      </c>
      <c r="U1838">
        <v>1.35</v>
      </c>
    </row>
    <row r="1839" spans="1:21" x14ac:dyDescent="0.35">
      <c r="A1839">
        <v>954</v>
      </c>
      <c r="B1839" s="16">
        <v>40483</v>
      </c>
      <c r="C1839" s="15" t="s">
        <v>63</v>
      </c>
      <c r="D1839" s="15" t="s">
        <v>38</v>
      </c>
      <c r="E1839" s="15" t="s">
        <v>54</v>
      </c>
      <c r="F1839" s="15" t="s">
        <v>52</v>
      </c>
      <c r="G1839" s="15" t="s">
        <v>65</v>
      </c>
      <c r="H1839" s="15" t="s">
        <v>45</v>
      </c>
      <c r="I1839">
        <v>50</v>
      </c>
      <c r="J1839">
        <v>60</v>
      </c>
      <c r="K1839">
        <v>30</v>
      </c>
      <c r="L1839">
        <v>110</v>
      </c>
      <c r="M1839">
        <v>75</v>
      </c>
      <c r="N1839">
        <v>1063</v>
      </c>
      <c r="O1839">
        <v>89</v>
      </c>
      <c r="P1839">
        <v>23</v>
      </c>
      <c r="Q1839">
        <v>44</v>
      </c>
      <c r="R1839">
        <v>164</v>
      </c>
      <c r="S1839">
        <v>1.490909090909091</v>
      </c>
      <c r="T1839">
        <v>1.4666666666666666</v>
      </c>
      <c r="U1839">
        <v>1.5</v>
      </c>
    </row>
    <row r="1840" spans="1:21" x14ac:dyDescent="0.35">
      <c r="A1840">
        <v>754</v>
      </c>
      <c r="B1840" s="16">
        <v>40483</v>
      </c>
      <c r="C1840" s="15" t="s">
        <v>63</v>
      </c>
      <c r="D1840" s="15" t="s">
        <v>38</v>
      </c>
      <c r="E1840" s="15" t="s">
        <v>48</v>
      </c>
      <c r="F1840" s="15" t="s">
        <v>49</v>
      </c>
      <c r="G1840" s="15" t="s">
        <v>65</v>
      </c>
      <c r="H1840" s="15" t="s">
        <v>42</v>
      </c>
      <c r="I1840">
        <v>90</v>
      </c>
      <c r="J1840">
        <v>120</v>
      </c>
      <c r="K1840">
        <v>20</v>
      </c>
      <c r="L1840">
        <v>210</v>
      </c>
      <c r="M1840">
        <v>94</v>
      </c>
      <c r="N1840">
        <v>694</v>
      </c>
      <c r="O1840">
        <v>130</v>
      </c>
      <c r="P1840">
        <v>85</v>
      </c>
      <c r="Q1840">
        <v>15</v>
      </c>
      <c r="R1840">
        <v>224</v>
      </c>
      <c r="S1840">
        <v>1.0666666666666667</v>
      </c>
      <c r="T1840">
        <v>0.75</v>
      </c>
      <c r="U1840">
        <v>1.0444444444444445</v>
      </c>
    </row>
    <row r="1841" spans="1:21" x14ac:dyDescent="0.35">
      <c r="A1841">
        <v>561</v>
      </c>
      <c r="B1841" s="16">
        <v>40483</v>
      </c>
      <c r="C1841" s="15" t="s">
        <v>63</v>
      </c>
      <c r="D1841" s="15" t="s">
        <v>38</v>
      </c>
      <c r="E1841" s="15" t="s">
        <v>50</v>
      </c>
      <c r="F1841" s="15" t="s">
        <v>49</v>
      </c>
      <c r="G1841" s="15" t="s">
        <v>65</v>
      </c>
      <c r="H1841" s="15" t="s">
        <v>45</v>
      </c>
      <c r="I1841">
        <v>70</v>
      </c>
      <c r="J1841">
        <v>100</v>
      </c>
      <c r="K1841">
        <v>60</v>
      </c>
      <c r="L1841">
        <v>170</v>
      </c>
      <c r="M1841">
        <v>77</v>
      </c>
      <c r="N1841">
        <v>557</v>
      </c>
      <c r="O1841">
        <v>103</v>
      </c>
      <c r="P1841">
        <v>25</v>
      </c>
      <c r="Q1841">
        <v>51</v>
      </c>
      <c r="R1841">
        <v>180</v>
      </c>
      <c r="S1841">
        <v>1.0588235294117647</v>
      </c>
      <c r="T1841">
        <v>0.85</v>
      </c>
      <c r="U1841">
        <v>1.1000000000000001</v>
      </c>
    </row>
    <row r="1842" spans="1:21" x14ac:dyDescent="0.35">
      <c r="A1842">
        <v>754</v>
      </c>
      <c r="B1842" s="16">
        <v>40483</v>
      </c>
      <c r="C1842" s="15" t="s">
        <v>63</v>
      </c>
      <c r="D1842" s="15" t="s">
        <v>38</v>
      </c>
      <c r="E1842" s="15" t="s">
        <v>43</v>
      </c>
      <c r="F1842" s="15" t="s">
        <v>40</v>
      </c>
      <c r="G1842" s="15" t="s">
        <v>65</v>
      </c>
      <c r="H1842" s="15" t="s">
        <v>42</v>
      </c>
      <c r="I1842">
        <v>70</v>
      </c>
      <c r="J1842">
        <v>100</v>
      </c>
      <c r="K1842">
        <v>60</v>
      </c>
      <c r="L1842">
        <v>170</v>
      </c>
      <c r="M1842">
        <v>78</v>
      </c>
      <c r="N1842">
        <v>798</v>
      </c>
      <c r="O1842">
        <v>119</v>
      </c>
      <c r="P1842">
        <v>25</v>
      </c>
      <c r="Q1842">
        <v>63</v>
      </c>
      <c r="R1842">
        <v>197</v>
      </c>
      <c r="S1842">
        <v>1.1588235294117648</v>
      </c>
      <c r="T1842">
        <v>1.05</v>
      </c>
      <c r="U1842">
        <v>1.1142857142857143</v>
      </c>
    </row>
    <row r="1843" spans="1:21" x14ac:dyDescent="0.35">
      <c r="A1843">
        <v>772</v>
      </c>
      <c r="B1843" s="16">
        <v>40483</v>
      </c>
      <c r="C1843" s="15" t="s">
        <v>63</v>
      </c>
      <c r="D1843" s="15" t="s">
        <v>38</v>
      </c>
      <c r="E1843" s="15" t="s">
        <v>44</v>
      </c>
      <c r="F1843" s="15" t="s">
        <v>40</v>
      </c>
      <c r="G1843" s="15" t="s">
        <v>65</v>
      </c>
      <c r="H1843" s="15" t="s">
        <v>45</v>
      </c>
      <c r="I1843">
        <v>90</v>
      </c>
      <c r="J1843">
        <v>130</v>
      </c>
      <c r="K1843">
        <v>90</v>
      </c>
      <c r="L1843">
        <v>220</v>
      </c>
      <c r="M1843">
        <v>102</v>
      </c>
      <c r="N1843">
        <v>666</v>
      </c>
      <c r="O1843">
        <v>143</v>
      </c>
      <c r="P1843">
        <v>31</v>
      </c>
      <c r="Q1843">
        <v>89</v>
      </c>
      <c r="R1843">
        <v>245</v>
      </c>
      <c r="S1843">
        <v>1.1136363636363635</v>
      </c>
      <c r="T1843">
        <v>0.98888888888888893</v>
      </c>
      <c r="U1843">
        <v>1.1333333333333333</v>
      </c>
    </row>
    <row r="1844" spans="1:21" x14ac:dyDescent="0.35">
      <c r="A1844">
        <v>339</v>
      </c>
      <c r="B1844" s="16">
        <v>40483</v>
      </c>
      <c r="C1844" s="15" t="s">
        <v>63</v>
      </c>
      <c r="D1844" s="15" t="s">
        <v>38</v>
      </c>
      <c r="E1844" s="15" t="s">
        <v>55</v>
      </c>
      <c r="F1844" s="15" t="s">
        <v>47</v>
      </c>
      <c r="G1844" s="15" t="s">
        <v>66</v>
      </c>
      <c r="H1844" s="15" t="s">
        <v>42</v>
      </c>
      <c r="I1844">
        <v>30</v>
      </c>
      <c r="J1844">
        <v>60</v>
      </c>
      <c r="K1844">
        <v>40</v>
      </c>
      <c r="L1844">
        <v>90</v>
      </c>
      <c r="M1844">
        <v>36</v>
      </c>
      <c r="N1844">
        <v>862</v>
      </c>
      <c r="O1844">
        <v>52</v>
      </c>
      <c r="P1844">
        <v>10</v>
      </c>
      <c r="Q1844">
        <v>31</v>
      </c>
      <c r="R1844">
        <v>88</v>
      </c>
      <c r="S1844">
        <v>0.97777777777777775</v>
      </c>
      <c r="T1844">
        <v>0.77500000000000002</v>
      </c>
      <c r="U1844">
        <v>1.2</v>
      </c>
    </row>
    <row r="1845" spans="1:21" x14ac:dyDescent="0.35">
      <c r="A1845">
        <v>351</v>
      </c>
      <c r="B1845" s="16">
        <v>40483</v>
      </c>
      <c r="C1845" s="15" t="s">
        <v>63</v>
      </c>
      <c r="D1845" s="15" t="s">
        <v>38</v>
      </c>
      <c r="E1845" s="15" t="s">
        <v>46</v>
      </c>
      <c r="F1845" s="15" t="s">
        <v>47</v>
      </c>
      <c r="G1845" s="15" t="s">
        <v>66</v>
      </c>
      <c r="H1845" s="15" t="s">
        <v>42</v>
      </c>
      <c r="I1845">
        <v>30</v>
      </c>
      <c r="J1845">
        <v>50</v>
      </c>
      <c r="K1845">
        <v>40</v>
      </c>
      <c r="L1845">
        <v>80</v>
      </c>
      <c r="M1845">
        <v>32</v>
      </c>
      <c r="N1845">
        <v>482</v>
      </c>
      <c r="O1845">
        <v>48</v>
      </c>
      <c r="P1845">
        <v>8</v>
      </c>
      <c r="Q1845">
        <v>29</v>
      </c>
      <c r="R1845">
        <v>80</v>
      </c>
      <c r="S1845">
        <v>1</v>
      </c>
      <c r="T1845">
        <v>0.72499999999999998</v>
      </c>
      <c r="U1845">
        <v>1.0666666666666667</v>
      </c>
    </row>
    <row r="1846" spans="1:21" x14ac:dyDescent="0.35">
      <c r="A1846">
        <v>617</v>
      </c>
      <c r="B1846" s="16">
        <v>40483</v>
      </c>
      <c r="C1846" s="15" t="s">
        <v>63</v>
      </c>
      <c r="D1846" s="15" t="s">
        <v>38</v>
      </c>
      <c r="E1846" s="15" t="s">
        <v>53</v>
      </c>
      <c r="F1846" s="15" t="s">
        <v>52</v>
      </c>
      <c r="G1846" s="15" t="s">
        <v>66</v>
      </c>
      <c r="H1846" s="15" t="s">
        <v>45</v>
      </c>
      <c r="I1846">
        <v>40</v>
      </c>
      <c r="J1846">
        <v>50</v>
      </c>
      <c r="K1846">
        <v>20</v>
      </c>
      <c r="L1846">
        <v>90</v>
      </c>
      <c r="M1846">
        <v>55</v>
      </c>
      <c r="N1846">
        <v>410</v>
      </c>
      <c r="O1846">
        <v>69</v>
      </c>
      <c r="P1846">
        <v>20</v>
      </c>
      <c r="Q1846">
        <v>15</v>
      </c>
      <c r="R1846">
        <v>124</v>
      </c>
      <c r="S1846">
        <v>1.3777777777777778</v>
      </c>
      <c r="T1846">
        <v>0.75</v>
      </c>
      <c r="U1846">
        <v>1.375</v>
      </c>
    </row>
    <row r="1847" spans="1:21" x14ac:dyDescent="0.35">
      <c r="A1847">
        <v>774</v>
      </c>
      <c r="B1847" s="16">
        <v>40483</v>
      </c>
      <c r="C1847" s="15" t="s">
        <v>63</v>
      </c>
      <c r="D1847" s="15" t="s">
        <v>38</v>
      </c>
      <c r="E1847" s="15" t="s">
        <v>48</v>
      </c>
      <c r="F1847" s="15" t="s">
        <v>49</v>
      </c>
      <c r="G1847" s="15" t="s">
        <v>66</v>
      </c>
      <c r="H1847" s="15" t="s">
        <v>42</v>
      </c>
      <c r="I1847">
        <v>50</v>
      </c>
      <c r="J1847">
        <v>60</v>
      </c>
      <c r="K1847">
        <v>0</v>
      </c>
      <c r="L1847">
        <v>110</v>
      </c>
      <c r="M1847">
        <v>52</v>
      </c>
      <c r="N1847">
        <v>554</v>
      </c>
      <c r="O1847">
        <v>68</v>
      </c>
      <c r="P1847">
        <v>47</v>
      </c>
      <c r="Q1847">
        <v>-8</v>
      </c>
      <c r="R1847">
        <v>120</v>
      </c>
      <c r="S1847">
        <v>1.0909090909090908</v>
      </c>
      <c r="U1847">
        <v>1.04</v>
      </c>
    </row>
    <row r="1848" spans="1:21" x14ac:dyDescent="0.35">
      <c r="A1848">
        <v>508</v>
      </c>
      <c r="B1848" s="16">
        <v>40483</v>
      </c>
      <c r="C1848" s="15" t="s">
        <v>63</v>
      </c>
      <c r="D1848" s="15" t="s">
        <v>38</v>
      </c>
      <c r="E1848" s="15" t="s">
        <v>67</v>
      </c>
      <c r="F1848" s="15" t="s">
        <v>49</v>
      </c>
      <c r="G1848" s="15" t="s">
        <v>66</v>
      </c>
      <c r="H1848" s="15" t="s">
        <v>42</v>
      </c>
      <c r="I1848">
        <v>170</v>
      </c>
      <c r="J1848">
        <v>180</v>
      </c>
      <c r="K1848">
        <v>120</v>
      </c>
      <c r="L1848">
        <v>350</v>
      </c>
      <c r="M1848">
        <v>181</v>
      </c>
      <c r="N1848">
        <v>1283</v>
      </c>
      <c r="O1848">
        <v>182</v>
      </c>
      <c r="P1848">
        <v>50</v>
      </c>
      <c r="Q1848">
        <v>108</v>
      </c>
      <c r="R1848">
        <v>363</v>
      </c>
      <c r="S1848">
        <v>1.0371428571428571</v>
      </c>
      <c r="T1848">
        <v>0.9</v>
      </c>
      <c r="U1848">
        <v>1.0647058823529412</v>
      </c>
    </row>
    <row r="1849" spans="1:21" x14ac:dyDescent="0.35">
      <c r="A1849">
        <v>978</v>
      </c>
      <c r="B1849" s="16">
        <v>40483</v>
      </c>
      <c r="C1849" s="15" t="s">
        <v>63</v>
      </c>
      <c r="D1849" s="15" t="s">
        <v>38</v>
      </c>
      <c r="E1849" s="15" t="s">
        <v>43</v>
      </c>
      <c r="F1849" s="15" t="s">
        <v>40</v>
      </c>
      <c r="G1849" s="15" t="s">
        <v>66</v>
      </c>
      <c r="H1849" s="15" t="s">
        <v>42</v>
      </c>
      <c r="I1849">
        <v>60</v>
      </c>
      <c r="J1849">
        <v>340</v>
      </c>
      <c r="K1849">
        <v>300</v>
      </c>
      <c r="L1849">
        <v>400</v>
      </c>
      <c r="M1849">
        <v>75</v>
      </c>
      <c r="N1849">
        <v>-3287</v>
      </c>
      <c r="O1849">
        <v>379</v>
      </c>
      <c r="P1849">
        <v>24</v>
      </c>
      <c r="Q1849">
        <v>324</v>
      </c>
      <c r="R1849">
        <v>454</v>
      </c>
      <c r="S1849">
        <v>1.135</v>
      </c>
      <c r="T1849">
        <v>1.08</v>
      </c>
      <c r="U1849">
        <v>1.25</v>
      </c>
    </row>
    <row r="1850" spans="1:21" x14ac:dyDescent="0.35">
      <c r="A1850">
        <v>603</v>
      </c>
      <c r="B1850" s="16">
        <v>40483</v>
      </c>
      <c r="C1850" s="15" t="s">
        <v>63</v>
      </c>
      <c r="D1850" s="15" t="s">
        <v>58</v>
      </c>
      <c r="E1850" s="15" t="s">
        <v>55</v>
      </c>
      <c r="F1850" s="15" t="s">
        <v>47</v>
      </c>
      <c r="G1850" s="15" t="s">
        <v>68</v>
      </c>
      <c r="H1850" s="15" t="s">
        <v>42</v>
      </c>
      <c r="I1850">
        <v>10</v>
      </c>
      <c r="J1850">
        <v>30</v>
      </c>
      <c r="K1850">
        <v>20</v>
      </c>
      <c r="L1850">
        <v>40</v>
      </c>
      <c r="M1850">
        <v>15</v>
      </c>
      <c r="N1850">
        <v>848</v>
      </c>
      <c r="O1850">
        <v>24</v>
      </c>
      <c r="P1850">
        <v>4</v>
      </c>
      <c r="Q1850">
        <v>8</v>
      </c>
      <c r="R1850">
        <v>39</v>
      </c>
      <c r="S1850">
        <v>0.97499999999999998</v>
      </c>
      <c r="T1850">
        <v>0.4</v>
      </c>
      <c r="U1850">
        <v>1.5</v>
      </c>
    </row>
    <row r="1851" spans="1:21" x14ac:dyDescent="0.35">
      <c r="A1851">
        <v>603</v>
      </c>
      <c r="B1851" s="16">
        <v>40483</v>
      </c>
      <c r="C1851" s="15" t="s">
        <v>63</v>
      </c>
      <c r="D1851" s="15" t="s">
        <v>58</v>
      </c>
      <c r="E1851" s="15" t="s">
        <v>46</v>
      </c>
      <c r="F1851" s="15" t="s">
        <v>47</v>
      </c>
      <c r="G1851" s="15" t="s">
        <v>68</v>
      </c>
      <c r="H1851" s="15" t="s">
        <v>42</v>
      </c>
      <c r="I1851">
        <v>0</v>
      </c>
      <c r="J1851">
        <v>40</v>
      </c>
      <c r="K1851">
        <v>30</v>
      </c>
      <c r="L1851">
        <v>40</v>
      </c>
      <c r="M1851">
        <v>0</v>
      </c>
      <c r="N1851">
        <v>387</v>
      </c>
      <c r="O1851">
        <v>43</v>
      </c>
      <c r="P1851">
        <v>0</v>
      </c>
      <c r="Q1851">
        <v>32</v>
      </c>
      <c r="R1851">
        <v>43</v>
      </c>
      <c r="S1851">
        <v>1.075</v>
      </c>
      <c r="T1851">
        <v>1.0666666666666667</v>
      </c>
    </row>
    <row r="1852" spans="1:21" x14ac:dyDescent="0.35">
      <c r="A1852">
        <v>603</v>
      </c>
      <c r="B1852" s="16">
        <v>40483</v>
      </c>
      <c r="C1852" s="15" t="s">
        <v>63</v>
      </c>
      <c r="D1852" s="15" t="s">
        <v>58</v>
      </c>
      <c r="E1852" s="15" t="s">
        <v>53</v>
      </c>
      <c r="F1852" s="15" t="s">
        <v>52</v>
      </c>
      <c r="G1852" s="15" t="s">
        <v>68</v>
      </c>
      <c r="H1852" s="15" t="s">
        <v>45</v>
      </c>
      <c r="I1852">
        <v>20</v>
      </c>
      <c r="J1852">
        <v>30</v>
      </c>
      <c r="K1852">
        <v>0</v>
      </c>
      <c r="L1852">
        <v>50</v>
      </c>
      <c r="M1852">
        <v>33</v>
      </c>
      <c r="N1852">
        <v>243</v>
      </c>
      <c r="O1852">
        <v>41</v>
      </c>
      <c r="P1852">
        <v>12</v>
      </c>
      <c r="Q1852">
        <v>-4</v>
      </c>
      <c r="R1852">
        <v>74</v>
      </c>
      <c r="S1852">
        <v>1.48</v>
      </c>
      <c r="U1852">
        <v>1.65</v>
      </c>
    </row>
    <row r="1853" spans="1:21" x14ac:dyDescent="0.35">
      <c r="A1853">
        <v>603</v>
      </c>
      <c r="B1853" s="16">
        <v>40483</v>
      </c>
      <c r="C1853" s="15" t="s">
        <v>63</v>
      </c>
      <c r="D1853" s="15" t="s">
        <v>58</v>
      </c>
      <c r="E1853" s="15" t="s">
        <v>48</v>
      </c>
      <c r="F1853" s="15" t="s">
        <v>49</v>
      </c>
      <c r="G1853" s="15" t="s">
        <v>68</v>
      </c>
      <c r="H1853" s="15" t="s">
        <v>42</v>
      </c>
      <c r="I1853">
        <v>40</v>
      </c>
      <c r="J1853">
        <v>60</v>
      </c>
      <c r="K1853">
        <v>10</v>
      </c>
      <c r="L1853">
        <v>100</v>
      </c>
      <c r="M1853">
        <v>44</v>
      </c>
      <c r="N1853">
        <v>325</v>
      </c>
      <c r="O1853">
        <v>62</v>
      </c>
      <c r="P1853">
        <v>40</v>
      </c>
      <c r="Q1853">
        <v>-8</v>
      </c>
      <c r="R1853">
        <v>106</v>
      </c>
      <c r="S1853">
        <v>1.06</v>
      </c>
      <c r="T1853">
        <v>-0.8</v>
      </c>
      <c r="U1853">
        <v>1.1000000000000001</v>
      </c>
    </row>
    <row r="1854" spans="1:21" x14ac:dyDescent="0.35">
      <c r="A1854">
        <v>603</v>
      </c>
      <c r="B1854" s="16">
        <v>40483</v>
      </c>
      <c r="C1854" s="15" t="s">
        <v>63</v>
      </c>
      <c r="D1854" s="15" t="s">
        <v>58</v>
      </c>
      <c r="E1854" s="15" t="s">
        <v>67</v>
      </c>
      <c r="F1854" s="15" t="s">
        <v>49</v>
      </c>
      <c r="G1854" s="15" t="s">
        <v>68</v>
      </c>
      <c r="H1854" s="15" t="s">
        <v>42</v>
      </c>
      <c r="I1854">
        <v>30</v>
      </c>
      <c r="J1854">
        <v>40</v>
      </c>
      <c r="K1854">
        <v>0</v>
      </c>
      <c r="L1854">
        <v>70</v>
      </c>
      <c r="M1854">
        <v>34</v>
      </c>
      <c r="N1854">
        <v>211</v>
      </c>
      <c r="O1854">
        <v>42</v>
      </c>
      <c r="P1854">
        <v>12</v>
      </c>
      <c r="Q1854">
        <v>-3</v>
      </c>
      <c r="R1854">
        <v>76</v>
      </c>
      <c r="S1854">
        <v>1.0857142857142856</v>
      </c>
      <c r="U1854">
        <v>1.1333333333333333</v>
      </c>
    </row>
    <row r="1855" spans="1:21" x14ac:dyDescent="0.35">
      <c r="A1855">
        <v>603</v>
      </c>
      <c r="B1855" s="16">
        <v>40483</v>
      </c>
      <c r="C1855" s="15" t="s">
        <v>63</v>
      </c>
      <c r="D1855" s="15" t="s">
        <v>58</v>
      </c>
      <c r="E1855" s="15" t="s">
        <v>43</v>
      </c>
      <c r="F1855" s="15" t="s">
        <v>40</v>
      </c>
      <c r="G1855" s="15" t="s">
        <v>68</v>
      </c>
      <c r="H1855" s="15" t="s">
        <v>42</v>
      </c>
      <c r="I1855">
        <v>30</v>
      </c>
      <c r="J1855">
        <v>60</v>
      </c>
      <c r="K1855">
        <v>30</v>
      </c>
      <c r="L1855">
        <v>90</v>
      </c>
      <c r="M1855">
        <v>43</v>
      </c>
      <c r="N1855">
        <v>452</v>
      </c>
      <c r="O1855">
        <v>66</v>
      </c>
      <c r="P1855">
        <v>14</v>
      </c>
      <c r="Q1855">
        <v>20</v>
      </c>
      <c r="R1855">
        <v>109</v>
      </c>
      <c r="S1855">
        <v>1.211111111111111</v>
      </c>
      <c r="T1855">
        <v>0.66666666666666663</v>
      </c>
      <c r="U1855">
        <v>1.4333333333333333</v>
      </c>
    </row>
    <row r="1856" spans="1:21" x14ac:dyDescent="0.35">
      <c r="A1856">
        <v>603</v>
      </c>
      <c r="B1856" s="16">
        <v>40483</v>
      </c>
      <c r="C1856" s="15" t="s">
        <v>63</v>
      </c>
      <c r="D1856" s="15" t="s">
        <v>58</v>
      </c>
      <c r="E1856" s="15" t="s">
        <v>39</v>
      </c>
      <c r="F1856" s="15" t="s">
        <v>40</v>
      </c>
      <c r="G1856" s="15" t="s">
        <v>68</v>
      </c>
      <c r="H1856" s="15" t="s">
        <v>42</v>
      </c>
      <c r="I1856">
        <v>40</v>
      </c>
      <c r="J1856">
        <v>60</v>
      </c>
      <c r="K1856">
        <v>40</v>
      </c>
      <c r="L1856">
        <v>100</v>
      </c>
      <c r="M1856">
        <v>46</v>
      </c>
      <c r="N1856">
        <v>316</v>
      </c>
      <c r="O1856">
        <v>67</v>
      </c>
      <c r="P1856">
        <v>14</v>
      </c>
      <c r="Q1856">
        <v>30</v>
      </c>
      <c r="R1856">
        <v>113</v>
      </c>
      <c r="S1856">
        <v>1.1299999999999999</v>
      </c>
      <c r="T1856">
        <v>0.75</v>
      </c>
      <c r="U1856">
        <v>1.1499999999999999</v>
      </c>
    </row>
    <row r="1857" spans="1:21" x14ac:dyDescent="0.35">
      <c r="A1857">
        <v>518</v>
      </c>
      <c r="B1857" s="16">
        <v>40483</v>
      </c>
      <c r="C1857" s="15" t="s">
        <v>63</v>
      </c>
      <c r="D1857" s="15" t="s">
        <v>38</v>
      </c>
      <c r="E1857" s="15" t="s">
        <v>55</v>
      </c>
      <c r="F1857" s="15" t="s">
        <v>47</v>
      </c>
      <c r="G1857" s="15" t="s">
        <v>69</v>
      </c>
      <c r="H1857" s="15" t="s">
        <v>42</v>
      </c>
      <c r="I1857">
        <v>80</v>
      </c>
      <c r="J1857">
        <v>120</v>
      </c>
      <c r="K1857">
        <v>90</v>
      </c>
      <c r="L1857">
        <v>200</v>
      </c>
      <c r="M1857">
        <v>81</v>
      </c>
      <c r="N1857">
        <v>984</v>
      </c>
      <c r="O1857">
        <v>117</v>
      </c>
      <c r="P1857">
        <v>22</v>
      </c>
      <c r="Q1857">
        <v>84</v>
      </c>
      <c r="R1857">
        <v>198</v>
      </c>
      <c r="S1857">
        <v>0.99</v>
      </c>
      <c r="T1857">
        <v>0.93333333333333335</v>
      </c>
      <c r="U1857">
        <v>1.0125</v>
      </c>
    </row>
    <row r="1858" spans="1:21" x14ac:dyDescent="0.35">
      <c r="A1858">
        <v>315</v>
      </c>
      <c r="B1858" s="16">
        <v>40483</v>
      </c>
      <c r="C1858" s="15" t="s">
        <v>63</v>
      </c>
      <c r="D1858" s="15" t="s">
        <v>38</v>
      </c>
      <c r="E1858" s="15" t="s">
        <v>56</v>
      </c>
      <c r="F1858" s="15" t="s">
        <v>47</v>
      </c>
      <c r="G1858" s="15" t="s">
        <v>69</v>
      </c>
      <c r="H1858" s="15" t="s">
        <v>42</v>
      </c>
      <c r="I1858">
        <v>120</v>
      </c>
      <c r="J1858">
        <v>170</v>
      </c>
      <c r="K1858">
        <v>130</v>
      </c>
      <c r="L1858">
        <v>290</v>
      </c>
      <c r="M1858">
        <v>118</v>
      </c>
      <c r="N1858">
        <v>930</v>
      </c>
      <c r="O1858">
        <v>172</v>
      </c>
      <c r="P1858">
        <v>33</v>
      </c>
      <c r="Q1858">
        <v>127</v>
      </c>
      <c r="R1858">
        <v>290</v>
      </c>
      <c r="S1858">
        <v>1</v>
      </c>
      <c r="T1858">
        <v>0.97692307692307689</v>
      </c>
      <c r="U1858">
        <v>0.98333333333333328</v>
      </c>
    </row>
    <row r="1859" spans="1:21" x14ac:dyDescent="0.35">
      <c r="A1859">
        <v>718</v>
      </c>
      <c r="B1859" s="16">
        <v>40483</v>
      </c>
      <c r="C1859" s="15" t="s">
        <v>63</v>
      </c>
      <c r="D1859" s="15" t="s">
        <v>38</v>
      </c>
      <c r="E1859" s="15" t="s">
        <v>46</v>
      </c>
      <c r="F1859" s="15" t="s">
        <v>47</v>
      </c>
      <c r="G1859" s="15" t="s">
        <v>69</v>
      </c>
      <c r="H1859" s="15" t="s">
        <v>42</v>
      </c>
      <c r="I1859">
        <v>50</v>
      </c>
      <c r="J1859">
        <v>70</v>
      </c>
      <c r="K1859">
        <v>50</v>
      </c>
      <c r="L1859">
        <v>120</v>
      </c>
      <c r="M1859">
        <v>50</v>
      </c>
      <c r="N1859">
        <v>589</v>
      </c>
      <c r="O1859">
        <v>73</v>
      </c>
      <c r="P1859">
        <v>14</v>
      </c>
      <c r="Q1859">
        <v>47</v>
      </c>
      <c r="R1859">
        <v>123</v>
      </c>
      <c r="S1859">
        <v>1.0249999999999999</v>
      </c>
      <c r="T1859">
        <v>0.94</v>
      </c>
      <c r="U1859">
        <v>1</v>
      </c>
    </row>
    <row r="1860" spans="1:21" x14ac:dyDescent="0.35">
      <c r="A1860">
        <v>631</v>
      </c>
      <c r="B1860" s="16">
        <v>40483</v>
      </c>
      <c r="C1860" s="15" t="s">
        <v>63</v>
      </c>
      <c r="D1860" s="15" t="s">
        <v>38</v>
      </c>
      <c r="E1860" s="15" t="s">
        <v>53</v>
      </c>
      <c r="F1860" s="15" t="s">
        <v>52</v>
      </c>
      <c r="G1860" s="15" t="s">
        <v>69</v>
      </c>
      <c r="H1860" s="15" t="s">
        <v>45</v>
      </c>
      <c r="I1860">
        <v>180</v>
      </c>
      <c r="J1860">
        <v>240</v>
      </c>
      <c r="K1860">
        <v>140</v>
      </c>
      <c r="L1860">
        <v>420</v>
      </c>
      <c r="M1860">
        <v>245</v>
      </c>
      <c r="N1860">
        <v>1704</v>
      </c>
      <c r="O1860">
        <v>331</v>
      </c>
      <c r="P1860">
        <v>93</v>
      </c>
      <c r="Q1860">
        <v>204</v>
      </c>
      <c r="R1860">
        <v>576</v>
      </c>
      <c r="S1860">
        <v>1.3714285714285714</v>
      </c>
      <c r="T1860">
        <v>1.4571428571428571</v>
      </c>
      <c r="U1860">
        <v>1.3611111111111112</v>
      </c>
    </row>
    <row r="1861" spans="1:21" x14ac:dyDescent="0.35">
      <c r="A1861">
        <v>914</v>
      </c>
      <c r="B1861" s="16">
        <v>40483</v>
      </c>
      <c r="C1861" s="15" t="s">
        <v>63</v>
      </c>
      <c r="D1861" s="15" t="s">
        <v>38</v>
      </c>
      <c r="E1861" s="15" t="s">
        <v>54</v>
      </c>
      <c r="F1861" s="15" t="s">
        <v>52</v>
      </c>
      <c r="G1861" s="15" t="s">
        <v>69</v>
      </c>
      <c r="H1861" s="15" t="s">
        <v>45</v>
      </c>
      <c r="I1861">
        <v>160</v>
      </c>
      <c r="J1861">
        <v>-50</v>
      </c>
      <c r="K1861">
        <v>-120</v>
      </c>
      <c r="L1861">
        <v>110</v>
      </c>
      <c r="M1861">
        <v>225</v>
      </c>
      <c r="N1861">
        <v>4742</v>
      </c>
      <c r="O1861">
        <v>-65</v>
      </c>
      <c r="P1861">
        <v>69</v>
      </c>
      <c r="Q1861">
        <v>-156</v>
      </c>
      <c r="R1861">
        <v>160</v>
      </c>
      <c r="S1861">
        <v>1.4545454545454546</v>
      </c>
      <c r="T1861">
        <v>1.3</v>
      </c>
      <c r="U1861">
        <v>1.40625</v>
      </c>
    </row>
    <row r="1862" spans="1:21" x14ac:dyDescent="0.35">
      <c r="A1862">
        <v>347</v>
      </c>
      <c r="B1862" s="16">
        <v>40483</v>
      </c>
      <c r="C1862" s="15" t="s">
        <v>63</v>
      </c>
      <c r="D1862" s="15" t="s">
        <v>38</v>
      </c>
      <c r="E1862" s="15" t="s">
        <v>48</v>
      </c>
      <c r="F1862" s="15" t="s">
        <v>49</v>
      </c>
      <c r="G1862" s="15" t="s">
        <v>69</v>
      </c>
      <c r="H1862" s="15" t="s">
        <v>42</v>
      </c>
      <c r="I1862">
        <v>110</v>
      </c>
      <c r="J1862">
        <v>-60</v>
      </c>
      <c r="K1862">
        <v>-190</v>
      </c>
      <c r="L1862">
        <v>50</v>
      </c>
      <c r="M1862">
        <v>121</v>
      </c>
      <c r="N1862">
        <v>3385</v>
      </c>
      <c r="O1862">
        <v>-60</v>
      </c>
      <c r="P1862">
        <v>109</v>
      </c>
      <c r="Q1862">
        <v>-202</v>
      </c>
      <c r="R1862">
        <v>61</v>
      </c>
      <c r="S1862">
        <v>1.22</v>
      </c>
      <c r="T1862">
        <v>1.0631578947368421</v>
      </c>
      <c r="U1862">
        <v>1.1000000000000001</v>
      </c>
    </row>
    <row r="1863" spans="1:21" x14ac:dyDescent="0.35">
      <c r="A1863">
        <v>646</v>
      </c>
      <c r="B1863" s="16">
        <v>40483</v>
      </c>
      <c r="C1863" s="15" t="s">
        <v>63</v>
      </c>
      <c r="D1863" s="15" t="s">
        <v>38</v>
      </c>
      <c r="E1863" s="15" t="s">
        <v>67</v>
      </c>
      <c r="F1863" s="15" t="s">
        <v>49</v>
      </c>
      <c r="G1863" s="15" t="s">
        <v>69</v>
      </c>
      <c r="H1863" s="15" t="s">
        <v>42</v>
      </c>
      <c r="I1863">
        <v>200</v>
      </c>
      <c r="J1863">
        <v>460</v>
      </c>
      <c r="K1863">
        <v>390</v>
      </c>
      <c r="L1863">
        <v>660</v>
      </c>
      <c r="M1863">
        <v>211</v>
      </c>
      <c r="N1863">
        <v>933</v>
      </c>
      <c r="O1863">
        <v>464</v>
      </c>
      <c r="P1863">
        <v>59</v>
      </c>
      <c r="Q1863">
        <v>381</v>
      </c>
      <c r="R1863">
        <v>675</v>
      </c>
      <c r="S1863">
        <v>1.0227272727272727</v>
      </c>
      <c r="T1863">
        <v>0.97692307692307689</v>
      </c>
      <c r="U1863">
        <v>1.0549999999999999</v>
      </c>
    </row>
    <row r="1864" spans="1:21" x14ac:dyDescent="0.35">
      <c r="A1864">
        <v>347</v>
      </c>
      <c r="B1864" s="16">
        <v>40483</v>
      </c>
      <c r="C1864" s="15" t="s">
        <v>63</v>
      </c>
      <c r="D1864" s="15" t="s">
        <v>38</v>
      </c>
      <c r="E1864" s="15" t="s">
        <v>43</v>
      </c>
      <c r="F1864" s="15" t="s">
        <v>40</v>
      </c>
      <c r="G1864" s="15" t="s">
        <v>69</v>
      </c>
      <c r="H1864" s="15" t="s">
        <v>42</v>
      </c>
      <c r="I1864">
        <v>220</v>
      </c>
      <c r="J1864">
        <v>340</v>
      </c>
      <c r="K1864">
        <v>230</v>
      </c>
      <c r="L1864">
        <v>560</v>
      </c>
      <c r="M1864">
        <v>249</v>
      </c>
      <c r="N1864">
        <v>2580</v>
      </c>
      <c r="O1864">
        <v>374</v>
      </c>
      <c r="P1864">
        <v>87</v>
      </c>
      <c r="Q1864">
        <v>236</v>
      </c>
      <c r="R1864">
        <v>623</v>
      </c>
      <c r="S1864">
        <v>1.1125</v>
      </c>
      <c r="T1864">
        <v>1.0260869565217392</v>
      </c>
      <c r="U1864">
        <v>1.1318181818181818</v>
      </c>
    </row>
    <row r="1865" spans="1:21" x14ac:dyDescent="0.35">
      <c r="A1865">
        <v>225</v>
      </c>
      <c r="B1865" s="16">
        <v>40483</v>
      </c>
      <c r="C1865" s="15" t="s">
        <v>70</v>
      </c>
      <c r="D1865" s="15" t="s">
        <v>58</v>
      </c>
      <c r="E1865" s="15" t="s">
        <v>43</v>
      </c>
      <c r="F1865" s="15" t="s">
        <v>40</v>
      </c>
      <c r="G1865" s="15" t="s">
        <v>71</v>
      </c>
      <c r="H1865" s="15" t="s">
        <v>42</v>
      </c>
      <c r="I1865">
        <v>50</v>
      </c>
      <c r="J1865">
        <v>80</v>
      </c>
      <c r="K1865">
        <v>60</v>
      </c>
      <c r="L1865">
        <v>130</v>
      </c>
      <c r="M1865">
        <v>47</v>
      </c>
      <c r="N1865">
        <v>834</v>
      </c>
      <c r="O1865">
        <v>68</v>
      </c>
      <c r="P1865">
        <v>13</v>
      </c>
      <c r="Q1865">
        <v>44</v>
      </c>
      <c r="R1865">
        <v>115</v>
      </c>
      <c r="S1865">
        <v>0.88461538461538458</v>
      </c>
      <c r="T1865">
        <v>0.73333333333333328</v>
      </c>
      <c r="U1865">
        <v>0.94</v>
      </c>
    </row>
    <row r="1866" spans="1:21" x14ac:dyDescent="0.35">
      <c r="A1866">
        <v>504</v>
      </c>
      <c r="B1866" s="16">
        <v>40483</v>
      </c>
      <c r="C1866" s="15" t="s">
        <v>70</v>
      </c>
      <c r="D1866" s="15" t="s">
        <v>58</v>
      </c>
      <c r="E1866" s="15" t="s">
        <v>44</v>
      </c>
      <c r="F1866" s="15" t="s">
        <v>40</v>
      </c>
      <c r="G1866" s="15" t="s">
        <v>71</v>
      </c>
      <c r="H1866" s="15" t="s">
        <v>45</v>
      </c>
      <c r="I1866">
        <v>30</v>
      </c>
      <c r="J1866">
        <v>60</v>
      </c>
      <c r="K1866">
        <v>50</v>
      </c>
      <c r="L1866">
        <v>90</v>
      </c>
      <c r="M1866">
        <v>31</v>
      </c>
      <c r="N1866">
        <v>856</v>
      </c>
      <c r="O1866">
        <v>47</v>
      </c>
      <c r="P1866">
        <v>8</v>
      </c>
      <c r="Q1866">
        <v>28</v>
      </c>
      <c r="R1866">
        <v>78</v>
      </c>
      <c r="S1866">
        <v>0.8666666666666667</v>
      </c>
      <c r="T1866">
        <v>0.56000000000000005</v>
      </c>
      <c r="U1866">
        <v>1.0333333333333334</v>
      </c>
    </row>
    <row r="1867" spans="1:21" x14ac:dyDescent="0.35">
      <c r="A1867">
        <v>337</v>
      </c>
      <c r="B1867" s="16">
        <v>40483</v>
      </c>
      <c r="C1867" s="15" t="s">
        <v>70</v>
      </c>
      <c r="D1867" s="15" t="s">
        <v>58</v>
      </c>
      <c r="E1867" s="15" t="s">
        <v>51</v>
      </c>
      <c r="F1867" s="15" t="s">
        <v>52</v>
      </c>
      <c r="G1867" s="15" t="s">
        <v>71</v>
      </c>
      <c r="H1867" s="15" t="s">
        <v>45</v>
      </c>
      <c r="I1867">
        <v>90</v>
      </c>
      <c r="J1867">
        <v>120</v>
      </c>
      <c r="K1867">
        <v>80</v>
      </c>
      <c r="L1867">
        <v>210</v>
      </c>
      <c r="M1867">
        <v>101</v>
      </c>
      <c r="N1867">
        <v>552</v>
      </c>
      <c r="O1867">
        <v>130</v>
      </c>
      <c r="P1867">
        <v>33</v>
      </c>
      <c r="Q1867">
        <v>85</v>
      </c>
      <c r="R1867">
        <v>231</v>
      </c>
      <c r="S1867">
        <v>1.1000000000000001</v>
      </c>
      <c r="T1867">
        <v>1.0625</v>
      </c>
      <c r="U1867">
        <v>1.1222222222222222</v>
      </c>
    </row>
    <row r="1868" spans="1:21" x14ac:dyDescent="0.35">
      <c r="A1868">
        <v>337</v>
      </c>
      <c r="B1868" s="16">
        <v>40483</v>
      </c>
      <c r="C1868" s="15" t="s">
        <v>70</v>
      </c>
      <c r="D1868" s="15" t="s">
        <v>58</v>
      </c>
      <c r="E1868" s="15" t="s">
        <v>53</v>
      </c>
      <c r="F1868" s="15" t="s">
        <v>52</v>
      </c>
      <c r="G1868" s="15" t="s">
        <v>71</v>
      </c>
      <c r="H1868" s="15" t="s">
        <v>45</v>
      </c>
      <c r="I1868">
        <v>70</v>
      </c>
      <c r="J1868">
        <v>100</v>
      </c>
      <c r="K1868">
        <v>40</v>
      </c>
      <c r="L1868">
        <v>170</v>
      </c>
      <c r="M1868">
        <v>82</v>
      </c>
      <c r="N1868">
        <v>601</v>
      </c>
      <c r="O1868">
        <v>102</v>
      </c>
      <c r="P1868">
        <v>31</v>
      </c>
      <c r="Q1868">
        <v>38</v>
      </c>
      <c r="R1868">
        <v>184</v>
      </c>
      <c r="S1868">
        <v>1.0823529411764705</v>
      </c>
      <c r="T1868">
        <v>0.95</v>
      </c>
      <c r="U1868">
        <v>1.1714285714285715</v>
      </c>
    </row>
    <row r="1869" spans="1:21" x14ac:dyDescent="0.35">
      <c r="A1869">
        <v>504</v>
      </c>
      <c r="B1869" s="16">
        <v>40483</v>
      </c>
      <c r="C1869" s="15" t="s">
        <v>70</v>
      </c>
      <c r="D1869" s="15" t="s">
        <v>58</v>
      </c>
      <c r="E1869" s="15" t="s">
        <v>72</v>
      </c>
      <c r="F1869" s="15" t="s">
        <v>49</v>
      </c>
      <c r="G1869" s="15" t="s">
        <v>71</v>
      </c>
      <c r="H1869" s="15" t="s">
        <v>42</v>
      </c>
      <c r="I1869">
        <v>40</v>
      </c>
      <c r="J1869">
        <v>70</v>
      </c>
      <c r="K1869">
        <v>10</v>
      </c>
      <c r="L1869">
        <v>110</v>
      </c>
      <c r="M1869">
        <v>61</v>
      </c>
      <c r="N1869">
        <v>-906</v>
      </c>
      <c r="O1869">
        <v>86</v>
      </c>
      <c r="P1869">
        <v>55</v>
      </c>
      <c r="Q1869">
        <v>1</v>
      </c>
      <c r="R1869">
        <v>147</v>
      </c>
      <c r="S1869">
        <v>1.3363636363636364</v>
      </c>
      <c r="T1869">
        <v>0.1</v>
      </c>
      <c r="U1869">
        <v>1.5249999999999999</v>
      </c>
    </row>
    <row r="1870" spans="1:21" x14ac:dyDescent="0.35">
      <c r="A1870">
        <v>225</v>
      </c>
      <c r="B1870" s="16">
        <v>40483</v>
      </c>
      <c r="C1870" s="15" t="s">
        <v>70</v>
      </c>
      <c r="D1870" s="15" t="s">
        <v>58</v>
      </c>
      <c r="E1870" s="15" t="s">
        <v>48</v>
      </c>
      <c r="F1870" s="15" t="s">
        <v>49</v>
      </c>
      <c r="G1870" s="15" t="s">
        <v>71</v>
      </c>
      <c r="H1870" s="15" t="s">
        <v>42</v>
      </c>
      <c r="I1870">
        <v>40</v>
      </c>
      <c r="J1870">
        <v>60</v>
      </c>
      <c r="K1870">
        <v>30</v>
      </c>
      <c r="L1870">
        <v>100</v>
      </c>
      <c r="M1870">
        <v>53</v>
      </c>
      <c r="N1870">
        <v>321</v>
      </c>
      <c r="O1870">
        <v>88</v>
      </c>
      <c r="P1870">
        <v>16</v>
      </c>
      <c r="Q1870">
        <v>49</v>
      </c>
      <c r="R1870">
        <v>141</v>
      </c>
      <c r="S1870">
        <v>1.41</v>
      </c>
      <c r="T1870">
        <v>1.6333333333333333</v>
      </c>
      <c r="U1870">
        <v>1.325</v>
      </c>
    </row>
    <row r="1871" spans="1:21" x14ac:dyDescent="0.35">
      <c r="A1871">
        <v>225</v>
      </c>
      <c r="B1871" s="16">
        <v>40483</v>
      </c>
      <c r="C1871" s="15" t="s">
        <v>70</v>
      </c>
      <c r="D1871" s="15" t="s">
        <v>58</v>
      </c>
      <c r="E1871" s="15" t="s">
        <v>50</v>
      </c>
      <c r="F1871" s="15" t="s">
        <v>49</v>
      </c>
      <c r="G1871" s="15" t="s">
        <v>71</v>
      </c>
      <c r="H1871" s="15" t="s">
        <v>45</v>
      </c>
      <c r="I1871">
        <v>30</v>
      </c>
      <c r="J1871">
        <v>60</v>
      </c>
      <c r="K1871">
        <v>30</v>
      </c>
      <c r="L1871">
        <v>90</v>
      </c>
      <c r="M1871">
        <v>49</v>
      </c>
      <c r="N1871">
        <v>454</v>
      </c>
      <c r="O1871">
        <v>71</v>
      </c>
      <c r="P1871">
        <v>15</v>
      </c>
      <c r="Q1871">
        <v>34</v>
      </c>
      <c r="R1871">
        <v>120</v>
      </c>
      <c r="S1871">
        <v>1.3333333333333333</v>
      </c>
      <c r="T1871">
        <v>1.1333333333333333</v>
      </c>
      <c r="U1871">
        <v>1.6333333333333333</v>
      </c>
    </row>
    <row r="1872" spans="1:21" x14ac:dyDescent="0.35">
      <c r="A1872">
        <v>505</v>
      </c>
      <c r="B1872" s="16">
        <v>40483</v>
      </c>
      <c r="C1872" s="15" t="s">
        <v>70</v>
      </c>
      <c r="D1872" s="15" t="s">
        <v>58</v>
      </c>
      <c r="E1872" s="15" t="s">
        <v>43</v>
      </c>
      <c r="F1872" s="15" t="s">
        <v>40</v>
      </c>
      <c r="G1872" s="15" t="s">
        <v>73</v>
      </c>
      <c r="H1872" s="15" t="s">
        <v>42</v>
      </c>
      <c r="I1872">
        <v>50</v>
      </c>
      <c r="J1872">
        <v>70</v>
      </c>
      <c r="K1872">
        <v>30</v>
      </c>
      <c r="L1872">
        <v>120</v>
      </c>
      <c r="M1872">
        <v>43</v>
      </c>
      <c r="N1872">
        <v>452</v>
      </c>
      <c r="O1872">
        <v>66</v>
      </c>
      <c r="P1872">
        <v>14</v>
      </c>
      <c r="Q1872">
        <v>20</v>
      </c>
      <c r="R1872">
        <v>109</v>
      </c>
      <c r="S1872">
        <v>0.90833333333333333</v>
      </c>
      <c r="T1872">
        <v>0.66666666666666663</v>
      </c>
      <c r="U1872">
        <v>0.86</v>
      </c>
    </row>
    <row r="1873" spans="1:21" x14ac:dyDescent="0.35">
      <c r="A1873">
        <v>505</v>
      </c>
      <c r="B1873" s="16">
        <v>40483</v>
      </c>
      <c r="C1873" s="15" t="s">
        <v>70</v>
      </c>
      <c r="D1873" s="15" t="s">
        <v>58</v>
      </c>
      <c r="E1873" s="15" t="s">
        <v>44</v>
      </c>
      <c r="F1873" s="15" t="s">
        <v>40</v>
      </c>
      <c r="G1873" s="15" t="s">
        <v>73</v>
      </c>
      <c r="H1873" s="15" t="s">
        <v>45</v>
      </c>
      <c r="I1873">
        <v>90</v>
      </c>
      <c r="J1873">
        <v>50</v>
      </c>
      <c r="K1873">
        <v>10</v>
      </c>
      <c r="L1873">
        <v>140</v>
      </c>
      <c r="M1873">
        <v>82</v>
      </c>
      <c r="N1873">
        <v>1804</v>
      </c>
      <c r="O1873">
        <v>40</v>
      </c>
      <c r="P1873">
        <v>25</v>
      </c>
      <c r="Q1873">
        <v>-8</v>
      </c>
      <c r="R1873">
        <v>122</v>
      </c>
      <c r="S1873">
        <v>0.87142857142857144</v>
      </c>
      <c r="T1873">
        <v>-0.8</v>
      </c>
      <c r="U1873">
        <v>0.91111111111111109</v>
      </c>
    </row>
    <row r="1874" spans="1:21" x14ac:dyDescent="0.35">
      <c r="A1874">
        <v>505</v>
      </c>
      <c r="B1874" s="16">
        <v>40483</v>
      </c>
      <c r="C1874" s="15" t="s">
        <v>70</v>
      </c>
      <c r="D1874" s="15" t="s">
        <v>58</v>
      </c>
      <c r="E1874" s="15" t="s">
        <v>51</v>
      </c>
      <c r="F1874" s="15" t="s">
        <v>52</v>
      </c>
      <c r="G1874" s="15" t="s">
        <v>73</v>
      </c>
      <c r="H1874" s="15" t="s">
        <v>45</v>
      </c>
      <c r="I1874">
        <v>10</v>
      </c>
      <c r="J1874">
        <v>20</v>
      </c>
      <c r="K1874">
        <v>10</v>
      </c>
      <c r="L1874">
        <v>30</v>
      </c>
      <c r="M1874">
        <v>15</v>
      </c>
      <c r="N1874">
        <v>848</v>
      </c>
      <c r="O1874">
        <v>24</v>
      </c>
      <c r="P1874">
        <v>4</v>
      </c>
      <c r="Q1874">
        <v>9</v>
      </c>
      <c r="R1874">
        <v>39</v>
      </c>
      <c r="S1874">
        <v>1.3</v>
      </c>
      <c r="T1874">
        <v>0.9</v>
      </c>
      <c r="U1874">
        <v>1.5</v>
      </c>
    </row>
    <row r="1875" spans="1:21" x14ac:dyDescent="0.35">
      <c r="A1875">
        <v>505</v>
      </c>
      <c r="B1875" s="16">
        <v>40483</v>
      </c>
      <c r="C1875" s="15" t="s">
        <v>70</v>
      </c>
      <c r="D1875" s="15" t="s">
        <v>58</v>
      </c>
      <c r="E1875" s="15" t="s">
        <v>53</v>
      </c>
      <c r="F1875" s="15" t="s">
        <v>52</v>
      </c>
      <c r="G1875" s="15" t="s">
        <v>73</v>
      </c>
      <c r="H1875" s="15" t="s">
        <v>45</v>
      </c>
      <c r="I1875">
        <v>20</v>
      </c>
      <c r="J1875">
        <v>30</v>
      </c>
      <c r="K1875">
        <v>10</v>
      </c>
      <c r="L1875">
        <v>50</v>
      </c>
      <c r="M1875">
        <v>29</v>
      </c>
      <c r="N1875">
        <v>1003</v>
      </c>
      <c r="O1875">
        <v>35</v>
      </c>
      <c r="P1875">
        <v>8</v>
      </c>
      <c r="Q1875">
        <v>5</v>
      </c>
      <c r="R1875">
        <v>64</v>
      </c>
      <c r="S1875">
        <v>1.28</v>
      </c>
      <c r="T1875">
        <v>0.5</v>
      </c>
      <c r="U1875">
        <v>1.45</v>
      </c>
    </row>
    <row r="1876" spans="1:21" x14ac:dyDescent="0.35">
      <c r="A1876">
        <v>505</v>
      </c>
      <c r="B1876" s="16">
        <v>40483</v>
      </c>
      <c r="C1876" s="15" t="s">
        <v>70</v>
      </c>
      <c r="D1876" s="15" t="s">
        <v>58</v>
      </c>
      <c r="E1876" s="15" t="s">
        <v>72</v>
      </c>
      <c r="F1876" s="15" t="s">
        <v>49</v>
      </c>
      <c r="G1876" s="15" t="s">
        <v>73</v>
      </c>
      <c r="H1876" s="15" t="s">
        <v>42</v>
      </c>
      <c r="I1876">
        <v>20</v>
      </c>
      <c r="J1876">
        <v>30</v>
      </c>
      <c r="K1876">
        <v>-10</v>
      </c>
      <c r="L1876">
        <v>50</v>
      </c>
      <c r="M1876">
        <v>34</v>
      </c>
      <c r="N1876">
        <v>-522</v>
      </c>
      <c r="O1876">
        <v>42</v>
      </c>
      <c r="P1876">
        <v>12</v>
      </c>
      <c r="Q1876">
        <v>-4</v>
      </c>
      <c r="R1876">
        <v>76</v>
      </c>
      <c r="S1876">
        <v>1.52</v>
      </c>
      <c r="T1876">
        <v>0.4</v>
      </c>
      <c r="U1876">
        <v>1.7</v>
      </c>
    </row>
    <row r="1877" spans="1:21" x14ac:dyDescent="0.35">
      <c r="A1877">
        <v>505</v>
      </c>
      <c r="B1877" s="16">
        <v>40483</v>
      </c>
      <c r="C1877" s="15" t="s">
        <v>70</v>
      </c>
      <c r="D1877" s="15" t="s">
        <v>58</v>
      </c>
      <c r="E1877" s="15" t="s">
        <v>48</v>
      </c>
      <c r="F1877" s="15" t="s">
        <v>49</v>
      </c>
      <c r="G1877" s="15" t="s">
        <v>73</v>
      </c>
      <c r="H1877" s="15" t="s">
        <v>42</v>
      </c>
      <c r="I1877">
        <v>30</v>
      </c>
      <c r="J1877">
        <v>50</v>
      </c>
      <c r="K1877">
        <v>0</v>
      </c>
      <c r="L1877">
        <v>80</v>
      </c>
      <c r="M1877">
        <v>44</v>
      </c>
      <c r="N1877">
        <v>325</v>
      </c>
      <c r="O1877">
        <v>62</v>
      </c>
      <c r="P1877">
        <v>40</v>
      </c>
      <c r="Q1877">
        <v>-7</v>
      </c>
      <c r="R1877">
        <v>106</v>
      </c>
      <c r="S1877">
        <v>1.325</v>
      </c>
      <c r="U1877">
        <v>1.4666666666666666</v>
      </c>
    </row>
    <row r="1878" spans="1:21" x14ac:dyDescent="0.35">
      <c r="A1878">
        <v>505</v>
      </c>
      <c r="B1878" s="16">
        <v>40483</v>
      </c>
      <c r="C1878" s="15" t="s">
        <v>70</v>
      </c>
      <c r="D1878" s="15" t="s">
        <v>58</v>
      </c>
      <c r="E1878" s="15" t="s">
        <v>50</v>
      </c>
      <c r="F1878" s="15" t="s">
        <v>49</v>
      </c>
      <c r="G1878" s="15" t="s">
        <v>73</v>
      </c>
      <c r="H1878" s="15" t="s">
        <v>45</v>
      </c>
      <c r="I1878">
        <v>20</v>
      </c>
      <c r="J1878">
        <v>40</v>
      </c>
      <c r="K1878">
        <v>20</v>
      </c>
      <c r="L1878">
        <v>60</v>
      </c>
      <c r="M1878">
        <v>35</v>
      </c>
      <c r="N1878">
        <v>248</v>
      </c>
      <c r="O1878">
        <v>47</v>
      </c>
      <c r="P1878">
        <v>11</v>
      </c>
      <c r="Q1878">
        <v>8</v>
      </c>
      <c r="R1878">
        <v>82</v>
      </c>
      <c r="S1878">
        <v>1.3666666666666667</v>
      </c>
      <c r="T1878">
        <v>0.4</v>
      </c>
      <c r="U1878">
        <v>1.75</v>
      </c>
    </row>
    <row r="1879" spans="1:21" x14ac:dyDescent="0.35">
      <c r="A1879">
        <v>918</v>
      </c>
      <c r="B1879" s="16">
        <v>40483</v>
      </c>
      <c r="C1879" s="15" t="s">
        <v>70</v>
      </c>
      <c r="D1879" s="15" t="s">
        <v>58</v>
      </c>
      <c r="E1879" s="15" t="s">
        <v>43</v>
      </c>
      <c r="F1879" s="15" t="s">
        <v>40</v>
      </c>
      <c r="G1879" s="15" t="s">
        <v>74</v>
      </c>
      <c r="H1879" s="15" t="s">
        <v>42</v>
      </c>
      <c r="I1879">
        <v>100</v>
      </c>
      <c r="J1879">
        <v>130</v>
      </c>
      <c r="K1879">
        <v>90</v>
      </c>
      <c r="L1879">
        <v>230</v>
      </c>
      <c r="M1879">
        <v>88</v>
      </c>
      <c r="N1879">
        <v>561</v>
      </c>
      <c r="O1879">
        <v>112</v>
      </c>
      <c r="P1879">
        <v>29</v>
      </c>
      <c r="Q1879">
        <v>71</v>
      </c>
      <c r="R1879">
        <v>200</v>
      </c>
      <c r="S1879">
        <v>0.86956521739130432</v>
      </c>
      <c r="T1879">
        <v>0.78888888888888886</v>
      </c>
      <c r="U1879">
        <v>0.88</v>
      </c>
    </row>
    <row r="1880" spans="1:21" x14ac:dyDescent="0.35">
      <c r="A1880">
        <v>580</v>
      </c>
      <c r="B1880" s="16">
        <v>40483</v>
      </c>
      <c r="C1880" s="15" t="s">
        <v>70</v>
      </c>
      <c r="D1880" s="15" t="s">
        <v>58</v>
      </c>
      <c r="E1880" s="15" t="s">
        <v>44</v>
      </c>
      <c r="F1880" s="15" t="s">
        <v>40</v>
      </c>
      <c r="G1880" s="15" t="s">
        <v>74</v>
      </c>
      <c r="H1880" s="15" t="s">
        <v>45</v>
      </c>
      <c r="I1880">
        <v>40</v>
      </c>
      <c r="J1880">
        <v>60</v>
      </c>
      <c r="K1880">
        <v>40</v>
      </c>
      <c r="L1880">
        <v>100</v>
      </c>
      <c r="M1880">
        <v>36</v>
      </c>
      <c r="N1880">
        <v>862</v>
      </c>
      <c r="O1880">
        <v>52</v>
      </c>
      <c r="P1880">
        <v>10</v>
      </c>
      <c r="Q1880">
        <v>30</v>
      </c>
      <c r="R1880">
        <v>88</v>
      </c>
      <c r="S1880">
        <v>0.88</v>
      </c>
      <c r="T1880">
        <v>0.75</v>
      </c>
      <c r="U1880">
        <v>0.9</v>
      </c>
    </row>
    <row r="1881" spans="1:21" x14ac:dyDescent="0.35">
      <c r="A1881">
        <v>918</v>
      </c>
      <c r="B1881" s="16">
        <v>40483</v>
      </c>
      <c r="C1881" s="15" t="s">
        <v>70</v>
      </c>
      <c r="D1881" s="15" t="s">
        <v>58</v>
      </c>
      <c r="E1881" s="15" t="s">
        <v>51</v>
      </c>
      <c r="F1881" s="15" t="s">
        <v>52</v>
      </c>
      <c r="G1881" s="15" t="s">
        <v>74</v>
      </c>
      <c r="H1881" s="15" t="s">
        <v>45</v>
      </c>
      <c r="I1881">
        <v>50</v>
      </c>
      <c r="J1881">
        <v>60</v>
      </c>
      <c r="K1881">
        <v>20</v>
      </c>
      <c r="L1881">
        <v>110</v>
      </c>
      <c r="M1881">
        <v>54</v>
      </c>
      <c r="N1881">
        <v>391</v>
      </c>
      <c r="O1881">
        <v>67</v>
      </c>
      <c r="P1881">
        <v>20</v>
      </c>
      <c r="Q1881">
        <v>13</v>
      </c>
      <c r="R1881">
        <v>121</v>
      </c>
      <c r="S1881">
        <v>1.1000000000000001</v>
      </c>
      <c r="T1881">
        <v>0.65</v>
      </c>
      <c r="U1881">
        <v>1.08</v>
      </c>
    </row>
    <row r="1882" spans="1:21" x14ac:dyDescent="0.35">
      <c r="A1882">
        <v>580</v>
      </c>
      <c r="B1882" s="16">
        <v>40483</v>
      </c>
      <c r="C1882" s="15" t="s">
        <v>70</v>
      </c>
      <c r="D1882" s="15" t="s">
        <v>58</v>
      </c>
      <c r="E1882" s="15" t="s">
        <v>53</v>
      </c>
      <c r="F1882" s="15" t="s">
        <v>52</v>
      </c>
      <c r="G1882" s="15" t="s">
        <v>74</v>
      </c>
      <c r="H1882" s="15" t="s">
        <v>45</v>
      </c>
      <c r="I1882">
        <v>80</v>
      </c>
      <c r="J1882">
        <v>120</v>
      </c>
      <c r="K1882">
        <v>20</v>
      </c>
      <c r="L1882">
        <v>200</v>
      </c>
      <c r="M1882">
        <v>94</v>
      </c>
      <c r="N1882">
        <v>694</v>
      </c>
      <c r="O1882">
        <v>130</v>
      </c>
      <c r="P1882">
        <v>85</v>
      </c>
      <c r="Q1882">
        <v>15</v>
      </c>
      <c r="R1882">
        <v>224</v>
      </c>
      <c r="S1882">
        <v>1.1200000000000001</v>
      </c>
      <c r="T1882">
        <v>0.75</v>
      </c>
      <c r="U1882">
        <v>1.175</v>
      </c>
    </row>
    <row r="1883" spans="1:21" x14ac:dyDescent="0.35">
      <c r="A1883">
        <v>918</v>
      </c>
      <c r="B1883" s="16">
        <v>40483</v>
      </c>
      <c r="C1883" s="15" t="s">
        <v>70</v>
      </c>
      <c r="D1883" s="15" t="s">
        <v>58</v>
      </c>
      <c r="E1883" s="15" t="s">
        <v>72</v>
      </c>
      <c r="F1883" s="15" t="s">
        <v>49</v>
      </c>
      <c r="G1883" s="15" t="s">
        <v>74</v>
      </c>
      <c r="H1883" s="15" t="s">
        <v>42</v>
      </c>
      <c r="I1883">
        <v>80</v>
      </c>
      <c r="J1883">
        <v>100</v>
      </c>
      <c r="K1883">
        <v>60</v>
      </c>
      <c r="L1883">
        <v>180</v>
      </c>
      <c r="M1883">
        <v>102</v>
      </c>
      <c r="N1883">
        <v>-2003</v>
      </c>
      <c r="O1883">
        <v>143</v>
      </c>
      <c r="P1883">
        <v>31</v>
      </c>
      <c r="Q1883">
        <v>89</v>
      </c>
      <c r="R1883">
        <v>245</v>
      </c>
      <c r="S1883">
        <v>1.3611111111111112</v>
      </c>
      <c r="T1883">
        <v>1.4833333333333334</v>
      </c>
      <c r="U1883">
        <v>1.2749999999999999</v>
      </c>
    </row>
    <row r="1884" spans="1:21" x14ac:dyDescent="0.35">
      <c r="A1884">
        <v>918</v>
      </c>
      <c r="B1884" s="16">
        <v>40483</v>
      </c>
      <c r="C1884" s="15" t="s">
        <v>70</v>
      </c>
      <c r="D1884" s="15" t="s">
        <v>58</v>
      </c>
      <c r="E1884" s="15" t="s">
        <v>48</v>
      </c>
      <c r="F1884" s="15" t="s">
        <v>49</v>
      </c>
      <c r="G1884" s="15" t="s">
        <v>74</v>
      </c>
      <c r="H1884" s="15" t="s">
        <v>42</v>
      </c>
      <c r="I1884">
        <v>20</v>
      </c>
      <c r="J1884">
        <v>40</v>
      </c>
      <c r="K1884">
        <v>30</v>
      </c>
      <c r="L1884">
        <v>60</v>
      </c>
      <c r="M1884">
        <v>32</v>
      </c>
      <c r="N1884">
        <v>482</v>
      </c>
      <c r="O1884">
        <v>48</v>
      </c>
      <c r="P1884">
        <v>8</v>
      </c>
      <c r="Q1884">
        <v>29</v>
      </c>
      <c r="R1884">
        <v>80</v>
      </c>
      <c r="S1884">
        <v>1.3333333333333333</v>
      </c>
      <c r="T1884">
        <v>0.96666666666666667</v>
      </c>
      <c r="U1884">
        <v>1.6</v>
      </c>
    </row>
    <row r="1885" spans="1:21" x14ac:dyDescent="0.35">
      <c r="A1885">
        <v>918</v>
      </c>
      <c r="B1885" s="16">
        <v>40483</v>
      </c>
      <c r="C1885" s="15" t="s">
        <v>70</v>
      </c>
      <c r="D1885" s="15" t="s">
        <v>58</v>
      </c>
      <c r="E1885" s="15" t="s">
        <v>50</v>
      </c>
      <c r="F1885" s="15" t="s">
        <v>49</v>
      </c>
      <c r="G1885" s="15" t="s">
        <v>74</v>
      </c>
      <c r="H1885" s="15" t="s">
        <v>45</v>
      </c>
      <c r="I1885">
        <v>60</v>
      </c>
      <c r="J1885">
        <v>90</v>
      </c>
      <c r="K1885">
        <v>40</v>
      </c>
      <c r="L1885">
        <v>150</v>
      </c>
      <c r="M1885">
        <v>78</v>
      </c>
      <c r="N1885">
        <v>798</v>
      </c>
      <c r="O1885">
        <v>119</v>
      </c>
      <c r="P1885">
        <v>25</v>
      </c>
      <c r="Q1885">
        <v>62</v>
      </c>
      <c r="R1885">
        <v>197</v>
      </c>
      <c r="S1885">
        <v>1.3133333333333332</v>
      </c>
      <c r="T1885">
        <v>1.55</v>
      </c>
      <c r="U1885">
        <v>1.3</v>
      </c>
    </row>
    <row r="1886" spans="1:21" x14ac:dyDescent="0.35">
      <c r="A1886">
        <v>956</v>
      </c>
      <c r="B1886" s="16">
        <v>40483</v>
      </c>
      <c r="C1886" s="15" t="s">
        <v>70</v>
      </c>
      <c r="D1886" s="15" t="s">
        <v>38</v>
      </c>
      <c r="E1886" s="15" t="s">
        <v>43</v>
      </c>
      <c r="F1886" s="15" t="s">
        <v>40</v>
      </c>
      <c r="G1886" s="15" t="s">
        <v>75</v>
      </c>
      <c r="H1886" s="15" t="s">
        <v>42</v>
      </c>
      <c r="I1886">
        <v>260</v>
      </c>
      <c r="J1886">
        <v>320</v>
      </c>
      <c r="K1886">
        <v>230</v>
      </c>
      <c r="L1886">
        <v>580</v>
      </c>
      <c r="M1886">
        <v>225</v>
      </c>
      <c r="N1886">
        <v>1272</v>
      </c>
      <c r="O1886">
        <v>265</v>
      </c>
      <c r="P1886">
        <v>69</v>
      </c>
      <c r="Q1886">
        <v>174</v>
      </c>
      <c r="R1886">
        <v>490</v>
      </c>
      <c r="S1886">
        <v>0.84482758620689657</v>
      </c>
      <c r="T1886">
        <v>0.75652173913043474</v>
      </c>
      <c r="U1886">
        <v>0.86538461538461542</v>
      </c>
    </row>
    <row r="1887" spans="1:21" x14ac:dyDescent="0.35">
      <c r="A1887">
        <v>915</v>
      </c>
      <c r="B1887" s="16">
        <v>40483</v>
      </c>
      <c r="C1887" s="15" t="s">
        <v>70</v>
      </c>
      <c r="D1887" s="15" t="s">
        <v>38</v>
      </c>
      <c r="E1887" s="15" t="s">
        <v>44</v>
      </c>
      <c r="F1887" s="15" t="s">
        <v>40</v>
      </c>
      <c r="G1887" s="15" t="s">
        <v>75</v>
      </c>
      <c r="H1887" s="15" t="s">
        <v>45</v>
      </c>
      <c r="I1887">
        <v>40</v>
      </c>
      <c r="J1887">
        <v>60</v>
      </c>
      <c r="K1887">
        <v>40</v>
      </c>
      <c r="L1887">
        <v>100</v>
      </c>
      <c r="M1887">
        <v>40</v>
      </c>
      <c r="N1887">
        <v>536</v>
      </c>
      <c r="O1887">
        <v>52</v>
      </c>
      <c r="P1887">
        <v>13</v>
      </c>
      <c r="Q1887">
        <v>26</v>
      </c>
      <c r="R1887">
        <v>92</v>
      </c>
      <c r="S1887">
        <v>0.92</v>
      </c>
      <c r="T1887">
        <v>0.65</v>
      </c>
      <c r="U1887">
        <v>1</v>
      </c>
    </row>
    <row r="1888" spans="1:21" x14ac:dyDescent="0.35">
      <c r="A1888">
        <v>713</v>
      </c>
      <c r="B1888" s="16">
        <v>40483</v>
      </c>
      <c r="C1888" s="15" t="s">
        <v>70</v>
      </c>
      <c r="D1888" s="15" t="s">
        <v>38</v>
      </c>
      <c r="E1888" s="15" t="s">
        <v>51</v>
      </c>
      <c r="F1888" s="15" t="s">
        <v>52</v>
      </c>
      <c r="G1888" s="15" t="s">
        <v>75</v>
      </c>
      <c r="H1888" s="15" t="s">
        <v>45</v>
      </c>
      <c r="I1888">
        <v>50</v>
      </c>
      <c r="J1888">
        <v>70</v>
      </c>
      <c r="K1888">
        <v>40</v>
      </c>
      <c r="L1888">
        <v>120</v>
      </c>
      <c r="M1888">
        <v>59</v>
      </c>
      <c r="N1888">
        <v>411</v>
      </c>
      <c r="O1888">
        <v>79</v>
      </c>
      <c r="P1888">
        <v>19</v>
      </c>
      <c r="Q1888">
        <v>32</v>
      </c>
      <c r="R1888">
        <v>138</v>
      </c>
      <c r="S1888">
        <v>1.1499999999999999</v>
      </c>
      <c r="T1888">
        <v>0.8</v>
      </c>
      <c r="U1888">
        <v>1.18</v>
      </c>
    </row>
    <row r="1889" spans="1:21" x14ac:dyDescent="0.35">
      <c r="A1889">
        <v>936</v>
      </c>
      <c r="B1889" s="16">
        <v>40483</v>
      </c>
      <c r="C1889" s="15" t="s">
        <v>70</v>
      </c>
      <c r="D1889" s="15" t="s">
        <v>38</v>
      </c>
      <c r="E1889" s="15" t="s">
        <v>53</v>
      </c>
      <c r="F1889" s="15" t="s">
        <v>52</v>
      </c>
      <c r="G1889" s="15" t="s">
        <v>75</v>
      </c>
      <c r="H1889" s="15" t="s">
        <v>45</v>
      </c>
      <c r="I1889">
        <v>40</v>
      </c>
      <c r="J1889">
        <v>60</v>
      </c>
      <c r="K1889">
        <v>30</v>
      </c>
      <c r="L1889">
        <v>100</v>
      </c>
      <c r="M1889">
        <v>46</v>
      </c>
      <c r="N1889">
        <v>424</v>
      </c>
      <c r="O1889">
        <v>68</v>
      </c>
      <c r="P1889">
        <v>14</v>
      </c>
      <c r="Q1889">
        <v>31</v>
      </c>
      <c r="R1889">
        <v>114</v>
      </c>
      <c r="S1889">
        <v>1.1399999999999999</v>
      </c>
      <c r="T1889">
        <v>1.0333333333333334</v>
      </c>
      <c r="U1889">
        <v>1.1499999999999999</v>
      </c>
    </row>
    <row r="1890" spans="1:21" x14ac:dyDescent="0.35">
      <c r="A1890">
        <v>817</v>
      </c>
      <c r="B1890" s="16">
        <v>40483</v>
      </c>
      <c r="C1890" s="15" t="s">
        <v>70</v>
      </c>
      <c r="D1890" s="15" t="s">
        <v>38</v>
      </c>
      <c r="E1890" s="15" t="s">
        <v>72</v>
      </c>
      <c r="F1890" s="15" t="s">
        <v>49</v>
      </c>
      <c r="G1890" s="15" t="s">
        <v>75</v>
      </c>
      <c r="H1890" s="15" t="s">
        <v>42</v>
      </c>
      <c r="I1890">
        <v>50</v>
      </c>
      <c r="J1890">
        <v>90</v>
      </c>
      <c r="K1890">
        <v>40</v>
      </c>
      <c r="L1890">
        <v>140</v>
      </c>
      <c r="M1890">
        <v>75</v>
      </c>
      <c r="N1890">
        <v>-1050</v>
      </c>
      <c r="O1890">
        <v>114</v>
      </c>
      <c r="P1890">
        <v>24</v>
      </c>
      <c r="Q1890">
        <v>59</v>
      </c>
      <c r="R1890">
        <v>189</v>
      </c>
      <c r="S1890">
        <v>1.35</v>
      </c>
      <c r="T1890">
        <v>1.4750000000000001</v>
      </c>
      <c r="U1890">
        <v>1.5</v>
      </c>
    </row>
    <row r="1891" spans="1:21" x14ac:dyDescent="0.35">
      <c r="A1891">
        <v>409</v>
      </c>
      <c r="B1891" s="16">
        <v>40483</v>
      </c>
      <c r="C1891" s="15" t="s">
        <v>70</v>
      </c>
      <c r="D1891" s="15" t="s">
        <v>38</v>
      </c>
      <c r="E1891" s="15" t="s">
        <v>48</v>
      </c>
      <c r="F1891" s="15" t="s">
        <v>49</v>
      </c>
      <c r="G1891" s="15" t="s">
        <v>75</v>
      </c>
      <c r="H1891" s="15" t="s">
        <v>42</v>
      </c>
      <c r="I1891">
        <v>90</v>
      </c>
      <c r="J1891">
        <v>130</v>
      </c>
      <c r="K1891">
        <v>100</v>
      </c>
      <c r="L1891">
        <v>220</v>
      </c>
      <c r="M1891">
        <v>118</v>
      </c>
      <c r="N1891">
        <v>930</v>
      </c>
      <c r="O1891">
        <v>172</v>
      </c>
      <c r="P1891">
        <v>33</v>
      </c>
      <c r="Q1891">
        <v>127</v>
      </c>
      <c r="R1891">
        <v>290</v>
      </c>
      <c r="S1891">
        <v>1.3181818181818181</v>
      </c>
      <c r="T1891">
        <v>1.27</v>
      </c>
      <c r="U1891">
        <v>1.3111111111111111</v>
      </c>
    </row>
    <row r="1892" spans="1:21" x14ac:dyDescent="0.35">
      <c r="A1892">
        <v>210</v>
      </c>
      <c r="B1892" s="16">
        <v>40483</v>
      </c>
      <c r="C1892" s="15" t="s">
        <v>70</v>
      </c>
      <c r="D1892" s="15" t="s">
        <v>38</v>
      </c>
      <c r="E1892" s="15" t="s">
        <v>50</v>
      </c>
      <c r="F1892" s="15" t="s">
        <v>49</v>
      </c>
      <c r="G1892" s="15" t="s">
        <v>75</v>
      </c>
      <c r="H1892" s="15" t="s">
        <v>45</v>
      </c>
      <c r="I1892">
        <v>30</v>
      </c>
      <c r="J1892">
        <v>60</v>
      </c>
      <c r="K1892">
        <v>40</v>
      </c>
      <c r="L1892">
        <v>90</v>
      </c>
      <c r="M1892">
        <v>50</v>
      </c>
      <c r="N1892">
        <v>589</v>
      </c>
      <c r="O1892">
        <v>73</v>
      </c>
      <c r="P1892">
        <v>14</v>
      </c>
      <c r="Q1892">
        <v>48</v>
      </c>
      <c r="R1892">
        <v>123</v>
      </c>
      <c r="S1892">
        <v>1.3666666666666667</v>
      </c>
      <c r="T1892">
        <v>1.2</v>
      </c>
      <c r="U1892">
        <v>1.6666666666666667</v>
      </c>
    </row>
    <row r="1893" spans="1:21" x14ac:dyDescent="0.35">
      <c r="A1893">
        <v>801</v>
      </c>
      <c r="B1893" s="16">
        <v>40483</v>
      </c>
      <c r="C1893" s="15" t="s">
        <v>76</v>
      </c>
      <c r="D1893" s="15" t="s">
        <v>58</v>
      </c>
      <c r="E1893" s="15" t="s">
        <v>51</v>
      </c>
      <c r="F1893" s="15" t="s">
        <v>52</v>
      </c>
      <c r="G1893" s="15" t="s">
        <v>77</v>
      </c>
      <c r="H1893" s="15" t="s">
        <v>45</v>
      </c>
      <c r="I1893">
        <v>40</v>
      </c>
      <c r="J1893">
        <v>60</v>
      </c>
      <c r="K1893">
        <v>30</v>
      </c>
      <c r="L1893">
        <v>100</v>
      </c>
      <c r="M1893">
        <v>46</v>
      </c>
      <c r="N1893">
        <v>316</v>
      </c>
      <c r="O1893">
        <v>67</v>
      </c>
      <c r="P1893">
        <v>14</v>
      </c>
      <c r="Q1893">
        <v>30</v>
      </c>
      <c r="R1893">
        <v>113</v>
      </c>
      <c r="S1893">
        <v>1.1299999999999999</v>
      </c>
      <c r="T1893">
        <v>1</v>
      </c>
      <c r="U1893">
        <v>1.1499999999999999</v>
      </c>
    </row>
    <row r="1894" spans="1:21" x14ac:dyDescent="0.35">
      <c r="A1894">
        <v>435</v>
      </c>
      <c r="B1894" s="16">
        <v>40483</v>
      </c>
      <c r="C1894" s="15" t="s">
        <v>76</v>
      </c>
      <c r="D1894" s="15" t="s">
        <v>58</v>
      </c>
      <c r="E1894" s="15" t="s">
        <v>53</v>
      </c>
      <c r="F1894" s="15" t="s">
        <v>52</v>
      </c>
      <c r="G1894" s="15" t="s">
        <v>77</v>
      </c>
      <c r="H1894" s="15" t="s">
        <v>45</v>
      </c>
      <c r="I1894">
        <v>40</v>
      </c>
      <c r="J1894">
        <v>60</v>
      </c>
      <c r="K1894">
        <v>30</v>
      </c>
      <c r="L1894">
        <v>100</v>
      </c>
      <c r="M1894">
        <v>43</v>
      </c>
      <c r="N1894">
        <v>452</v>
      </c>
      <c r="O1894">
        <v>66</v>
      </c>
      <c r="P1894">
        <v>14</v>
      </c>
      <c r="Q1894">
        <v>20</v>
      </c>
      <c r="R1894">
        <v>109</v>
      </c>
      <c r="S1894">
        <v>1.0900000000000001</v>
      </c>
      <c r="T1894">
        <v>0.66666666666666663</v>
      </c>
      <c r="U1894">
        <v>1.075</v>
      </c>
    </row>
    <row r="1895" spans="1:21" x14ac:dyDescent="0.35">
      <c r="A1895">
        <v>801</v>
      </c>
      <c r="B1895" s="16">
        <v>40483</v>
      </c>
      <c r="C1895" s="15" t="s">
        <v>76</v>
      </c>
      <c r="D1895" s="15" t="s">
        <v>58</v>
      </c>
      <c r="E1895" s="15" t="s">
        <v>54</v>
      </c>
      <c r="F1895" s="15" t="s">
        <v>52</v>
      </c>
      <c r="G1895" s="15" t="s">
        <v>77</v>
      </c>
      <c r="H1895" s="15" t="s">
        <v>45</v>
      </c>
      <c r="I1895">
        <v>70</v>
      </c>
      <c r="J1895">
        <v>40</v>
      </c>
      <c r="K1895">
        <v>0</v>
      </c>
      <c r="L1895">
        <v>110</v>
      </c>
      <c r="M1895">
        <v>82</v>
      </c>
      <c r="N1895">
        <v>1804</v>
      </c>
      <c r="O1895">
        <v>40</v>
      </c>
      <c r="P1895">
        <v>25</v>
      </c>
      <c r="Q1895">
        <v>-8</v>
      </c>
      <c r="R1895">
        <v>122</v>
      </c>
      <c r="S1895">
        <v>1.1090909090909091</v>
      </c>
      <c r="U1895">
        <v>1.1714285714285715</v>
      </c>
    </row>
    <row r="1896" spans="1:21" x14ac:dyDescent="0.35">
      <c r="A1896">
        <v>435</v>
      </c>
      <c r="B1896" s="16">
        <v>40483</v>
      </c>
      <c r="C1896" s="15" t="s">
        <v>76</v>
      </c>
      <c r="D1896" s="15" t="s">
        <v>58</v>
      </c>
      <c r="E1896" s="15" t="s">
        <v>55</v>
      </c>
      <c r="F1896" s="15" t="s">
        <v>47</v>
      </c>
      <c r="G1896" s="15" t="s">
        <v>77</v>
      </c>
      <c r="H1896" s="15" t="s">
        <v>42</v>
      </c>
      <c r="I1896">
        <v>30</v>
      </c>
      <c r="J1896">
        <v>40</v>
      </c>
      <c r="K1896">
        <v>-10</v>
      </c>
      <c r="L1896">
        <v>70</v>
      </c>
      <c r="M1896">
        <v>44</v>
      </c>
      <c r="N1896">
        <v>325</v>
      </c>
      <c r="O1896">
        <v>62</v>
      </c>
      <c r="P1896">
        <v>40</v>
      </c>
      <c r="Q1896">
        <v>-7</v>
      </c>
      <c r="R1896">
        <v>106</v>
      </c>
      <c r="S1896">
        <v>1.5142857142857142</v>
      </c>
      <c r="T1896">
        <v>0.7</v>
      </c>
      <c r="U1896">
        <v>1.4666666666666666</v>
      </c>
    </row>
    <row r="1897" spans="1:21" x14ac:dyDescent="0.35">
      <c r="A1897">
        <v>435</v>
      </c>
      <c r="B1897" s="16">
        <v>40483</v>
      </c>
      <c r="C1897" s="15" t="s">
        <v>76</v>
      </c>
      <c r="D1897" s="15" t="s">
        <v>58</v>
      </c>
      <c r="E1897" s="15" t="s">
        <v>56</v>
      </c>
      <c r="F1897" s="15" t="s">
        <v>47</v>
      </c>
      <c r="G1897" s="15" t="s">
        <v>77</v>
      </c>
      <c r="H1897" s="15" t="s">
        <v>42</v>
      </c>
      <c r="I1897">
        <v>20</v>
      </c>
      <c r="J1897">
        <v>30</v>
      </c>
      <c r="K1897">
        <v>10</v>
      </c>
      <c r="L1897">
        <v>50</v>
      </c>
      <c r="M1897">
        <v>35</v>
      </c>
      <c r="N1897">
        <v>248</v>
      </c>
      <c r="O1897">
        <v>47</v>
      </c>
      <c r="P1897">
        <v>11</v>
      </c>
      <c r="Q1897">
        <v>9</v>
      </c>
      <c r="R1897">
        <v>82</v>
      </c>
      <c r="S1897">
        <v>1.64</v>
      </c>
      <c r="T1897">
        <v>0.9</v>
      </c>
      <c r="U1897">
        <v>1.75</v>
      </c>
    </row>
    <row r="1898" spans="1:21" x14ac:dyDescent="0.35">
      <c r="A1898">
        <v>801</v>
      </c>
      <c r="B1898" s="16">
        <v>40483</v>
      </c>
      <c r="C1898" s="15" t="s">
        <v>76</v>
      </c>
      <c r="D1898" s="15" t="s">
        <v>58</v>
      </c>
      <c r="E1898" s="15" t="s">
        <v>46</v>
      </c>
      <c r="F1898" s="15" t="s">
        <v>47</v>
      </c>
      <c r="G1898" s="15" t="s">
        <v>77</v>
      </c>
      <c r="H1898" s="15" t="s">
        <v>42</v>
      </c>
      <c r="I1898">
        <v>20</v>
      </c>
      <c r="J1898">
        <v>30</v>
      </c>
      <c r="K1898">
        <v>0</v>
      </c>
      <c r="L1898">
        <v>50</v>
      </c>
      <c r="M1898">
        <v>34</v>
      </c>
      <c r="N1898">
        <v>211</v>
      </c>
      <c r="O1898">
        <v>42</v>
      </c>
      <c r="P1898">
        <v>12</v>
      </c>
      <c r="Q1898">
        <v>-3</v>
      </c>
      <c r="R1898">
        <v>76</v>
      </c>
      <c r="S1898">
        <v>1.52</v>
      </c>
      <c r="U1898">
        <v>1.7</v>
      </c>
    </row>
    <row r="1899" spans="1:21" x14ac:dyDescent="0.35">
      <c r="A1899">
        <v>801</v>
      </c>
      <c r="B1899" s="16">
        <v>40483</v>
      </c>
      <c r="C1899" s="15" t="s">
        <v>76</v>
      </c>
      <c r="D1899" s="15" t="s">
        <v>58</v>
      </c>
      <c r="E1899" s="15" t="s">
        <v>39</v>
      </c>
      <c r="F1899" s="15" t="s">
        <v>40</v>
      </c>
      <c r="G1899" s="15" t="s">
        <v>77</v>
      </c>
      <c r="H1899" s="15" t="s">
        <v>42</v>
      </c>
      <c r="I1899">
        <v>80</v>
      </c>
      <c r="J1899">
        <v>90</v>
      </c>
      <c r="K1899">
        <v>50</v>
      </c>
      <c r="L1899">
        <v>170</v>
      </c>
      <c r="M1899">
        <v>69</v>
      </c>
      <c r="N1899">
        <v>1060</v>
      </c>
      <c r="O1899">
        <v>81</v>
      </c>
      <c r="P1899">
        <v>21</v>
      </c>
      <c r="Q1899">
        <v>39</v>
      </c>
      <c r="R1899">
        <v>150</v>
      </c>
      <c r="S1899">
        <v>0.88235294117647056</v>
      </c>
      <c r="T1899">
        <v>0.78</v>
      </c>
      <c r="U1899">
        <v>0.86250000000000004</v>
      </c>
    </row>
    <row r="1900" spans="1:21" x14ac:dyDescent="0.35">
      <c r="A1900">
        <v>435</v>
      </c>
      <c r="B1900" s="16">
        <v>40483</v>
      </c>
      <c r="C1900" s="15" t="s">
        <v>76</v>
      </c>
      <c r="D1900" s="15" t="s">
        <v>58</v>
      </c>
      <c r="E1900" s="15" t="s">
        <v>43</v>
      </c>
      <c r="F1900" s="15" t="s">
        <v>40</v>
      </c>
      <c r="G1900" s="15" t="s">
        <v>77</v>
      </c>
      <c r="H1900" s="15" t="s">
        <v>42</v>
      </c>
      <c r="I1900">
        <v>60</v>
      </c>
      <c r="J1900">
        <v>80</v>
      </c>
      <c r="K1900">
        <v>50</v>
      </c>
      <c r="L1900">
        <v>140</v>
      </c>
      <c r="M1900">
        <v>53</v>
      </c>
      <c r="N1900">
        <v>380</v>
      </c>
      <c r="O1900">
        <v>71</v>
      </c>
      <c r="P1900">
        <v>17</v>
      </c>
      <c r="Q1900">
        <v>27</v>
      </c>
      <c r="R1900">
        <v>124</v>
      </c>
      <c r="S1900">
        <v>0.88571428571428568</v>
      </c>
      <c r="T1900">
        <v>0.54</v>
      </c>
      <c r="U1900">
        <v>0.8833333333333333</v>
      </c>
    </row>
    <row r="1901" spans="1:21" x14ac:dyDescent="0.35">
      <c r="A1901">
        <v>801</v>
      </c>
      <c r="B1901" s="16">
        <v>40483</v>
      </c>
      <c r="C1901" s="15" t="s">
        <v>76</v>
      </c>
      <c r="D1901" s="15" t="s">
        <v>58</v>
      </c>
      <c r="E1901" s="15" t="s">
        <v>44</v>
      </c>
      <c r="F1901" s="15" t="s">
        <v>40</v>
      </c>
      <c r="G1901" s="15" t="s">
        <v>77</v>
      </c>
      <c r="H1901" s="15" t="s">
        <v>45</v>
      </c>
      <c r="I1901">
        <v>90</v>
      </c>
      <c r="J1901">
        <v>120</v>
      </c>
      <c r="K1901">
        <v>60</v>
      </c>
      <c r="L1901">
        <v>210</v>
      </c>
      <c r="M1901">
        <v>82</v>
      </c>
      <c r="N1901">
        <v>601</v>
      </c>
      <c r="O1901">
        <v>102</v>
      </c>
      <c r="P1901">
        <v>31</v>
      </c>
      <c r="Q1901">
        <v>38</v>
      </c>
      <c r="R1901">
        <v>184</v>
      </c>
      <c r="S1901">
        <v>0.87619047619047619</v>
      </c>
      <c r="T1901">
        <v>0.6333333333333333</v>
      </c>
      <c r="U1901">
        <v>0.91111111111111109</v>
      </c>
    </row>
    <row r="1902" spans="1:21" x14ac:dyDescent="0.35">
      <c r="A1902">
        <v>435</v>
      </c>
      <c r="B1902" s="16">
        <v>40483</v>
      </c>
      <c r="C1902" s="15" t="s">
        <v>76</v>
      </c>
      <c r="D1902" s="15" t="s">
        <v>58</v>
      </c>
      <c r="E1902" s="15" t="s">
        <v>72</v>
      </c>
      <c r="F1902" s="15" t="s">
        <v>49</v>
      </c>
      <c r="G1902" s="15" t="s">
        <v>77</v>
      </c>
      <c r="H1902" s="15" t="s">
        <v>42</v>
      </c>
      <c r="I1902">
        <v>30</v>
      </c>
      <c r="J1902">
        <v>40</v>
      </c>
      <c r="K1902">
        <v>30</v>
      </c>
      <c r="L1902">
        <v>70</v>
      </c>
      <c r="M1902">
        <v>33</v>
      </c>
      <c r="N1902">
        <v>836</v>
      </c>
      <c r="O1902">
        <v>48</v>
      </c>
      <c r="P1902">
        <v>9</v>
      </c>
      <c r="Q1902">
        <v>27</v>
      </c>
      <c r="R1902">
        <v>81</v>
      </c>
      <c r="S1902">
        <v>1.1571428571428573</v>
      </c>
      <c r="T1902">
        <v>0.9</v>
      </c>
      <c r="U1902">
        <v>1.1000000000000001</v>
      </c>
    </row>
    <row r="1903" spans="1:21" x14ac:dyDescent="0.35">
      <c r="A1903">
        <v>435</v>
      </c>
      <c r="B1903" s="16">
        <v>40483</v>
      </c>
      <c r="C1903" s="15" t="s">
        <v>76</v>
      </c>
      <c r="D1903" s="15" t="s">
        <v>58</v>
      </c>
      <c r="E1903" s="15" t="s">
        <v>48</v>
      </c>
      <c r="F1903" s="15" t="s">
        <v>49</v>
      </c>
      <c r="G1903" s="15" t="s">
        <v>77</v>
      </c>
      <c r="H1903" s="15" t="s">
        <v>42</v>
      </c>
      <c r="I1903">
        <v>90</v>
      </c>
      <c r="J1903">
        <v>130</v>
      </c>
      <c r="K1903">
        <v>90</v>
      </c>
      <c r="L1903">
        <v>220</v>
      </c>
      <c r="M1903">
        <v>101</v>
      </c>
      <c r="N1903">
        <v>552</v>
      </c>
      <c r="O1903">
        <v>130</v>
      </c>
      <c r="P1903">
        <v>33</v>
      </c>
      <c r="Q1903">
        <v>85</v>
      </c>
      <c r="R1903">
        <v>231</v>
      </c>
      <c r="S1903">
        <v>1.05</v>
      </c>
      <c r="T1903">
        <v>0.94444444444444442</v>
      </c>
      <c r="U1903">
        <v>1.1222222222222222</v>
      </c>
    </row>
    <row r="1904" spans="1:21" x14ac:dyDescent="0.35">
      <c r="A1904">
        <v>435</v>
      </c>
      <c r="B1904" s="16">
        <v>40483</v>
      </c>
      <c r="C1904" s="15" t="s">
        <v>76</v>
      </c>
      <c r="D1904" s="15" t="s">
        <v>58</v>
      </c>
      <c r="E1904" s="15" t="s">
        <v>50</v>
      </c>
      <c r="F1904" s="15" t="s">
        <v>49</v>
      </c>
      <c r="G1904" s="15" t="s">
        <v>77</v>
      </c>
      <c r="H1904" s="15" t="s">
        <v>45</v>
      </c>
      <c r="I1904">
        <v>50</v>
      </c>
      <c r="J1904">
        <v>70</v>
      </c>
      <c r="K1904">
        <v>50</v>
      </c>
      <c r="L1904">
        <v>120</v>
      </c>
      <c r="M1904">
        <v>54</v>
      </c>
      <c r="N1904">
        <v>885</v>
      </c>
      <c r="O1904">
        <v>78</v>
      </c>
      <c r="P1904">
        <v>15</v>
      </c>
      <c r="Q1904">
        <v>52</v>
      </c>
      <c r="R1904">
        <v>132</v>
      </c>
      <c r="S1904">
        <v>1.1000000000000001</v>
      </c>
      <c r="T1904">
        <v>1.04</v>
      </c>
      <c r="U1904">
        <v>1.08</v>
      </c>
    </row>
    <row r="1905" spans="1:21" x14ac:dyDescent="0.35">
      <c r="A1905">
        <v>213</v>
      </c>
      <c r="B1905" s="16">
        <v>40483</v>
      </c>
      <c r="C1905" s="15" t="s">
        <v>76</v>
      </c>
      <c r="D1905" s="15" t="s">
        <v>38</v>
      </c>
      <c r="E1905" s="15" t="s">
        <v>51</v>
      </c>
      <c r="F1905" s="15" t="s">
        <v>52</v>
      </c>
      <c r="G1905" s="15" t="s">
        <v>78</v>
      </c>
      <c r="H1905" s="15" t="s">
        <v>45</v>
      </c>
      <c r="I1905">
        <v>70</v>
      </c>
      <c r="J1905">
        <v>110</v>
      </c>
      <c r="K1905">
        <v>80</v>
      </c>
      <c r="L1905">
        <v>180</v>
      </c>
      <c r="M1905">
        <v>81</v>
      </c>
      <c r="N1905">
        <v>984</v>
      </c>
      <c r="O1905">
        <v>117</v>
      </c>
      <c r="P1905">
        <v>22</v>
      </c>
      <c r="Q1905">
        <v>84</v>
      </c>
      <c r="R1905">
        <v>198</v>
      </c>
      <c r="S1905">
        <v>1.1000000000000001</v>
      </c>
      <c r="T1905">
        <v>1.05</v>
      </c>
      <c r="U1905">
        <v>1.1571428571428573</v>
      </c>
    </row>
    <row r="1906" spans="1:21" x14ac:dyDescent="0.35">
      <c r="A1906">
        <v>213</v>
      </c>
      <c r="B1906" s="16">
        <v>40483</v>
      </c>
      <c r="C1906" s="15" t="s">
        <v>76</v>
      </c>
      <c r="D1906" s="15" t="s">
        <v>38</v>
      </c>
      <c r="E1906" s="15" t="s">
        <v>53</v>
      </c>
      <c r="F1906" s="15" t="s">
        <v>52</v>
      </c>
      <c r="G1906" s="15" t="s">
        <v>78</v>
      </c>
      <c r="H1906" s="15" t="s">
        <v>45</v>
      </c>
      <c r="I1906">
        <v>210</v>
      </c>
      <c r="J1906">
        <v>240</v>
      </c>
      <c r="K1906">
        <v>160</v>
      </c>
      <c r="L1906">
        <v>450</v>
      </c>
      <c r="M1906">
        <v>225</v>
      </c>
      <c r="N1906">
        <v>1272</v>
      </c>
      <c r="O1906">
        <v>265</v>
      </c>
      <c r="P1906">
        <v>69</v>
      </c>
      <c r="Q1906">
        <v>174</v>
      </c>
      <c r="R1906">
        <v>490</v>
      </c>
      <c r="S1906">
        <v>1.0888888888888888</v>
      </c>
      <c r="T1906">
        <v>1.0874999999999999</v>
      </c>
      <c r="U1906">
        <v>1.0714285714285714</v>
      </c>
    </row>
    <row r="1907" spans="1:21" x14ac:dyDescent="0.35">
      <c r="A1907">
        <v>707</v>
      </c>
      <c r="B1907" s="16">
        <v>40483</v>
      </c>
      <c r="C1907" s="15" t="s">
        <v>76</v>
      </c>
      <c r="D1907" s="15" t="s">
        <v>38</v>
      </c>
      <c r="E1907" s="15" t="s">
        <v>54</v>
      </c>
      <c r="F1907" s="15" t="s">
        <v>52</v>
      </c>
      <c r="G1907" s="15" t="s">
        <v>78</v>
      </c>
      <c r="H1907" s="15" t="s">
        <v>45</v>
      </c>
      <c r="I1907">
        <v>30</v>
      </c>
      <c r="J1907">
        <v>50</v>
      </c>
      <c r="K1907">
        <v>30</v>
      </c>
      <c r="L1907">
        <v>80</v>
      </c>
      <c r="M1907">
        <v>40</v>
      </c>
      <c r="N1907">
        <v>536</v>
      </c>
      <c r="O1907">
        <v>52</v>
      </c>
      <c r="P1907">
        <v>13</v>
      </c>
      <c r="Q1907">
        <v>27</v>
      </c>
      <c r="R1907">
        <v>92</v>
      </c>
      <c r="S1907">
        <v>1.1499999999999999</v>
      </c>
      <c r="T1907">
        <v>0.9</v>
      </c>
      <c r="U1907">
        <v>1.3333333333333333</v>
      </c>
    </row>
    <row r="1908" spans="1:21" x14ac:dyDescent="0.35">
      <c r="A1908">
        <v>213</v>
      </c>
      <c r="B1908" s="16">
        <v>40483</v>
      </c>
      <c r="C1908" s="15" t="s">
        <v>76</v>
      </c>
      <c r="D1908" s="15" t="s">
        <v>38</v>
      </c>
      <c r="E1908" s="15" t="s">
        <v>55</v>
      </c>
      <c r="F1908" s="15" t="s">
        <v>47</v>
      </c>
      <c r="G1908" s="15" t="s">
        <v>78</v>
      </c>
      <c r="H1908" s="15" t="s">
        <v>42</v>
      </c>
      <c r="I1908">
        <v>80</v>
      </c>
      <c r="J1908">
        <v>130</v>
      </c>
      <c r="K1908">
        <v>110</v>
      </c>
      <c r="L1908">
        <v>210</v>
      </c>
      <c r="M1908">
        <v>118</v>
      </c>
      <c r="N1908">
        <v>930</v>
      </c>
      <c r="O1908">
        <v>172</v>
      </c>
      <c r="P1908">
        <v>33</v>
      </c>
      <c r="Q1908">
        <v>128</v>
      </c>
      <c r="R1908">
        <v>290</v>
      </c>
      <c r="S1908">
        <v>1.3809523809523809</v>
      </c>
      <c r="T1908">
        <v>1.1636363636363636</v>
      </c>
      <c r="U1908">
        <v>1.4750000000000001</v>
      </c>
    </row>
    <row r="1909" spans="1:21" x14ac:dyDescent="0.35">
      <c r="A1909">
        <v>650</v>
      </c>
      <c r="B1909" s="16">
        <v>40483</v>
      </c>
      <c r="C1909" s="15" t="s">
        <v>76</v>
      </c>
      <c r="D1909" s="15" t="s">
        <v>38</v>
      </c>
      <c r="E1909" s="15" t="s">
        <v>56</v>
      </c>
      <c r="F1909" s="15" t="s">
        <v>47</v>
      </c>
      <c r="G1909" s="15" t="s">
        <v>78</v>
      </c>
      <c r="H1909" s="15" t="s">
        <v>42</v>
      </c>
      <c r="I1909">
        <v>30</v>
      </c>
      <c r="J1909">
        <v>50</v>
      </c>
      <c r="K1909">
        <v>40</v>
      </c>
      <c r="L1909">
        <v>80</v>
      </c>
      <c r="M1909">
        <v>50</v>
      </c>
      <c r="N1909">
        <v>589</v>
      </c>
      <c r="O1909">
        <v>73</v>
      </c>
      <c r="P1909">
        <v>14</v>
      </c>
      <c r="Q1909">
        <v>47</v>
      </c>
      <c r="R1909">
        <v>123</v>
      </c>
      <c r="S1909">
        <v>1.5375000000000001</v>
      </c>
      <c r="T1909">
        <v>1.175</v>
      </c>
      <c r="U1909">
        <v>1.6666666666666667</v>
      </c>
    </row>
    <row r="1910" spans="1:21" x14ac:dyDescent="0.35">
      <c r="A1910">
        <v>650</v>
      </c>
      <c r="B1910" s="16">
        <v>40483</v>
      </c>
      <c r="C1910" s="15" t="s">
        <v>76</v>
      </c>
      <c r="D1910" s="15" t="s">
        <v>38</v>
      </c>
      <c r="E1910" s="15" t="s">
        <v>46</v>
      </c>
      <c r="F1910" s="15" t="s">
        <v>47</v>
      </c>
      <c r="G1910" s="15" t="s">
        <v>78</v>
      </c>
      <c r="H1910" s="15" t="s">
        <v>42</v>
      </c>
      <c r="I1910">
        <v>50</v>
      </c>
      <c r="J1910">
        <v>80</v>
      </c>
      <c r="K1910">
        <v>40</v>
      </c>
      <c r="L1910">
        <v>130</v>
      </c>
      <c r="M1910">
        <v>75</v>
      </c>
      <c r="N1910">
        <v>659</v>
      </c>
      <c r="O1910">
        <v>114</v>
      </c>
      <c r="P1910">
        <v>24</v>
      </c>
      <c r="Q1910">
        <v>59</v>
      </c>
      <c r="R1910">
        <v>189</v>
      </c>
      <c r="S1910">
        <v>1.4538461538461538</v>
      </c>
      <c r="T1910">
        <v>1.4750000000000001</v>
      </c>
      <c r="U1910">
        <v>1.5</v>
      </c>
    </row>
    <row r="1911" spans="1:21" x14ac:dyDescent="0.35">
      <c r="A1911">
        <v>619</v>
      </c>
      <c r="B1911" s="16">
        <v>40483</v>
      </c>
      <c r="C1911" s="15" t="s">
        <v>76</v>
      </c>
      <c r="D1911" s="15" t="s">
        <v>38</v>
      </c>
      <c r="E1911" s="15" t="s">
        <v>39</v>
      </c>
      <c r="F1911" s="15" t="s">
        <v>40</v>
      </c>
      <c r="G1911" s="15" t="s">
        <v>78</v>
      </c>
      <c r="H1911" s="15" t="s">
        <v>42</v>
      </c>
      <c r="I1911">
        <v>130</v>
      </c>
      <c r="J1911">
        <v>0</v>
      </c>
      <c r="K1911">
        <v>-50</v>
      </c>
      <c r="L1911">
        <v>130</v>
      </c>
      <c r="M1911">
        <v>113</v>
      </c>
      <c r="N1911">
        <v>2758</v>
      </c>
      <c r="O1911">
        <v>3</v>
      </c>
      <c r="P1911">
        <v>36</v>
      </c>
      <c r="Q1911">
        <v>-56</v>
      </c>
      <c r="R1911">
        <v>116</v>
      </c>
      <c r="S1911">
        <v>0.89230769230769236</v>
      </c>
      <c r="T1911">
        <v>1.1200000000000001</v>
      </c>
      <c r="U1911">
        <v>0.86923076923076925</v>
      </c>
    </row>
    <row r="1912" spans="1:21" x14ac:dyDescent="0.35">
      <c r="A1912">
        <v>951</v>
      </c>
      <c r="B1912" s="16">
        <v>40483</v>
      </c>
      <c r="C1912" s="15" t="s">
        <v>76</v>
      </c>
      <c r="D1912" s="15" t="s">
        <v>38</v>
      </c>
      <c r="E1912" s="15" t="s">
        <v>43</v>
      </c>
      <c r="F1912" s="15" t="s">
        <v>40</v>
      </c>
      <c r="G1912" s="15" t="s">
        <v>78</v>
      </c>
      <c r="H1912" s="15" t="s">
        <v>42</v>
      </c>
      <c r="I1912">
        <v>290</v>
      </c>
      <c r="J1912">
        <v>450</v>
      </c>
      <c r="K1912">
        <v>310</v>
      </c>
      <c r="L1912">
        <v>740</v>
      </c>
      <c r="M1912">
        <v>249</v>
      </c>
      <c r="N1912">
        <v>2580</v>
      </c>
      <c r="O1912">
        <v>374</v>
      </c>
      <c r="P1912">
        <v>87</v>
      </c>
      <c r="Q1912">
        <v>235</v>
      </c>
      <c r="R1912">
        <v>623</v>
      </c>
      <c r="S1912">
        <v>0.84189189189189184</v>
      </c>
      <c r="T1912">
        <v>0.75806451612903225</v>
      </c>
      <c r="U1912">
        <v>0.85862068965517246</v>
      </c>
    </row>
    <row r="1913" spans="1:21" x14ac:dyDescent="0.35">
      <c r="A1913">
        <v>909</v>
      </c>
      <c r="B1913" s="16">
        <v>40483</v>
      </c>
      <c r="C1913" s="15" t="s">
        <v>76</v>
      </c>
      <c r="D1913" s="15" t="s">
        <v>38</v>
      </c>
      <c r="E1913" s="15" t="s">
        <v>44</v>
      </c>
      <c r="F1913" s="15" t="s">
        <v>40</v>
      </c>
      <c r="G1913" s="15" t="s">
        <v>78</v>
      </c>
      <c r="H1913" s="15" t="s">
        <v>45</v>
      </c>
      <c r="I1913">
        <v>200</v>
      </c>
      <c r="J1913">
        <v>-30</v>
      </c>
      <c r="K1913">
        <v>-130</v>
      </c>
      <c r="L1913">
        <v>170</v>
      </c>
      <c r="M1913">
        <v>173</v>
      </c>
      <c r="N1913">
        <v>3909</v>
      </c>
      <c r="O1913">
        <v>-27</v>
      </c>
      <c r="P1913">
        <v>57</v>
      </c>
      <c r="Q1913">
        <v>-127</v>
      </c>
      <c r="R1913">
        <v>146</v>
      </c>
      <c r="S1913">
        <v>0.85882352941176465</v>
      </c>
      <c r="T1913">
        <v>0.97692307692307689</v>
      </c>
      <c r="U1913">
        <v>0.86499999999999999</v>
      </c>
    </row>
    <row r="1914" spans="1:21" x14ac:dyDescent="0.35">
      <c r="A1914">
        <v>559</v>
      </c>
      <c r="B1914" s="16">
        <v>40483</v>
      </c>
      <c r="C1914" s="15" t="s">
        <v>76</v>
      </c>
      <c r="D1914" s="15" t="s">
        <v>38</v>
      </c>
      <c r="E1914" s="15" t="s">
        <v>72</v>
      </c>
      <c r="F1914" s="15" t="s">
        <v>49</v>
      </c>
      <c r="G1914" s="15" t="s">
        <v>78</v>
      </c>
      <c r="H1914" s="15" t="s">
        <v>42</v>
      </c>
      <c r="I1914">
        <v>200</v>
      </c>
      <c r="J1914">
        <v>210</v>
      </c>
      <c r="K1914">
        <v>140</v>
      </c>
      <c r="L1914">
        <v>410</v>
      </c>
      <c r="M1914">
        <v>211</v>
      </c>
      <c r="N1914">
        <v>1778</v>
      </c>
      <c r="O1914">
        <v>212</v>
      </c>
      <c r="P1914">
        <v>59</v>
      </c>
      <c r="Q1914">
        <v>129</v>
      </c>
      <c r="R1914">
        <v>423</v>
      </c>
      <c r="S1914">
        <v>1.0317073170731708</v>
      </c>
      <c r="T1914">
        <v>0.92142857142857137</v>
      </c>
      <c r="U1914">
        <v>1.0549999999999999</v>
      </c>
    </row>
    <row r="1915" spans="1:21" x14ac:dyDescent="0.35">
      <c r="A1915">
        <v>818</v>
      </c>
      <c r="B1915" s="16">
        <v>40483</v>
      </c>
      <c r="C1915" s="15" t="s">
        <v>76</v>
      </c>
      <c r="D1915" s="15" t="s">
        <v>38</v>
      </c>
      <c r="E1915" s="15" t="s">
        <v>48</v>
      </c>
      <c r="F1915" s="15" t="s">
        <v>49</v>
      </c>
      <c r="G1915" s="15" t="s">
        <v>78</v>
      </c>
      <c r="H1915" s="15" t="s">
        <v>42</v>
      </c>
      <c r="I1915">
        <v>110</v>
      </c>
      <c r="J1915">
        <v>170</v>
      </c>
      <c r="K1915">
        <v>40</v>
      </c>
      <c r="L1915">
        <v>280</v>
      </c>
      <c r="M1915">
        <v>121</v>
      </c>
      <c r="N1915">
        <v>912</v>
      </c>
      <c r="O1915">
        <v>168</v>
      </c>
      <c r="P1915">
        <v>109</v>
      </c>
      <c r="Q1915">
        <v>26</v>
      </c>
      <c r="R1915">
        <v>289</v>
      </c>
      <c r="S1915">
        <v>1.0321428571428573</v>
      </c>
      <c r="T1915">
        <v>0.65</v>
      </c>
      <c r="U1915">
        <v>1.1000000000000001</v>
      </c>
    </row>
    <row r="1916" spans="1:21" x14ac:dyDescent="0.35">
      <c r="A1916">
        <v>707</v>
      </c>
      <c r="B1916" s="16">
        <v>40483</v>
      </c>
      <c r="C1916" s="15" t="s">
        <v>76</v>
      </c>
      <c r="D1916" s="15" t="s">
        <v>38</v>
      </c>
      <c r="E1916" s="15" t="s">
        <v>50</v>
      </c>
      <c r="F1916" s="15" t="s">
        <v>49</v>
      </c>
      <c r="G1916" s="15" t="s">
        <v>78</v>
      </c>
      <c r="H1916" s="15" t="s">
        <v>45</v>
      </c>
      <c r="I1916">
        <v>220</v>
      </c>
      <c r="J1916">
        <v>290</v>
      </c>
      <c r="K1916">
        <v>190</v>
      </c>
      <c r="L1916">
        <v>510</v>
      </c>
      <c r="M1916">
        <v>228</v>
      </c>
      <c r="N1916">
        <v>1691</v>
      </c>
      <c r="O1916">
        <v>304</v>
      </c>
      <c r="P1916">
        <v>75</v>
      </c>
      <c r="Q1916">
        <v>197</v>
      </c>
      <c r="R1916">
        <v>532</v>
      </c>
      <c r="S1916">
        <v>1.0431372549019609</v>
      </c>
      <c r="T1916">
        <v>1.0368421052631578</v>
      </c>
      <c r="U1916">
        <v>1.0363636363636364</v>
      </c>
    </row>
    <row r="1917" spans="1:21" x14ac:dyDescent="0.35">
      <c r="A1917">
        <v>775</v>
      </c>
      <c r="B1917" s="16">
        <v>40483</v>
      </c>
      <c r="C1917" s="15" t="s">
        <v>76</v>
      </c>
      <c r="D1917" s="15" t="s">
        <v>58</v>
      </c>
      <c r="E1917" s="15" t="s">
        <v>51</v>
      </c>
      <c r="F1917" s="15" t="s">
        <v>52</v>
      </c>
      <c r="G1917" s="15" t="s">
        <v>79</v>
      </c>
      <c r="H1917" s="15" t="s">
        <v>45</v>
      </c>
      <c r="I1917">
        <v>110</v>
      </c>
      <c r="J1917">
        <v>150</v>
      </c>
      <c r="K1917">
        <v>20</v>
      </c>
      <c r="L1917">
        <v>260</v>
      </c>
      <c r="M1917">
        <v>121</v>
      </c>
      <c r="N1917">
        <v>912</v>
      </c>
      <c r="O1917">
        <v>168</v>
      </c>
      <c r="P1917">
        <v>109</v>
      </c>
      <c r="Q1917">
        <v>26</v>
      </c>
      <c r="R1917">
        <v>289</v>
      </c>
      <c r="S1917">
        <v>1.1115384615384616</v>
      </c>
      <c r="T1917">
        <v>1.3</v>
      </c>
      <c r="U1917">
        <v>1.1000000000000001</v>
      </c>
    </row>
    <row r="1918" spans="1:21" x14ac:dyDescent="0.35">
      <c r="A1918">
        <v>702</v>
      </c>
      <c r="B1918" s="16">
        <v>40483</v>
      </c>
      <c r="C1918" s="15" t="s">
        <v>76</v>
      </c>
      <c r="D1918" s="15" t="s">
        <v>58</v>
      </c>
      <c r="E1918" s="15" t="s">
        <v>53</v>
      </c>
      <c r="F1918" s="15" t="s">
        <v>52</v>
      </c>
      <c r="G1918" s="15" t="s">
        <v>79</v>
      </c>
      <c r="H1918" s="15" t="s">
        <v>45</v>
      </c>
      <c r="I1918">
        <v>160</v>
      </c>
      <c r="J1918">
        <v>220</v>
      </c>
      <c r="K1918">
        <v>130</v>
      </c>
      <c r="L1918">
        <v>380</v>
      </c>
      <c r="M1918">
        <v>173</v>
      </c>
      <c r="N1918">
        <v>1150</v>
      </c>
      <c r="O1918">
        <v>239</v>
      </c>
      <c r="P1918">
        <v>57</v>
      </c>
      <c r="Q1918">
        <v>138</v>
      </c>
      <c r="R1918">
        <v>412</v>
      </c>
      <c r="S1918">
        <v>1.0842105263157895</v>
      </c>
      <c r="T1918">
        <v>1.0615384615384615</v>
      </c>
      <c r="U1918">
        <v>1.08125</v>
      </c>
    </row>
    <row r="1919" spans="1:21" x14ac:dyDescent="0.35">
      <c r="A1919">
        <v>702</v>
      </c>
      <c r="B1919" s="16">
        <v>40483</v>
      </c>
      <c r="C1919" s="15" t="s">
        <v>76</v>
      </c>
      <c r="D1919" s="15" t="s">
        <v>58</v>
      </c>
      <c r="E1919" s="15" t="s">
        <v>54</v>
      </c>
      <c r="F1919" s="15" t="s">
        <v>52</v>
      </c>
      <c r="G1919" s="15" t="s">
        <v>79</v>
      </c>
      <c r="H1919" s="15" t="s">
        <v>45</v>
      </c>
      <c r="I1919">
        <v>100</v>
      </c>
      <c r="J1919">
        <v>150</v>
      </c>
      <c r="K1919">
        <v>100</v>
      </c>
      <c r="L1919">
        <v>250</v>
      </c>
      <c r="M1919">
        <v>113</v>
      </c>
      <c r="N1919">
        <v>803</v>
      </c>
      <c r="O1919">
        <v>165</v>
      </c>
      <c r="P1919">
        <v>36</v>
      </c>
      <c r="Q1919">
        <v>107</v>
      </c>
      <c r="R1919">
        <v>278</v>
      </c>
      <c r="S1919">
        <v>1.1120000000000001</v>
      </c>
      <c r="T1919">
        <v>1.07</v>
      </c>
      <c r="U1919">
        <v>1.1299999999999999</v>
      </c>
    </row>
    <row r="1920" spans="1:21" x14ac:dyDescent="0.35">
      <c r="A1920">
        <v>702</v>
      </c>
      <c r="B1920" s="16">
        <v>40483</v>
      </c>
      <c r="C1920" s="15" t="s">
        <v>76</v>
      </c>
      <c r="D1920" s="15" t="s">
        <v>58</v>
      </c>
      <c r="E1920" s="15" t="s">
        <v>55</v>
      </c>
      <c r="F1920" s="15" t="s">
        <v>47</v>
      </c>
      <c r="G1920" s="15" t="s">
        <v>79</v>
      </c>
      <c r="H1920" s="15" t="s">
        <v>42</v>
      </c>
      <c r="I1920">
        <v>160</v>
      </c>
      <c r="J1920">
        <v>220</v>
      </c>
      <c r="K1920">
        <v>140</v>
      </c>
      <c r="L1920">
        <v>380</v>
      </c>
      <c r="M1920">
        <v>228</v>
      </c>
      <c r="N1920">
        <v>1691</v>
      </c>
      <c r="O1920">
        <v>304</v>
      </c>
      <c r="P1920">
        <v>75</v>
      </c>
      <c r="Q1920">
        <v>196</v>
      </c>
      <c r="R1920">
        <v>532</v>
      </c>
      <c r="S1920">
        <v>1.4</v>
      </c>
      <c r="T1920">
        <v>1.4</v>
      </c>
      <c r="U1920">
        <v>1.425</v>
      </c>
    </row>
    <row r="1921" spans="1:21" x14ac:dyDescent="0.35">
      <c r="A1921">
        <v>702</v>
      </c>
      <c r="B1921" s="16">
        <v>40483</v>
      </c>
      <c r="C1921" s="15" t="s">
        <v>76</v>
      </c>
      <c r="D1921" s="15" t="s">
        <v>58</v>
      </c>
      <c r="E1921" s="15" t="s">
        <v>56</v>
      </c>
      <c r="F1921" s="15" t="s">
        <v>47</v>
      </c>
      <c r="G1921" s="15" t="s">
        <v>79</v>
      </c>
      <c r="H1921" s="15" t="s">
        <v>42</v>
      </c>
      <c r="I1921">
        <v>150</v>
      </c>
      <c r="J1921">
        <v>150</v>
      </c>
      <c r="K1921">
        <v>80</v>
      </c>
      <c r="L1921">
        <v>300</v>
      </c>
      <c r="M1921">
        <v>211</v>
      </c>
      <c r="N1921">
        <v>1778</v>
      </c>
      <c r="O1921">
        <v>212</v>
      </c>
      <c r="P1921">
        <v>59</v>
      </c>
      <c r="Q1921">
        <v>128</v>
      </c>
      <c r="R1921">
        <v>423</v>
      </c>
      <c r="S1921">
        <v>1.41</v>
      </c>
      <c r="T1921">
        <v>1.6</v>
      </c>
      <c r="U1921">
        <v>1.4066666666666667</v>
      </c>
    </row>
    <row r="1922" spans="1:21" x14ac:dyDescent="0.35">
      <c r="A1922">
        <v>702</v>
      </c>
      <c r="B1922" s="16">
        <v>40483</v>
      </c>
      <c r="C1922" s="15" t="s">
        <v>76</v>
      </c>
      <c r="D1922" s="15" t="s">
        <v>58</v>
      </c>
      <c r="E1922" s="15" t="s">
        <v>46</v>
      </c>
      <c r="F1922" s="15" t="s">
        <v>47</v>
      </c>
      <c r="G1922" s="15" t="s">
        <v>79</v>
      </c>
      <c r="H1922" s="15" t="s">
        <v>42</v>
      </c>
      <c r="I1922">
        <v>180</v>
      </c>
      <c r="J1922">
        <v>-180</v>
      </c>
      <c r="K1922">
        <v>-280</v>
      </c>
      <c r="L1922">
        <v>0</v>
      </c>
      <c r="M1922">
        <v>245</v>
      </c>
      <c r="N1922">
        <v>7653</v>
      </c>
      <c r="O1922">
        <v>-245</v>
      </c>
      <c r="P1922">
        <v>93</v>
      </c>
      <c r="Q1922">
        <v>-340</v>
      </c>
      <c r="R1922">
        <v>32</v>
      </c>
      <c r="T1922">
        <v>1.2142857142857142</v>
      </c>
      <c r="U1922">
        <v>1.3611111111111112</v>
      </c>
    </row>
    <row r="1923" spans="1:21" x14ac:dyDescent="0.35">
      <c r="A1923">
        <v>775</v>
      </c>
      <c r="B1923" s="16">
        <v>40483</v>
      </c>
      <c r="C1923" s="15" t="s">
        <v>76</v>
      </c>
      <c r="D1923" s="15" t="s">
        <v>58</v>
      </c>
      <c r="E1923" s="15" t="s">
        <v>43</v>
      </c>
      <c r="F1923" s="15" t="s">
        <v>40</v>
      </c>
      <c r="G1923" s="15" t="s">
        <v>79</v>
      </c>
      <c r="H1923" s="15" t="s">
        <v>42</v>
      </c>
      <c r="I1923">
        <v>30</v>
      </c>
      <c r="J1923">
        <v>50</v>
      </c>
      <c r="K1923">
        <v>10</v>
      </c>
      <c r="L1923">
        <v>80</v>
      </c>
      <c r="M1923">
        <v>33</v>
      </c>
      <c r="N1923">
        <v>243</v>
      </c>
      <c r="O1923">
        <v>41</v>
      </c>
      <c r="P1923">
        <v>12</v>
      </c>
      <c r="Q1923">
        <v>-4</v>
      </c>
      <c r="R1923">
        <v>74</v>
      </c>
      <c r="S1923">
        <v>0.92500000000000004</v>
      </c>
      <c r="T1923">
        <v>-0.4</v>
      </c>
      <c r="U1923">
        <v>1.1000000000000001</v>
      </c>
    </row>
    <row r="1924" spans="1:21" x14ac:dyDescent="0.35">
      <c r="A1924">
        <v>775</v>
      </c>
      <c r="B1924" s="16">
        <v>40483</v>
      </c>
      <c r="C1924" s="15" t="s">
        <v>76</v>
      </c>
      <c r="D1924" s="15" t="s">
        <v>58</v>
      </c>
      <c r="E1924" s="15" t="s">
        <v>44</v>
      </c>
      <c r="F1924" s="15" t="s">
        <v>40</v>
      </c>
      <c r="G1924" s="15" t="s">
        <v>79</v>
      </c>
      <c r="H1924" s="15" t="s">
        <v>45</v>
      </c>
      <c r="I1924">
        <v>30</v>
      </c>
      <c r="J1924">
        <v>40</v>
      </c>
      <c r="K1924">
        <v>20</v>
      </c>
      <c r="L1924">
        <v>70</v>
      </c>
      <c r="M1924">
        <v>29</v>
      </c>
      <c r="N1924">
        <v>1003</v>
      </c>
      <c r="O1924">
        <v>35</v>
      </c>
      <c r="P1924">
        <v>8</v>
      </c>
      <c r="Q1924">
        <v>5</v>
      </c>
      <c r="R1924">
        <v>64</v>
      </c>
      <c r="S1924">
        <v>0.91428571428571426</v>
      </c>
      <c r="T1924">
        <v>0.25</v>
      </c>
      <c r="U1924">
        <v>0.96666666666666667</v>
      </c>
    </row>
    <row r="1925" spans="1:21" x14ac:dyDescent="0.35">
      <c r="A1925">
        <v>775</v>
      </c>
      <c r="B1925" s="16">
        <v>40483</v>
      </c>
      <c r="C1925" s="15" t="s">
        <v>76</v>
      </c>
      <c r="D1925" s="15" t="s">
        <v>58</v>
      </c>
      <c r="E1925" s="15" t="s">
        <v>72</v>
      </c>
      <c r="F1925" s="15" t="s">
        <v>49</v>
      </c>
      <c r="G1925" s="15" t="s">
        <v>79</v>
      </c>
      <c r="H1925" s="15" t="s">
        <v>42</v>
      </c>
      <c r="I1925">
        <v>0</v>
      </c>
      <c r="J1925">
        <v>40</v>
      </c>
      <c r="K1925">
        <v>30</v>
      </c>
      <c r="L1925">
        <v>40</v>
      </c>
      <c r="M1925">
        <v>0</v>
      </c>
      <c r="N1925">
        <v>387</v>
      </c>
      <c r="O1925">
        <v>43</v>
      </c>
      <c r="P1925">
        <v>0</v>
      </c>
      <c r="Q1925">
        <v>31</v>
      </c>
      <c r="R1925">
        <v>43</v>
      </c>
      <c r="S1925">
        <v>1.075</v>
      </c>
      <c r="T1925">
        <v>1.0333333333333334</v>
      </c>
    </row>
    <row r="1926" spans="1:21" x14ac:dyDescent="0.35">
      <c r="A1926">
        <v>775</v>
      </c>
      <c r="B1926" s="16">
        <v>40483</v>
      </c>
      <c r="C1926" s="15" t="s">
        <v>76</v>
      </c>
      <c r="D1926" s="15" t="s">
        <v>58</v>
      </c>
      <c r="E1926" s="15" t="s">
        <v>48</v>
      </c>
      <c r="F1926" s="15" t="s">
        <v>49</v>
      </c>
      <c r="G1926" s="15" t="s">
        <v>79</v>
      </c>
      <c r="H1926" s="15" t="s">
        <v>42</v>
      </c>
      <c r="I1926">
        <v>10</v>
      </c>
      <c r="J1926">
        <v>20</v>
      </c>
      <c r="K1926">
        <v>10</v>
      </c>
      <c r="L1926">
        <v>30</v>
      </c>
      <c r="M1926">
        <v>15</v>
      </c>
      <c r="N1926">
        <v>848</v>
      </c>
      <c r="O1926">
        <v>24</v>
      </c>
      <c r="P1926">
        <v>4</v>
      </c>
      <c r="Q1926">
        <v>9</v>
      </c>
      <c r="R1926">
        <v>39</v>
      </c>
      <c r="S1926">
        <v>1.3</v>
      </c>
      <c r="T1926">
        <v>0.9</v>
      </c>
      <c r="U1926">
        <v>1.5</v>
      </c>
    </row>
    <row r="1927" spans="1:21" x14ac:dyDescent="0.35">
      <c r="A1927">
        <v>775</v>
      </c>
      <c r="B1927" s="16">
        <v>40483</v>
      </c>
      <c r="C1927" s="15" t="s">
        <v>76</v>
      </c>
      <c r="D1927" s="15" t="s">
        <v>58</v>
      </c>
      <c r="E1927" s="15" t="s">
        <v>50</v>
      </c>
      <c r="F1927" s="15" t="s">
        <v>49</v>
      </c>
      <c r="G1927" s="15" t="s">
        <v>79</v>
      </c>
      <c r="H1927" s="15" t="s">
        <v>45</v>
      </c>
      <c r="I1927">
        <v>20</v>
      </c>
      <c r="J1927">
        <v>30</v>
      </c>
      <c r="K1927">
        <v>20</v>
      </c>
      <c r="L1927">
        <v>50</v>
      </c>
      <c r="M1927">
        <v>22</v>
      </c>
      <c r="N1927">
        <v>802</v>
      </c>
      <c r="O1927">
        <v>34</v>
      </c>
      <c r="P1927">
        <v>6</v>
      </c>
      <c r="Q1927">
        <v>17</v>
      </c>
      <c r="R1927">
        <v>56</v>
      </c>
      <c r="S1927">
        <v>1.1200000000000001</v>
      </c>
      <c r="T1927">
        <v>0.85</v>
      </c>
      <c r="U1927">
        <v>1.1000000000000001</v>
      </c>
    </row>
    <row r="1928" spans="1:21" x14ac:dyDescent="0.35">
      <c r="A1928">
        <v>503</v>
      </c>
      <c r="B1928" s="16">
        <v>40483</v>
      </c>
      <c r="C1928" s="15" t="s">
        <v>76</v>
      </c>
      <c r="D1928" s="15" t="s">
        <v>58</v>
      </c>
      <c r="E1928" s="15" t="s">
        <v>51</v>
      </c>
      <c r="F1928" s="15" t="s">
        <v>52</v>
      </c>
      <c r="G1928" s="15" t="s">
        <v>80</v>
      </c>
      <c r="H1928" s="15" t="s">
        <v>45</v>
      </c>
      <c r="I1928">
        <v>20</v>
      </c>
      <c r="J1928">
        <v>30</v>
      </c>
      <c r="K1928">
        <v>20</v>
      </c>
      <c r="L1928">
        <v>50</v>
      </c>
      <c r="M1928">
        <v>25</v>
      </c>
      <c r="N1928">
        <v>823</v>
      </c>
      <c r="O1928">
        <v>38</v>
      </c>
      <c r="P1928">
        <v>7</v>
      </c>
      <c r="Q1928">
        <v>19</v>
      </c>
      <c r="R1928">
        <v>63</v>
      </c>
      <c r="S1928">
        <v>1.26</v>
      </c>
      <c r="T1928">
        <v>0.95</v>
      </c>
      <c r="U1928">
        <v>1.25</v>
      </c>
    </row>
    <row r="1929" spans="1:21" x14ac:dyDescent="0.35">
      <c r="A1929">
        <v>971</v>
      </c>
      <c r="B1929" s="16">
        <v>40483</v>
      </c>
      <c r="C1929" s="15" t="s">
        <v>76</v>
      </c>
      <c r="D1929" s="15" t="s">
        <v>58</v>
      </c>
      <c r="E1929" s="15" t="s">
        <v>53</v>
      </c>
      <c r="F1929" s="15" t="s">
        <v>52</v>
      </c>
      <c r="G1929" s="15" t="s">
        <v>80</v>
      </c>
      <c r="H1929" s="15" t="s">
        <v>45</v>
      </c>
      <c r="I1929">
        <v>80</v>
      </c>
      <c r="J1929">
        <v>100</v>
      </c>
      <c r="K1929">
        <v>70</v>
      </c>
      <c r="L1929">
        <v>180</v>
      </c>
      <c r="M1929">
        <v>88</v>
      </c>
      <c r="N1929">
        <v>561</v>
      </c>
      <c r="O1929">
        <v>112</v>
      </c>
      <c r="P1929">
        <v>29</v>
      </c>
      <c r="Q1929">
        <v>70</v>
      </c>
      <c r="R1929">
        <v>200</v>
      </c>
      <c r="S1929">
        <v>1.1111111111111112</v>
      </c>
      <c r="T1929">
        <v>1</v>
      </c>
      <c r="U1929">
        <v>1.1000000000000001</v>
      </c>
    </row>
    <row r="1930" spans="1:21" x14ac:dyDescent="0.35">
      <c r="A1930">
        <v>541</v>
      </c>
      <c r="B1930" s="16">
        <v>40483</v>
      </c>
      <c r="C1930" s="15" t="s">
        <v>76</v>
      </c>
      <c r="D1930" s="15" t="s">
        <v>58</v>
      </c>
      <c r="E1930" s="15" t="s">
        <v>55</v>
      </c>
      <c r="F1930" s="15" t="s">
        <v>47</v>
      </c>
      <c r="G1930" s="15" t="s">
        <v>80</v>
      </c>
      <c r="H1930" s="15" t="s">
        <v>42</v>
      </c>
      <c r="I1930">
        <v>20</v>
      </c>
      <c r="J1930">
        <v>30</v>
      </c>
      <c r="K1930">
        <v>30</v>
      </c>
      <c r="L1930">
        <v>50</v>
      </c>
      <c r="M1930">
        <v>32</v>
      </c>
      <c r="N1930">
        <v>482</v>
      </c>
      <c r="O1930">
        <v>48</v>
      </c>
      <c r="P1930">
        <v>8</v>
      </c>
      <c r="Q1930">
        <v>28</v>
      </c>
      <c r="R1930">
        <v>80</v>
      </c>
      <c r="S1930">
        <v>1.6</v>
      </c>
      <c r="T1930">
        <v>0.93333333333333335</v>
      </c>
      <c r="U1930">
        <v>1.6</v>
      </c>
    </row>
    <row r="1931" spans="1:21" x14ac:dyDescent="0.35">
      <c r="A1931">
        <v>971</v>
      </c>
      <c r="B1931" s="16">
        <v>40483</v>
      </c>
      <c r="C1931" s="15" t="s">
        <v>76</v>
      </c>
      <c r="D1931" s="15" t="s">
        <v>58</v>
      </c>
      <c r="E1931" s="15" t="s">
        <v>56</v>
      </c>
      <c r="F1931" s="15" t="s">
        <v>47</v>
      </c>
      <c r="G1931" s="15" t="s">
        <v>80</v>
      </c>
      <c r="H1931" s="15" t="s">
        <v>42</v>
      </c>
      <c r="I1931">
        <v>50</v>
      </c>
      <c r="J1931">
        <v>90</v>
      </c>
      <c r="K1931">
        <v>50</v>
      </c>
      <c r="L1931">
        <v>140</v>
      </c>
      <c r="M1931">
        <v>78</v>
      </c>
      <c r="N1931">
        <v>798</v>
      </c>
      <c r="O1931">
        <v>119</v>
      </c>
      <c r="P1931">
        <v>25</v>
      </c>
      <c r="Q1931">
        <v>62</v>
      </c>
      <c r="R1931">
        <v>197</v>
      </c>
      <c r="S1931">
        <v>1.4071428571428573</v>
      </c>
      <c r="T1931">
        <v>1.24</v>
      </c>
      <c r="U1931">
        <v>1.56</v>
      </c>
    </row>
    <row r="1932" spans="1:21" x14ac:dyDescent="0.35">
      <c r="A1932">
        <v>971</v>
      </c>
      <c r="B1932" s="16">
        <v>40483</v>
      </c>
      <c r="C1932" s="15" t="s">
        <v>76</v>
      </c>
      <c r="D1932" s="15" t="s">
        <v>58</v>
      </c>
      <c r="E1932" s="15" t="s">
        <v>46</v>
      </c>
      <c r="F1932" s="15" t="s">
        <v>47</v>
      </c>
      <c r="G1932" s="15" t="s">
        <v>80</v>
      </c>
      <c r="H1932" s="15" t="s">
        <v>42</v>
      </c>
      <c r="I1932">
        <v>70</v>
      </c>
      <c r="J1932">
        <v>100</v>
      </c>
      <c r="K1932">
        <v>70</v>
      </c>
      <c r="L1932">
        <v>170</v>
      </c>
      <c r="M1932">
        <v>102</v>
      </c>
      <c r="N1932">
        <v>666</v>
      </c>
      <c r="O1932">
        <v>143</v>
      </c>
      <c r="P1932">
        <v>31</v>
      </c>
      <c r="Q1932">
        <v>89</v>
      </c>
      <c r="R1932">
        <v>245</v>
      </c>
      <c r="S1932">
        <v>1.4411764705882353</v>
      </c>
      <c r="T1932">
        <v>1.2714285714285714</v>
      </c>
      <c r="U1932">
        <v>1.4571428571428571</v>
      </c>
    </row>
    <row r="1933" spans="1:21" x14ac:dyDescent="0.35">
      <c r="A1933">
        <v>541</v>
      </c>
      <c r="B1933" s="16">
        <v>40483</v>
      </c>
      <c r="C1933" s="15" t="s">
        <v>76</v>
      </c>
      <c r="D1933" s="15" t="s">
        <v>58</v>
      </c>
      <c r="E1933" s="15" t="s">
        <v>39</v>
      </c>
      <c r="F1933" s="15" t="s">
        <v>40</v>
      </c>
      <c r="G1933" s="15" t="s">
        <v>80</v>
      </c>
      <c r="H1933" s="15" t="s">
        <v>42</v>
      </c>
      <c r="I1933">
        <v>60</v>
      </c>
      <c r="J1933">
        <v>80</v>
      </c>
      <c r="K1933">
        <v>10</v>
      </c>
      <c r="L1933">
        <v>140</v>
      </c>
      <c r="M1933">
        <v>52</v>
      </c>
      <c r="N1933">
        <v>509</v>
      </c>
      <c r="O1933">
        <v>73</v>
      </c>
      <c r="P1933">
        <v>47</v>
      </c>
      <c r="Q1933">
        <v>-4</v>
      </c>
      <c r="R1933">
        <v>125</v>
      </c>
      <c r="S1933">
        <v>0.8928571428571429</v>
      </c>
      <c r="T1933">
        <v>-0.4</v>
      </c>
      <c r="U1933">
        <v>0.8666666666666667</v>
      </c>
    </row>
    <row r="1934" spans="1:21" x14ac:dyDescent="0.35">
      <c r="A1934">
        <v>971</v>
      </c>
      <c r="B1934" s="16">
        <v>40483</v>
      </c>
      <c r="C1934" s="15" t="s">
        <v>76</v>
      </c>
      <c r="D1934" s="15" t="s">
        <v>58</v>
      </c>
      <c r="E1934" s="15" t="s">
        <v>43</v>
      </c>
      <c r="F1934" s="15" t="s">
        <v>40</v>
      </c>
      <c r="G1934" s="15" t="s">
        <v>80</v>
      </c>
      <c r="H1934" s="15" t="s">
        <v>42</v>
      </c>
      <c r="I1934">
        <v>60</v>
      </c>
      <c r="J1934">
        <v>90</v>
      </c>
      <c r="K1934">
        <v>40</v>
      </c>
      <c r="L1934">
        <v>150</v>
      </c>
      <c r="M1934">
        <v>53</v>
      </c>
      <c r="N1934">
        <v>470</v>
      </c>
      <c r="O1934">
        <v>75</v>
      </c>
      <c r="P1934">
        <v>17</v>
      </c>
      <c r="Q1934">
        <v>14</v>
      </c>
      <c r="R1934">
        <v>128</v>
      </c>
      <c r="S1934">
        <v>0.85333333333333339</v>
      </c>
      <c r="T1934">
        <v>0.35</v>
      </c>
      <c r="U1934">
        <v>0.8833333333333333</v>
      </c>
    </row>
    <row r="1935" spans="1:21" x14ac:dyDescent="0.35">
      <c r="A1935">
        <v>503</v>
      </c>
      <c r="B1935" s="16">
        <v>40483</v>
      </c>
      <c r="C1935" s="15" t="s">
        <v>76</v>
      </c>
      <c r="D1935" s="15" t="s">
        <v>58</v>
      </c>
      <c r="E1935" s="15" t="s">
        <v>44</v>
      </c>
      <c r="F1935" s="15" t="s">
        <v>40</v>
      </c>
      <c r="G1935" s="15" t="s">
        <v>80</v>
      </c>
      <c r="H1935" s="15" t="s">
        <v>45</v>
      </c>
      <c r="I1935">
        <v>50</v>
      </c>
      <c r="J1935">
        <v>80</v>
      </c>
      <c r="K1935">
        <v>50</v>
      </c>
      <c r="L1935">
        <v>130</v>
      </c>
      <c r="M1935">
        <v>46</v>
      </c>
      <c r="N1935">
        <v>424</v>
      </c>
      <c r="O1935">
        <v>68</v>
      </c>
      <c r="P1935">
        <v>14</v>
      </c>
      <c r="Q1935">
        <v>32</v>
      </c>
      <c r="R1935">
        <v>114</v>
      </c>
      <c r="S1935">
        <v>0.87692307692307692</v>
      </c>
      <c r="T1935">
        <v>0.64</v>
      </c>
      <c r="U1935">
        <v>0.92</v>
      </c>
    </row>
    <row r="1936" spans="1:21" x14ac:dyDescent="0.35">
      <c r="A1936">
        <v>541</v>
      </c>
      <c r="B1936" s="16">
        <v>40483</v>
      </c>
      <c r="C1936" s="15" t="s">
        <v>76</v>
      </c>
      <c r="D1936" s="15" t="s">
        <v>58</v>
      </c>
      <c r="E1936" s="15" t="s">
        <v>72</v>
      </c>
      <c r="F1936" s="15" t="s">
        <v>49</v>
      </c>
      <c r="G1936" s="15" t="s">
        <v>80</v>
      </c>
      <c r="H1936" s="15" t="s">
        <v>42</v>
      </c>
      <c r="I1936">
        <v>50</v>
      </c>
      <c r="J1936">
        <v>70</v>
      </c>
      <c r="K1936">
        <v>30</v>
      </c>
      <c r="L1936">
        <v>120</v>
      </c>
      <c r="M1936">
        <v>55</v>
      </c>
      <c r="N1936">
        <v>410</v>
      </c>
      <c r="O1936">
        <v>69</v>
      </c>
      <c r="P1936">
        <v>20</v>
      </c>
      <c r="Q1936">
        <v>16</v>
      </c>
      <c r="R1936">
        <v>124</v>
      </c>
      <c r="S1936">
        <v>1.0333333333333334</v>
      </c>
      <c r="T1936">
        <v>0.53333333333333333</v>
      </c>
      <c r="U1936">
        <v>1.1000000000000001</v>
      </c>
    </row>
    <row r="1937" spans="1:21" x14ac:dyDescent="0.35">
      <c r="A1937">
        <v>503</v>
      </c>
      <c r="B1937" s="16">
        <v>40483</v>
      </c>
      <c r="C1937" s="15" t="s">
        <v>76</v>
      </c>
      <c r="D1937" s="15" t="s">
        <v>58</v>
      </c>
      <c r="E1937" s="15" t="s">
        <v>48</v>
      </c>
      <c r="F1937" s="15" t="s">
        <v>49</v>
      </c>
      <c r="G1937" s="15" t="s">
        <v>80</v>
      </c>
      <c r="H1937" s="15" t="s">
        <v>42</v>
      </c>
      <c r="I1937">
        <v>50</v>
      </c>
      <c r="J1937">
        <v>80</v>
      </c>
      <c r="K1937">
        <v>50</v>
      </c>
      <c r="L1937">
        <v>130</v>
      </c>
      <c r="M1937">
        <v>59</v>
      </c>
      <c r="N1937">
        <v>411</v>
      </c>
      <c r="O1937">
        <v>79</v>
      </c>
      <c r="P1937">
        <v>19</v>
      </c>
      <c r="Q1937">
        <v>33</v>
      </c>
      <c r="R1937">
        <v>138</v>
      </c>
      <c r="S1937">
        <v>1.0615384615384615</v>
      </c>
      <c r="T1937">
        <v>0.66</v>
      </c>
      <c r="U1937">
        <v>1.18</v>
      </c>
    </row>
    <row r="1938" spans="1:21" x14ac:dyDescent="0.35">
      <c r="A1938">
        <v>503</v>
      </c>
      <c r="B1938" s="16">
        <v>40483</v>
      </c>
      <c r="C1938" s="15" t="s">
        <v>76</v>
      </c>
      <c r="D1938" s="15" t="s">
        <v>58</v>
      </c>
      <c r="E1938" s="15" t="s">
        <v>50</v>
      </c>
      <c r="F1938" s="15" t="s">
        <v>49</v>
      </c>
      <c r="G1938" s="15" t="s">
        <v>80</v>
      </c>
      <c r="H1938" s="15" t="s">
        <v>45</v>
      </c>
      <c r="I1938">
        <v>170</v>
      </c>
      <c r="J1938">
        <v>180</v>
      </c>
      <c r="K1938">
        <v>120</v>
      </c>
      <c r="L1938">
        <v>350</v>
      </c>
      <c r="M1938">
        <v>181</v>
      </c>
      <c r="N1938">
        <v>1283</v>
      </c>
      <c r="O1938">
        <v>182</v>
      </c>
      <c r="P1938">
        <v>50</v>
      </c>
      <c r="Q1938">
        <v>108</v>
      </c>
      <c r="R1938">
        <v>363</v>
      </c>
      <c r="S1938">
        <v>1.0371428571428571</v>
      </c>
      <c r="T1938">
        <v>0.9</v>
      </c>
      <c r="U1938">
        <v>1.0647058823529412</v>
      </c>
    </row>
    <row r="1939" spans="1:21" x14ac:dyDescent="0.35">
      <c r="A1939">
        <v>206</v>
      </c>
      <c r="B1939" s="16">
        <v>40483</v>
      </c>
      <c r="C1939" s="15" t="s">
        <v>76</v>
      </c>
      <c r="D1939" s="15" t="s">
        <v>58</v>
      </c>
      <c r="E1939" s="15" t="s">
        <v>51</v>
      </c>
      <c r="F1939" s="15" t="s">
        <v>52</v>
      </c>
      <c r="G1939" s="15" t="s">
        <v>81</v>
      </c>
      <c r="H1939" s="15" t="s">
        <v>45</v>
      </c>
      <c r="I1939">
        <v>120</v>
      </c>
      <c r="J1939">
        <v>180</v>
      </c>
      <c r="K1939">
        <v>120</v>
      </c>
      <c r="L1939">
        <v>300</v>
      </c>
      <c r="M1939">
        <v>130</v>
      </c>
      <c r="N1939">
        <v>1134</v>
      </c>
      <c r="O1939">
        <v>195</v>
      </c>
      <c r="P1939">
        <v>42</v>
      </c>
      <c r="Q1939">
        <v>122</v>
      </c>
      <c r="R1939">
        <v>325</v>
      </c>
      <c r="S1939">
        <v>1.0833333333333333</v>
      </c>
      <c r="T1939">
        <v>1.0166666666666666</v>
      </c>
      <c r="U1939">
        <v>1.0833333333333333</v>
      </c>
    </row>
    <row r="1940" spans="1:21" x14ac:dyDescent="0.35">
      <c r="A1940">
        <v>509</v>
      </c>
      <c r="B1940" s="16">
        <v>40483</v>
      </c>
      <c r="C1940" s="15" t="s">
        <v>76</v>
      </c>
      <c r="D1940" s="15" t="s">
        <v>58</v>
      </c>
      <c r="E1940" s="15" t="s">
        <v>53</v>
      </c>
      <c r="F1940" s="15" t="s">
        <v>52</v>
      </c>
      <c r="G1940" s="15" t="s">
        <v>81</v>
      </c>
      <c r="H1940" s="15" t="s">
        <v>45</v>
      </c>
      <c r="I1940">
        <v>40</v>
      </c>
      <c r="J1940">
        <v>60</v>
      </c>
      <c r="K1940">
        <v>40</v>
      </c>
      <c r="L1940">
        <v>100</v>
      </c>
      <c r="M1940">
        <v>47</v>
      </c>
      <c r="N1940">
        <v>834</v>
      </c>
      <c r="O1940">
        <v>68</v>
      </c>
      <c r="P1940">
        <v>13</v>
      </c>
      <c r="Q1940">
        <v>44</v>
      </c>
      <c r="R1940">
        <v>115</v>
      </c>
      <c r="S1940">
        <v>1.1499999999999999</v>
      </c>
      <c r="T1940">
        <v>1.1000000000000001</v>
      </c>
      <c r="U1940">
        <v>1.175</v>
      </c>
    </row>
    <row r="1941" spans="1:21" x14ac:dyDescent="0.35">
      <c r="A1941">
        <v>425</v>
      </c>
      <c r="B1941" s="16">
        <v>40483</v>
      </c>
      <c r="C1941" s="15" t="s">
        <v>76</v>
      </c>
      <c r="D1941" s="15" t="s">
        <v>58</v>
      </c>
      <c r="E1941" s="15" t="s">
        <v>55</v>
      </c>
      <c r="F1941" s="15" t="s">
        <v>47</v>
      </c>
      <c r="G1941" s="15" t="s">
        <v>81</v>
      </c>
      <c r="H1941" s="15" t="s">
        <v>42</v>
      </c>
      <c r="I1941">
        <v>30</v>
      </c>
      <c r="J1941">
        <v>70</v>
      </c>
      <c r="K1941">
        <v>50</v>
      </c>
      <c r="L1941">
        <v>100</v>
      </c>
      <c r="M1941">
        <v>53</v>
      </c>
      <c r="N1941">
        <v>321</v>
      </c>
      <c r="O1941">
        <v>88</v>
      </c>
      <c r="P1941">
        <v>16</v>
      </c>
      <c r="Q1941">
        <v>49</v>
      </c>
      <c r="R1941">
        <v>141</v>
      </c>
      <c r="S1941">
        <v>1.41</v>
      </c>
      <c r="T1941">
        <v>0.98</v>
      </c>
      <c r="U1941">
        <v>1.7666666666666666</v>
      </c>
    </row>
    <row r="1942" spans="1:21" x14ac:dyDescent="0.35">
      <c r="A1942">
        <v>206</v>
      </c>
      <c r="B1942" s="16">
        <v>40483</v>
      </c>
      <c r="C1942" s="15" t="s">
        <v>76</v>
      </c>
      <c r="D1942" s="15" t="s">
        <v>58</v>
      </c>
      <c r="E1942" s="15" t="s">
        <v>56</v>
      </c>
      <c r="F1942" s="15" t="s">
        <v>47</v>
      </c>
      <c r="G1942" s="15" t="s">
        <v>81</v>
      </c>
      <c r="H1942" s="15" t="s">
        <v>42</v>
      </c>
      <c r="I1942">
        <v>30</v>
      </c>
      <c r="J1942">
        <v>50</v>
      </c>
      <c r="K1942">
        <v>30</v>
      </c>
      <c r="L1942">
        <v>80</v>
      </c>
      <c r="M1942">
        <v>49</v>
      </c>
      <c r="N1942">
        <v>454</v>
      </c>
      <c r="O1942">
        <v>71</v>
      </c>
      <c r="P1942">
        <v>15</v>
      </c>
      <c r="Q1942">
        <v>34</v>
      </c>
      <c r="R1942">
        <v>120</v>
      </c>
      <c r="S1942">
        <v>1.5</v>
      </c>
      <c r="T1942">
        <v>1.1333333333333333</v>
      </c>
      <c r="U1942">
        <v>1.6333333333333333</v>
      </c>
    </row>
    <row r="1943" spans="1:21" x14ac:dyDescent="0.35">
      <c r="A1943">
        <v>206</v>
      </c>
      <c r="B1943" s="16">
        <v>40483</v>
      </c>
      <c r="C1943" s="15" t="s">
        <v>76</v>
      </c>
      <c r="D1943" s="15" t="s">
        <v>58</v>
      </c>
      <c r="E1943" s="15" t="s">
        <v>46</v>
      </c>
      <c r="F1943" s="15" t="s">
        <v>47</v>
      </c>
      <c r="G1943" s="15" t="s">
        <v>81</v>
      </c>
      <c r="H1943" s="15" t="s">
        <v>42</v>
      </c>
      <c r="I1943">
        <v>40</v>
      </c>
      <c r="J1943">
        <v>60</v>
      </c>
      <c r="K1943">
        <v>0</v>
      </c>
      <c r="L1943">
        <v>100</v>
      </c>
      <c r="M1943">
        <v>61</v>
      </c>
      <c r="N1943">
        <v>613</v>
      </c>
      <c r="O1943">
        <v>86</v>
      </c>
      <c r="P1943">
        <v>55</v>
      </c>
      <c r="Q1943">
        <v>1</v>
      </c>
      <c r="R1943">
        <v>147</v>
      </c>
      <c r="S1943">
        <v>1.47</v>
      </c>
      <c r="U1943">
        <v>1.5249999999999999</v>
      </c>
    </row>
    <row r="1944" spans="1:21" x14ac:dyDescent="0.35">
      <c r="A1944">
        <v>425</v>
      </c>
      <c r="B1944" s="16">
        <v>40483</v>
      </c>
      <c r="C1944" s="15" t="s">
        <v>76</v>
      </c>
      <c r="D1944" s="15" t="s">
        <v>58</v>
      </c>
      <c r="E1944" s="15" t="s">
        <v>43</v>
      </c>
      <c r="F1944" s="15" t="s">
        <v>40</v>
      </c>
      <c r="G1944" s="15" t="s">
        <v>81</v>
      </c>
      <c r="H1944" s="15" t="s">
        <v>42</v>
      </c>
      <c r="I1944">
        <v>70</v>
      </c>
      <c r="J1944">
        <v>110</v>
      </c>
      <c r="K1944">
        <v>70</v>
      </c>
      <c r="L1944">
        <v>180</v>
      </c>
      <c r="M1944">
        <v>63</v>
      </c>
      <c r="N1944">
        <v>446</v>
      </c>
      <c r="O1944">
        <v>93</v>
      </c>
      <c r="P1944">
        <v>20</v>
      </c>
      <c r="Q1944">
        <v>50</v>
      </c>
      <c r="R1944">
        <v>156</v>
      </c>
      <c r="S1944">
        <v>0.8666666666666667</v>
      </c>
      <c r="T1944">
        <v>0.7142857142857143</v>
      </c>
      <c r="U1944">
        <v>0.9</v>
      </c>
    </row>
    <row r="1945" spans="1:21" x14ac:dyDescent="0.35">
      <c r="A1945">
        <v>253</v>
      </c>
      <c r="B1945" s="16">
        <v>40483</v>
      </c>
      <c r="C1945" s="15" t="s">
        <v>76</v>
      </c>
      <c r="D1945" s="15" t="s">
        <v>58</v>
      </c>
      <c r="E1945" s="15" t="s">
        <v>44</v>
      </c>
      <c r="F1945" s="15" t="s">
        <v>40</v>
      </c>
      <c r="G1945" s="15" t="s">
        <v>81</v>
      </c>
      <c r="H1945" s="15" t="s">
        <v>45</v>
      </c>
      <c r="I1945">
        <v>110</v>
      </c>
      <c r="J1945">
        <v>150</v>
      </c>
      <c r="K1945">
        <v>40</v>
      </c>
      <c r="L1945">
        <v>260</v>
      </c>
      <c r="M1945">
        <v>94</v>
      </c>
      <c r="N1945">
        <v>694</v>
      </c>
      <c r="O1945">
        <v>130</v>
      </c>
      <c r="P1945">
        <v>85</v>
      </c>
      <c r="Q1945">
        <v>16</v>
      </c>
      <c r="R1945">
        <v>224</v>
      </c>
      <c r="S1945">
        <v>0.86153846153846159</v>
      </c>
      <c r="T1945">
        <v>0.4</v>
      </c>
      <c r="U1945">
        <v>0.8545454545454545</v>
      </c>
    </row>
    <row r="1946" spans="1:21" x14ac:dyDescent="0.35">
      <c r="A1946">
        <v>253</v>
      </c>
      <c r="B1946" s="16">
        <v>40483</v>
      </c>
      <c r="C1946" s="15" t="s">
        <v>76</v>
      </c>
      <c r="D1946" s="15" t="s">
        <v>58</v>
      </c>
      <c r="E1946" s="15" t="s">
        <v>72</v>
      </c>
      <c r="F1946" s="15" t="s">
        <v>49</v>
      </c>
      <c r="G1946" s="15" t="s">
        <v>81</v>
      </c>
      <c r="H1946" s="15" t="s">
        <v>42</v>
      </c>
      <c r="I1946">
        <v>20</v>
      </c>
      <c r="J1946">
        <v>30</v>
      </c>
      <c r="K1946">
        <v>20</v>
      </c>
      <c r="L1946">
        <v>50</v>
      </c>
      <c r="M1946">
        <v>22</v>
      </c>
      <c r="N1946">
        <v>570</v>
      </c>
      <c r="O1946">
        <v>30</v>
      </c>
      <c r="P1946">
        <v>7</v>
      </c>
      <c r="Q1946">
        <v>11</v>
      </c>
      <c r="R1946">
        <v>52</v>
      </c>
      <c r="S1946">
        <v>1.04</v>
      </c>
      <c r="T1946">
        <v>0.55000000000000004</v>
      </c>
      <c r="U1946">
        <v>1.1000000000000001</v>
      </c>
    </row>
    <row r="1947" spans="1:21" x14ac:dyDescent="0.35">
      <c r="A1947">
        <v>425</v>
      </c>
      <c r="B1947" s="16">
        <v>40483</v>
      </c>
      <c r="C1947" s="15" t="s">
        <v>76</v>
      </c>
      <c r="D1947" s="15" t="s">
        <v>58</v>
      </c>
      <c r="E1947" s="15" t="s">
        <v>48</v>
      </c>
      <c r="F1947" s="15" t="s">
        <v>49</v>
      </c>
      <c r="G1947" s="15" t="s">
        <v>81</v>
      </c>
      <c r="H1947" s="15" t="s">
        <v>42</v>
      </c>
      <c r="I1947">
        <v>50</v>
      </c>
      <c r="J1947">
        <v>60</v>
      </c>
      <c r="K1947">
        <v>20</v>
      </c>
      <c r="L1947">
        <v>110</v>
      </c>
      <c r="M1947">
        <v>54</v>
      </c>
      <c r="N1947">
        <v>391</v>
      </c>
      <c r="O1947">
        <v>67</v>
      </c>
      <c r="P1947">
        <v>20</v>
      </c>
      <c r="Q1947">
        <v>13</v>
      </c>
      <c r="R1947">
        <v>121</v>
      </c>
      <c r="S1947">
        <v>1.1000000000000001</v>
      </c>
      <c r="T1947">
        <v>0.65</v>
      </c>
      <c r="U1947">
        <v>1.08</v>
      </c>
    </row>
    <row r="1948" spans="1:21" x14ac:dyDescent="0.35">
      <c r="A1948">
        <v>206</v>
      </c>
      <c r="B1948" s="16">
        <v>40483</v>
      </c>
      <c r="C1948" s="15" t="s">
        <v>76</v>
      </c>
      <c r="D1948" s="15" t="s">
        <v>58</v>
      </c>
      <c r="E1948" s="15" t="s">
        <v>50</v>
      </c>
      <c r="F1948" s="15" t="s">
        <v>49</v>
      </c>
      <c r="G1948" s="15" t="s">
        <v>81</v>
      </c>
      <c r="H1948" s="15" t="s">
        <v>45</v>
      </c>
      <c r="I1948">
        <v>70</v>
      </c>
      <c r="J1948">
        <v>80</v>
      </c>
      <c r="K1948">
        <v>40</v>
      </c>
      <c r="L1948">
        <v>150</v>
      </c>
      <c r="M1948">
        <v>75</v>
      </c>
      <c r="N1948">
        <v>1063</v>
      </c>
      <c r="O1948">
        <v>89</v>
      </c>
      <c r="P1948">
        <v>23</v>
      </c>
      <c r="Q1948">
        <v>45</v>
      </c>
      <c r="R1948">
        <v>164</v>
      </c>
      <c r="S1948">
        <v>1.0933333333333333</v>
      </c>
      <c r="T1948">
        <v>1.125</v>
      </c>
      <c r="U1948">
        <v>1.0714285714285714</v>
      </c>
    </row>
    <row r="1949" spans="1:21" x14ac:dyDescent="0.35">
      <c r="A1949">
        <v>303</v>
      </c>
      <c r="B1949" s="16">
        <v>40513</v>
      </c>
      <c r="C1949" s="15" t="s">
        <v>37</v>
      </c>
      <c r="D1949" s="15" t="s">
        <v>38</v>
      </c>
      <c r="E1949" s="15" t="s">
        <v>55</v>
      </c>
      <c r="F1949" s="15" t="s">
        <v>47</v>
      </c>
      <c r="G1949" s="15" t="s">
        <v>41</v>
      </c>
      <c r="H1949" s="15" t="s">
        <v>42</v>
      </c>
      <c r="I1949">
        <v>30</v>
      </c>
      <c r="J1949">
        <v>50</v>
      </c>
      <c r="K1949">
        <v>10</v>
      </c>
      <c r="L1949">
        <v>80</v>
      </c>
      <c r="M1949">
        <v>46</v>
      </c>
      <c r="N1949">
        <v>422</v>
      </c>
      <c r="O1949">
        <v>57</v>
      </c>
      <c r="P1949">
        <v>17</v>
      </c>
      <c r="Q1949">
        <v>6</v>
      </c>
      <c r="R1949">
        <v>103</v>
      </c>
      <c r="S1949">
        <v>1.2875000000000001</v>
      </c>
      <c r="T1949">
        <v>0.6</v>
      </c>
      <c r="U1949">
        <v>1.5333333333333334</v>
      </c>
    </row>
    <row r="1950" spans="1:21" x14ac:dyDescent="0.35">
      <c r="A1950">
        <v>303</v>
      </c>
      <c r="B1950" s="16">
        <v>40513</v>
      </c>
      <c r="C1950" s="15" t="s">
        <v>37</v>
      </c>
      <c r="D1950" s="15" t="s">
        <v>38</v>
      </c>
      <c r="E1950" s="15" t="s">
        <v>56</v>
      </c>
      <c r="F1950" s="15" t="s">
        <v>47</v>
      </c>
      <c r="G1950" s="15" t="s">
        <v>41</v>
      </c>
      <c r="H1950" s="15" t="s">
        <v>42</v>
      </c>
      <c r="I1950">
        <v>40</v>
      </c>
      <c r="J1950">
        <v>50</v>
      </c>
      <c r="K1950">
        <v>20</v>
      </c>
      <c r="L1950">
        <v>90</v>
      </c>
      <c r="M1950">
        <v>53</v>
      </c>
      <c r="N1950">
        <v>1054</v>
      </c>
      <c r="O1950">
        <v>63</v>
      </c>
      <c r="P1950">
        <v>16</v>
      </c>
      <c r="Q1950">
        <v>26</v>
      </c>
      <c r="R1950">
        <v>116</v>
      </c>
      <c r="S1950">
        <v>1.288888888888889</v>
      </c>
      <c r="T1950">
        <v>1.3</v>
      </c>
      <c r="U1950">
        <v>1.325</v>
      </c>
    </row>
    <row r="1951" spans="1:21" x14ac:dyDescent="0.35">
      <c r="A1951">
        <v>719</v>
      </c>
      <c r="B1951" s="16">
        <v>40513</v>
      </c>
      <c r="C1951" s="15" t="s">
        <v>37</v>
      </c>
      <c r="D1951" s="15" t="s">
        <v>38</v>
      </c>
      <c r="E1951" s="15" t="s">
        <v>46</v>
      </c>
      <c r="F1951" s="15" t="s">
        <v>47</v>
      </c>
      <c r="G1951" s="15" t="s">
        <v>41</v>
      </c>
      <c r="H1951" s="15" t="s">
        <v>42</v>
      </c>
      <c r="I1951">
        <v>60</v>
      </c>
      <c r="J1951">
        <v>90</v>
      </c>
      <c r="K1951">
        <v>60</v>
      </c>
      <c r="L1951">
        <v>150</v>
      </c>
      <c r="M1951">
        <v>81</v>
      </c>
      <c r="N1951">
        <v>551</v>
      </c>
      <c r="O1951">
        <v>104</v>
      </c>
      <c r="P1951">
        <v>26</v>
      </c>
      <c r="Q1951">
        <v>66</v>
      </c>
      <c r="R1951">
        <v>185</v>
      </c>
      <c r="S1951">
        <v>1.2333333333333334</v>
      </c>
      <c r="T1951">
        <v>1.1000000000000001</v>
      </c>
      <c r="U1951">
        <v>1.35</v>
      </c>
    </row>
    <row r="1952" spans="1:21" x14ac:dyDescent="0.35">
      <c r="A1952">
        <v>303</v>
      </c>
      <c r="B1952" s="16">
        <v>40513</v>
      </c>
      <c r="C1952" s="15" t="s">
        <v>37</v>
      </c>
      <c r="D1952" s="15" t="s">
        <v>38</v>
      </c>
      <c r="E1952" s="15" t="s">
        <v>51</v>
      </c>
      <c r="F1952" s="15" t="s">
        <v>52</v>
      </c>
      <c r="G1952" s="15" t="s">
        <v>41</v>
      </c>
      <c r="H1952" s="15" t="s">
        <v>45</v>
      </c>
      <c r="I1952">
        <v>140</v>
      </c>
      <c r="J1952">
        <v>140</v>
      </c>
      <c r="K1952">
        <v>80</v>
      </c>
      <c r="L1952">
        <v>280</v>
      </c>
      <c r="M1952">
        <v>153</v>
      </c>
      <c r="N1952">
        <v>1319</v>
      </c>
      <c r="O1952">
        <v>153</v>
      </c>
      <c r="P1952">
        <v>42</v>
      </c>
      <c r="Q1952">
        <v>87</v>
      </c>
      <c r="R1952">
        <v>306</v>
      </c>
      <c r="S1952">
        <v>1.0928571428571427</v>
      </c>
      <c r="T1952">
        <v>1.0874999999999999</v>
      </c>
      <c r="U1952">
        <v>1.0928571428571427</v>
      </c>
    </row>
    <row r="1953" spans="1:21" x14ac:dyDescent="0.35">
      <c r="A1953">
        <v>970</v>
      </c>
      <c r="B1953" s="16">
        <v>40513</v>
      </c>
      <c r="C1953" s="15" t="s">
        <v>37</v>
      </c>
      <c r="D1953" s="15" t="s">
        <v>38</v>
      </c>
      <c r="E1953" s="15" t="s">
        <v>53</v>
      </c>
      <c r="F1953" s="15" t="s">
        <v>52</v>
      </c>
      <c r="G1953" s="15" t="s">
        <v>41</v>
      </c>
      <c r="H1953" s="15" t="s">
        <v>45</v>
      </c>
      <c r="I1953">
        <v>40</v>
      </c>
      <c r="J1953">
        <v>60</v>
      </c>
      <c r="K1953">
        <v>0</v>
      </c>
      <c r="L1953">
        <v>100</v>
      </c>
      <c r="M1953">
        <v>47</v>
      </c>
      <c r="N1953">
        <v>521</v>
      </c>
      <c r="O1953">
        <v>65</v>
      </c>
      <c r="P1953">
        <v>42</v>
      </c>
      <c r="Q1953">
        <v>-6</v>
      </c>
      <c r="R1953">
        <v>112</v>
      </c>
      <c r="S1953">
        <v>1.1200000000000001</v>
      </c>
      <c r="U1953">
        <v>1.175</v>
      </c>
    </row>
    <row r="1954" spans="1:21" x14ac:dyDescent="0.35">
      <c r="A1954">
        <v>303</v>
      </c>
      <c r="B1954" s="16">
        <v>40513</v>
      </c>
      <c r="C1954" s="15" t="s">
        <v>37</v>
      </c>
      <c r="D1954" s="15" t="s">
        <v>38</v>
      </c>
      <c r="E1954" s="15" t="s">
        <v>54</v>
      </c>
      <c r="F1954" s="15" t="s">
        <v>52</v>
      </c>
      <c r="G1954" s="15" t="s">
        <v>41</v>
      </c>
      <c r="H1954" s="15" t="s">
        <v>45</v>
      </c>
      <c r="I1954">
        <v>50</v>
      </c>
      <c r="J1954">
        <v>60</v>
      </c>
      <c r="K1954">
        <v>30</v>
      </c>
      <c r="L1954">
        <v>110</v>
      </c>
      <c r="M1954">
        <v>54</v>
      </c>
      <c r="N1954">
        <v>424</v>
      </c>
      <c r="O1954">
        <v>73</v>
      </c>
      <c r="P1954">
        <v>17</v>
      </c>
      <c r="Q1954">
        <v>29</v>
      </c>
      <c r="R1954">
        <v>127</v>
      </c>
      <c r="S1954">
        <v>1.1545454545454545</v>
      </c>
      <c r="T1954">
        <v>0.96666666666666667</v>
      </c>
      <c r="U1954">
        <v>1.08</v>
      </c>
    </row>
    <row r="1955" spans="1:21" x14ac:dyDescent="0.35">
      <c r="A1955">
        <v>970</v>
      </c>
      <c r="B1955" s="16">
        <v>40513</v>
      </c>
      <c r="C1955" s="15" t="s">
        <v>37</v>
      </c>
      <c r="D1955" s="15" t="s">
        <v>38</v>
      </c>
      <c r="E1955" s="15" t="s">
        <v>48</v>
      </c>
      <c r="F1955" s="15" t="s">
        <v>49</v>
      </c>
      <c r="G1955" s="15" t="s">
        <v>41</v>
      </c>
      <c r="H1955" s="15" t="s">
        <v>42</v>
      </c>
      <c r="I1955">
        <v>60</v>
      </c>
      <c r="J1955">
        <v>110</v>
      </c>
      <c r="K1955">
        <v>90</v>
      </c>
      <c r="L1955">
        <v>170</v>
      </c>
      <c r="M1955">
        <v>54</v>
      </c>
      <c r="N1955">
        <v>601</v>
      </c>
      <c r="O1955">
        <v>79</v>
      </c>
      <c r="P1955">
        <v>15</v>
      </c>
      <c r="Q1955">
        <v>53</v>
      </c>
      <c r="R1955">
        <v>133</v>
      </c>
      <c r="S1955">
        <v>0.78235294117647058</v>
      </c>
      <c r="T1955">
        <v>0.58888888888888891</v>
      </c>
      <c r="U1955">
        <v>0.9</v>
      </c>
    </row>
    <row r="1956" spans="1:21" x14ac:dyDescent="0.35">
      <c r="A1956">
        <v>970</v>
      </c>
      <c r="B1956" s="16">
        <v>40513</v>
      </c>
      <c r="C1956" s="15" t="s">
        <v>37</v>
      </c>
      <c r="D1956" s="15" t="s">
        <v>38</v>
      </c>
      <c r="E1956" s="15" t="s">
        <v>50</v>
      </c>
      <c r="F1956" s="15" t="s">
        <v>49</v>
      </c>
      <c r="G1956" s="15" t="s">
        <v>41</v>
      </c>
      <c r="H1956" s="15" t="s">
        <v>45</v>
      </c>
      <c r="I1956">
        <v>80</v>
      </c>
      <c r="J1956">
        <v>130</v>
      </c>
      <c r="K1956">
        <v>80</v>
      </c>
      <c r="L1956">
        <v>210</v>
      </c>
      <c r="M1956">
        <v>67</v>
      </c>
      <c r="N1956">
        <v>677</v>
      </c>
      <c r="O1956">
        <v>101</v>
      </c>
      <c r="P1956">
        <v>22</v>
      </c>
      <c r="Q1956">
        <v>47</v>
      </c>
      <c r="R1956">
        <v>168</v>
      </c>
      <c r="S1956">
        <v>0.8</v>
      </c>
      <c r="T1956">
        <v>0.58750000000000002</v>
      </c>
      <c r="U1956">
        <v>0.83750000000000002</v>
      </c>
    </row>
    <row r="1957" spans="1:21" x14ac:dyDescent="0.35">
      <c r="A1957">
        <v>720</v>
      </c>
      <c r="B1957" s="16">
        <v>40513</v>
      </c>
      <c r="C1957" s="15" t="s">
        <v>37</v>
      </c>
      <c r="D1957" s="15" t="s">
        <v>38</v>
      </c>
      <c r="E1957" s="15" t="s">
        <v>44</v>
      </c>
      <c r="F1957" s="15" t="s">
        <v>40</v>
      </c>
      <c r="G1957" s="15" t="s">
        <v>41</v>
      </c>
      <c r="H1957" s="15" t="s">
        <v>45</v>
      </c>
      <c r="I1957">
        <v>80</v>
      </c>
      <c r="J1957">
        <v>120</v>
      </c>
      <c r="K1957">
        <v>90</v>
      </c>
      <c r="L1957">
        <v>200</v>
      </c>
      <c r="M1957">
        <v>86</v>
      </c>
      <c r="N1957">
        <v>1003</v>
      </c>
      <c r="O1957">
        <v>124</v>
      </c>
      <c r="P1957">
        <v>24</v>
      </c>
      <c r="Q1957">
        <v>88</v>
      </c>
      <c r="R1957">
        <v>210</v>
      </c>
      <c r="S1957">
        <v>1.05</v>
      </c>
      <c r="T1957">
        <v>0.97777777777777775</v>
      </c>
      <c r="U1957">
        <v>1.075</v>
      </c>
    </row>
    <row r="1958" spans="1:21" x14ac:dyDescent="0.35">
      <c r="A1958">
        <v>719</v>
      </c>
      <c r="B1958" s="16">
        <v>40513</v>
      </c>
      <c r="C1958" s="15" t="s">
        <v>37</v>
      </c>
      <c r="D1958" s="15" t="s">
        <v>38</v>
      </c>
      <c r="E1958" s="15" t="s">
        <v>39</v>
      </c>
      <c r="F1958" s="15" t="s">
        <v>40</v>
      </c>
      <c r="G1958" s="15" t="s">
        <v>41</v>
      </c>
      <c r="H1958" s="15" t="s">
        <v>42</v>
      </c>
      <c r="I1958">
        <v>120</v>
      </c>
      <c r="J1958">
        <v>170</v>
      </c>
      <c r="K1958">
        <v>130</v>
      </c>
      <c r="L1958">
        <v>290</v>
      </c>
      <c r="M1958">
        <v>123</v>
      </c>
      <c r="N1958">
        <v>959</v>
      </c>
      <c r="O1958">
        <v>179</v>
      </c>
      <c r="P1958">
        <v>34</v>
      </c>
      <c r="Q1958">
        <v>134</v>
      </c>
      <c r="R1958">
        <v>302</v>
      </c>
      <c r="S1958">
        <v>1.0413793103448277</v>
      </c>
      <c r="T1958">
        <v>1.0307692307692307</v>
      </c>
      <c r="U1958">
        <v>1.0249999999999999</v>
      </c>
    </row>
    <row r="1959" spans="1:21" x14ac:dyDescent="0.35">
      <c r="A1959">
        <v>970</v>
      </c>
      <c r="B1959" s="16">
        <v>40513</v>
      </c>
      <c r="C1959" s="15" t="s">
        <v>37</v>
      </c>
      <c r="D1959" s="15" t="s">
        <v>38</v>
      </c>
      <c r="E1959" s="15" t="s">
        <v>43</v>
      </c>
      <c r="F1959" s="15" t="s">
        <v>40</v>
      </c>
      <c r="G1959" s="15" t="s">
        <v>41</v>
      </c>
      <c r="H1959" s="15" t="s">
        <v>42</v>
      </c>
      <c r="I1959">
        <v>40</v>
      </c>
      <c r="J1959">
        <v>50</v>
      </c>
      <c r="K1959">
        <v>30</v>
      </c>
      <c r="L1959">
        <v>90</v>
      </c>
      <c r="M1959">
        <v>43</v>
      </c>
      <c r="N1959">
        <v>531</v>
      </c>
      <c r="O1959">
        <v>56</v>
      </c>
      <c r="P1959">
        <v>14</v>
      </c>
      <c r="Q1959">
        <v>29</v>
      </c>
      <c r="R1959">
        <v>99</v>
      </c>
      <c r="S1959">
        <v>1.1000000000000001</v>
      </c>
      <c r="T1959">
        <v>0.96666666666666667</v>
      </c>
      <c r="U1959">
        <v>1.075</v>
      </c>
    </row>
    <row r="1960" spans="1:21" x14ac:dyDescent="0.35">
      <c r="A1960">
        <v>309</v>
      </c>
      <c r="B1960" s="16">
        <v>40513</v>
      </c>
      <c r="C1960" s="15" t="s">
        <v>37</v>
      </c>
      <c r="D1960" s="15" t="s">
        <v>38</v>
      </c>
      <c r="E1960" s="15" t="s">
        <v>55</v>
      </c>
      <c r="F1960" s="15" t="s">
        <v>47</v>
      </c>
      <c r="G1960" s="15" t="s">
        <v>57</v>
      </c>
      <c r="H1960" s="15" t="s">
        <v>42</v>
      </c>
      <c r="I1960">
        <v>40</v>
      </c>
      <c r="J1960">
        <v>70</v>
      </c>
      <c r="K1960">
        <v>50</v>
      </c>
      <c r="L1960">
        <v>110</v>
      </c>
      <c r="M1960">
        <v>54</v>
      </c>
      <c r="N1960">
        <v>601</v>
      </c>
      <c r="O1960">
        <v>79</v>
      </c>
      <c r="P1960">
        <v>15</v>
      </c>
      <c r="Q1960">
        <v>53</v>
      </c>
      <c r="R1960">
        <v>133</v>
      </c>
      <c r="S1960">
        <v>1.209090909090909</v>
      </c>
      <c r="T1960">
        <v>1.06</v>
      </c>
      <c r="U1960">
        <v>1.35</v>
      </c>
    </row>
    <row r="1961" spans="1:21" x14ac:dyDescent="0.35">
      <c r="A1961">
        <v>630</v>
      </c>
      <c r="B1961" s="16">
        <v>40513</v>
      </c>
      <c r="C1961" s="15" t="s">
        <v>37</v>
      </c>
      <c r="D1961" s="15" t="s">
        <v>38</v>
      </c>
      <c r="E1961" s="15" t="s">
        <v>56</v>
      </c>
      <c r="F1961" s="15" t="s">
        <v>47</v>
      </c>
      <c r="G1961" s="15" t="s">
        <v>57</v>
      </c>
      <c r="H1961" s="15" t="s">
        <v>42</v>
      </c>
      <c r="I1961">
        <v>50</v>
      </c>
      <c r="J1961">
        <v>80</v>
      </c>
      <c r="K1961">
        <v>40</v>
      </c>
      <c r="L1961">
        <v>130</v>
      </c>
      <c r="M1961">
        <v>67</v>
      </c>
      <c r="N1961">
        <v>677</v>
      </c>
      <c r="O1961">
        <v>101</v>
      </c>
      <c r="P1961">
        <v>22</v>
      </c>
      <c r="Q1961">
        <v>47</v>
      </c>
      <c r="R1961">
        <v>168</v>
      </c>
      <c r="S1961">
        <v>1.2923076923076924</v>
      </c>
      <c r="T1961">
        <v>1.175</v>
      </c>
      <c r="U1961">
        <v>1.34</v>
      </c>
    </row>
    <row r="1962" spans="1:21" x14ac:dyDescent="0.35">
      <c r="A1962">
        <v>309</v>
      </c>
      <c r="B1962" s="16">
        <v>40513</v>
      </c>
      <c r="C1962" s="15" t="s">
        <v>37</v>
      </c>
      <c r="D1962" s="15" t="s">
        <v>38</v>
      </c>
      <c r="E1962" s="15" t="s">
        <v>51</v>
      </c>
      <c r="F1962" s="15" t="s">
        <v>52</v>
      </c>
      <c r="G1962" s="15" t="s">
        <v>57</v>
      </c>
      <c r="H1962" s="15" t="s">
        <v>45</v>
      </c>
      <c r="I1962">
        <v>110</v>
      </c>
      <c r="J1962">
        <v>170</v>
      </c>
      <c r="K1962">
        <v>130</v>
      </c>
      <c r="L1962">
        <v>280</v>
      </c>
      <c r="M1962">
        <v>123</v>
      </c>
      <c r="N1962">
        <v>959</v>
      </c>
      <c r="O1962">
        <v>179</v>
      </c>
      <c r="P1962">
        <v>34</v>
      </c>
      <c r="Q1962">
        <v>133</v>
      </c>
      <c r="R1962">
        <v>302</v>
      </c>
      <c r="S1962">
        <v>1.0785714285714285</v>
      </c>
      <c r="T1962">
        <v>1.023076923076923</v>
      </c>
      <c r="U1962">
        <v>1.1181818181818182</v>
      </c>
    </row>
    <row r="1963" spans="1:21" x14ac:dyDescent="0.35">
      <c r="A1963">
        <v>773</v>
      </c>
      <c r="B1963" s="16">
        <v>40513</v>
      </c>
      <c r="C1963" s="15" t="s">
        <v>37</v>
      </c>
      <c r="D1963" s="15" t="s">
        <v>38</v>
      </c>
      <c r="E1963" s="15" t="s">
        <v>53</v>
      </c>
      <c r="F1963" s="15" t="s">
        <v>52</v>
      </c>
      <c r="G1963" s="15" t="s">
        <v>57</v>
      </c>
      <c r="H1963" s="15" t="s">
        <v>45</v>
      </c>
      <c r="I1963">
        <v>40</v>
      </c>
      <c r="J1963">
        <v>50</v>
      </c>
      <c r="K1963">
        <v>30</v>
      </c>
      <c r="L1963">
        <v>90</v>
      </c>
      <c r="M1963">
        <v>43</v>
      </c>
      <c r="N1963">
        <v>531</v>
      </c>
      <c r="O1963">
        <v>56</v>
      </c>
      <c r="P1963">
        <v>14</v>
      </c>
      <c r="Q1963">
        <v>29</v>
      </c>
      <c r="R1963">
        <v>99</v>
      </c>
      <c r="S1963">
        <v>1.1000000000000001</v>
      </c>
      <c r="T1963">
        <v>0.96666666666666667</v>
      </c>
      <c r="U1963">
        <v>1.075</v>
      </c>
    </row>
    <row r="1964" spans="1:21" x14ac:dyDescent="0.35">
      <c r="A1964">
        <v>630</v>
      </c>
      <c r="B1964" s="16">
        <v>40513</v>
      </c>
      <c r="C1964" s="15" t="s">
        <v>37</v>
      </c>
      <c r="D1964" s="15" t="s">
        <v>38</v>
      </c>
      <c r="E1964" s="15" t="s">
        <v>54</v>
      </c>
      <c r="F1964" s="15" t="s">
        <v>52</v>
      </c>
      <c r="G1964" s="15" t="s">
        <v>57</v>
      </c>
      <c r="H1964" s="15" t="s">
        <v>45</v>
      </c>
      <c r="I1964">
        <v>80</v>
      </c>
      <c r="J1964">
        <v>110</v>
      </c>
      <c r="K1964">
        <v>80</v>
      </c>
      <c r="L1964">
        <v>190</v>
      </c>
      <c r="M1964">
        <v>86</v>
      </c>
      <c r="N1964">
        <v>1003</v>
      </c>
      <c r="O1964">
        <v>124</v>
      </c>
      <c r="P1964">
        <v>24</v>
      </c>
      <c r="Q1964">
        <v>88</v>
      </c>
      <c r="R1964">
        <v>210</v>
      </c>
      <c r="S1964">
        <v>1.1052631578947369</v>
      </c>
      <c r="T1964">
        <v>1.1000000000000001</v>
      </c>
      <c r="U1964">
        <v>1.075</v>
      </c>
    </row>
    <row r="1965" spans="1:21" x14ac:dyDescent="0.35">
      <c r="A1965">
        <v>815</v>
      </c>
      <c r="B1965" s="16">
        <v>40513</v>
      </c>
      <c r="C1965" s="15" t="s">
        <v>37</v>
      </c>
      <c r="D1965" s="15" t="s">
        <v>38</v>
      </c>
      <c r="E1965" s="15" t="s">
        <v>48</v>
      </c>
      <c r="F1965" s="15" t="s">
        <v>49</v>
      </c>
      <c r="G1965" s="15" t="s">
        <v>57</v>
      </c>
      <c r="H1965" s="15" t="s">
        <v>42</v>
      </c>
      <c r="I1965">
        <v>310</v>
      </c>
      <c r="J1965">
        <v>420</v>
      </c>
      <c r="K1965">
        <v>320</v>
      </c>
      <c r="L1965">
        <v>730</v>
      </c>
      <c r="M1965">
        <v>247</v>
      </c>
      <c r="N1965">
        <v>1744</v>
      </c>
      <c r="O1965">
        <v>329</v>
      </c>
      <c r="P1965">
        <v>81</v>
      </c>
      <c r="Q1965">
        <v>216</v>
      </c>
      <c r="R1965">
        <v>576</v>
      </c>
      <c r="S1965">
        <v>0.78904109589041094</v>
      </c>
      <c r="T1965">
        <v>0.67500000000000004</v>
      </c>
      <c r="U1965">
        <v>0.79677419354838708</v>
      </c>
    </row>
    <row r="1966" spans="1:21" x14ac:dyDescent="0.35">
      <c r="A1966">
        <v>630</v>
      </c>
      <c r="B1966" s="16">
        <v>40513</v>
      </c>
      <c r="C1966" s="15" t="s">
        <v>37</v>
      </c>
      <c r="D1966" s="15" t="s">
        <v>38</v>
      </c>
      <c r="E1966" s="15" t="s">
        <v>50</v>
      </c>
      <c r="F1966" s="15" t="s">
        <v>49</v>
      </c>
      <c r="G1966" s="15" t="s">
        <v>57</v>
      </c>
      <c r="H1966" s="15" t="s">
        <v>45</v>
      </c>
      <c r="I1966">
        <v>320</v>
      </c>
      <c r="J1966">
        <v>320</v>
      </c>
      <c r="K1966">
        <v>240</v>
      </c>
      <c r="L1966">
        <v>640</v>
      </c>
      <c r="M1966">
        <v>250</v>
      </c>
      <c r="N1966">
        <v>1820</v>
      </c>
      <c r="O1966">
        <v>251</v>
      </c>
      <c r="P1966">
        <v>70</v>
      </c>
      <c r="Q1966">
        <v>157</v>
      </c>
      <c r="R1966">
        <v>501</v>
      </c>
      <c r="S1966">
        <v>0.78281250000000002</v>
      </c>
      <c r="T1966">
        <v>0.65416666666666667</v>
      </c>
      <c r="U1966">
        <v>0.78125</v>
      </c>
    </row>
    <row r="1967" spans="1:21" x14ac:dyDescent="0.35">
      <c r="A1967">
        <v>630</v>
      </c>
      <c r="B1967" s="16">
        <v>40513</v>
      </c>
      <c r="C1967" s="15" t="s">
        <v>37</v>
      </c>
      <c r="D1967" s="15" t="s">
        <v>38</v>
      </c>
      <c r="E1967" s="15" t="s">
        <v>44</v>
      </c>
      <c r="F1967" s="15" t="s">
        <v>40</v>
      </c>
      <c r="G1967" s="15" t="s">
        <v>57</v>
      </c>
      <c r="H1967" s="15" t="s">
        <v>45</v>
      </c>
      <c r="I1967">
        <v>120</v>
      </c>
      <c r="J1967">
        <v>180</v>
      </c>
      <c r="K1967">
        <v>130</v>
      </c>
      <c r="L1967">
        <v>300</v>
      </c>
      <c r="M1967">
        <v>127</v>
      </c>
      <c r="N1967">
        <v>830</v>
      </c>
      <c r="O1967">
        <v>185</v>
      </c>
      <c r="P1967">
        <v>40</v>
      </c>
      <c r="Q1967">
        <v>122</v>
      </c>
      <c r="R1967">
        <v>312</v>
      </c>
      <c r="S1967">
        <v>1.04</v>
      </c>
      <c r="T1967">
        <v>0.93846153846153846</v>
      </c>
      <c r="U1967">
        <v>1.0583333333333333</v>
      </c>
    </row>
    <row r="1968" spans="1:21" x14ac:dyDescent="0.35">
      <c r="A1968">
        <v>847</v>
      </c>
      <c r="B1968" s="16">
        <v>40513</v>
      </c>
      <c r="C1968" s="15" t="s">
        <v>37</v>
      </c>
      <c r="D1968" s="15" t="s">
        <v>38</v>
      </c>
      <c r="E1968" s="15" t="s">
        <v>43</v>
      </c>
      <c r="F1968" s="15" t="s">
        <v>40</v>
      </c>
      <c r="G1968" s="15" t="s">
        <v>57</v>
      </c>
      <c r="H1968" s="15" t="s">
        <v>42</v>
      </c>
      <c r="I1968">
        <v>220</v>
      </c>
      <c r="J1968">
        <v>300</v>
      </c>
      <c r="K1968">
        <v>190</v>
      </c>
      <c r="L1968">
        <v>520</v>
      </c>
      <c r="M1968">
        <v>224</v>
      </c>
      <c r="N1968">
        <v>1191</v>
      </c>
      <c r="O1968">
        <v>310</v>
      </c>
      <c r="P1968">
        <v>73</v>
      </c>
      <c r="Q1968">
        <v>194</v>
      </c>
      <c r="R1968">
        <v>534</v>
      </c>
      <c r="S1968">
        <v>1.0269230769230768</v>
      </c>
      <c r="T1968">
        <v>1.0210526315789474</v>
      </c>
      <c r="U1968">
        <v>1.0181818181818181</v>
      </c>
    </row>
    <row r="1969" spans="1:21" x14ac:dyDescent="0.35">
      <c r="A1969">
        <v>641</v>
      </c>
      <c r="B1969" s="16">
        <v>40513</v>
      </c>
      <c r="C1969" s="15" t="s">
        <v>37</v>
      </c>
      <c r="D1969" s="15" t="s">
        <v>58</v>
      </c>
      <c r="E1969" s="15" t="s">
        <v>55</v>
      </c>
      <c r="F1969" s="15" t="s">
        <v>47</v>
      </c>
      <c r="G1969" s="15" t="s">
        <v>59</v>
      </c>
      <c r="H1969" s="15" t="s">
        <v>42</v>
      </c>
      <c r="I1969">
        <v>210</v>
      </c>
      <c r="J1969">
        <v>200</v>
      </c>
      <c r="K1969">
        <v>120</v>
      </c>
      <c r="L1969">
        <v>410</v>
      </c>
      <c r="M1969">
        <v>250</v>
      </c>
      <c r="N1969">
        <v>1820</v>
      </c>
      <c r="O1969">
        <v>251</v>
      </c>
      <c r="P1969">
        <v>70</v>
      </c>
      <c r="Q1969">
        <v>156</v>
      </c>
      <c r="R1969">
        <v>501</v>
      </c>
      <c r="S1969">
        <v>1.2219512195121951</v>
      </c>
      <c r="T1969">
        <v>1.3</v>
      </c>
      <c r="U1969">
        <v>1.1904761904761905</v>
      </c>
    </row>
    <row r="1970" spans="1:21" x14ac:dyDescent="0.35">
      <c r="A1970">
        <v>641</v>
      </c>
      <c r="B1970" s="16">
        <v>40513</v>
      </c>
      <c r="C1970" s="15" t="s">
        <v>37</v>
      </c>
      <c r="D1970" s="15" t="s">
        <v>58</v>
      </c>
      <c r="E1970" s="15" t="s">
        <v>56</v>
      </c>
      <c r="F1970" s="15" t="s">
        <v>47</v>
      </c>
      <c r="G1970" s="15" t="s">
        <v>59</v>
      </c>
      <c r="H1970" s="15" t="s">
        <v>42</v>
      </c>
      <c r="I1970">
        <v>240</v>
      </c>
      <c r="J1970">
        <v>300</v>
      </c>
      <c r="K1970">
        <v>170</v>
      </c>
      <c r="L1970">
        <v>540</v>
      </c>
      <c r="M1970">
        <v>294</v>
      </c>
      <c r="N1970">
        <v>1838</v>
      </c>
      <c r="O1970">
        <v>360</v>
      </c>
      <c r="P1970">
        <v>111</v>
      </c>
      <c r="Q1970">
        <v>216</v>
      </c>
      <c r="R1970">
        <v>654</v>
      </c>
      <c r="S1970">
        <v>1.211111111111111</v>
      </c>
      <c r="T1970">
        <v>1.2705882352941176</v>
      </c>
      <c r="U1970">
        <v>1.2250000000000001</v>
      </c>
    </row>
    <row r="1971" spans="1:21" x14ac:dyDescent="0.35">
      <c r="A1971">
        <v>641</v>
      </c>
      <c r="B1971" s="16">
        <v>40513</v>
      </c>
      <c r="C1971" s="15" t="s">
        <v>37</v>
      </c>
      <c r="D1971" s="15" t="s">
        <v>58</v>
      </c>
      <c r="E1971" s="15" t="s">
        <v>51</v>
      </c>
      <c r="F1971" s="15" t="s">
        <v>52</v>
      </c>
      <c r="G1971" s="15" t="s">
        <v>59</v>
      </c>
      <c r="H1971" s="15" t="s">
        <v>45</v>
      </c>
      <c r="I1971">
        <v>230</v>
      </c>
      <c r="J1971">
        <v>300</v>
      </c>
      <c r="K1971">
        <v>200</v>
      </c>
      <c r="L1971">
        <v>530</v>
      </c>
      <c r="M1971">
        <v>247</v>
      </c>
      <c r="N1971">
        <v>1744</v>
      </c>
      <c r="O1971">
        <v>329</v>
      </c>
      <c r="P1971">
        <v>81</v>
      </c>
      <c r="Q1971">
        <v>216</v>
      </c>
      <c r="R1971">
        <v>576</v>
      </c>
      <c r="S1971">
        <v>1.0867924528301887</v>
      </c>
      <c r="T1971">
        <v>1.08</v>
      </c>
      <c r="U1971">
        <v>1.0739130434782609</v>
      </c>
    </row>
    <row r="1972" spans="1:21" x14ac:dyDescent="0.35">
      <c r="A1972">
        <v>319</v>
      </c>
      <c r="B1972" s="16">
        <v>40513</v>
      </c>
      <c r="C1972" s="15" t="s">
        <v>37</v>
      </c>
      <c r="D1972" s="15" t="s">
        <v>58</v>
      </c>
      <c r="E1972" s="15" t="s">
        <v>53</v>
      </c>
      <c r="F1972" s="15" t="s">
        <v>52</v>
      </c>
      <c r="G1972" s="15" t="s">
        <v>59</v>
      </c>
      <c r="H1972" s="15" t="s">
        <v>45</v>
      </c>
      <c r="I1972">
        <v>120</v>
      </c>
      <c r="J1972">
        <v>170</v>
      </c>
      <c r="K1972">
        <v>120</v>
      </c>
      <c r="L1972">
        <v>290</v>
      </c>
      <c r="M1972">
        <v>127</v>
      </c>
      <c r="N1972">
        <v>830</v>
      </c>
      <c r="O1972">
        <v>185</v>
      </c>
      <c r="P1972">
        <v>40</v>
      </c>
      <c r="Q1972">
        <v>123</v>
      </c>
      <c r="R1972">
        <v>312</v>
      </c>
      <c r="S1972">
        <v>1.0758620689655172</v>
      </c>
      <c r="T1972">
        <v>1.0249999999999999</v>
      </c>
      <c r="U1972">
        <v>1.0583333333333333</v>
      </c>
    </row>
    <row r="1973" spans="1:21" x14ac:dyDescent="0.35">
      <c r="A1973">
        <v>515</v>
      </c>
      <c r="B1973" s="16">
        <v>40513</v>
      </c>
      <c r="C1973" s="15" t="s">
        <v>37</v>
      </c>
      <c r="D1973" s="15" t="s">
        <v>58</v>
      </c>
      <c r="E1973" s="15" t="s">
        <v>48</v>
      </c>
      <c r="F1973" s="15" t="s">
        <v>49</v>
      </c>
      <c r="G1973" s="15" t="s">
        <v>59</v>
      </c>
      <c r="H1973" s="15" t="s">
        <v>42</v>
      </c>
      <c r="I1973">
        <v>20</v>
      </c>
      <c r="J1973">
        <v>50</v>
      </c>
      <c r="K1973">
        <v>40</v>
      </c>
      <c r="L1973">
        <v>70</v>
      </c>
      <c r="M1973">
        <v>23</v>
      </c>
      <c r="N1973">
        <v>807</v>
      </c>
      <c r="O1973">
        <v>35</v>
      </c>
      <c r="P1973">
        <v>6</v>
      </c>
      <c r="Q1973">
        <v>17</v>
      </c>
      <c r="R1973">
        <v>58</v>
      </c>
      <c r="S1973">
        <v>0.82857142857142863</v>
      </c>
      <c r="T1973">
        <v>0.42499999999999999</v>
      </c>
      <c r="U1973">
        <v>1.1499999999999999</v>
      </c>
    </row>
    <row r="1974" spans="1:21" x14ac:dyDescent="0.35">
      <c r="A1974">
        <v>641</v>
      </c>
      <c r="B1974" s="16">
        <v>40513</v>
      </c>
      <c r="C1974" s="15" t="s">
        <v>37</v>
      </c>
      <c r="D1974" s="15" t="s">
        <v>58</v>
      </c>
      <c r="E1974" s="15" t="s">
        <v>50</v>
      </c>
      <c r="F1974" s="15" t="s">
        <v>49</v>
      </c>
      <c r="G1974" s="15" t="s">
        <v>59</v>
      </c>
      <c r="H1974" s="15" t="s">
        <v>45</v>
      </c>
      <c r="I1974">
        <v>0</v>
      </c>
      <c r="J1974">
        <v>50</v>
      </c>
      <c r="K1974">
        <v>40</v>
      </c>
      <c r="L1974">
        <v>50</v>
      </c>
      <c r="M1974">
        <v>0</v>
      </c>
      <c r="N1974">
        <v>344</v>
      </c>
      <c r="O1974">
        <v>43</v>
      </c>
      <c r="P1974">
        <v>0</v>
      </c>
      <c r="Q1974">
        <v>32</v>
      </c>
      <c r="R1974">
        <v>43</v>
      </c>
      <c r="S1974">
        <v>0.86</v>
      </c>
      <c r="T1974">
        <v>0.8</v>
      </c>
    </row>
    <row r="1975" spans="1:21" x14ac:dyDescent="0.35">
      <c r="A1975">
        <v>319</v>
      </c>
      <c r="B1975" s="16">
        <v>40513</v>
      </c>
      <c r="C1975" s="15" t="s">
        <v>37</v>
      </c>
      <c r="D1975" s="15" t="s">
        <v>58</v>
      </c>
      <c r="E1975" s="15" t="s">
        <v>44</v>
      </c>
      <c r="F1975" s="15" t="s">
        <v>40</v>
      </c>
      <c r="G1975" s="15" t="s">
        <v>59</v>
      </c>
      <c r="H1975" s="15" t="s">
        <v>45</v>
      </c>
      <c r="I1975">
        <v>0</v>
      </c>
      <c r="J1975">
        <v>20</v>
      </c>
      <c r="K1975">
        <v>10</v>
      </c>
      <c r="L1975">
        <v>20</v>
      </c>
      <c r="M1975">
        <v>10</v>
      </c>
      <c r="N1975">
        <v>594</v>
      </c>
      <c r="O1975">
        <v>14</v>
      </c>
      <c r="P1975">
        <v>3</v>
      </c>
      <c r="Q1975">
        <v>-1</v>
      </c>
      <c r="R1975">
        <v>24</v>
      </c>
      <c r="S1975">
        <v>1.2</v>
      </c>
      <c r="T1975">
        <v>-0.1</v>
      </c>
    </row>
    <row r="1976" spans="1:21" x14ac:dyDescent="0.35">
      <c r="A1976">
        <v>641</v>
      </c>
      <c r="B1976" s="16">
        <v>40513</v>
      </c>
      <c r="C1976" s="15" t="s">
        <v>37</v>
      </c>
      <c r="D1976" s="15" t="s">
        <v>58</v>
      </c>
      <c r="E1976" s="15" t="s">
        <v>39</v>
      </c>
      <c r="F1976" s="15" t="s">
        <v>40</v>
      </c>
      <c r="G1976" s="15" t="s">
        <v>59</v>
      </c>
      <c r="H1976" s="15" t="s">
        <v>42</v>
      </c>
      <c r="I1976">
        <v>10</v>
      </c>
      <c r="J1976">
        <v>30</v>
      </c>
      <c r="K1976">
        <v>20</v>
      </c>
      <c r="L1976">
        <v>40</v>
      </c>
      <c r="M1976">
        <v>16</v>
      </c>
      <c r="N1976">
        <v>851</v>
      </c>
      <c r="O1976">
        <v>25</v>
      </c>
      <c r="P1976">
        <v>4</v>
      </c>
      <c r="Q1976">
        <v>10</v>
      </c>
      <c r="R1976">
        <v>41</v>
      </c>
      <c r="S1976">
        <v>1.0249999999999999</v>
      </c>
      <c r="T1976">
        <v>0.5</v>
      </c>
      <c r="U1976">
        <v>1.6</v>
      </c>
    </row>
    <row r="1977" spans="1:21" x14ac:dyDescent="0.35">
      <c r="A1977">
        <v>563</v>
      </c>
      <c r="B1977" s="16">
        <v>40513</v>
      </c>
      <c r="C1977" s="15" t="s">
        <v>37</v>
      </c>
      <c r="D1977" s="15" t="s">
        <v>58</v>
      </c>
      <c r="E1977" s="15" t="s">
        <v>43</v>
      </c>
      <c r="F1977" s="15" t="s">
        <v>40</v>
      </c>
      <c r="G1977" s="15" t="s">
        <v>59</v>
      </c>
      <c r="H1977" s="15" t="s">
        <v>42</v>
      </c>
      <c r="I1977">
        <v>30</v>
      </c>
      <c r="J1977">
        <v>30</v>
      </c>
      <c r="K1977">
        <v>10</v>
      </c>
      <c r="L1977">
        <v>60</v>
      </c>
      <c r="M1977">
        <v>31</v>
      </c>
      <c r="N1977">
        <v>1009</v>
      </c>
      <c r="O1977">
        <v>38</v>
      </c>
      <c r="P1977">
        <v>9</v>
      </c>
      <c r="Q1977">
        <v>8</v>
      </c>
      <c r="R1977">
        <v>69</v>
      </c>
      <c r="S1977">
        <v>1.1499999999999999</v>
      </c>
      <c r="T1977">
        <v>0.8</v>
      </c>
      <c r="U1977">
        <v>1.0333333333333334</v>
      </c>
    </row>
    <row r="1978" spans="1:21" x14ac:dyDescent="0.35">
      <c r="A1978">
        <v>573</v>
      </c>
      <c r="B1978" s="16">
        <v>40513</v>
      </c>
      <c r="C1978" s="15" t="s">
        <v>37</v>
      </c>
      <c r="D1978" s="15" t="s">
        <v>58</v>
      </c>
      <c r="E1978" s="15" t="s">
        <v>55</v>
      </c>
      <c r="F1978" s="15" t="s">
        <v>47</v>
      </c>
      <c r="G1978" s="15" t="s">
        <v>60</v>
      </c>
      <c r="H1978" s="15" t="s">
        <v>42</v>
      </c>
      <c r="I1978">
        <v>30</v>
      </c>
      <c r="J1978">
        <v>40</v>
      </c>
      <c r="K1978">
        <v>10</v>
      </c>
      <c r="L1978">
        <v>70</v>
      </c>
      <c r="M1978">
        <v>38</v>
      </c>
      <c r="N1978">
        <v>256</v>
      </c>
      <c r="O1978">
        <v>51</v>
      </c>
      <c r="P1978">
        <v>12</v>
      </c>
      <c r="Q1978">
        <v>11</v>
      </c>
      <c r="R1978">
        <v>89</v>
      </c>
      <c r="S1978">
        <v>1.2714285714285714</v>
      </c>
      <c r="T1978">
        <v>1.1000000000000001</v>
      </c>
      <c r="U1978">
        <v>1.2666666666666666</v>
      </c>
    </row>
    <row r="1979" spans="1:21" x14ac:dyDescent="0.35">
      <c r="A1979">
        <v>573</v>
      </c>
      <c r="B1979" s="16">
        <v>40513</v>
      </c>
      <c r="C1979" s="15" t="s">
        <v>37</v>
      </c>
      <c r="D1979" s="15" t="s">
        <v>58</v>
      </c>
      <c r="E1979" s="15" t="s">
        <v>56</v>
      </c>
      <c r="F1979" s="15" t="s">
        <v>47</v>
      </c>
      <c r="G1979" s="15" t="s">
        <v>60</v>
      </c>
      <c r="H1979" s="15" t="s">
        <v>42</v>
      </c>
      <c r="I1979">
        <v>10</v>
      </c>
      <c r="J1979">
        <v>20</v>
      </c>
      <c r="K1979">
        <v>-10</v>
      </c>
      <c r="L1979">
        <v>30</v>
      </c>
      <c r="M1979">
        <v>20</v>
      </c>
      <c r="N1979">
        <v>218</v>
      </c>
      <c r="O1979">
        <v>25</v>
      </c>
      <c r="P1979">
        <v>7</v>
      </c>
      <c r="Q1979">
        <v>-16</v>
      </c>
      <c r="R1979">
        <v>45</v>
      </c>
      <c r="S1979">
        <v>1.5</v>
      </c>
      <c r="T1979">
        <v>1.6</v>
      </c>
      <c r="U1979">
        <v>2</v>
      </c>
    </row>
    <row r="1980" spans="1:21" x14ac:dyDescent="0.35">
      <c r="A1980">
        <v>636</v>
      </c>
      <c r="B1980" s="16">
        <v>40513</v>
      </c>
      <c r="C1980" s="15" t="s">
        <v>37</v>
      </c>
      <c r="D1980" s="15" t="s">
        <v>58</v>
      </c>
      <c r="E1980" s="15" t="s">
        <v>46</v>
      </c>
      <c r="F1980" s="15" t="s">
        <v>47</v>
      </c>
      <c r="G1980" s="15" t="s">
        <v>60</v>
      </c>
      <c r="H1980" s="15" t="s">
        <v>42</v>
      </c>
      <c r="I1980">
        <v>30</v>
      </c>
      <c r="J1980">
        <v>40</v>
      </c>
      <c r="K1980">
        <v>0</v>
      </c>
      <c r="L1980">
        <v>70</v>
      </c>
      <c r="M1980">
        <v>39</v>
      </c>
      <c r="N1980">
        <v>250</v>
      </c>
      <c r="O1980">
        <v>49</v>
      </c>
      <c r="P1980">
        <v>14</v>
      </c>
      <c r="Q1980">
        <v>2</v>
      </c>
      <c r="R1980">
        <v>88</v>
      </c>
      <c r="S1980">
        <v>1.2571428571428571</v>
      </c>
      <c r="U1980">
        <v>1.3</v>
      </c>
    </row>
    <row r="1981" spans="1:21" x14ac:dyDescent="0.35">
      <c r="A1981">
        <v>417</v>
      </c>
      <c r="B1981" s="16">
        <v>40513</v>
      </c>
      <c r="C1981" s="15" t="s">
        <v>37</v>
      </c>
      <c r="D1981" s="15" t="s">
        <v>58</v>
      </c>
      <c r="E1981" s="15" t="s">
        <v>51</v>
      </c>
      <c r="F1981" s="15" t="s">
        <v>52</v>
      </c>
      <c r="G1981" s="15" t="s">
        <v>60</v>
      </c>
      <c r="H1981" s="15" t="s">
        <v>45</v>
      </c>
      <c r="I1981">
        <v>40</v>
      </c>
      <c r="J1981">
        <v>60</v>
      </c>
      <c r="K1981">
        <v>0</v>
      </c>
      <c r="L1981">
        <v>100</v>
      </c>
      <c r="M1981">
        <v>49</v>
      </c>
      <c r="N1981">
        <v>335</v>
      </c>
      <c r="O1981">
        <v>69</v>
      </c>
      <c r="P1981">
        <v>44</v>
      </c>
      <c r="Q1981">
        <v>-5</v>
      </c>
      <c r="R1981">
        <v>118</v>
      </c>
      <c r="S1981">
        <v>1.18</v>
      </c>
      <c r="U1981">
        <v>1.2250000000000001</v>
      </c>
    </row>
    <row r="1982" spans="1:21" x14ac:dyDescent="0.35">
      <c r="A1982">
        <v>573</v>
      </c>
      <c r="B1982" s="16">
        <v>40513</v>
      </c>
      <c r="C1982" s="15" t="s">
        <v>37</v>
      </c>
      <c r="D1982" s="15" t="s">
        <v>58</v>
      </c>
      <c r="E1982" s="15" t="s">
        <v>53</v>
      </c>
      <c r="F1982" s="15" t="s">
        <v>52</v>
      </c>
      <c r="G1982" s="15" t="s">
        <v>60</v>
      </c>
      <c r="H1982" s="15" t="s">
        <v>45</v>
      </c>
      <c r="I1982">
        <v>80</v>
      </c>
      <c r="J1982">
        <v>60</v>
      </c>
      <c r="K1982">
        <v>20</v>
      </c>
      <c r="L1982">
        <v>140</v>
      </c>
      <c r="M1982">
        <v>92</v>
      </c>
      <c r="N1982">
        <v>1898</v>
      </c>
      <c r="O1982">
        <v>68</v>
      </c>
      <c r="P1982">
        <v>28</v>
      </c>
      <c r="Q1982">
        <v>16</v>
      </c>
      <c r="R1982">
        <v>160</v>
      </c>
      <c r="S1982">
        <v>1.1428571428571428</v>
      </c>
      <c r="T1982">
        <v>0.8</v>
      </c>
      <c r="U1982">
        <v>1.1499999999999999</v>
      </c>
    </row>
    <row r="1983" spans="1:21" x14ac:dyDescent="0.35">
      <c r="A1983">
        <v>314</v>
      </c>
      <c r="B1983" s="16">
        <v>40513</v>
      </c>
      <c r="C1983" s="15" t="s">
        <v>37</v>
      </c>
      <c r="D1983" s="15" t="s">
        <v>58</v>
      </c>
      <c r="E1983" s="15" t="s">
        <v>48</v>
      </c>
      <c r="F1983" s="15" t="s">
        <v>49</v>
      </c>
      <c r="G1983" s="15" t="s">
        <v>60</v>
      </c>
      <c r="H1983" s="15" t="s">
        <v>42</v>
      </c>
      <c r="I1983">
        <v>60</v>
      </c>
      <c r="J1983">
        <v>90</v>
      </c>
      <c r="K1983">
        <v>70</v>
      </c>
      <c r="L1983">
        <v>150</v>
      </c>
      <c r="M1983">
        <v>50</v>
      </c>
      <c r="N1983">
        <v>898</v>
      </c>
      <c r="O1983">
        <v>73</v>
      </c>
      <c r="P1983">
        <v>14</v>
      </c>
      <c r="Q1983">
        <v>48</v>
      </c>
      <c r="R1983">
        <v>123</v>
      </c>
      <c r="S1983">
        <v>0.82</v>
      </c>
      <c r="T1983">
        <v>0.68571428571428572</v>
      </c>
      <c r="U1983">
        <v>0.83333333333333337</v>
      </c>
    </row>
    <row r="1984" spans="1:21" x14ac:dyDescent="0.35">
      <c r="A1984">
        <v>314</v>
      </c>
      <c r="B1984" s="16">
        <v>40513</v>
      </c>
      <c r="C1984" s="15" t="s">
        <v>37</v>
      </c>
      <c r="D1984" s="15" t="s">
        <v>58</v>
      </c>
      <c r="E1984" s="15" t="s">
        <v>50</v>
      </c>
      <c r="F1984" s="15" t="s">
        <v>49</v>
      </c>
      <c r="G1984" s="15" t="s">
        <v>60</v>
      </c>
      <c r="H1984" s="15" t="s">
        <v>45</v>
      </c>
      <c r="I1984">
        <v>30</v>
      </c>
      <c r="J1984">
        <v>60</v>
      </c>
      <c r="K1984">
        <v>50</v>
      </c>
      <c r="L1984">
        <v>90</v>
      </c>
      <c r="M1984">
        <v>31</v>
      </c>
      <c r="N1984">
        <v>844</v>
      </c>
      <c r="O1984">
        <v>46</v>
      </c>
      <c r="P1984">
        <v>8</v>
      </c>
      <c r="Q1984">
        <v>27</v>
      </c>
      <c r="R1984">
        <v>77</v>
      </c>
      <c r="S1984">
        <v>0.85555555555555551</v>
      </c>
      <c r="T1984">
        <v>0.54</v>
      </c>
      <c r="U1984">
        <v>1.0333333333333334</v>
      </c>
    </row>
    <row r="1985" spans="1:21" x14ac:dyDescent="0.35">
      <c r="A1985">
        <v>816</v>
      </c>
      <c r="B1985" s="16">
        <v>40513</v>
      </c>
      <c r="C1985" s="15" t="s">
        <v>37</v>
      </c>
      <c r="D1985" s="15" t="s">
        <v>58</v>
      </c>
      <c r="E1985" s="15" t="s">
        <v>44</v>
      </c>
      <c r="F1985" s="15" t="s">
        <v>40</v>
      </c>
      <c r="G1985" s="15" t="s">
        <v>60</v>
      </c>
      <c r="H1985" s="15" t="s">
        <v>45</v>
      </c>
      <c r="I1985">
        <v>60</v>
      </c>
      <c r="J1985">
        <v>70</v>
      </c>
      <c r="K1985">
        <v>40</v>
      </c>
      <c r="L1985">
        <v>130</v>
      </c>
      <c r="M1985">
        <v>63</v>
      </c>
      <c r="N1985">
        <v>1075</v>
      </c>
      <c r="O1985">
        <v>76</v>
      </c>
      <c r="P1985">
        <v>19</v>
      </c>
      <c r="Q1985">
        <v>36</v>
      </c>
      <c r="R1985">
        <v>139</v>
      </c>
      <c r="S1985">
        <v>1.0692307692307692</v>
      </c>
      <c r="T1985">
        <v>0.9</v>
      </c>
      <c r="U1985">
        <v>1.05</v>
      </c>
    </row>
    <row r="1986" spans="1:21" x14ac:dyDescent="0.35">
      <c r="A1986">
        <v>573</v>
      </c>
      <c r="B1986" s="16">
        <v>40513</v>
      </c>
      <c r="C1986" s="15" t="s">
        <v>37</v>
      </c>
      <c r="D1986" s="15" t="s">
        <v>58</v>
      </c>
      <c r="E1986" s="15" t="s">
        <v>43</v>
      </c>
      <c r="F1986" s="15" t="s">
        <v>40</v>
      </c>
      <c r="G1986" s="15" t="s">
        <v>60</v>
      </c>
      <c r="H1986" s="15" t="s">
        <v>42</v>
      </c>
      <c r="I1986">
        <v>60</v>
      </c>
      <c r="J1986">
        <v>90</v>
      </c>
      <c r="K1986">
        <v>40</v>
      </c>
      <c r="L1986">
        <v>150</v>
      </c>
      <c r="M1986">
        <v>68</v>
      </c>
      <c r="N1986">
        <v>619</v>
      </c>
      <c r="O1986">
        <v>85</v>
      </c>
      <c r="P1986">
        <v>25</v>
      </c>
      <c r="Q1986">
        <v>26</v>
      </c>
      <c r="R1986">
        <v>153</v>
      </c>
      <c r="S1986">
        <v>1.02</v>
      </c>
      <c r="T1986">
        <v>0.65</v>
      </c>
      <c r="U1986">
        <v>1.1333333333333333</v>
      </c>
    </row>
    <row r="1987" spans="1:21" x14ac:dyDescent="0.35">
      <c r="A1987">
        <v>513</v>
      </c>
      <c r="B1987" s="16">
        <v>40513</v>
      </c>
      <c r="C1987" s="15" t="s">
        <v>37</v>
      </c>
      <c r="D1987" s="15" t="s">
        <v>38</v>
      </c>
      <c r="E1987" s="15" t="s">
        <v>55</v>
      </c>
      <c r="F1987" s="15" t="s">
        <v>47</v>
      </c>
      <c r="G1987" s="15" t="s">
        <v>61</v>
      </c>
      <c r="H1987" s="15" t="s">
        <v>42</v>
      </c>
      <c r="I1987">
        <v>70</v>
      </c>
      <c r="J1987">
        <v>110</v>
      </c>
      <c r="K1987">
        <v>70</v>
      </c>
      <c r="L1987">
        <v>180</v>
      </c>
      <c r="M1987">
        <v>88</v>
      </c>
      <c r="N1987">
        <v>817</v>
      </c>
      <c r="O1987">
        <v>133</v>
      </c>
      <c r="P1987">
        <v>29</v>
      </c>
      <c r="Q1987">
        <v>72</v>
      </c>
      <c r="R1987">
        <v>221</v>
      </c>
      <c r="S1987">
        <v>1.2277777777777779</v>
      </c>
      <c r="T1987">
        <v>1.0285714285714285</v>
      </c>
      <c r="U1987">
        <v>1.2571428571428571</v>
      </c>
    </row>
    <row r="1988" spans="1:21" x14ac:dyDescent="0.35">
      <c r="A1988">
        <v>740</v>
      </c>
      <c r="B1988" s="16">
        <v>40513</v>
      </c>
      <c r="C1988" s="15" t="s">
        <v>37</v>
      </c>
      <c r="D1988" s="15" t="s">
        <v>38</v>
      </c>
      <c r="E1988" s="15" t="s">
        <v>56</v>
      </c>
      <c r="F1988" s="15" t="s">
        <v>47</v>
      </c>
      <c r="G1988" s="15" t="s">
        <v>61</v>
      </c>
      <c r="H1988" s="15" t="s">
        <v>42</v>
      </c>
      <c r="I1988">
        <v>110</v>
      </c>
      <c r="J1988">
        <v>150</v>
      </c>
      <c r="K1988">
        <v>90</v>
      </c>
      <c r="L1988">
        <v>260</v>
      </c>
      <c r="M1988">
        <v>134</v>
      </c>
      <c r="N1988">
        <v>690</v>
      </c>
      <c r="O1988">
        <v>186</v>
      </c>
      <c r="P1988">
        <v>41</v>
      </c>
      <c r="Q1988">
        <v>121</v>
      </c>
      <c r="R1988">
        <v>320</v>
      </c>
      <c r="S1988">
        <v>1.2307692307692308</v>
      </c>
      <c r="T1988">
        <v>1.3444444444444446</v>
      </c>
      <c r="U1988">
        <v>1.2181818181818183</v>
      </c>
    </row>
    <row r="1989" spans="1:21" x14ac:dyDescent="0.35">
      <c r="A1989">
        <v>937</v>
      </c>
      <c r="B1989" s="16">
        <v>40513</v>
      </c>
      <c r="C1989" s="15" t="s">
        <v>37</v>
      </c>
      <c r="D1989" s="15" t="s">
        <v>38</v>
      </c>
      <c r="E1989" s="15" t="s">
        <v>51</v>
      </c>
      <c r="F1989" s="15" t="s">
        <v>52</v>
      </c>
      <c r="G1989" s="15" t="s">
        <v>61</v>
      </c>
      <c r="H1989" s="15" t="s">
        <v>45</v>
      </c>
      <c r="I1989">
        <v>20</v>
      </c>
      <c r="J1989">
        <v>40</v>
      </c>
      <c r="K1989">
        <v>30</v>
      </c>
      <c r="L1989">
        <v>60</v>
      </c>
      <c r="M1989">
        <v>29</v>
      </c>
      <c r="N1989">
        <v>490</v>
      </c>
      <c r="O1989">
        <v>44</v>
      </c>
      <c r="P1989">
        <v>8</v>
      </c>
      <c r="Q1989">
        <v>25</v>
      </c>
      <c r="R1989">
        <v>73</v>
      </c>
      <c r="S1989">
        <v>1.2166666666666666</v>
      </c>
      <c r="T1989">
        <v>0.83333333333333337</v>
      </c>
      <c r="U1989">
        <v>1.45</v>
      </c>
    </row>
    <row r="1990" spans="1:21" x14ac:dyDescent="0.35">
      <c r="A1990">
        <v>330</v>
      </c>
      <c r="B1990" s="16">
        <v>40513</v>
      </c>
      <c r="C1990" s="15" t="s">
        <v>37</v>
      </c>
      <c r="D1990" s="15" t="s">
        <v>38</v>
      </c>
      <c r="E1990" s="15" t="s">
        <v>53</v>
      </c>
      <c r="F1990" s="15" t="s">
        <v>52</v>
      </c>
      <c r="G1990" s="15" t="s">
        <v>61</v>
      </c>
      <c r="H1990" s="15" t="s">
        <v>45</v>
      </c>
      <c r="I1990">
        <v>30</v>
      </c>
      <c r="J1990">
        <v>40</v>
      </c>
      <c r="K1990">
        <v>30</v>
      </c>
      <c r="L1990">
        <v>70</v>
      </c>
      <c r="M1990">
        <v>33</v>
      </c>
      <c r="N1990">
        <v>870</v>
      </c>
      <c r="O1990">
        <v>49</v>
      </c>
      <c r="P1990">
        <v>9</v>
      </c>
      <c r="Q1990">
        <v>29</v>
      </c>
      <c r="R1990">
        <v>82</v>
      </c>
      <c r="S1990">
        <v>1.1714285714285715</v>
      </c>
      <c r="T1990">
        <v>0.96666666666666667</v>
      </c>
      <c r="U1990">
        <v>1.1000000000000001</v>
      </c>
    </row>
    <row r="1991" spans="1:21" x14ac:dyDescent="0.35">
      <c r="A1991">
        <v>740</v>
      </c>
      <c r="B1991" s="16">
        <v>40513</v>
      </c>
      <c r="C1991" s="15" t="s">
        <v>37</v>
      </c>
      <c r="D1991" s="15" t="s">
        <v>38</v>
      </c>
      <c r="E1991" s="15" t="s">
        <v>48</v>
      </c>
      <c r="F1991" s="15" t="s">
        <v>49</v>
      </c>
      <c r="G1991" s="15" t="s">
        <v>61</v>
      </c>
      <c r="H1991" s="15" t="s">
        <v>42</v>
      </c>
      <c r="I1991">
        <v>190</v>
      </c>
      <c r="J1991">
        <v>200</v>
      </c>
      <c r="K1991">
        <v>140</v>
      </c>
      <c r="L1991">
        <v>390</v>
      </c>
      <c r="M1991">
        <v>153</v>
      </c>
      <c r="N1991">
        <v>1319</v>
      </c>
      <c r="O1991">
        <v>153</v>
      </c>
      <c r="P1991">
        <v>42</v>
      </c>
      <c r="Q1991">
        <v>87</v>
      </c>
      <c r="R1991">
        <v>306</v>
      </c>
      <c r="S1991">
        <v>0.7846153846153846</v>
      </c>
      <c r="T1991">
        <v>0.62142857142857144</v>
      </c>
      <c r="U1991">
        <v>0.80526315789473679</v>
      </c>
    </row>
    <row r="1992" spans="1:21" x14ac:dyDescent="0.35">
      <c r="A1992">
        <v>740</v>
      </c>
      <c r="B1992" s="16">
        <v>40513</v>
      </c>
      <c r="C1992" s="15" t="s">
        <v>37</v>
      </c>
      <c r="D1992" s="15" t="s">
        <v>38</v>
      </c>
      <c r="E1992" s="15" t="s">
        <v>50</v>
      </c>
      <c r="F1992" s="15" t="s">
        <v>49</v>
      </c>
      <c r="G1992" s="15" t="s">
        <v>61</v>
      </c>
      <c r="H1992" s="15" t="s">
        <v>45</v>
      </c>
      <c r="I1992">
        <v>50</v>
      </c>
      <c r="J1992">
        <v>80</v>
      </c>
      <c r="K1992">
        <v>40</v>
      </c>
      <c r="L1992">
        <v>130</v>
      </c>
      <c r="M1992">
        <v>46</v>
      </c>
      <c r="N1992">
        <v>422</v>
      </c>
      <c r="O1992">
        <v>57</v>
      </c>
      <c r="P1992">
        <v>17</v>
      </c>
      <c r="Q1992">
        <v>6</v>
      </c>
      <c r="R1992">
        <v>103</v>
      </c>
      <c r="S1992">
        <v>0.79230769230769227</v>
      </c>
      <c r="T1992">
        <v>0.15</v>
      </c>
      <c r="U1992">
        <v>0.92</v>
      </c>
    </row>
    <row r="1993" spans="1:21" x14ac:dyDescent="0.35">
      <c r="A1993">
        <v>513</v>
      </c>
      <c r="B1993" s="16">
        <v>40513</v>
      </c>
      <c r="C1993" s="15" t="s">
        <v>37</v>
      </c>
      <c r="D1993" s="15" t="s">
        <v>38</v>
      </c>
      <c r="E1993" s="15" t="s">
        <v>39</v>
      </c>
      <c r="F1993" s="15" t="s">
        <v>40</v>
      </c>
      <c r="G1993" s="15" t="s">
        <v>61</v>
      </c>
      <c r="H1993" s="15" t="s">
        <v>42</v>
      </c>
      <c r="I1993">
        <v>50</v>
      </c>
      <c r="J1993">
        <v>70</v>
      </c>
      <c r="K1993">
        <v>40</v>
      </c>
      <c r="L1993">
        <v>120</v>
      </c>
      <c r="M1993">
        <v>54</v>
      </c>
      <c r="N1993">
        <v>424</v>
      </c>
      <c r="O1993">
        <v>73</v>
      </c>
      <c r="P1993">
        <v>17</v>
      </c>
      <c r="Q1993">
        <v>29</v>
      </c>
      <c r="R1993">
        <v>127</v>
      </c>
      <c r="S1993">
        <v>1.0583333333333333</v>
      </c>
      <c r="T1993">
        <v>0.72499999999999998</v>
      </c>
      <c r="U1993">
        <v>1.08</v>
      </c>
    </row>
    <row r="1994" spans="1:21" x14ac:dyDescent="0.35">
      <c r="A1994">
        <v>614</v>
      </c>
      <c r="B1994" s="16">
        <v>40513</v>
      </c>
      <c r="C1994" s="15" t="s">
        <v>37</v>
      </c>
      <c r="D1994" s="15" t="s">
        <v>38</v>
      </c>
      <c r="E1994" s="15" t="s">
        <v>43</v>
      </c>
      <c r="F1994" s="15" t="s">
        <v>40</v>
      </c>
      <c r="G1994" s="15" t="s">
        <v>61</v>
      </c>
      <c r="H1994" s="15" t="s">
        <v>42</v>
      </c>
      <c r="I1994">
        <v>40</v>
      </c>
      <c r="J1994">
        <v>50</v>
      </c>
      <c r="K1994">
        <v>20</v>
      </c>
      <c r="L1994">
        <v>90</v>
      </c>
      <c r="M1994">
        <v>41</v>
      </c>
      <c r="N1994">
        <v>435</v>
      </c>
      <c r="O1994">
        <v>60</v>
      </c>
      <c r="P1994">
        <v>13</v>
      </c>
      <c r="Q1994">
        <v>24</v>
      </c>
      <c r="R1994">
        <v>101</v>
      </c>
      <c r="S1994">
        <v>1.1222222222222222</v>
      </c>
      <c r="T1994">
        <v>1.2</v>
      </c>
      <c r="U1994">
        <v>1.0249999999999999</v>
      </c>
    </row>
    <row r="1995" spans="1:21" x14ac:dyDescent="0.35">
      <c r="A1995">
        <v>419</v>
      </c>
      <c r="B1995" s="16">
        <v>40513</v>
      </c>
      <c r="C1995" s="15" t="s">
        <v>37</v>
      </c>
      <c r="D1995" s="15" t="s">
        <v>38</v>
      </c>
      <c r="E1995" s="15" t="s">
        <v>44</v>
      </c>
      <c r="F1995" s="15" t="s">
        <v>40</v>
      </c>
      <c r="G1995" s="15" t="s">
        <v>61</v>
      </c>
      <c r="H1995" s="15" t="s">
        <v>45</v>
      </c>
      <c r="I1995">
        <v>40</v>
      </c>
      <c r="J1995">
        <v>70</v>
      </c>
      <c r="K1995">
        <v>10</v>
      </c>
      <c r="L1995">
        <v>110</v>
      </c>
      <c r="M1995">
        <v>47</v>
      </c>
      <c r="N1995">
        <v>521</v>
      </c>
      <c r="O1995">
        <v>65</v>
      </c>
      <c r="P1995">
        <v>42</v>
      </c>
      <c r="Q1995">
        <v>-6</v>
      </c>
      <c r="R1995">
        <v>112</v>
      </c>
      <c r="S1995">
        <v>1.0181818181818181</v>
      </c>
      <c r="T1995">
        <v>-0.6</v>
      </c>
      <c r="U1995">
        <v>1.175</v>
      </c>
    </row>
    <row r="1996" spans="1:21" x14ac:dyDescent="0.35">
      <c r="A1996">
        <v>262</v>
      </c>
      <c r="B1996" s="16">
        <v>40513</v>
      </c>
      <c r="C1996" s="15" t="s">
        <v>37</v>
      </c>
      <c r="D1996" s="15" t="s">
        <v>58</v>
      </c>
      <c r="E1996" s="15" t="s">
        <v>55</v>
      </c>
      <c r="F1996" s="15" t="s">
        <v>47</v>
      </c>
      <c r="G1996" s="15" t="s">
        <v>62</v>
      </c>
      <c r="H1996" s="15" t="s">
        <v>42</v>
      </c>
      <c r="I1996">
        <v>30</v>
      </c>
      <c r="J1996">
        <v>50</v>
      </c>
      <c r="K1996">
        <v>20</v>
      </c>
      <c r="L1996">
        <v>80</v>
      </c>
      <c r="M1996">
        <v>43</v>
      </c>
      <c r="N1996">
        <v>466</v>
      </c>
      <c r="O1996">
        <v>63</v>
      </c>
      <c r="P1996">
        <v>13</v>
      </c>
      <c r="Q1996">
        <v>28</v>
      </c>
      <c r="R1996">
        <v>106</v>
      </c>
      <c r="S1996">
        <v>1.325</v>
      </c>
      <c r="T1996">
        <v>1.4</v>
      </c>
      <c r="U1996">
        <v>1.4333333333333333</v>
      </c>
    </row>
    <row r="1997" spans="1:21" x14ac:dyDescent="0.35">
      <c r="A1997">
        <v>920</v>
      </c>
      <c r="B1997" s="16">
        <v>40513</v>
      </c>
      <c r="C1997" s="15" t="s">
        <v>37</v>
      </c>
      <c r="D1997" s="15" t="s">
        <v>58</v>
      </c>
      <c r="E1997" s="15" t="s">
        <v>56</v>
      </c>
      <c r="F1997" s="15" t="s">
        <v>47</v>
      </c>
      <c r="G1997" s="15" t="s">
        <v>62</v>
      </c>
      <c r="H1997" s="15" t="s">
        <v>42</v>
      </c>
      <c r="I1997">
        <v>40</v>
      </c>
      <c r="J1997">
        <v>60</v>
      </c>
      <c r="K1997">
        <v>0</v>
      </c>
      <c r="L1997">
        <v>100</v>
      </c>
      <c r="M1997">
        <v>55</v>
      </c>
      <c r="N1997">
        <v>627</v>
      </c>
      <c r="O1997">
        <v>76</v>
      </c>
      <c r="P1997">
        <v>49</v>
      </c>
      <c r="Q1997">
        <v>-3</v>
      </c>
      <c r="R1997">
        <v>131</v>
      </c>
      <c r="S1997">
        <v>1.31</v>
      </c>
      <c r="U1997">
        <v>1.375</v>
      </c>
    </row>
    <row r="1998" spans="1:21" x14ac:dyDescent="0.35">
      <c r="A1998">
        <v>920</v>
      </c>
      <c r="B1998" s="16">
        <v>40513</v>
      </c>
      <c r="C1998" s="15" t="s">
        <v>37</v>
      </c>
      <c r="D1998" s="15" t="s">
        <v>58</v>
      </c>
      <c r="E1998" s="15" t="s">
        <v>51</v>
      </c>
      <c r="F1998" s="15" t="s">
        <v>52</v>
      </c>
      <c r="G1998" s="15" t="s">
        <v>62</v>
      </c>
      <c r="H1998" s="15" t="s">
        <v>45</v>
      </c>
      <c r="I1998">
        <v>30</v>
      </c>
      <c r="J1998">
        <v>60</v>
      </c>
      <c r="K1998">
        <v>30</v>
      </c>
      <c r="L1998">
        <v>90</v>
      </c>
      <c r="M1998">
        <v>41</v>
      </c>
      <c r="N1998">
        <v>320</v>
      </c>
      <c r="O1998">
        <v>66</v>
      </c>
      <c r="P1998">
        <v>12</v>
      </c>
      <c r="Q1998">
        <v>30</v>
      </c>
      <c r="R1998">
        <v>107</v>
      </c>
      <c r="S1998">
        <v>1.1888888888888889</v>
      </c>
      <c r="T1998">
        <v>1</v>
      </c>
      <c r="U1998">
        <v>1.3666666666666667</v>
      </c>
    </row>
    <row r="1999" spans="1:21" x14ac:dyDescent="0.35">
      <c r="A1999">
        <v>715</v>
      </c>
      <c r="B1999" s="16">
        <v>40513</v>
      </c>
      <c r="C1999" s="15" t="s">
        <v>37</v>
      </c>
      <c r="D1999" s="15" t="s">
        <v>58</v>
      </c>
      <c r="E1999" s="15" t="s">
        <v>53</v>
      </c>
      <c r="F1999" s="15" t="s">
        <v>52</v>
      </c>
      <c r="G1999" s="15" t="s">
        <v>62</v>
      </c>
      <c r="H1999" s="15" t="s">
        <v>45</v>
      </c>
      <c r="I1999">
        <v>30</v>
      </c>
      <c r="J1999">
        <v>40</v>
      </c>
      <c r="K1999">
        <v>30</v>
      </c>
      <c r="L1999">
        <v>70</v>
      </c>
      <c r="M1999">
        <v>34</v>
      </c>
      <c r="N1999">
        <v>863</v>
      </c>
      <c r="O1999">
        <v>51</v>
      </c>
      <c r="P1999">
        <v>9</v>
      </c>
      <c r="Q1999">
        <v>30</v>
      </c>
      <c r="R1999">
        <v>85</v>
      </c>
      <c r="S1999">
        <v>1.2142857142857142</v>
      </c>
      <c r="T1999">
        <v>1</v>
      </c>
      <c r="U1999">
        <v>1.1333333333333333</v>
      </c>
    </row>
    <row r="2000" spans="1:21" x14ac:dyDescent="0.35">
      <c r="A2000">
        <v>715</v>
      </c>
      <c r="B2000" s="16">
        <v>40513</v>
      </c>
      <c r="C2000" s="15" t="s">
        <v>37</v>
      </c>
      <c r="D2000" s="15" t="s">
        <v>58</v>
      </c>
      <c r="E2000" s="15" t="s">
        <v>48</v>
      </c>
      <c r="F2000" s="15" t="s">
        <v>49</v>
      </c>
      <c r="G2000" s="15" t="s">
        <v>62</v>
      </c>
      <c r="H2000" s="15" t="s">
        <v>42</v>
      </c>
      <c r="I2000">
        <v>100</v>
      </c>
      <c r="J2000">
        <v>120</v>
      </c>
      <c r="K2000">
        <v>80</v>
      </c>
      <c r="L2000">
        <v>220</v>
      </c>
      <c r="M2000">
        <v>80</v>
      </c>
      <c r="N2000">
        <v>1079</v>
      </c>
      <c r="O2000">
        <v>96</v>
      </c>
      <c r="P2000">
        <v>24</v>
      </c>
      <c r="Q2000">
        <v>50</v>
      </c>
      <c r="R2000">
        <v>176</v>
      </c>
      <c r="S2000">
        <v>0.8</v>
      </c>
      <c r="T2000">
        <v>0.625</v>
      </c>
      <c r="U2000">
        <v>0.8</v>
      </c>
    </row>
    <row r="2001" spans="1:21" x14ac:dyDescent="0.35">
      <c r="A2001">
        <v>262</v>
      </c>
      <c r="B2001" s="16">
        <v>40513</v>
      </c>
      <c r="C2001" s="15" t="s">
        <v>37</v>
      </c>
      <c r="D2001" s="15" t="s">
        <v>58</v>
      </c>
      <c r="E2001" s="15" t="s">
        <v>50</v>
      </c>
      <c r="F2001" s="15" t="s">
        <v>49</v>
      </c>
      <c r="G2001" s="15" t="s">
        <v>62</v>
      </c>
      <c r="H2001" s="15" t="s">
        <v>45</v>
      </c>
      <c r="I2001">
        <v>30</v>
      </c>
      <c r="J2001">
        <v>40</v>
      </c>
      <c r="K2001">
        <v>30</v>
      </c>
      <c r="L2001">
        <v>70</v>
      </c>
      <c r="M2001">
        <v>24</v>
      </c>
      <c r="N2001">
        <v>567</v>
      </c>
      <c r="O2001">
        <v>32</v>
      </c>
      <c r="P2001">
        <v>7</v>
      </c>
      <c r="Q2001">
        <v>13</v>
      </c>
      <c r="R2001">
        <v>56</v>
      </c>
      <c r="S2001">
        <v>0.8</v>
      </c>
      <c r="T2001">
        <v>0.43333333333333335</v>
      </c>
      <c r="U2001">
        <v>0.8</v>
      </c>
    </row>
    <row r="2002" spans="1:21" x14ac:dyDescent="0.35">
      <c r="A2002">
        <v>715</v>
      </c>
      <c r="B2002" s="16">
        <v>40513</v>
      </c>
      <c r="C2002" s="15" t="s">
        <v>37</v>
      </c>
      <c r="D2002" s="15" t="s">
        <v>58</v>
      </c>
      <c r="E2002" s="15" t="s">
        <v>39</v>
      </c>
      <c r="F2002" s="15" t="s">
        <v>40</v>
      </c>
      <c r="G2002" s="15" t="s">
        <v>62</v>
      </c>
      <c r="H2002" s="15" t="s">
        <v>42</v>
      </c>
      <c r="I2002">
        <v>60</v>
      </c>
      <c r="J2002">
        <v>80</v>
      </c>
      <c r="K2002">
        <v>30</v>
      </c>
      <c r="L2002">
        <v>140</v>
      </c>
      <c r="M2002">
        <v>65</v>
      </c>
      <c r="N2002">
        <v>403</v>
      </c>
      <c r="O2002">
        <v>80</v>
      </c>
      <c r="P2002">
        <v>24</v>
      </c>
      <c r="Q2002">
        <v>22</v>
      </c>
      <c r="R2002">
        <v>145</v>
      </c>
      <c r="S2002">
        <v>1.0357142857142858</v>
      </c>
      <c r="T2002">
        <v>0.73333333333333328</v>
      </c>
      <c r="U2002">
        <v>1.0833333333333333</v>
      </c>
    </row>
    <row r="2003" spans="1:21" x14ac:dyDescent="0.35">
      <c r="A2003">
        <v>715</v>
      </c>
      <c r="B2003" s="16">
        <v>40513</v>
      </c>
      <c r="C2003" s="15" t="s">
        <v>37</v>
      </c>
      <c r="D2003" s="15" t="s">
        <v>58</v>
      </c>
      <c r="E2003" s="15" t="s">
        <v>43</v>
      </c>
      <c r="F2003" s="15" t="s">
        <v>40</v>
      </c>
      <c r="G2003" s="15" t="s">
        <v>62</v>
      </c>
      <c r="H2003" s="15" t="s">
        <v>42</v>
      </c>
      <c r="I2003">
        <v>100</v>
      </c>
      <c r="J2003">
        <v>140</v>
      </c>
      <c r="K2003">
        <v>30</v>
      </c>
      <c r="L2003">
        <v>240</v>
      </c>
      <c r="M2003">
        <v>105</v>
      </c>
      <c r="N2003">
        <v>716</v>
      </c>
      <c r="O2003">
        <v>145</v>
      </c>
      <c r="P2003">
        <v>95</v>
      </c>
      <c r="Q2003">
        <v>20</v>
      </c>
      <c r="R2003">
        <v>250</v>
      </c>
      <c r="S2003">
        <v>1.0416666666666667</v>
      </c>
      <c r="T2003">
        <v>0.66666666666666663</v>
      </c>
      <c r="U2003">
        <v>1.05</v>
      </c>
    </row>
    <row r="2004" spans="1:21" x14ac:dyDescent="0.35">
      <c r="A2004">
        <v>715</v>
      </c>
      <c r="B2004" s="16">
        <v>40513</v>
      </c>
      <c r="C2004" s="15" t="s">
        <v>37</v>
      </c>
      <c r="D2004" s="15" t="s">
        <v>58</v>
      </c>
      <c r="E2004" s="15" t="s">
        <v>44</v>
      </c>
      <c r="F2004" s="15" t="s">
        <v>40</v>
      </c>
      <c r="G2004" s="15" t="s">
        <v>62</v>
      </c>
      <c r="H2004" s="15" t="s">
        <v>45</v>
      </c>
      <c r="I2004">
        <v>80</v>
      </c>
      <c r="J2004">
        <v>110</v>
      </c>
      <c r="K2004">
        <v>70</v>
      </c>
      <c r="L2004">
        <v>190</v>
      </c>
      <c r="M2004">
        <v>83</v>
      </c>
      <c r="N2004">
        <v>575</v>
      </c>
      <c r="O2004">
        <v>112</v>
      </c>
      <c r="P2004">
        <v>27</v>
      </c>
      <c r="Q2004">
        <v>57</v>
      </c>
      <c r="R2004">
        <v>195</v>
      </c>
      <c r="S2004">
        <v>1.0263157894736843</v>
      </c>
      <c r="T2004">
        <v>0.81428571428571428</v>
      </c>
      <c r="U2004">
        <v>1.0375000000000001</v>
      </c>
    </row>
    <row r="2005" spans="1:21" x14ac:dyDescent="0.35">
      <c r="A2005">
        <v>860</v>
      </c>
      <c r="B2005" s="16">
        <v>40513</v>
      </c>
      <c r="C2005" s="15" t="s">
        <v>63</v>
      </c>
      <c r="D2005" s="15" t="s">
        <v>58</v>
      </c>
      <c r="E2005" s="15" t="s">
        <v>55</v>
      </c>
      <c r="F2005" s="15" t="s">
        <v>47</v>
      </c>
      <c r="G2005" s="15" t="s">
        <v>64</v>
      </c>
      <c r="H2005" s="15" t="s">
        <v>42</v>
      </c>
      <c r="I2005">
        <v>50</v>
      </c>
      <c r="J2005">
        <v>70</v>
      </c>
      <c r="K2005">
        <v>50</v>
      </c>
      <c r="L2005">
        <v>120</v>
      </c>
      <c r="M2005">
        <v>50</v>
      </c>
      <c r="N2005">
        <v>898</v>
      </c>
      <c r="O2005">
        <v>73</v>
      </c>
      <c r="P2005">
        <v>14</v>
      </c>
      <c r="Q2005">
        <v>47</v>
      </c>
      <c r="R2005">
        <v>123</v>
      </c>
      <c r="S2005">
        <v>1.0249999999999999</v>
      </c>
      <c r="T2005">
        <v>0.94</v>
      </c>
      <c r="U2005">
        <v>1</v>
      </c>
    </row>
    <row r="2006" spans="1:21" x14ac:dyDescent="0.35">
      <c r="A2006">
        <v>959</v>
      </c>
      <c r="B2006" s="16">
        <v>40513</v>
      </c>
      <c r="C2006" s="15" t="s">
        <v>63</v>
      </c>
      <c r="D2006" s="15" t="s">
        <v>58</v>
      </c>
      <c r="E2006" s="15" t="s">
        <v>46</v>
      </c>
      <c r="F2006" s="15" t="s">
        <v>47</v>
      </c>
      <c r="G2006" s="15" t="s">
        <v>64</v>
      </c>
      <c r="H2006" s="15" t="s">
        <v>42</v>
      </c>
      <c r="I2006">
        <v>30</v>
      </c>
      <c r="J2006">
        <v>50</v>
      </c>
      <c r="K2006">
        <v>40</v>
      </c>
      <c r="L2006">
        <v>80</v>
      </c>
      <c r="M2006">
        <v>33</v>
      </c>
      <c r="N2006">
        <v>818</v>
      </c>
      <c r="O2006">
        <v>49</v>
      </c>
      <c r="P2006">
        <v>9</v>
      </c>
      <c r="Q2006">
        <v>28</v>
      </c>
      <c r="R2006">
        <v>82</v>
      </c>
      <c r="S2006">
        <v>1.0249999999999999</v>
      </c>
      <c r="T2006">
        <v>0.7</v>
      </c>
      <c r="U2006">
        <v>1.1000000000000001</v>
      </c>
    </row>
    <row r="2007" spans="1:21" x14ac:dyDescent="0.35">
      <c r="A2007">
        <v>475</v>
      </c>
      <c r="B2007" s="16">
        <v>40513</v>
      </c>
      <c r="C2007" s="15" t="s">
        <v>63</v>
      </c>
      <c r="D2007" s="15" t="s">
        <v>58</v>
      </c>
      <c r="E2007" s="15" t="s">
        <v>53</v>
      </c>
      <c r="F2007" s="15" t="s">
        <v>52</v>
      </c>
      <c r="G2007" s="15" t="s">
        <v>64</v>
      </c>
      <c r="H2007" s="15" t="s">
        <v>45</v>
      </c>
      <c r="I2007">
        <v>50</v>
      </c>
      <c r="J2007">
        <v>60</v>
      </c>
      <c r="K2007">
        <v>20</v>
      </c>
      <c r="L2007">
        <v>110</v>
      </c>
      <c r="M2007">
        <v>68</v>
      </c>
      <c r="N2007">
        <v>619</v>
      </c>
      <c r="O2007">
        <v>85</v>
      </c>
      <c r="P2007">
        <v>25</v>
      </c>
      <c r="Q2007">
        <v>27</v>
      </c>
      <c r="R2007">
        <v>153</v>
      </c>
      <c r="S2007">
        <v>1.3909090909090909</v>
      </c>
      <c r="T2007">
        <v>1.35</v>
      </c>
      <c r="U2007">
        <v>1.36</v>
      </c>
    </row>
    <row r="2008" spans="1:21" x14ac:dyDescent="0.35">
      <c r="A2008">
        <v>475</v>
      </c>
      <c r="B2008" s="16">
        <v>40513</v>
      </c>
      <c r="C2008" s="15" t="s">
        <v>63</v>
      </c>
      <c r="D2008" s="15" t="s">
        <v>58</v>
      </c>
      <c r="E2008" s="15" t="s">
        <v>54</v>
      </c>
      <c r="F2008" s="15" t="s">
        <v>52</v>
      </c>
      <c r="G2008" s="15" t="s">
        <v>64</v>
      </c>
      <c r="H2008" s="15" t="s">
        <v>45</v>
      </c>
      <c r="I2008">
        <v>40</v>
      </c>
      <c r="J2008">
        <v>60</v>
      </c>
      <c r="K2008">
        <v>40</v>
      </c>
      <c r="L2008">
        <v>100</v>
      </c>
      <c r="M2008">
        <v>63</v>
      </c>
      <c r="N2008">
        <v>1075</v>
      </c>
      <c r="O2008">
        <v>76</v>
      </c>
      <c r="P2008">
        <v>19</v>
      </c>
      <c r="Q2008">
        <v>36</v>
      </c>
      <c r="R2008">
        <v>139</v>
      </c>
      <c r="S2008">
        <v>1.39</v>
      </c>
      <c r="T2008">
        <v>0.9</v>
      </c>
      <c r="U2008">
        <v>1.575</v>
      </c>
    </row>
    <row r="2009" spans="1:21" x14ac:dyDescent="0.35">
      <c r="A2009">
        <v>475</v>
      </c>
      <c r="B2009" s="16">
        <v>40513</v>
      </c>
      <c r="C2009" s="15" t="s">
        <v>63</v>
      </c>
      <c r="D2009" s="15" t="s">
        <v>58</v>
      </c>
      <c r="E2009" s="15" t="s">
        <v>48</v>
      </c>
      <c r="F2009" s="15" t="s">
        <v>49</v>
      </c>
      <c r="G2009" s="15" t="s">
        <v>64</v>
      </c>
      <c r="H2009" s="15" t="s">
        <v>42</v>
      </c>
      <c r="I2009">
        <v>50</v>
      </c>
      <c r="J2009">
        <v>70</v>
      </c>
      <c r="K2009">
        <v>10</v>
      </c>
      <c r="L2009">
        <v>120</v>
      </c>
      <c r="M2009">
        <v>55</v>
      </c>
      <c r="N2009">
        <v>627</v>
      </c>
      <c r="O2009">
        <v>76</v>
      </c>
      <c r="P2009">
        <v>49</v>
      </c>
      <c r="Q2009">
        <v>-2</v>
      </c>
      <c r="R2009">
        <v>131</v>
      </c>
      <c r="S2009">
        <v>1.0916666666666666</v>
      </c>
      <c r="T2009">
        <v>-0.2</v>
      </c>
      <c r="U2009">
        <v>1.1000000000000001</v>
      </c>
    </row>
    <row r="2010" spans="1:21" x14ac:dyDescent="0.35">
      <c r="A2010">
        <v>959</v>
      </c>
      <c r="B2010" s="16">
        <v>40513</v>
      </c>
      <c r="C2010" s="15" t="s">
        <v>63</v>
      </c>
      <c r="D2010" s="15" t="s">
        <v>58</v>
      </c>
      <c r="E2010" s="15" t="s">
        <v>50</v>
      </c>
      <c r="F2010" s="15" t="s">
        <v>49</v>
      </c>
      <c r="G2010" s="15" t="s">
        <v>64</v>
      </c>
      <c r="H2010" s="15" t="s">
        <v>45</v>
      </c>
      <c r="I2010">
        <v>40</v>
      </c>
      <c r="J2010">
        <v>70</v>
      </c>
      <c r="K2010">
        <v>40</v>
      </c>
      <c r="L2010">
        <v>110</v>
      </c>
      <c r="M2010">
        <v>49</v>
      </c>
      <c r="N2010">
        <v>392</v>
      </c>
      <c r="O2010">
        <v>65</v>
      </c>
      <c r="P2010">
        <v>16</v>
      </c>
      <c r="Q2010">
        <v>21</v>
      </c>
      <c r="R2010">
        <v>114</v>
      </c>
      <c r="S2010">
        <v>1.0363636363636364</v>
      </c>
      <c r="T2010">
        <v>0.52500000000000002</v>
      </c>
      <c r="U2010">
        <v>1.2250000000000001</v>
      </c>
    </row>
    <row r="2011" spans="1:21" x14ac:dyDescent="0.35">
      <c r="A2011">
        <v>203</v>
      </c>
      <c r="B2011" s="16">
        <v>40513</v>
      </c>
      <c r="C2011" s="15" t="s">
        <v>63</v>
      </c>
      <c r="D2011" s="15" t="s">
        <v>58</v>
      </c>
      <c r="E2011" s="15" t="s">
        <v>43</v>
      </c>
      <c r="F2011" s="15" t="s">
        <v>40</v>
      </c>
      <c r="G2011" s="15" t="s">
        <v>64</v>
      </c>
      <c r="H2011" s="15" t="s">
        <v>42</v>
      </c>
      <c r="I2011">
        <v>100</v>
      </c>
      <c r="J2011">
        <v>160</v>
      </c>
      <c r="K2011">
        <v>110</v>
      </c>
      <c r="L2011">
        <v>260</v>
      </c>
      <c r="M2011">
        <v>115</v>
      </c>
      <c r="N2011">
        <v>1166</v>
      </c>
      <c r="O2011">
        <v>174</v>
      </c>
      <c r="P2011">
        <v>37</v>
      </c>
      <c r="Q2011">
        <v>105</v>
      </c>
      <c r="R2011">
        <v>289</v>
      </c>
      <c r="S2011">
        <v>1.1115384615384616</v>
      </c>
      <c r="T2011">
        <v>0.95454545454545459</v>
      </c>
      <c r="U2011">
        <v>1.1499999999999999</v>
      </c>
    </row>
    <row r="2012" spans="1:21" x14ac:dyDescent="0.35">
      <c r="A2012">
        <v>813</v>
      </c>
      <c r="B2012" s="16">
        <v>40513</v>
      </c>
      <c r="C2012" s="15" t="s">
        <v>63</v>
      </c>
      <c r="D2012" s="15" t="s">
        <v>38</v>
      </c>
      <c r="E2012" s="15" t="s">
        <v>55</v>
      </c>
      <c r="F2012" s="15" t="s">
        <v>47</v>
      </c>
      <c r="G2012" s="15" t="s">
        <v>65</v>
      </c>
      <c r="H2012" s="15" t="s">
        <v>42</v>
      </c>
      <c r="I2012">
        <v>30</v>
      </c>
      <c r="J2012">
        <v>40</v>
      </c>
      <c r="K2012">
        <v>30</v>
      </c>
      <c r="L2012">
        <v>70</v>
      </c>
      <c r="M2012">
        <v>30</v>
      </c>
      <c r="N2012">
        <v>882</v>
      </c>
      <c r="O2012">
        <v>45</v>
      </c>
      <c r="P2012">
        <v>8</v>
      </c>
      <c r="Q2012">
        <v>26</v>
      </c>
      <c r="R2012">
        <v>75</v>
      </c>
      <c r="S2012">
        <v>1.0714285714285714</v>
      </c>
      <c r="T2012">
        <v>0.8666666666666667</v>
      </c>
      <c r="U2012">
        <v>1</v>
      </c>
    </row>
    <row r="2013" spans="1:21" x14ac:dyDescent="0.35">
      <c r="A2013">
        <v>863</v>
      </c>
      <c r="B2013" s="16">
        <v>40513</v>
      </c>
      <c r="C2013" s="15" t="s">
        <v>63</v>
      </c>
      <c r="D2013" s="15" t="s">
        <v>38</v>
      </c>
      <c r="E2013" s="15" t="s">
        <v>46</v>
      </c>
      <c r="F2013" s="15" t="s">
        <v>47</v>
      </c>
      <c r="G2013" s="15" t="s">
        <v>65</v>
      </c>
      <c r="H2013" s="15" t="s">
        <v>42</v>
      </c>
      <c r="I2013">
        <v>30</v>
      </c>
      <c r="J2013">
        <v>50</v>
      </c>
      <c r="K2013">
        <v>40</v>
      </c>
      <c r="L2013">
        <v>80</v>
      </c>
      <c r="M2013">
        <v>34</v>
      </c>
      <c r="N2013">
        <v>863</v>
      </c>
      <c r="O2013">
        <v>51</v>
      </c>
      <c r="P2013">
        <v>9</v>
      </c>
      <c r="Q2013">
        <v>30</v>
      </c>
      <c r="R2013">
        <v>85</v>
      </c>
      <c r="S2013">
        <v>1.0625</v>
      </c>
      <c r="T2013">
        <v>0.75</v>
      </c>
      <c r="U2013">
        <v>1.1333333333333333</v>
      </c>
    </row>
    <row r="2014" spans="1:21" x14ac:dyDescent="0.35">
      <c r="A2014">
        <v>772</v>
      </c>
      <c r="B2014" s="16">
        <v>40513</v>
      </c>
      <c r="C2014" s="15" t="s">
        <v>63</v>
      </c>
      <c r="D2014" s="15" t="s">
        <v>38</v>
      </c>
      <c r="E2014" s="15" t="s">
        <v>51</v>
      </c>
      <c r="F2014" s="15" t="s">
        <v>52</v>
      </c>
      <c r="G2014" s="15" t="s">
        <v>65</v>
      </c>
      <c r="H2014" s="15" t="s">
        <v>45</v>
      </c>
      <c r="I2014">
        <v>10</v>
      </c>
      <c r="J2014">
        <v>30</v>
      </c>
      <c r="K2014">
        <v>20</v>
      </c>
      <c r="L2014">
        <v>40</v>
      </c>
      <c r="M2014">
        <v>24</v>
      </c>
      <c r="N2014">
        <v>567</v>
      </c>
      <c r="O2014">
        <v>32</v>
      </c>
      <c r="P2014">
        <v>7</v>
      </c>
      <c r="Q2014">
        <v>12</v>
      </c>
      <c r="R2014">
        <v>56</v>
      </c>
      <c r="S2014">
        <v>1.4</v>
      </c>
      <c r="T2014">
        <v>0.6</v>
      </c>
      <c r="U2014">
        <v>2.4</v>
      </c>
    </row>
    <row r="2015" spans="1:21" x14ac:dyDescent="0.35">
      <c r="A2015">
        <v>954</v>
      </c>
      <c r="B2015" s="16">
        <v>40513</v>
      </c>
      <c r="C2015" s="15" t="s">
        <v>63</v>
      </c>
      <c r="D2015" s="15" t="s">
        <v>38</v>
      </c>
      <c r="E2015" s="15" t="s">
        <v>53</v>
      </c>
      <c r="F2015" s="15" t="s">
        <v>52</v>
      </c>
      <c r="G2015" s="15" t="s">
        <v>65</v>
      </c>
      <c r="H2015" s="15" t="s">
        <v>45</v>
      </c>
      <c r="I2015">
        <v>40</v>
      </c>
      <c r="J2015">
        <v>60</v>
      </c>
      <c r="K2015">
        <v>20</v>
      </c>
      <c r="L2015">
        <v>100</v>
      </c>
      <c r="M2015">
        <v>65</v>
      </c>
      <c r="N2015">
        <v>403</v>
      </c>
      <c r="O2015">
        <v>80</v>
      </c>
      <c r="P2015">
        <v>24</v>
      </c>
      <c r="Q2015">
        <v>23</v>
      </c>
      <c r="R2015">
        <v>145</v>
      </c>
      <c r="S2015">
        <v>1.45</v>
      </c>
      <c r="T2015">
        <v>1.1499999999999999</v>
      </c>
      <c r="U2015">
        <v>1.625</v>
      </c>
    </row>
    <row r="2016" spans="1:21" x14ac:dyDescent="0.35">
      <c r="A2016">
        <v>561</v>
      </c>
      <c r="B2016" s="16">
        <v>40513</v>
      </c>
      <c r="C2016" s="15" t="s">
        <v>63</v>
      </c>
      <c r="D2016" s="15" t="s">
        <v>38</v>
      </c>
      <c r="E2016" s="15" t="s">
        <v>54</v>
      </c>
      <c r="F2016" s="15" t="s">
        <v>52</v>
      </c>
      <c r="G2016" s="15" t="s">
        <v>65</v>
      </c>
      <c r="H2016" s="15" t="s">
        <v>45</v>
      </c>
      <c r="I2016">
        <v>60</v>
      </c>
      <c r="J2016">
        <v>60</v>
      </c>
      <c r="K2016">
        <v>30</v>
      </c>
      <c r="L2016">
        <v>120</v>
      </c>
      <c r="M2016">
        <v>80</v>
      </c>
      <c r="N2016">
        <v>1079</v>
      </c>
      <c r="O2016">
        <v>96</v>
      </c>
      <c r="P2016">
        <v>24</v>
      </c>
      <c r="Q2016">
        <v>50</v>
      </c>
      <c r="R2016">
        <v>176</v>
      </c>
      <c r="S2016">
        <v>1.4666666666666666</v>
      </c>
      <c r="T2016">
        <v>1.6666666666666667</v>
      </c>
      <c r="U2016">
        <v>1.3333333333333333</v>
      </c>
    </row>
    <row r="2017" spans="1:21" x14ac:dyDescent="0.35">
      <c r="A2017">
        <v>305</v>
      </c>
      <c r="B2017" s="16">
        <v>40513</v>
      </c>
      <c r="C2017" s="15" t="s">
        <v>63</v>
      </c>
      <c r="D2017" s="15" t="s">
        <v>38</v>
      </c>
      <c r="E2017" s="15" t="s">
        <v>48</v>
      </c>
      <c r="F2017" s="15" t="s">
        <v>49</v>
      </c>
      <c r="G2017" s="15" t="s">
        <v>65</v>
      </c>
      <c r="H2017" s="15" t="s">
        <v>42</v>
      </c>
      <c r="I2017">
        <v>100</v>
      </c>
      <c r="J2017">
        <v>140</v>
      </c>
      <c r="K2017">
        <v>30</v>
      </c>
      <c r="L2017">
        <v>240</v>
      </c>
      <c r="M2017">
        <v>105</v>
      </c>
      <c r="N2017">
        <v>716</v>
      </c>
      <c r="O2017">
        <v>145</v>
      </c>
      <c r="P2017">
        <v>95</v>
      </c>
      <c r="Q2017">
        <v>21</v>
      </c>
      <c r="R2017">
        <v>250</v>
      </c>
      <c r="S2017">
        <v>1.0416666666666667</v>
      </c>
      <c r="T2017">
        <v>0.7</v>
      </c>
      <c r="U2017">
        <v>1.05</v>
      </c>
    </row>
    <row r="2018" spans="1:21" x14ac:dyDescent="0.35">
      <c r="A2018">
        <v>407</v>
      </c>
      <c r="B2018" s="16">
        <v>40513</v>
      </c>
      <c r="C2018" s="15" t="s">
        <v>63</v>
      </c>
      <c r="D2018" s="15" t="s">
        <v>38</v>
      </c>
      <c r="E2018" s="15" t="s">
        <v>50</v>
      </c>
      <c r="F2018" s="15" t="s">
        <v>49</v>
      </c>
      <c r="G2018" s="15" t="s">
        <v>65</v>
      </c>
      <c r="H2018" s="15" t="s">
        <v>45</v>
      </c>
      <c r="I2018">
        <v>80</v>
      </c>
      <c r="J2018">
        <v>110</v>
      </c>
      <c r="K2018">
        <v>70</v>
      </c>
      <c r="L2018">
        <v>190</v>
      </c>
      <c r="M2018">
        <v>83</v>
      </c>
      <c r="N2018">
        <v>575</v>
      </c>
      <c r="O2018">
        <v>112</v>
      </c>
      <c r="P2018">
        <v>27</v>
      </c>
      <c r="Q2018">
        <v>58</v>
      </c>
      <c r="R2018">
        <v>195</v>
      </c>
      <c r="S2018">
        <v>1.0263157894736843</v>
      </c>
      <c r="T2018">
        <v>0.82857142857142863</v>
      </c>
      <c r="U2018">
        <v>1.0375000000000001</v>
      </c>
    </row>
    <row r="2019" spans="1:21" x14ac:dyDescent="0.35">
      <c r="A2019">
        <v>754</v>
      </c>
      <c r="B2019" s="16">
        <v>40513</v>
      </c>
      <c r="C2019" s="15" t="s">
        <v>63</v>
      </c>
      <c r="D2019" s="15" t="s">
        <v>38</v>
      </c>
      <c r="E2019" s="15" t="s">
        <v>43</v>
      </c>
      <c r="F2019" s="15" t="s">
        <v>40</v>
      </c>
      <c r="G2019" s="15" t="s">
        <v>65</v>
      </c>
      <c r="H2019" s="15" t="s">
        <v>42</v>
      </c>
      <c r="I2019">
        <v>70</v>
      </c>
      <c r="J2019">
        <v>120</v>
      </c>
      <c r="K2019">
        <v>80</v>
      </c>
      <c r="L2019">
        <v>190</v>
      </c>
      <c r="M2019">
        <v>88</v>
      </c>
      <c r="N2019">
        <v>817</v>
      </c>
      <c r="O2019">
        <v>133</v>
      </c>
      <c r="P2019">
        <v>29</v>
      </c>
      <c r="Q2019">
        <v>73</v>
      </c>
      <c r="R2019">
        <v>221</v>
      </c>
      <c r="S2019">
        <v>1.1631578947368422</v>
      </c>
      <c r="T2019">
        <v>0.91249999999999998</v>
      </c>
      <c r="U2019">
        <v>1.2571428571428571</v>
      </c>
    </row>
    <row r="2020" spans="1:21" x14ac:dyDescent="0.35">
      <c r="A2020">
        <v>813</v>
      </c>
      <c r="B2020" s="16">
        <v>40513</v>
      </c>
      <c r="C2020" s="15" t="s">
        <v>63</v>
      </c>
      <c r="D2020" s="15" t="s">
        <v>38</v>
      </c>
      <c r="E2020" s="15" t="s">
        <v>44</v>
      </c>
      <c r="F2020" s="15" t="s">
        <v>40</v>
      </c>
      <c r="G2020" s="15" t="s">
        <v>65</v>
      </c>
      <c r="H2020" s="15" t="s">
        <v>45</v>
      </c>
      <c r="I2020">
        <v>120</v>
      </c>
      <c r="J2020">
        <v>160</v>
      </c>
      <c r="K2020">
        <v>110</v>
      </c>
      <c r="L2020">
        <v>280</v>
      </c>
      <c r="M2020">
        <v>134</v>
      </c>
      <c r="N2020">
        <v>690</v>
      </c>
      <c r="O2020">
        <v>186</v>
      </c>
      <c r="P2020">
        <v>41</v>
      </c>
      <c r="Q2020">
        <v>122</v>
      </c>
      <c r="R2020">
        <v>320</v>
      </c>
      <c r="S2020">
        <v>1.1428571428571428</v>
      </c>
      <c r="T2020">
        <v>1.1090909090909091</v>
      </c>
      <c r="U2020">
        <v>1.1166666666666667</v>
      </c>
    </row>
    <row r="2021" spans="1:21" x14ac:dyDescent="0.35">
      <c r="A2021">
        <v>617</v>
      </c>
      <c r="B2021" s="16">
        <v>40513</v>
      </c>
      <c r="C2021" s="15" t="s">
        <v>63</v>
      </c>
      <c r="D2021" s="15" t="s">
        <v>38</v>
      </c>
      <c r="E2021" s="15" t="s">
        <v>55</v>
      </c>
      <c r="F2021" s="15" t="s">
        <v>47</v>
      </c>
      <c r="G2021" s="15" t="s">
        <v>66</v>
      </c>
      <c r="H2021" s="15" t="s">
        <v>42</v>
      </c>
      <c r="I2021">
        <v>30</v>
      </c>
      <c r="J2021">
        <v>50</v>
      </c>
      <c r="K2021">
        <v>40</v>
      </c>
      <c r="L2021">
        <v>80</v>
      </c>
      <c r="M2021">
        <v>33</v>
      </c>
      <c r="N2021">
        <v>870</v>
      </c>
      <c r="O2021">
        <v>49</v>
      </c>
      <c r="P2021">
        <v>9</v>
      </c>
      <c r="Q2021">
        <v>29</v>
      </c>
      <c r="R2021">
        <v>82</v>
      </c>
      <c r="S2021">
        <v>1.0249999999999999</v>
      </c>
      <c r="T2021">
        <v>0.72499999999999998</v>
      </c>
      <c r="U2021">
        <v>1.1000000000000001</v>
      </c>
    </row>
    <row r="2022" spans="1:21" x14ac:dyDescent="0.35">
      <c r="A2022">
        <v>857</v>
      </c>
      <c r="B2022" s="16">
        <v>40513</v>
      </c>
      <c r="C2022" s="15" t="s">
        <v>63</v>
      </c>
      <c r="D2022" s="15" t="s">
        <v>38</v>
      </c>
      <c r="E2022" s="15" t="s">
        <v>46</v>
      </c>
      <c r="F2022" s="15" t="s">
        <v>47</v>
      </c>
      <c r="G2022" s="15" t="s">
        <v>66</v>
      </c>
      <c r="H2022" s="15" t="s">
        <v>42</v>
      </c>
      <c r="I2022">
        <v>30</v>
      </c>
      <c r="J2022">
        <v>40</v>
      </c>
      <c r="K2022">
        <v>30</v>
      </c>
      <c r="L2022">
        <v>70</v>
      </c>
      <c r="M2022">
        <v>29</v>
      </c>
      <c r="N2022">
        <v>490</v>
      </c>
      <c r="O2022">
        <v>44</v>
      </c>
      <c r="P2022">
        <v>8</v>
      </c>
      <c r="Q2022">
        <v>25</v>
      </c>
      <c r="R2022">
        <v>73</v>
      </c>
      <c r="S2022">
        <v>1.0428571428571429</v>
      </c>
      <c r="T2022">
        <v>0.83333333333333337</v>
      </c>
      <c r="U2022">
        <v>0.96666666666666667</v>
      </c>
    </row>
    <row r="2023" spans="1:21" x14ac:dyDescent="0.35">
      <c r="A2023">
        <v>508</v>
      </c>
      <c r="B2023" s="16">
        <v>40513</v>
      </c>
      <c r="C2023" s="15" t="s">
        <v>63</v>
      </c>
      <c r="D2023" s="15" t="s">
        <v>38</v>
      </c>
      <c r="E2023" s="15" t="s">
        <v>53</v>
      </c>
      <c r="F2023" s="15" t="s">
        <v>52</v>
      </c>
      <c r="G2023" s="15" t="s">
        <v>66</v>
      </c>
      <c r="H2023" s="15" t="s">
        <v>45</v>
      </c>
      <c r="I2023">
        <v>30</v>
      </c>
      <c r="J2023">
        <v>40</v>
      </c>
      <c r="K2023">
        <v>10</v>
      </c>
      <c r="L2023">
        <v>70</v>
      </c>
      <c r="M2023">
        <v>46</v>
      </c>
      <c r="N2023">
        <v>422</v>
      </c>
      <c r="O2023">
        <v>57</v>
      </c>
      <c r="P2023">
        <v>17</v>
      </c>
      <c r="Q2023">
        <v>7</v>
      </c>
      <c r="R2023">
        <v>103</v>
      </c>
      <c r="S2023">
        <v>1.4714285714285715</v>
      </c>
      <c r="T2023">
        <v>0.7</v>
      </c>
      <c r="U2023">
        <v>1.5333333333333334</v>
      </c>
    </row>
    <row r="2024" spans="1:21" x14ac:dyDescent="0.35">
      <c r="A2024">
        <v>339</v>
      </c>
      <c r="B2024" s="16">
        <v>40513</v>
      </c>
      <c r="C2024" s="15" t="s">
        <v>63</v>
      </c>
      <c r="D2024" s="15" t="s">
        <v>38</v>
      </c>
      <c r="E2024" s="15" t="s">
        <v>48</v>
      </c>
      <c r="F2024" s="15" t="s">
        <v>49</v>
      </c>
      <c r="G2024" s="15" t="s">
        <v>66</v>
      </c>
      <c r="H2024" s="15" t="s">
        <v>42</v>
      </c>
      <c r="I2024">
        <v>40</v>
      </c>
      <c r="J2024">
        <v>50</v>
      </c>
      <c r="K2024">
        <v>-10</v>
      </c>
      <c r="L2024">
        <v>90</v>
      </c>
      <c r="M2024">
        <v>47</v>
      </c>
      <c r="N2024">
        <v>571</v>
      </c>
      <c r="O2024">
        <v>52</v>
      </c>
      <c r="P2024">
        <v>42</v>
      </c>
      <c r="Q2024">
        <v>-20</v>
      </c>
      <c r="R2024">
        <v>99</v>
      </c>
      <c r="S2024">
        <v>1.1000000000000001</v>
      </c>
      <c r="T2024">
        <v>2</v>
      </c>
      <c r="U2024">
        <v>1.175</v>
      </c>
    </row>
    <row r="2025" spans="1:21" x14ac:dyDescent="0.35">
      <c r="A2025">
        <v>351</v>
      </c>
      <c r="B2025" s="16">
        <v>40513</v>
      </c>
      <c r="C2025" s="15" t="s">
        <v>63</v>
      </c>
      <c r="D2025" s="15" t="s">
        <v>38</v>
      </c>
      <c r="E2025" s="15" t="s">
        <v>67</v>
      </c>
      <c r="F2025" s="15" t="s">
        <v>49</v>
      </c>
      <c r="G2025" s="15" t="s">
        <v>66</v>
      </c>
      <c r="H2025" s="15" t="s">
        <v>42</v>
      </c>
      <c r="I2025">
        <v>150</v>
      </c>
      <c r="J2025">
        <v>140</v>
      </c>
      <c r="K2025">
        <v>80</v>
      </c>
      <c r="L2025">
        <v>290</v>
      </c>
      <c r="M2025">
        <v>153</v>
      </c>
      <c r="N2025">
        <v>1319</v>
      </c>
      <c r="O2025">
        <v>153</v>
      </c>
      <c r="P2025">
        <v>42</v>
      </c>
      <c r="Q2025">
        <v>87</v>
      </c>
      <c r="R2025">
        <v>306</v>
      </c>
      <c r="S2025">
        <v>1.0551724137931036</v>
      </c>
      <c r="T2025">
        <v>1.0874999999999999</v>
      </c>
      <c r="U2025">
        <v>1.02</v>
      </c>
    </row>
    <row r="2026" spans="1:21" x14ac:dyDescent="0.35">
      <c r="A2026">
        <v>351</v>
      </c>
      <c r="B2026" s="16">
        <v>40513</v>
      </c>
      <c r="C2026" s="15" t="s">
        <v>63</v>
      </c>
      <c r="D2026" s="15" t="s">
        <v>38</v>
      </c>
      <c r="E2026" s="15" t="s">
        <v>43</v>
      </c>
      <c r="F2026" s="15" t="s">
        <v>40</v>
      </c>
      <c r="G2026" s="15" t="s">
        <v>66</v>
      </c>
      <c r="H2026" s="15" t="s">
        <v>42</v>
      </c>
      <c r="I2026">
        <v>60</v>
      </c>
      <c r="J2026">
        <v>390</v>
      </c>
      <c r="K2026">
        <v>360</v>
      </c>
      <c r="L2026">
        <v>450</v>
      </c>
      <c r="M2026">
        <v>67</v>
      </c>
      <c r="N2026">
        <v>-3534</v>
      </c>
      <c r="O2026">
        <v>443</v>
      </c>
      <c r="P2026">
        <v>22</v>
      </c>
      <c r="Q2026">
        <v>390</v>
      </c>
      <c r="R2026">
        <v>510</v>
      </c>
      <c r="S2026">
        <v>1.1333333333333333</v>
      </c>
      <c r="T2026">
        <v>1.0833333333333333</v>
      </c>
      <c r="U2026">
        <v>1.1166666666666667</v>
      </c>
    </row>
    <row r="2027" spans="1:21" x14ac:dyDescent="0.35">
      <c r="A2027">
        <v>603</v>
      </c>
      <c r="B2027" s="16">
        <v>40513</v>
      </c>
      <c r="C2027" s="15" t="s">
        <v>63</v>
      </c>
      <c r="D2027" s="15" t="s">
        <v>58</v>
      </c>
      <c r="E2027" s="15" t="s">
        <v>55</v>
      </c>
      <c r="F2027" s="15" t="s">
        <v>47</v>
      </c>
      <c r="G2027" s="15" t="s">
        <v>68</v>
      </c>
      <c r="H2027" s="15" t="s">
        <v>42</v>
      </c>
      <c r="I2027">
        <v>10</v>
      </c>
      <c r="J2027">
        <v>30</v>
      </c>
      <c r="K2027">
        <v>20</v>
      </c>
      <c r="L2027">
        <v>40</v>
      </c>
      <c r="M2027">
        <v>16</v>
      </c>
      <c r="N2027">
        <v>851</v>
      </c>
      <c r="O2027">
        <v>25</v>
      </c>
      <c r="P2027">
        <v>4</v>
      </c>
      <c r="Q2027">
        <v>10</v>
      </c>
      <c r="R2027">
        <v>41</v>
      </c>
      <c r="S2027">
        <v>1.0249999999999999</v>
      </c>
      <c r="T2027">
        <v>0.5</v>
      </c>
      <c r="U2027">
        <v>1.6</v>
      </c>
    </row>
    <row r="2028" spans="1:21" x14ac:dyDescent="0.35">
      <c r="A2028">
        <v>603</v>
      </c>
      <c r="B2028" s="16">
        <v>40513</v>
      </c>
      <c r="C2028" s="15" t="s">
        <v>63</v>
      </c>
      <c r="D2028" s="15" t="s">
        <v>58</v>
      </c>
      <c r="E2028" s="15" t="s">
        <v>46</v>
      </c>
      <c r="F2028" s="15" t="s">
        <v>47</v>
      </c>
      <c r="G2028" s="15" t="s">
        <v>68</v>
      </c>
      <c r="H2028" s="15" t="s">
        <v>42</v>
      </c>
      <c r="I2028">
        <v>0</v>
      </c>
      <c r="J2028">
        <v>40</v>
      </c>
      <c r="K2028">
        <v>30</v>
      </c>
      <c r="L2028">
        <v>40</v>
      </c>
      <c r="M2028">
        <v>0</v>
      </c>
      <c r="N2028">
        <v>344</v>
      </c>
      <c r="O2028">
        <v>43</v>
      </c>
      <c r="P2028">
        <v>0</v>
      </c>
      <c r="Q2028">
        <v>32</v>
      </c>
      <c r="R2028">
        <v>43</v>
      </c>
      <c r="S2028">
        <v>1.075</v>
      </c>
      <c r="T2028">
        <v>1.0666666666666667</v>
      </c>
    </row>
    <row r="2029" spans="1:21" x14ac:dyDescent="0.35">
      <c r="A2029">
        <v>603</v>
      </c>
      <c r="B2029" s="16">
        <v>40513</v>
      </c>
      <c r="C2029" s="15" t="s">
        <v>63</v>
      </c>
      <c r="D2029" s="15" t="s">
        <v>58</v>
      </c>
      <c r="E2029" s="15" t="s">
        <v>53</v>
      </c>
      <c r="F2029" s="15" t="s">
        <v>52</v>
      </c>
      <c r="G2029" s="15" t="s">
        <v>68</v>
      </c>
      <c r="H2029" s="15" t="s">
        <v>45</v>
      </c>
      <c r="I2029">
        <v>20</v>
      </c>
      <c r="J2029">
        <v>40</v>
      </c>
      <c r="K2029">
        <v>10</v>
      </c>
      <c r="L2029">
        <v>60</v>
      </c>
      <c r="M2029">
        <v>39</v>
      </c>
      <c r="N2029">
        <v>250</v>
      </c>
      <c r="O2029">
        <v>49</v>
      </c>
      <c r="P2029">
        <v>14</v>
      </c>
      <c r="Q2029">
        <v>2</v>
      </c>
      <c r="R2029">
        <v>88</v>
      </c>
      <c r="S2029">
        <v>1.4666666666666666</v>
      </c>
      <c r="T2029">
        <v>0.2</v>
      </c>
      <c r="U2029">
        <v>1.95</v>
      </c>
    </row>
    <row r="2030" spans="1:21" x14ac:dyDescent="0.35">
      <c r="A2030">
        <v>603</v>
      </c>
      <c r="B2030" s="16">
        <v>40513</v>
      </c>
      <c r="C2030" s="15" t="s">
        <v>63</v>
      </c>
      <c r="D2030" s="15" t="s">
        <v>58</v>
      </c>
      <c r="E2030" s="15" t="s">
        <v>48</v>
      </c>
      <c r="F2030" s="15" t="s">
        <v>49</v>
      </c>
      <c r="G2030" s="15" t="s">
        <v>68</v>
      </c>
      <c r="H2030" s="15" t="s">
        <v>42</v>
      </c>
      <c r="I2030">
        <v>40</v>
      </c>
      <c r="J2030">
        <v>70</v>
      </c>
      <c r="K2030">
        <v>10</v>
      </c>
      <c r="L2030">
        <v>110</v>
      </c>
      <c r="M2030">
        <v>49</v>
      </c>
      <c r="N2030">
        <v>335</v>
      </c>
      <c r="O2030">
        <v>69</v>
      </c>
      <c r="P2030">
        <v>44</v>
      </c>
      <c r="Q2030">
        <v>-4</v>
      </c>
      <c r="R2030">
        <v>118</v>
      </c>
      <c r="S2030">
        <v>1.0727272727272728</v>
      </c>
      <c r="T2030">
        <v>-0.4</v>
      </c>
      <c r="U2030">
        <v>1.2250000000000001</v>
      </c>
    </row>
    <row r="2031" spans="1:21" x14ac:dyDescent="0.35">
      <c r="A2031">
        <v>603</v>
      </c>
      <c r="B2031" s="16">
        <v>40513</v>
      </c>
      <c r="C2031" s="15" t="s">
        <v>63</v>
      </c>
      <c r="D2031" s="15" t="s">
        <v>58</v>
      </c>
      <c r="E2031" s="15" t="s">
        <v>67</v>
      </c>
      <c r="F2031" s="15" t="s">
        <v>49</v>
      </c>
      <c r="G2031" s="15" t="s">
        <v>68</v>
      </c>
      <c r="H2031" s="15" t="s">
        <v>42</v>
      </c>
      <c r="I2031">
        <v>10</v>
      </c>
      <c r="J2031">
        <v>30</v>
      </c>
      <c r="K2031">
        <v>0</v>
      </c>
      <c r="L2031">
        <v>40</v>
      </c>
      <c r="M2031">
        <v>20</v>
      </c>
      <c r="N2031">
        <v>218</v>
      </c>
      <c r="O2031">
        <v>25</v>
      </c>
      <c r="P2031">
        <v>7</v>
      </c>
      <c r="Q2031">
        <v>-16</v>
      </c>
      <c r="R2031">
        <v>45</v>
      </c>
      <c r="S2031">
        <v>1.125</v>
      </c>
      <c r="U2031">
        <v>2</v>
      </c>
    </row>
    <row r="2032" spans="1:21" x14ac:dyDescent="0.35">
      <c r="A2032">
        <v>603</v>
      </c>
      <c r="B2032" s="16">
        <v>40513</v>
      </c>
      <c r="C2032" s="15" t="s">
        <v>63</v>
      </c>
      <c r="D2032" s="15" t="s">
        <v>58</v>
      </c>
      <c r="E2032" s="15" t="s">
        <v>39</v>
      </c>
      <c r="F2032" s="15" t="s">
        <v>40</v>
      </c>
      <c r="G2032" s="15" t="s">
        <v>68</v>
      </c>
      <c r="H2032" s="15" t="s">
        <v>42</v>
      </c>
      <c r="I2032">
        <v>40</v>
      </c>
      <c r="J2032">
        <v>70</v>
      </c>
      <c r="K2032">
        <v>50</v>
      </c>
      <c r="L2032">
        <v>110</v>
      </c>
      <c r="M2032">
        <v>52</v>
      </c>
      <c r="N2032">
        <v>327</v>
      </c>
      <c r="O2032">
        <v>75</v>
      </c>
      <c r="P2032">
        <v>16</v>
      </c>
      <c r="Q2032">
        <v>37</v>
      </c>
      <c r="R2032">
        <v>127</v>
      </c>
      <c r="S2032">
        <v>1.1545454545454545</v>
      </c>
      <c r="T2032">
        <v>0.74</v>
      </c>
      <c r="U2032">
        <v>1.3</v>
      </c>
    </row>
    <row r="2033" spans="1:21" x14ac:dyDescent="0.35">
      <c r="A2033">
        <v>603</v>
      </c>
      <c r="B2033" s="16">
        <v>40513</v>
      </c>
      <c r="C2033" s="15" t="s">
        <v>63</v>
      </c>
      <c r="D2033" s="15" t="s">
        <v>58</v>
      </c>
      <c r="E2033" s="15" t="s">
        <v>43</v>
      </c>
      <c r="F2033" s="15" t="s">
        <v>40</v>
      </c>
      <c r="G2033" s="15" t="s">
        <v>68</v>
      </c>
      <c r="H2033" s="15" t="s">
        <v>42</v>
      </c>
      <c r="I2033">
        <v>40</v>
      </c>
      <c r="J2033">
        <v>60</v>
      </c>
      <c r="K2033">
        <v>30</v>
      </c>
      <c r="L2033">
        <v>100</v>
      </c>
      <c r="M2033">
        <v>48</v>
      </c>
      <c r="N2033">
        <v>462</v>
      </c>
      <c r="O2033">
        <v>74</v>
      </c>
      <c r="P2033">
        <v>15</v>
      </c>
      <c r="Q2033">
        <v>28</v>
      </c>
      <c r="R2033">
        <v>122</v>
      </c>
      <c r="S2033">
        <v>1.22</v>
      </c>
      <c r="T2033">
        <v>0.93333333333333335</v>
      </c>
      <c r="U2033">
        <v>1.2</v>
      </c>
    </row>
    <row r="2034" spans="1:21" x14ac:dyDescent="0.35">
      <c r="A2034">
        <v>716</v>
      </c>
      <c r="B2034" s="16">
        <v>40513</v>
      </c>
      <c r="C2034" s="15" t="s">
        <v>63</v>
      </c>
      <c r="D2034" s="15" t="s">
        <v>38</v>
      </c>
      <c r="E2034" s="15" t="s">
        <v>55</v>
      </c>
      <c r="F2034" s="15" t="s">
        <v>47</v>
      </c>
      <c r="G2034" s="15" t="s">
        <v>69</v>
      </c>
      <c r="H2034" s="15" t="s">
        <v>42</v>
      </c>
      <c r="I2034">
        <v>90</v>
      </c>
      <c r="J2034">
        <v>120</v>
      </c>
      <c r="K2034">
        <v>90</v>
      </c>
      <c r="L2034">
        <v>210</v>
      </c>
      <c r="M2034">
        <v>86</v>
      </c>
      <c r="N2034">
        <v>1003</v>
      </c>
      <c r="O2034">
        <v>124</v>
      </c>
      <c r="P2034">
        <v>24</v>
      </c>
      <c r="Q2034">
        <v>89</v>
      </c>
      <c r="R2034">
        <v>210</v>
      </c>
      <c r="S2034">
        <v>1</v>
      </c>
      <c r="T2034">
        <v>0.98888888888888893</v>
      </c>
      <c r="U2034">
        <v>0.9555555555555556</v>
      </c>
    </row>
    <row r="2035" spans="1:21" x14ac:dyDescent="0.35">
      <c r="A2035">
        <v>718</v>
      </c>
      <c r="B2035" s="16">
        <v>40513</v>
      </c>
      <c r="C2035" s="15" t="s">
        <v>63</v>
      </c>
      <c r="D2035" s="15" t="s">
        <v>38</v>
      </c>
      <c r="E2035" s="15" t="s">
        <v>56</v>
      </c>
      <c r="F2035" s="15" t="s">
        <v>47</v>
      </c>
      <c r="G2035" s="15" t="s">
        <v>69</v>
      </c>
      <c r="H2035" s="15" t="s">
        <v>42</v>
      </c>
      <c r="I2035">
        <v>120</v>
      </c>
      <c r="J2035">
        <v>190</v>
      </c>
      <c r="K2035">
        <v>150</v>
      </c>
      <c r="L2035">
        <v>310</v>
      </c>
      <c r="M2035">
        <v>123</v>
      </c>
      <c r="N2035">
        <v>959</v>
      </c>
      <c r="O2035">
        <v>179</v>
      </c>
      <c r="P2035">
        <v>34</v>
      </c>
      <c r="Q2035">
        <v>133</v>
      </c>
      <c r="R2035">
        <v>302</v>
      </c>
      <c r="S2035">
        <v>0.97419354838709682</v>
      </c>
      <c r="T2035">
        <v>0.88666666666666671</v>
      </c>
      <c r="U2035">
        <v>1.0249999999999999</v>
      </c>
    </row>
    <row r="2036" spans="1:21" x14ac:dyDescent="0.35">
      <c r="A2036">
        <v>518</v>
      </c>
      <c r="B2036" s="16">
        <v>40513</v>
      </c>
      <c r="C2036" s="15" t="s">
        <v>63</v>
      </c>
      <c r="D2036" s="15" t="s">
        <v>38</v>
      </c>
      <c r="E2036" s="15" t="s">
        <v>46</v>
      </c>
      <c r="F2036" s="15" t="s">
        <v>47</v>
      </c>
      <c r="G2036" s="15" t="s">
        <v>69</v>
      </c>
      <c r="H2036" s="15" t="s">
        <v>42</v>
      </c>
      <c r="I2036">
        <v>50</v>
      </c>
      <c r="J2036">
        <v>80</v>
      </c>
      <c r="K2036">
        <v>60</v>
      </c>
      <c r="L2036">
        <v>130</v>
      </c>
      <c r="M2036">
        <v>54</v>
      </c>
      <c r="N2036">
        <v>601</v>
      </c>
      <c r="O2036">
        <v>79</v>
      </c>
      <c r="P2036">
        <v>15</v>
      </c>
      <c r="Q2036">
        <v>52</v>
      </c>
      <c r="R2036">
        <v>133</v>
      </c>
      <c r="S2036">
        <v>1.023076923076923</v>
      </c>
      <c r="T2036">
        <v>0.8666666666666667</v>
      </c>
      <c r="U2036">
        <v>1.08</v>
      </c>
    </row>
    <row r="2037" spans="1:21" x14ac:dyDescent="0.35">
      <c r="A2037">
        <v>607</v>
      </c>
      <c r="B2037" s="16">
        <v>40513</v>
      </c>
      <c r="C2037" s="15" t="s">
        <v>63</v>
      </c>
      <c r="D2037" s="15" t="s">
        <v>38</v>
      </c>
      <c r="E2037" s="15" t="s">
        <v>53</v>
      </c>
      <c r="F2037" s="15" t="s">
        <v>52</v>
      </c>
      <c r="G2037" s="15" t="s">
        <v>69</v>
      </c>
      <c r="H2037" s="15" t="s">
        <v>45</v>
      </c>
      <c r="I2037">
        <v>220</v>
      </c>
      <c r="J2037">
        <v>320</v>
      </c>
      <c r="K2037">
        <v>210</v>
      </c>
      <c r="L2037">
        <v>540</v>
      </c>
      <c r="M2037">
        <v>294</v>
      </c>
      <c r="N2037">
        <v>1727</v>
      </c>
      <c r="O2037">
        <v>453</v>
      </c>
      <c r="P2037">
        <v>111</v>
      </c>
      <c r="Q2037">
        <v>309</v>
      </c>
      <c r="R2037">
        <v>747</v>
      </c>
      <c r="S2037">
        <v>1.3833333333333333</v>
      </c>
      <c r="T2037">
        <v>1.4714285714285715</v>
      </c>
      <c r="U2037">
        <v>1.3363636363636364</v>
      </c>
    </row>
    <row r="2038" spans="1:21" x14ac:dyDescent="0.35">
      <c r="A2038">
        <v>716</v>
      </c>
      <c r="B2038" s="16">
        <v>40513</v>
      </c>
      <c r="C2038" s="15" t="s">
        <v>63</v>
      </c>
      <c r="D2038" s="15" t="s">
        <v>38</v>
      </c>
      <c r="E2038" s="15" t="s">
        <v>54</v>
      </c>
      <c r="F2038" s="15" t="s">
        <v>52</v>
      </c>
      <c r="G2038" s="15" t="s">
        <v>69</v>
      </c>
      <c r="H2038" s="15" t="s">
        <v>45</v>
      </c>
      <c r="I2038">
        <v>180</v>
      </c>
      <c r="J2038">
        <v>-80</v>
      </c>
      <c r="K2038">
        <v>-150</v>
      </c>
      <c r="L2038">
        <v>100</v>
      </c>
      <c r="M2038">
        <v>241</v>
      </c>
      <c r="N2038">
        <v>5121</v>
      </c>
      <c r="O2038">
        <v>-93</v>
      </c>
      <c r="P2038">
        <v>74</v>
      </c>
      <c r="Q2038">
        <v>-189</v>
      </c>
      <c r="R2038">
        <v>148</v>
      </c>
      <c r="S2038">
        <v>1.48</v>
      </c>
      <c r="T2038">
        <v>1.26</v>
      </c>
      <c r="U2038">
        <v>1.3388888888888888</v>
      </c>
    </row>
    <row r="2039" spans="1:21" x14ac:dyDescent="0.35">
      <c r="A2039">
        <v>212</v>
      </c>
      <c r="B2039" s="16">
        <v>40513</v>
      </c>
      <c r="C2039" s="15" t="s">
        <v>63</v>
      </c>
      <c r="D2039" s="15" t="s">
        <v>38</v>
      </c>
      <c r="E2039" s="15" t="s">
        <v>48</v>
      </c>
      <c r="F2039" s="15" t="s">
        <v>49</v>
      </c>
      <c r="G2039" s="15" t="s">
        <v>69</v>
      </c>
      <c r="H2039" s="15" t="s">
        <v>42</v>
      </c>
      <c r="I2039">
        <v>130</v>
      </c>
      <c r="J2039">
        <v>-70</v>
      </c>
      <c r="K2039">
        <v>-210</v>
      </c>
      <c r="L2039">
        <v>60</v>
      </c>
      <c r="M2039">
        <v>135</v>
      </c>
      <c r="N2039">
        <v>3641</v>
      </c>
      <c r="O2039">
        <v>-69</v>
      </c>
      <c r="P2039">
        <v>122</v>
      </c>
      <c r="Q2039">
        <v>-224</v>
      </c>
      <c r="R2039">
        <v>66</v>
      </c>
      <c r="S2039">
        <v>1.1000000000000001</v>
      </c>
      <c r="T2039">
        <v>1.0666666666666667</v>
      </c>
      <c r="U2039">
        <v>1.0384615384615385</v>
      </c>
    </row>
    <row r="2040" spans="1:21" x14ac:dyDescent="0.35">
      <c r="A2040">
        <v>718</v>
      </c>
      <c r="B2040" s="16">
        <v>40513</v>
      </c>
      <c r="C2040" s="15" t="s">
        <v>63</v>
      </c>
      <c r="D2040" s="15" t="s">
        <v>38</v>
      </c>
      <c r="E2040" s="15" t="s">
        <v>67</v>
      </c>
      <c r="F2040" s="15" t="s">
        <v>49</v>
      </c>
      <c r="G2040" s="15" t="s">
        <v>69</v>
      </c>
      <c r="H2040" s="15" t="s">
        <v>42</v>
      </c>
      <c r="I2040">
        <v>240</v>
      </c>
      <c r="J2040">
        <v>400</v>
      </c>
      <c r="K2040">
        <v>320</v>
      </c>
      <c r="L2040">
        <v>640</v>
      </c>
      <c r="M2040">
        <v>250</v>
      </c>
      <c r="N2040">
        <v>723</v>
      </c>
      <c r="O2040">
        <v>407</v>
      </c>
      <c r="P2040">
        <v>70</v>
      </c>
      <c r="Q2040">
        <v>312</v>
      </c>
      <c r="R2040">
        <v>657</v>
      </c>
      <c r="S2040">
        <v>1.0265625</v>
      </c>
      <c r="T2040">
        <v>0.97499999999999998</v>
      </c>
      <c r="U2040">
        <v>1.0416666666666667</v>
      </c>
    </row>
    <row r="2041" spans="1:21" x14ac:dyDescent="0.35">
      <c r="A2041">
        <v>845</v>
      </c>
      <c r="B2041" s="16">
        <v>40513</v>
      </c>
      <c r="C2041" s="15" t="s">
        <v>63</v>
      </c>
      <c r="D2041" s="15" t="s">
        <v>38</v>
      </c>
      <c r="E2041" s="15" t="s">
        <v>43</v>
      </c>
      <c r="F2041" s="15" t="s">
        <v>40</v>
      </c>
      <c r="G2041" s="15" t="s">
        <v>69</v>
      </c>
      <c r="H2041" s="15" t="s">
        <v>42</v>
      </c>
      <c r="I2041">
        <v>250</v>
      </c>
      <c r="J2041">
        <v>370</v>
      </c>
      <c r="K2041">
        <v>250</v>
      </c>
      <c r="L2041">
        <v>620</v>
      </c>
      <c r="M2041">
        <v>279</v>
      </c>
      <c r="N2041">
        <v>2642</v>
      </c>
      <c r="O2041">
        <v>420</v>
      </c>
      <c r="P2041">
        <v>97</v>
      </c>
      <c r="Q2041">
        <v>271</v>
      </c>
      <c r="R2041">
        <v>699</v>
      </c>
      <c r="S2041">
        <v>1.1274193548387097</v>
      </c>
      <c r="T2041">
        <v>1.0840000000000001</v>
      </c>
      <c r="U2041">
        <v>1.1160000000000001</v>
      </c>
    </row>
    <row r="2042" spans="1:21" x14ac:dyDescent="0.35">
      <c r="A2042">
        <v>318</v>
      </c>
      <c r="B2042" s="16">
        <v>40513</v>
      </c>
      <c r="C2042" s="15" t="s">
        <v>70</v>
      </c>
      <c r="D2042" s="15" t="s">
        <v>58</v>
      </c>
      <c r="E2042" s="15" t="s">
        <v>43</v>
      </c>
      <c r="F2042" s="15" t="s">
        <v>40</v>
      </c>
      <c r="G2042" s="15" t="s">
        <v>71</v>
      </c>
      <c r="H2042" s="15" t="s">
        <v>42</v>
      </c>
      <c r="I2042">
        <v>50</v>
      </c>
      <c r="J2042">
        <v>90</v>
      </c>
      <c r="K2042">
        <v>70</v>
      </c>
      <c r="L2042">
        <v>140</v>
      </c>
      <c r="M2042">
        <v>49</v>
      </c>
      <c r="N2042">
        <v>845</v>
      </c>
      <c r="O2042">
        <v>71</v>
      </c>
      <c r="P2042">
        <v>13</v>
      </c>
      <c r="Q2042">
        <v>46</v>
      </c>
      <c r="R2042">
        <v>120</v>
      </c>
      <c r="S2042">
        <v>0.8571428571428571</v>
      </c>
      <c r="T2042">
        <v>0.65714285714285714</v>
      </c>
      <c r="U2042">
        <v>0.98</v>
      </c>
    </row>
    <row r="2043" spans="1:21" x14ac:dyDescent="0.35">
      <c r="A2043">
        <v>225</v>
      </c>
      <c r="B2043" s="16">
        <v>40513</v>
      </c>
      <c r="C2043" s="15" t="s">
        <v>70</v>
      </c>
      <c r="D2043" s="15" t="s">
        <v>58</v>
      </c>
      <c r="E2043" s="15" t="s">
        <v>44</v>
      </c>
      <c r="F2043" s="15" t="s">
        <v>40</v>
      </c>
      <c r="G2043" s="15" t="s">
        <v>71</v>
      </c>
      <c r="H2043" s="15" t="s">
        <v>45</v>
      </c>
      <c r="I2043">
        <v>40</v>
      </c>
      <c r="J2043">
        <v>60</v>
      </c>
      <c r="K2043">
        <v>50</v>
      </c>
      <c r="L2043">
        <v>100</v>
      </c>
      <c r="M2043">
        <v>34</v>
      </c>
      <c r="N2043">
        <v>863</v>
      </c>
      <c r="O2043">
        <v>51</v>
      </c>
      <c r="P2043">
        <v>9</v>
      </c>
      <c r="Q2043">
        <v>31</v>
      </c>
      <c r="R2043">
        <v>85</v>
      </c>
      <c r="S2043">
        <v>0.85</v>
      </c>
      <c r="T2043">
        <v>0.62</v>
      </c>
      <c r="U2043">
        <v>0.85</v>
      </c>
    </row>
    <row r="2044" spans="1:21" x14ac:dyDescent="0.35">
      <c r="A2044">
        <v>225</v>
      </c>
      <c r="B2044" s="16">
        <v>40513</v>
      </c>
      <c r="C2044" s="15" t="s">
        <v>70</v>
      </c>
      <c r="D2044" s="15" t="s">
        <v>58</v>
      </c>
      <c r="E2044" s="15" t="s">
        <v>51</v>
      </c>
      <c r="F2044" s="15" t="s">
        <v>52</v>
      </c>
      <c r="G2044" s="15" t="s">
        <v>71</v>
      </c>
      <c r="H2044" s="15" t="s">
        <v>45</v>
      </c>
      <c r="I2044">
        <v>80</v>
      </c>
      <c r="J2044">
        <v>110</v>
      </c>
      <c r="K2044">
        <v>70</v>
      </c>
      <c r="L2044">
        <v>190</v>
      </c>
      <c r="M2044">
        <v>94</v>
      </c>
      <c r="N2044">
        <v>540</v>
      </c>
      <c r="O2044">
        <v>120</v>
      </c>
      <c r="P2044">
        <v>31</v>
      </c>
      <c r="Q2044">
        <v>77</v>
      </c>
      <c r="R2044">
        <v>214</v>
      </c>
      <c r="S2044">
        <v>1.1263157894736842</v>
      </c>
      <c r="T2044">
        <v>1.1000000000000001</v>
      </c>
      <c r="U2044">
        <v>1.175</v>
      </c>
    </row>
    <row r="2045" spans="1:21" x14ac:dyDescent="0.35">
      <c r="A2045">
        <v>985</v>
      </c>
      <c r="B2045" s="16">
        <v>40513</v>
      </c>
      <c r="C2045" s="15" t="s">
        <v>70</v>
      </c>
      <c r="D2045" s="15" t="s">
        <v>58</v>
      </c>
      <c r="E2045" s="15" t="s">
        <v>53</v>
      </c>
      <c r="F2045" s="15" t="s">
        <v>52</v>
      </c>
      <c r="G2045" s="15" t="s">
        <v>71</v>
      </c>
      <c r="H2045" s="15" t="s">
        <v>45</v>
      </c>
      <c r="I2045">
        <v>60</v>
      </c>
      <c r="J2045">
        <v>80</v>
      </c>
      <c r="K2045">
        <v>30</v>
      </c>
      <c r="L2045">
        <v>140</v>
      </c>
      <c r="M2045">
        <v>68</v>
      </c>
      <c r="N2045">
        <v>619</v>
      </c>
      <c r="O2045">
        <v>85</v>
      </c>
      <c r="P2045">
        <v>25</v>
      </c>
      <c r="Q2045">
        <v>26</v>
      </c>
      <c r="R2045">
        <v>153</v>
      </c>
      <c r="S2045">
        <v>1.0928571428571427</v>
      </c>
      <c r="T2045">
        <v>0.8666666666666667</v>
      </c>
      <c r="U2045">
        <v>1.1333333333333333</v>
      </c>
    </row>
    <row r="2046" spans="1:21" x14ac:dyDescent="0.35">
      <c r="A2046">
        <v>985</v>
      </c>
      <c r="B2046" s="16">
        <v>40513</v>
      </c>
      <c r="C2046" s="15" t="s">
        <v>70</v>
      </c>
      <c r="D2046" s="15" t="s">
        <v>58</v>
      </c>
      <c r="E2046" s="15" t="s">
        <v>72</v>
      </c>
      <c r="F2046" s="15" t="s">
        <v>49</v>
      </c>
      <c r="G2046" s="15" t="s">
        <v>71</v>
      </c>
      <c r="H2046" s="15" t="s">
        <v>42</v>
      </c>
      <c r="I2046">
        <v>40</v>
      </c>
      <c r="J2046">
        <v>60</v>
      </c>
      <c r="K2046">
        <v>0</v>
      </c>
      <c r="L2046">
        <v>100</v>
      </c>
      <c r="M2046">
        <v>55</v>
      </c>
      <c r="N2046">
        <v>-1053</v>
      </c>
      <c r="O2046">
        <v>76</v>
      </c>
      <c r="P2046">
        <v>49</v>
      </c>
      <c r="Q2046">
        <v>-3</v>
      </c>
      <c r="R2046">
        <v>131</v>
      </c>
      <c r="S2046">
        <v>1.31</v>
      </c>
      <c r="U2046">
        <v>1.375</v>
      </c>
    </row>
    <row r="2047" spans="1:21" x14ac:dyDescent="0.35">
      <c r="A2047">
        <v>985</v>
      </c>
      <c r="B2047" s="16">
        <v>40513</v>
      </c>
      <c r="C2047" s="15" t="s">
        <v>70</v>
      </c>
      <c r="D2047" s="15" t="s">
        <v>58</v>
      </c>
      <c r="E2047" s="15" t="s">
        <v>48</v>
      </c>
      <c r="F2047" s="15" t="s">
        <v>49</v>
      </c>
      <c r="G2047" s="15" t="s">
        <v>71</v>
      </c>
      <c r="H2047" s="15" t="s">
        <v>42</v>
      </c>
      <c r="I2047">
        <v>30</v>
      </c>
      <c r="J2047">
        <v>50</v>
      </c>
      <c r="K2047">
        <v>20</v>
      </c>
      <c r="L2047">
        <v>80</v>
      </c>
      <c r="M2047">
        <v>41</v>
      </c>
      <c r="N2047">
        <v>320</v>
      </c>
      <c r="O2047">
        <v>66</v>
      </c>
      <c r="P2047">
        <v>12</v>
      </c>
      <c r="Q2047">
        <v>31</v>
      </c>
      <c r="R2047">
        <v>107</v>
      </c>
      <c r="S2047">
        <v>1.3374999999999999</v>
      </c>
      <c r="T2047">
        <v>1.55</v>
      </c>
      <c r="U2047">
        <v>1.3666666666666667</v>
      </c>
    </row>
    <row r="2048" spans="1:21" x14ac:dyDescent="0.35">
      <c r="A2048">
        <v>225</v>
      </c>
      <c r="B2048" s="16">
        <v>40513</v>
      </c>
      <c r="C2048" s="15" t="s">
        <v>70</v>
      </c>
      <c r="D2048" s="15" t="s">
        <v>58</v>
      </c>
      <c r="E2048" s="15" t="s">
        <v>50</v>
      </c>
      <c r="F2048" s="15" t="s">
        <v>49</v>
      </c>
      <c r="G2048" s="15" t="s">
        <v>71</v>
      </c>
      <c r="H2048" s="15" t="s">
        <v>45</v>
      </c>
      <c r="I2048">
        <v>30</v>
      </c>
      <c r="J2048">
        <v>50</v>
      </c>
      <c r="K2048">
        <v>20</v>
      </c>
      <c r="L2048">
        <v>80</v>
      </c>
      <c r="M2048">
        <v>43</v>
      </c>
      <c r="N2048">
        <v>466</v>
      </c>
      <c r="O2048">
        <v>63</v>
      </c>
      <c r="P2048">
        <v>13</v>
      </c>
      <c r="Q2048">
        <v>27</v>
      </c>
      <c r="R2048">
        <v>106</v>
      </c>
      <c r="S2048">
        <v>1.325</v>
      </c>
      <c r="T2048">
        <v>1.35</v>
      </c>
      <c r="U2048">
        <v>1.4333333333333333</v>
      </c>
    </row>
    <row r="2049" spans="1:21" x14ac:dyDescent="0.35">
      <c r="A2049">
        <v>505</v>
      </c>
      <c r="B2049" s="16">
        <v>40513</v>
      </c>
      <c r="C2049" s="15" t="s">
        <v>70</v>
      </c>
      <c r="D2049" s="15" t="s">
        <v>58</v>
      </c>
      <c r="E2049" s="15" t="s">
        <v>43</v>
      </c>
      <c r="F2049" s="15" t="s">
        <v>40</v>
      </c>
      <c r="G2049" s="15" t="s">
        <v>73</v>
      </c>
      <c r="H2049" s="15" t="s">
        <v>42</v>
      </c>
      <c r="I2049">
        <v>50</v>
      </c>
      <c r="J2049">
        <v>90</v>
      </c>
      <c r="K2049">
        <v>50</v>
      </c>
      <c r="L2049">
        <v>140</v>
      </c>
      <c r="M2049">
        <v>48</v>
      </c>
      <c r="N2049">
        <v>462</v>
      </c>
      <c r="O2049">
        <v>74</v>
      </c>
      <c r="P2049">
        <v>15</v>
      </c>
      <c r="Q2049">
        <v>27</v>
      </c>
      <c r="R2049">
        <v>122</v>
      </c>
      <c r="S2049">
        <v>0.87142857142857144</v>
      </c>
      <c r="T2049">
        <v>0.54</v>
      </c>
      <c r="U2049">
        <v>0.96</v>
      </c>
    </row>
    <row r="2050" spans="1:21" x14ac:dyDescent="0.35">
      <c r="A2050">
        <v>505</v>
      </c>
      <c r="B2050" s="16">
        <v>40513</v>
      </c>
      <c r="C2050" s="15" t="s">
        <v>70</v>
      </c>
      <c r="D2050" s="15" t="s">
        <v>58</v>
      </c>
      <c r="E2050" s="15" t="s">
        <v>44</v>
      </c>
      <c r="F2050" s="15" t="s">
        <v>40</v>
      </c>
      <c r="G2050" s="15" t="s">
        <v>73</v>
      </c>
      <c r="H2050" s="15" t="s">
        <v>45</v>
      </c>
      <c r="I2050">
        <v>100</v>
      </c>
      <c r="J2050">
        <v>90</v>
      </c>
      <c r="K2050">
        <v>40</v>
      </c>
      <c r="L2050">
        <v>190</v>
      </c>
      <c r="M2050">
        <v>92</v>
      </c>
      <c r="N2050">
        <v>1898</v>
      </c>
      <c r="O2050">
        <v>68</v>
      </c>
      <c r="P2050">
        <v>28</v>
      </c>
      <c r="Q2050">
        <v>16</v>
      </c>
      <c r="R2050">
        <v>160</v>
      </c>
      <c r="S2050">
        <v>0.84210526315789469</v>
      </c>
      <c r="T2050">
        <v>0.4</v>
      </c>
      <c r="U2050">
        <v>0.92</v>
      </c>
    </row>
    <row r="2051" spans="1:21" x14ac:dyDescent="0.35">
      <c r="A2051">
        <v>505</v>
      </c>
      <c r="B2051" s="16">
        <v>40513</v>
      </c>
      <c r="C2051" s="15" t="s">
        <v>70</v>
      </c>
      <c r="D2051" s="15" t="s">
        <v>58</v>
      </c>
      <c r="E2051" s="15" t="s">
        <v>51</v>
      </c>
      <c r="F2051" s="15" t="s">
        <v>52</v>
      </c>
      <c r="G2051" s="15" t="s">
        <v>73</v>
      </c>
      <c r="H2051" s="15" t="s">
        <v>45</v>
      </c>
      <c r="I2051">
        <v>10</v>
      </c>
      <c r="J2051">
        <v>20</v>
      </c>
      <c r="K2051">
        <v>10</v>
      </c>
      <c r="L2051">
        <v>30</v>
      </c>
      <c r="M2051">
        <v>16</v>
      </c>
      <c r="N2051">
        <v>851</v>
      </c>
      <c r="O2051">
        <v>25</v>
      </c>
      <c r="P2051">
        <v>4</v>
      </c>
      <c r="Q2051">
        <v>9</v>
      </c>
      <c r="R2051">
        <v>41</v>
      </c>
      <c r="S2051">
        <v>1.3666666666666667</v>
      </c>
      <c r="T2051">
        <v>0.9</v>
      </c>
      <c r="U2051">
        <v>1.6</v>
      </c>
    </row>
    <row r="2052" spans="1:21" x14ac:dyDescent="0.35">
      <c r="A2052">
        <v>505</v>
      </c>
      <c r="B2052" s="16">
        <v>40513</v>
      </c>
      <c r="C2052" s="15" t="s">
        <v>70</v>
      </c>
      <c r="D2052" s="15" t="s">
        <v>58</v>
      </c>
      <c r="E2052" s="15" t="s">
        <v>53</v>
      </c>
      <c r="F2052" s="15" t="s">
        <v>52</v>
      </c>
      <c r="G2052" s="15" t="s">
        <v>73</v>
      </c>
      <c r="H2052" s="15" t="s">
        <v>45</v>
      </c>
      <c r="I2052">
        <v>20</v>
      </c>
      <c r="J2052">
        <v>40</v>
      </c>
      <c r="K2052">
        <v>20</v>
      </c>
      <c r="L2052">
        <v>60</v>
      </c>
      <c r="M2052">
        <v>31</v>
      </c>
      <c r="N2052">
        <v>1009</v>
      </c>
      <c r="O2052">
        <v>38</v>
      </c>
      <c r="P2052">
        <v>9</v>
      </c>
      <c r="Q2052">
        <v>7</v>
      </c>
      <c r="R2052">
        <v>69</v>
      </c>
      <c r="S2052">
        <v>1.1499999999999999</v>
      </c>
      <c r="T2052">
        <v>0.35</v>
      </c>
      <c r="U2052">
        <v>1.55</v>
      </c>
    </row>
    <row r="2053" spans="1:21" x14ac:dyDescent="0.35">
      <c r="A2053">
        <v>505</v>
      </c>
      <c r="B2053" s="16">
        <v>40513</v>
      </c>
      <c r="C2053" s="15" t="s">
        <v>70</v>
      </c>
      <c r="D2053" s="15" t="s">
        <v>58</v>
      </c>
      <c r="E2053" s="15" t="s">
        <v>72</v>
      </c>
      <c r="F2053" s="15" t="s">
        <v>49</v>
      </c>
      <c r="G2053" s="15" t="s">
        <v>73</v>
      </c>
      <c r="H2053" s="15" t="s">
        <v>42</v>
      </c>
      <c r="I2053">
        <v>10</v>
      </c>
      <c r="J2053">
        <v>20</v>
      </c>
      <c r="K2053">
        <v>-10</v>
      </c>
      <c r="L2053">
        <v>30</v>
      </c>
      <c r="M2053">
        <v>20</v>
      </c>
      <c r="N2053">
        <v>-598</v>
      </c>
      <c r="O2053">
        <v>25</v>
      </c>
      <c r="P2053">
        <v>7</v>
      </c>
      <c r="Q2053">
        <v>-15</v>
      </c>
      <c r="R2053">
        <v>45</v>
      </c>
      <c r="S2053">
        <v>1.5</v>
      </c>
      <c r="T2053">
        <v>1.5</v>
      </c>
      <c r="U2053">
        <v>2</v>
      </c>
    </row>
    <row r="2054" spans="1:21" x14ac:dyDescent="0.35">
      <c r="A2054">
        <v>505</v>
      </c>
      <c r="B2054" s="16">
        <v>40513</v>
      </c>
      <c r="C2054" s="15" t="s">
        <v>70</v>
      </c>
      <c r="D2054" s="15" t="s">
        <v>58</v>
      </c>
      <c r="E2054" s="15" t="s">
        <v>48</v>
      </c>
      <c r="F2054" s="15" t="s">
        <v>49</v>
      </c>
      <c r="G2054" s="15" t="s">
        <v>73</v>
      </c>
      <c r="H2054" s="15" t="s">
        <v>42</v>
      </c>
      <c r="I2054">
        <v>30</v>
      </c>
      <c r="J2054">
        <v>60</v>
      </c>
      <c r="K2054">
        <v>10</v>
      </c>
      <c r="L2054">
        <v>90</v>
      </c>
      <c r="M2054">
        <v>49</v>
      </c>
      <c r="N2054">
        <v>335</v>
      </c>
      <c r="O2054">
        <v>69</v>
      </c>
      <c r="P2054">
        <v>44</v>
      </c>
      <c r="Q2054">
        <v>-5</v>
      </c>
      <c r="R2054">
        <v>118</v>
      </c>
      <c r="S2054">
        <v>1.3111111111111111</v>
      </c>
      <c r="T2054">
        <v>-0.5</v>
      </c>
      <c r="U2054">
        <v>1.6333333333333333</v>
      </c>
    </row>
    <row r="2055" spans="1:21" x14ac:dyDescent="0.35">
      <c r="A2055">
        <v>505</v>
      </c>
      <c r="B2055" s="16">
        <v>40513</v>
      </c>
      <c r="C2055" s="15" t="s">
        <v>70</v>
      </c>
      <c r="D2055" s="15" t="s">
        <v>58</v>
      </c>
      <c r="E2055" s="15" t="s">
        <v>50</v>
      </c>
      <c r="F2055" s="15" t="s">
        <v>49</v>
      </c>
      <c r="G2055" s="15" t="s">
        <v>73</v>
      </c>
      <c r="H2055" s="15" t="s">
        <v>45</v>
      </c>
      <c r="I2055">
        <v>30</v>
      </c>
      <c r="J2055">
        <v>30</v>
      </c>
      <c r="K2055">
        <v>0</v>
      </c>
      <c r="L2055">
        <v>60</v>
      </c>
      <c r="M2055">
        <v>38</v>
      </c>
      <c r="N2055">
        <v>256</v>
      </c>
      <c r="O2055">
        <v>51</v>
      </c>
      <c r="P2055">
        <v>12</v>
      </c>
      <c r="Q2055">
        <v>12</v>
      </c>
      <c r="R2055">
        <v>89</v>
      </c>
      <c r="S2055">
        <v>1.4833333333333334</v>
      </c>
      <c r="U2055">
        <v>1.2666666666666666</v>
      </c>
    </row>
    <row r="2056" spans="1:21" x14ac:dyDescent="0.35">
      <c r="A2056">
        <v>405</v>
      </c>
      <c r="B2056" s="16">
        <v>40513</v>
      </c>
      <c r="C2056" s="15" t="s">
        <v>70</v>
      </c>
      <c r="D2056" s="15" t="s">
        <v>58</v>
      </c>
      <c r="E2056" s="15" t="s">
        <v>43</v>
      </c>
      <c r="F2056" s="15" t="s">
        <v>40</v>
      </c>
      <c r="G2056" s="15" t="s">
        <v>74</v>
      </c>
      <c r="H2056" s="15" t="s">
        <v>42</v>
      </c>
      <c r="I2056">
        <v>90</v>
      </c>
      <c r="J2056">
        <v>130</v>
      </c>
      <c r="K2056">
        <v>100</v>
      </c>
      <c r="L2056">
        <v>220</v>
      </c>
      <c r="M2056">
        <v>81</v>
      </c>
      <c r="N2056">
        <v>551</v>
      </c>
      <c r="O2056">
        <v>104</v>
      </c>
      <c r="P2056">
        <v>26</v>
      </c>
      <c r="Q2056">
        <v>66</v>
      </c>
      <c r="R2056">
        <v>185</v>
      </c>
      <c r="S2056">
        <v>0.84090909090909094</v>
      </c>
      <c r="T2056">
        <v>0.66</v>
      </c>
      <c r="U2056">
        <v>0.9</v>
      </c>
    </row>
    <row r="2057" spans="1:21" x14ac:dyDescent="0.35">
      <c r="A2057">
        <v>580</v>
      </c>
      <c r="B2057" s="16">
        <v>40513</v>
      </c>
      <c r="C2057" s="15" t="s">
        <v>70</v>
      </c>
      <c r="D2057" s="15" t="s">
        <v>58</v>
      </c>
      <c r="E2057" s="15" t="s">
        <v>44</v>
      </c>
      <c r="F2057" s="15" t="s">
        <v>40</v>
      </c>
      <c r="G2057" s="15" t="s">
        <v>74</v>
      </c>
      <c r="H2057" s="15" t="s">
        <v>45</v>
      </c>
      <c r="I2057">
        <v>30</v>
      </c>
      <c r="J2057">
        <v>60</v>
      </c>
      <c r="K2057">
        <v>50</v>
      </c>
      <c r="L2057">
        <v>90</v>
      </c>
      <c r="M2057">
        <v>33</v>
      </c>
      <c r="N2057">
        <v>870</v>
      </c>
      <c r="O2057">
        <v>49</v>
      </c>
      <c r="P2057">
        <v>9</v>
      </c>
      <c r="Q2057">
        <v>28</v>
      </c>
      <c r="R2057">
        <v>82</v>
      </c>
      <c r="S2057">
        <v>0.91111111111111109</v>
      </c>
      <c r="T2057">
        <v>0.56000000000000005</v>
      </c>
      <c r="U2057">
        <v>1.1000000000000001</v>
      </c>
    </row>
    <row r="2058" spans="1:21" x14ac:dyDescent="0.35">
      <c r="A2058">
        <v>405</v>
      </c>
      <c r="B2058" s="16">
        <v>40513</v>
      </c>
      <c r="C2058" s="15" t="s">
        <v>70</v>
      </c>
      <c r="D2058" s="15" t="s">
        <v>58</v>
      </c>
      <c r="E2058" s="15" t="s">
        <v>51</v>
      </c>
      <c r="F2058" s="15" t="s">
        <v>52</v>
      </c>
      <c r="G2058" s="15" t="s">
        <v>74</v>
      </c>
      <c r="H2058" s="15" t="s">
        <v>45</v>
      </c>
      <c r="I2058">
        <v>60</v>
      </c>
      <c r="J2058">
        <v>70</v>
      </c>
      <c r="K2058">
        <v>20</v>
      </c>
      <c r="L2058">
        <v>130</v>
      </c>
      <c r="M2058">
        <v>65</v>
      </c>
      <c r="N2058">
        <v>403</v>
      </c>
      <c r="O2058">
        <v>80</v>
      </c>
      <c r="P2058">
        <v>24</v>
      </c>
      <c r="Q2058">
        <v>22</v>
      </c>
      <c r="R2058">
        <v>145</v>
      </c>
      <c r="S2058">
        <v>1.1153846153846154</v>
      </c>
      <c r="T2058">
        <v>1.1000000000000001</v>
      </c>
      <c r="U2058">
        <v>1.0833333333333333</v>
      </c>
    </row>
    <row r="2059" spans="1:21" x14ac:dyDescent="0.35">
      <c r="A2059">
        <v>580</v>
      </c>
      <c r="B2059" s="16">
        <v>40513</v>
      </c>
      <c r="C2059" s="15" t="s">
        <v>70</v>
      </c>
      <c r="D2059" s="15" t="s">
        <v>58</v>
      </c>
      <c r="E2059" s="15" t="s">
        <v>53</v>
      </c>
      <c r="F2059" s="15" t="s">
        <v>52</v>
      </c>
      <c r="G2059" s="15" t="s">
        <v>74</v>
      </c>
      <c r="H2059" s="15" t="s">
        <v>45</v>
      </c>
      <c r="I2059">
        <v>90</v>
      </c>
      <c r="J2059">
        <v>140</v>
      </c>
      <c r="K2059">
        <v>30</v>
      </c>
      <c r="L2059">
        <v>230</v>
      </c>
      <c r="M2059">
        <v>105</v>
      </c>
      <c r="N2059">
        <v>716</v>
      </c>
      <c r="O2059">
        <v>145</v>
      </c>
      <c r="P2059">
        <v>95</v>
      </c>
      <c r="Q2059">
        <v>20</v>
      </c>
      <c r="R2059">
        <v>250</v>
      </c>
      <c r="S2059">
        <v>1.0869565217391304</v>
      </c>
      <c r="T2059">
        <v>0.66666666666666663</v>
      </c>
      <c r="U2059">
        <v>1.1666666666666667</v>
      </c>
    </row>
    <row r="2060" spans="1:21" x14ac:dyDescent="0.35">
      <c r="A2060">
        <v>918</v>
      </c>
      <c r="B2060" s="16">
        <v>40513</v>
      </c>
      <c r="C2060" s="15" t="s">
        <v>70</v>
      </c>
      <c r="D2060" s="15" t="s">
        <v>58</v>
      </c>
      <c r="E2060" s="15" t="s">
        <v>72</v>
      </c>
      <c r="F2060" s="15" t="s">
        <v>49</v>
      </c>
      <c r="G2060" s="15" t="s">
        <v>74</v>
      </c>
      <c r="H2060" s="15" t="s">
        <v>42</v>
      </c>
      <c r="I2060">
        <v>100</v>
      </c>
      <c r="J2060">
        <v>140</v>
      </c>
      <c r="K2060">
        <v>90</v>
      </c>
      <c r="L2060">
        <v>240</v>
      </c>
      <c r="M2060">
        <v>134</v>
      </c>
      <c r="N2060">
        <v>-2248</v>
      </c>
      <c r="O2060">
        <v>186</v>
      </c>
      <c r="P2060">
        <v>41</v>
      </c>
      <c r="Q2060">
        <v>121</v>
      </c>
      <c r="R2060">
        <v>320</v>
      </c>
      <c r="S2060">
        <v>1.3333333333333333</v>
      </c>
      <c r="T2060">
        <v>1.3444444444444446</v>
      </c>
      <c r="U2060">
        <v>1.34</v>
      </c>
    </row>
    <row r="2061" spans="1:21" x14ac:dyDescent="0.35">
      <c r="A2061">
        <v>580</v>
      </c>
      <c r="B2061" s="16">
        <v>40513</v>
      </c>
      <c r="C2061" s="15" t="s">
        <v>70</v>
      </c>
      <c r="D2061" s="15" t="s">
        <v>58</v>
      </c>
      <c r="E2061" s="15" t="s">
        <v>48</v>
      </c>
      <c r="F2061" s="15" t="s">
        <v>49</v>
      </c>
      <c r="G2061" s="15" t="s">
        <v>74</v>
      </c>
      <c r="H2061" s="15" t="s">
        <v>42</v>
      </c>
      <c r="I2061">
        <v>20</v>
      </c>
      <c r="J2061">
        <v>30</v>
      </c>
      <c r="K2061">
        <v>20</v>
      </c>
      <c r="L2061">
        <v>50</v>
      </c>
      <c r="M2061">
        <v>29</v>
      </c>
      <c r="N2061">
        <v>490</v>
      </c>
      <c r="O2061">
        <v>44</v>
      </c>
      <c r="P2061">
        <v>8</v>
      </c>
      <c r="Q2061">
        <v>24</v>
      </c>
      <c r="R2061">
        <v>73</v>
      </c>
      <c r="S2061">
        <v>1.46</v>
      </c>
      <c r="T2061">
        <v>1.2</v>
      </c>
      <c r="U2061">
        <v>1.45</v>
      </c>
    </row>
    <row r="2062" spans="1:21" x14ac:dyDescent="0.35">
      <c r="A2062">
        <v>405</v>
      </c>
      <c r="B2062" s="16">
        <v>40513</v>
      </c>
      <c r="C2062" s="15" t="s">
        <v>70</v>
      </c>
      <c r="D2062" s="15" t="s">
        <v>58</v>
      </c>
      <c r="E2062" s="15" t="s">
        <v>50</v>
      </c>
      <c r="F2062" s="15" t="s">
        <v>49</v>
      </c>
      <c r="G2062" s="15" t="s">
        <v>74</v>
      </c>
      <c r="H2062" s="15" t="s">
        <v>45</v>
      </c>
      <c r="I2062">
        <v>60</v>
      </c>
      <c r="J2062">
        <v>110</v>
      </c>
      <c r="K2062">
        <v>60</v>
      </c>
      <c r="L2062">
        <v>170</v>
      </c>
      <c r="M2062">
        <v>88</v>
      </c>
      <c r="N2062">
        <v>817</v>
      </c>
      <c r="O2062">
        <v>133</v>
      </c>
      <c r="P2062">
        <v>29</v>
      </c>
      <c r="Q2062">
        <v>72</v>
      </c>
      <c r="R2062">
        <v>221</v>
      </c>
      <c r="S2062">
        <v>1.3</v>
      </c>
      <c r="T2062">
        <v>1.2</v>
      </c>
      <c r="U2062">
        <v>1.4666666666666666</v>
      </c>
    </row>
    <row r="2063" spans="1:21" x14ac:dyDescent="0.35">
      <c r="A2063">
        <v>972</v>
      </c>
      <c r="B2063" s="16">
        <v>40513</v>
      </c>
      <c r="C2063" s="15" t="s">
        <v>70</v>
      </c>
      <c r="D2063" s="15" t="s">
        <v>38</v>
      </c>
      <c r="E2063" s="15" t="s">
        <v>43</v>
      </c>
      <c r="F2063" s="15" t="s">
        <v>40</v>
      </c>
      <c r="G2063" s="15" t="s">
        <v>75</v>
      </c>
      <c r="H2063" s="15" t="s">
        <v>42</v>
      </c>
      <c r="I2063">
        <v>280</v>
      </c>
      <c r="J2063">
        <v>340</v>
      </c>
      <c r="K2063">
        <v>240</v>
      </c>
      <c r="L2063">
        <v>620</v>
      </c>
      <c r="M2063">
        <v>241</v>
      </c>
      <c r="N2063">
        <v>1321</v>
      </c>
      <c r="O2063">
        <v>284</v>
      </c>
      <c r="P2063">
        <v>74</v>
      </c>
      <c r="Q2063">
        <v>188</v>
      </c>
      <c r="R2063">
        <v>525</v>
      </c>
      <c r="S2063">
        <v>0.84677419354838712</v>
      </c>
      <c r="T2063">
        <v>0.78333333333333333</v>
      </c>
      <c r="U2063">
        <v>0.86071428571428577</v>
      </c>
    </row>
    <row r="2064" spans="1:21" x14ac:dyDescent="0.35">
      <c r="A2064">
        <v>682</v>
      </c>
      <c r="B2064" s="16">
        <v>40513</v>
      </c>
      <c r="C2064" s="15" t="s">
        <v>70</v>
      </c>
      <c r="D2064" s="15" t="s">
        <v>38</v>
      </c>
      <c r="E2064" s="15" t="s">
        <v>44</v>
      </c>
      <c r="F2064" s="15" t="s">
        <v>40</v>
      </c>
      <c r="G2064" s="15" t="s">
        <v>75</v>
      </c>
      <c r="H2064" s="15" t="s">
        <v>45</v>
      </c>
      <c r="I2064">
        <v>50</v>
      </c>
      <c r="J2064">
        <v>60</v>
      </c>
      <c r="K2064">
        <v>40</v>
      </c>
      <c r="L2064">
        <v>110</v>
      </c>
      <c r="M2064">
        <v>43</v>
      </c>
      <c r="N2064">
        <v>531</v>
      </c>
      <c r="O2064">
        <v>56</v>
      </c>
      <c r="P2064">
        <v>14</v>
      </c>
      <c r="Q2064">
        <v>30</v>
      </c>
      <c r="R2064">
        <v>99</v>
      </c>
      <c r="S2064">
        <v>0.9</v>
      </c>
      <c r="T2064">
        <v>0.75</v>
      </c>
      <c r="U2064">
        <v>0.86</v>
      </c>
    </row>
    <row r="2065" spans="1:21" x14ac:dyDescent="0.35">
      <c r="A2065">
        <v>469</v>
      </c>
      <c r="B2065" s="16">
        <v>40513</v>
      </c>
      <c r="C2065" s="15" t="s">
        <v>70</v>
      </c>
      <c r="D2065" s="15" t="s">
        <v>38</v>
      </c>
      <c r="E2065" s="15" t="s">
        <v>51</v>
      </c>
      <c r="F2065" s="15" t="s">
        <v>52</v>
      </c>
      <c r="G2065" s="15" t="s">
        <v>75</v>
      </c>
      <c r="H2065" s="15" t="s">
        <v>45</v>
      </c>
      <c r="I2065">
        <v>50</v>
      </c>
      <c r="J2065">
        <v>60</v>
      </c>
      <c r="K2065">
        <v>30</v>
      </c>
      <c r="L2065">
        <v>110</v>
      </c>
      <c r="M2065">
        <v>54</v>
      </c>
      <c r="N2065">
        <v>424</v>
      </c>
      <c r="O2065">
        <v>73</v>
      </c>
      <c r="P2065">
        <v>17</v>
      </c>
      <c r="Q2065">
        <v>28</v>
      </c>
      <c r="R2065">
        <v>127</v>
      </c>
      <c r="S2065">
        <v>1.1545454545454545</v>
      </c>
      <c r="T2065">
        <v>0.93333333333333335</v>
      </c>
      <c r="U2065">
        <v>1.08</v>
      </c>
    </row>
    <row r="2066" spans="1:21" x14ac:dyDescent="0.35">
      <c r="A2066">
        <v>214</v>
      </c>
      <c r="B2066" s="16">
        <v>40513</v>
      </c>
      <c r="C2066" s="15" t="s">
        <v>70</v>
      </c>
      <c r="D2066" s="15" t="s">
        <v>38</v>
      </c>
      <c r="E2066" s="15" t="s">
        <v>53</v>
      </c>
      <c r="F2066" s="15" t="s">
        <v>52</v>
      </c>
      <c r="G2066" s="15" t="s">
        <v>75</v>
      </c>
      <c r="H2066" s="15" t="s">
        <v>45</v>
      </c>
      <c r="I2066">
        <v>30</v>
      </c>
      <c r="J2066">
        <v>60</v>
      </c>
      <c r="K2066">
        <v>30</v>
      </c>
      <c r="L2066">
        <v>90</v>
      </c>
      <c r="M2066">
        <v>41</v>
      </c>
      <c r="N2066">
        <v>435</v>
      </c>
      <c r="O2066">
        <v>60</v>
      </c>
      <c r="P2066">
        <v>13</v>
      </c>
      <c r="Q2066">
        <v>24</v>
      </c>
      <c r="R2066">
        <v>101</v>
      </c>
      <c r="S2066">
        <v>1.1222222222222222</v>
      </c>
      <c r="T2066">
        <v>0.8</v>
      </c>
      <c r="U2066">
        <v>1.3666666666666667</v>
      </c>
    </row>
    <row r="2067" spans="1:21" x14ac:dyDescent="0.35">
      <c r="A2067">
        <v>512</v>
      </c>
      <c r="B2067" s="16">
        <v>40513</v>
      </c>
      <c r="C2067" s="15" t="s">
        <v>70</v>
      </c>
      <c r="D2067" s="15" t="s">
        <v>38</v>
      </c>
      <c r="E2067" s="15" t="s">
        <v>72</v>
      </c>
      <c r="F2067" s="15" t="s">
        <v>49</v>
      </c>
      <c r="G2067" s="15" t="s">
        <v>75</v>
      </c>
      <c r="H2067" s="15" t="s">
        <v>42</v>
      </c>
      <c r="I2067">
        <v>50</v>
      </c>
      <c r="J2067">
        <v>70</v>
      </c>
      <c r="K2067">
        <v>30</v>
      </c>
      <c r="L2067">
        <v>120</v>
      </c>
      <c r="M2067">
        <v>67</v>
      </c>
      <c r="N2067">
        <v>-1239</v>
      </c>
      <c r="O2067">
        <v>101</v>
      </c>
      <c r="P2067">
        <v>22</v>
      </c>
      <c r="Q2067">
        <v>47</v>
      </c>
      <c r="R2067">
        <v>168</v>
      </c>
      <c r="S2067">
        <v>1.4</v>
      </c>
      <c r="T2067">
        <v>1.5666666666666667</v>
      </c>
      <c r="U2067">
        <v>1.34</v>
      </c>
    </row>
    <row r="2068" spans="1:21" x14ac:dyDescent="0.35">
      <c r="A2068">
        <v>972</v>
      </c>
      <c r="B2068" s="16">
        <v>40513</v>
      </c>
      <c r="C2068" s="15" t="s">
        <v>70</v>
      </c>
      <c r="D2068" s="15" t="s">
        <v>38</v>
      </c>
      <c r="E2068" s="15" t="s">
        <v>48</v>
      </c>
      <c r="F2068" s="15" t="s">
        <v>49</v>
      </c>
      <c r="G2068" s="15" t="s">
        <v>75</v>
      </c>
      <c r="H2068" s="15" t="s">
        <v>42</v>
      </c>
      <c r="I2068">
        <v>90</v>
      </c>
      <c r="J2068">
        <v>140</v>
      </c>
      <c r="K2068">
        <v>110</v>
      </c>
      <c r="L2068">
        <v>230</v>
      </c>
      <c r="M2068">
        <v>123</v>
      </c>
      <c r="N2068">
        <v>959</v>
      </c>
      <c r="O2068">
        <v>179</v>
      </c>
      <c r="P2068">
        <v>34</v>
      </c>
      <c r="Q2068">
        <v>133</v>
      </c>
      <c r="R2068">
        <v>302</v>
      </c>
      <c r="S2068">
        <v>1.3130434782608695</v>
      </c>
      <c r="T2068">
        <v>1.209090909090909</v>
      </c>
      <c r="U2068">
        <v>1.3666666666666667</v>
      </c>
    </row>
    <row r="2069" spans="1:21" x14ac:dyDescent="0.35">
      <c r="A2069">
        <v>214</v>
      </c>
      <c r="B2069" s="16">
        <v>40513</v>
      </c>
      <c r="C2069" s="15" t="s">
        <v>70</v>
      </c>
      <c r="D2069" s="15" t="s">
        <v>38</v>
      </c>
      <c r="E2069" s="15" t="s">
        <v>50</v>
      </c>
      <c r="F2069" s="15" t="s">
        <v>49</v>
      </c>
      <c r="G2069" s="15" t="s">
        <v>75</v>
      </c>
      <c r="H2069" s="15" t="s">
        <v>45</v>
      </c>
      <c r="I2069">
        <v>40</v>
      </c>
      <c r="J2069">
        <v>60</v>
      </c>
      <c r="K2069">
        <v>40</v>
      </c>
      <c r="L2069">
        <v>100</v>
      </c>
      <c r="M2069">
        <v>54</v>
      </c>
      <c r="N2069">
        <v>601</v>
      </c>
      <c r="O2069">
        <v>79</v>
      </c>
      <c r="P2069">
        <v>15</v>
      </c>
      <c r="Q2069">
        <v>52</v>
      </c>
      <c r="R2069">
        <v>133</v>
      </c>
      <c r="S2069">
        <v>1.33</v>
      </c>
      <c r="T2069">
        <v>1.3</v>
      </c>
      <c r="U2069">
        <v>1.35</v>
      </c>
    </row>
    <row r="2070" spans="1:21" x14ac:dyDescent="0.35">
      <c r="A2070">
        <v>435</v>
      </c>
      <c r="B2070" s="16">
        <v>40513</v>
      </c>
      <c r="C2070" s="15" t="s">
        <v>76</v>
      </c>
      <c r="D2070" s="15" t="s">
        <v>58</v>
      </c>
      <c r="E2070" s="15" t="s">
        <v>51</v>
      </c>
      <c r="F2070" s="15" t="s">
        <v>52</v>
      </c>
      <c r="G2070" s="15" t="s">
        <v>77</v>
      </c>
      <c r="H2070" s="15" t="s">
        <v>45</v>
      </c>
      <c r="I2070">
        <v>40</v>
      </c>
      <c r="J2070">
        <v>70</v>
      </c>
      <c r="K2070">
        <v>40</v>
      </c>
      <c r="L2070">
        <v>110</v>
      </c>
      <c r="M2070">
        <v>52</v>
      </c>
      <c r="N2070">
        <v>327</v>
      </c>
      <c r="O2070">
        <v>75</v>
      </c>
      <c r="P2070">
        <v>16</v>
      </c>
      <c r="Q2070">
        <v>36</v>
      </c>
      <c r="R2070">
        <v>127</v>
      </c>
      <c r="S2070">
        <v>1.1545454545454545</v>
      </c>
      <c r="T2070">
        <v>0.9</v>
      </c>
      <c r="U2070">
        <v>1.3</v>
      </c>
    </row>
    <row r="2071" spans="1:21" x14ac:dyDescent="0.35">
      <c r="A2071">
        <v>801</v>
      </c>
      <c r="B2071" s="16">
        <v>40513</v>
      </c>
      <c r="C2071" s="15" t="s">
        <v>76</v>
      </c>
      <c r="D2071" s="15" t="s">
        <v>58</v>
      </c>
      <c r="E2071" s="15" t="s">
        <v>53</v>
      </c>
      <c r="F2071" s="15" t="s">
        <v>52</v>
      </c>
      <c r="G2071" s="15" t="s">
        <v>77</v>
      </c>
      <c r="H2071" s="15" t="s">
        <v>45</v>
      </c>
      <c r="I2071">
        <v>40</v>
      </c>
      <c r="J2071">
        <v>70</v>
      </c>
      <c r="K2071">
        <v>40</v>
      </c>
      <c r="L2071">
        <v>110</v>
      </c>
      <c r="M2071">
        <v>48</v>
      </c>
      <c r="N2071">
        <v>462</v>
      </c>
      <c r="O2071">
        <v>74</v>
      </c>
      <c r="P2071">
        <v>15</v>
      </c>
      <c r="Q2071">
        <v>28</v>
      </c>
      <c r="R2071">
        <v>122</v>
      </c>
      <c r="S2071">
        <v>1.1090909090909091</v>
      </c>
      <c r="T2071">
        <v>0.7</v>
      </c>
      <c r="U2071">
        <v>1.2</v>
      </c>
    </row>
    <row r="2072" spans="1:21" x14ac:dyDescent="0.35">
      <c r="A2072">
        <v>435</v>
      </c>
      <c r="B2072" s="16">
        <v>40513</v>
      </c>
      <c r="C2072" s="15" t="s">
        <v>76</v>
      </c>
      <c r="D2072" s="15" t="s">
        <v>58</v>
      </c>
      <c r="E2072" s="15" t="s">
        <v>54</v>
      </c>
      <c r="F2072" s="15" t="s">
        <v>52</v>
      </c>
      <c r="G2072" s="15" t="s">
        <v>77</v>
      </c>
      <c r="H2072" s="15" t="s">
        <v>45</v>
      </c>
      <c r="I2072">
        <v>80</v>
      </c>
      <c r="J2072">
        <v>60</v>
      </c>
      <c r="K2072">
        <v>20</v>
      </c>
      <c r="L2072">
        <v>140</v>
      </c>
      <c r="M2072">
        <v>92</v>
      </c>
      <c r="N2072">
        <v>1898</v>
      </c>
      <c r="O2072">
        <v>68</v>
      </c>
      <c r="P2072">
        <v>28</v>
      </c>
      <c r="Q2072">
        <v>17</v>
      </c>
      <c r="R2072">
        <v>160</v>
      </c>
      <c r="S2072">
        <v>1.1428571428571428</v>
      </c>
      <c r="T2072">
        <v>0.85</v>
      </c>
      <c r="U2072">
        <v>1.1499999999999999</v>
      </c>
    </row>
    <row r="2073" spans="1:21" x14ac:dyDescent="0.35">
      <c r="A2073">
        <v>435</v>
      </c>
      <c r="B2073" s="16">
        <v>40513</v>
      </c>
      <c r="C2073" s="15" t="s">
        <v>76</v>
      </c>
      <c r="D2073" s="15" t="s">
        <v>58</v>
      </c>
      <c r="E2073" s="15" t="s">
        <v>55</v>
      </c>
      <c r="F2073" s="15" t="s">
        <v>47</v>
      </c>
      <c r="G2073" s="15" t="s">
        <v>77</v>
      </c>
      <c r="H2073" s="15" t="s">
        <v>42</v>
      </c>
      <c r="I2073">
        <v>30</v>
      </c>
      <c r="J2073">
        <v>50</v>
      </c>
      <c r="K2073">
        <v>0</v>
      </c>
      <c r="L2073">
        <v>80</v>
      </c>
      <c r="M2073">
        <v>49</v>
      </c>
      <c r="N2073">
        <v>335</v>
      </c>
      <c r="O2073">
        <v>69</v>
      </c>
      <c r="P2073">
        <v>44</v>
      </c>
      <c r="Q2073">
        <v>-4</v>
      </c>
      <c r="R2073">
        <v>118</v>
      </c>
      <c r="S2073">
        <v>1.4750000000000001</v>
      </c>
      <c r="U2073">
        <v>1.6333333333333333</v>
      </c>
    </row>
    <row r="2074" spans="1:21" x14ac:dyDescent="0.35">
      <c r="A2074">
        <v>801</v>
      </c>
      <c r="B2074" s="16">
        <v>40513</v>
      </c>
      <c r="C2074" s="15" t="s">
        <v>76</v>
      </c>
      <c r="D2074" s="15" t="s">
        <v>58</v>
      </c>
      <c r="E2074" s="15" t="s">
        <v>56</v>
      </c>
      <c r="F2074" s="15" t="s">
        <v>47</v>
      </c>
      <c r="G2074" s="15" t="s">
        <v>77</v>
      </c>
      <c r="H2074" s="15" t="s">
        <v>42</v>
      </c>
      <c r="I2074">
        <v>20</v>
      </c>
      <c r="J2074">
        <v>40</v>
      </c>
      <c r="K2074">
        <v>10</v>
      </c>
      <c r="L2074">
        <v>60</v>
      </c>
      <c r="M2074">
        <v>38</v>
      </c>
      <c r="N2074">
        <v>256</v>
      </c>
      <c r="O2074">
        <v>51</v>
      </c>
      <c r="P2074">
        <v>12</v>
      </c>
      <c r="Q2074">
        <v>12</v>
      </c>
      <c r="R2074">
        <v>89</v>
      </c>
      <c r="S2074">
        <v>1.4833333333333334</v>
      </c>
      <c r="T2074">
        <v>1.2</v>
      </c>
      <c r="U2074">
        <v>1.9</v>
      </c>
    </row>
    <row r="2075" spans="1:21" x14ac:dyDescent="0.35">
      <c r="A2075">
        <v>435</v>
      </c>
      <c r="B2075" s="16">
        <v>40513</v>
      </c>
      <c r="C2075" s="15" t="s">
        <v>76</v>
      </c>
      <c r="D2075" s="15" t="s">
        <v>58</v>
      </c>
      <c r="E2075" s="15" t="s">
        <v>46</v>
      </c>
      <c r="F2075" s="15" t="s">
        <v>47</v>
      </c>
      <c r="G2075" s="15" t="s">
        <v>77</v>
      </c>
      <c r="H2075" s="15" t="s">
        <v>42</v>
      </c>
      <c r="I2075">
        <v>10</v>
      </c>
      <c r="J2075">
        <v>20</v>
      </c>
      <c r="K2075">
        <v>0</v>
      </c>
      <c r="L2075">
        <v>30</v>
      </c>
      <c r="M2075">
        <v>20</v>
      </c>
      <c r="N2075">
        <v>218</v>
      </c>
      <c r="O2075">
        <v>25</v>
      </c>
      <c r="P2075">
        <v>7</v>
      </c>
      <c r="Q2075">
        <v>-15</v>
      </c>
      <c r="R2075">
        <v>45</v>
      </c>
      <c r="S2075">
        <v>1.5</v>
      </c>
      <c r="U2075">
        <v>2</v>
      </c>
    </row>
    <row r="2076" spans="1:21" x14ac:dyDescent="0.35">
      <c r="A2076">
        <v>435</v>
      </c>
      <c r="B2076" s="16">
        <v>40513</v>
      </c>
      <c r="C2076" s="15" t="s">
        <v>76</v>
      </c>
      <c r="D2076" s="15" t="s">
        <v>58</v>
      </c>
      <c r="E2076" s="15" t="s">
        <v>39</v>
      </c>
      <c r="F2076" s="15" t="s">
        <v>40</v>
      </c>
      <c r="G2076" s="15" t="s">
        <v>77</v>
      </c>
      <c r="H2076" s="15" t="s">
        <v>42</v>
      </c>
      <c r="I2076">
        <v>70</v>
      </c>
      <c r="J2076">
        <v>90</v>
      </c>
      <c r="K2076">
        <v>50</v>
      </c>
      <c r="L2076">
        <v>160</v>
      </c>
      <c r="M2076">
        <v>63</v>
      </c>
      <c r="N2076">
        <v>1075</v>
      </c>
      <c r="O2076">
        <v>76</v>
      </c>
      <c r="P2076">
        <v>19</v>
      </c>
      <c r="Q2076">
        <v>36</v>
      </c>
      <c r="R2076">
        <v>139</v>
      </c>
      <c r="S2076">
        <v>0.86875000000000002</v>
      </c>
      <c r="T2076">
        <v>0.72</v>
      </c>
      <c r="U2076">
        <v>0.9</v>
      </c>
    </row>
    <row r="2077" spans="1:21" x14ac:dyDescent="0.35">
      <c r="A2077">
        <v>801</v>
      </c>
      <c r="B2077" s="16">
        <v>40513</v>
      </c>
      <c r="C2077" s="15" t="s">
        <v>76</v>
      </c>
      <c r="D2077" s="15" t="s">
        <v>58</v>
      </c>
      <c r="E2077" s="15" t="s">
        <v>43</v>
      </c>
      <c r="F2077" s="15" t="s">
        <v>40</v>
      </c>
      <c r="G2077" s="15" t="s">
        <v>77</v>
      </c>
      <c r="H2077" s="15" t="s">
        <v>42</v>
      </c>
      <c r="I2077">
        <v>50</v>
      </c>
      <c r="J2077">
        <v>80</v>
      </c>
      <c r="K2077">
        <v>50</v>
      </c>
      <c r="L2077">
        <v>130</v>
      </c>
      <c r="M2077">
        <v>49</v>
      </c>
      <c r="N2077">
        <v>392</v>
      </c>
      <c r="O2077">
        <v>65</v>
      </c>
      <c r="P2077">
        <v>16</v>
      </c>
      <c r="Q2077">
        <v>21</v>
      </c>
      <c r="R2077">
        <v>114</v>
      </c>
      <c r="S2077">
        <v>0.87692307692307692</v>
      </c>
      <c r="T2077">
        <v>0.42</v>
      </c>
      <c r="U2077">
        <v>0.98</v>
      </c>
    </row>
    <row r="2078" spans="1:21" x14ac:dyDescent="0.35">
      <c r="A2078">
        <v>435</v>
      </c>
      <c r="B2078" s="16">
        <v>40513</v>
      </c>
      <c r="C2078" s="15" t="s">
        <v>76</v>
      </c>
      <c r="D2078" s="15" t="s">
        <v>58</v>
      </c>
      <c r="E2078" s="15" t="s">
        <v>44</v>
      </c>
      <c r="F2078" s="15" t="s">
        <v>40</v>
      </c>
      <c r="G2078" s="15" t="s">
        <v>77</v>
      </c>
      <c r="H2078" s="15" t="s">
        <v>45</v>
      </c>
      <c r="I2078">
        <v>80</v>
      </c>
      <c r="J2078">
        <v>100</v>
      </c>
      <c r="K2078">
        <v>50</v>
      </c>
      <c r="L2078">
        <v>180</v>
      </c>
      <c r="M2078">
        <v>68</v>
      </c>
      <c r="N2078">
        <v>619</v>
      </c>
      <c r="O2078">
        <v>85</v>
      </c>
      <c r="P2078">
        <v>25</v>
      </c>
      <c r="Q2078">
        <v>26</v>
      </c>
      <c r="R2078">
        <v>153</v>
      </c>
      <c r="S2078">
        <v>0.85</v>
      </c>
      <c r="T2078">
        <v>0.52</v>
      </c>
      <c r="U2078">
        <v>0.85</v>
      </c>
    </row>
    <row r="2079" spans="1:21" x14ac:dyDescent="0.35">
      <c r="A2079">
        <v>435</v>
      </c>
      <c r="B2079" s="16">
        <v>40513</v>
      </c>
      <c r="C2079" s="15" t="s">
        <v>76</v>
      </c>
      <c r="D2079" s="15" t="s">
        <v>58</v>
      </c>
      <c r="E2079" s="15" t="s">
        <v>72</v>
      </c>
      <c r="F2079" s="15" t="s">
        <v>49</v>
      </c>
      <c r="G2079" s="15" t="s">
        <v>77</v>
      </c>
      <c r="H2079" s="15" t="s">
        <v>42</v>
      </c>
      <c r="I2079">
        <v>30</v>
      </c>
      <c r="J2079">
        <v>40</v>
      </c>
      <c r="K2079">
        <v>30</v>
      </c>
      <c r="L2079">
        <v>70</v>
      </c>
      <c r="M2079">
        <v>31</v>
      </c>
      <c r="N2079">
        <v>844</v>
      </c>
      <c r="O2079">
        <v>46</v>
      </c>
      <c r="P2079">
        <v>8</v>
      </c>
      <c r="Q2079">
        <v>26</v>
      </c>
      <c r="R2079">
        <v>77</v>
      </c>
      <c r="S2079">
        <v>1.1000000000000001</v>
      </c>
      <c r="T2079">
        <v>0.8666666666666667</v>
      </c>
      <c r="U2079">
        <v>1.0333333333333334</v>
      </c>
    </row>
    <row r="2080" spans="1:21" x14ac:dyDescent="0.35">
      <c r="A2080">
        <v>435</v>
      </c>
      <c r="B2080" s="16">
        <v>40513</v>
      </c>
      <c r="C2080" s="15" t="s">
        <v>76</v>
      </c>
      <c r="D2080" s="15" t="s">
        <v>58</v>
      </c>
      <c r="E2080" s="15" t="s">
        <v>48</v>
      </c>
      <c r="F2080" s="15" t="s">
        <v>49</v>
      </c>
      <c r="G2080" s="15" t="s">
        <v>77</v>
      </c>
      <c r="H2080" s="15" t="s">
        <v>42</v>
      </c>
      <c r="I2080">
        <v>90</v>
      </c>
      <c r="J2080">
        <v>110</v>
      </c>
      <c r="K2080">
        <v>70</v>
      </c>
      <c r="L2080">
        <v>200</v>
      </c>
      <c r="M2080">
        <v>94</v>
      </c>
      <c r="N2080">
        <v>540</v>
      </c>
      <c r="O2080">
        <v>120</v>
      </c>
      <c r="P2080">
        <v>31</v>
      </c>
      <c r="Q2080">
        <v>77</v>
      </c>
      <c r="R2080">
        <v>214</v>
      </c>
      <c r="S2080">
        <v>1.07</v>
      </c>
      <c r="T2080">
        <v>1.1000000000000001</v>
      </c>
      <c r="U2080">
        <v>1.0444444444444445</v>
      </c>
    </row>
    <row r="2081" spans="1:21" x14ac:dyDescent="0.35">
      <c r="A2081">
        <v>435</v>
      </c>
      <c r="B2081" s="16">
        <v>40513</v>
      </c>
      <c r="C2081" s="15" t="s">
        <v>76</v>
      </c>
      <c r="D2081" s="15" t="s">
        <v>58</v>
      </c>
      <c r="E2081" s="15" t="s">
        <v>50</v>
      </c>
      <c r="F2081" s="15" t="s">
        <v>49</v>
      </c>
      <c r="G2081" s="15" t="s">
        <v>77</v>
      </c>
      <c r="H2081" s="15" t="s">
        <v>45</v>
      </c>
      <c r="I2081">
        <v>40</v>
      </c>
      <c r="J2081">
        <v>70</v>
      </c>
      <c r="K2081">
        <v>50</v>
      </c>
      <c r="L2081">
        <v>110</v>
      </c>
      <c r="M2081">
        <v>50</v>
      </c>
      <c r="N2081">
        <v>898</v>
      </c>
      <c r="O2081">
        <v>73</v>
      </c>
      <c r="P2081">
        <v>14</v>
      </c>
      <c r="Q2081">
        <v>47</v>
      </c>
      <c r="R2081">
        <v>123</v>
      </c>
      <c r="S2081">
        <v>1.1181818181818182</v>
      </c>
      <c r="T2081">
        <v>0.94</v>
      </c>
      <c r="U2081">
        <v>1.25</v>
      </c>
    </row>
    <row r="2082" spans="1:21" x14ac:dyDescent="0.35">
      <c r="A2082">
        <v>626</v>
      </c>
      <c r="B2082" s="16">
        <v>40513</v>
      </c>
      <c r="C2082" s="15" t="s">
        <v>76</v>
      </c>
      <c r="D2082" s="15" t="s">
        <v>38</v>
      </c>
      <c r="E2082" s="15" t="s">
        <v>51</v>
      </c>
      <c r="F2082" s="15" t="s">
        <v>52</v>
      </c>
      <c r="G2082" s="15" t="s">
        <v>78</v>
      </c>
      <c r="H2082" s="15" t="s">
        <v>45</v>
      </c>
      <c r="I2082">
        <v>80</v>
      </c>
      <c r="J2082">
        <v>110</v>
      </c>
      <c r="K2082">
        <v>80</v>
      </c>
      <c r="L2082">
        <v>190</v>
      </c>
      <c r="M2082">
        <v>86</v>
      </c>
      <c r="N2082">
        <v>1003</v>
      </c>
      <c r="O2082">
        <v>124</v>
      </c>
      <c r="P2082">
        <v>24</v>
      </c>
      <c r="Q2082">
        <v>89</v>
      </c>
      <c r="R2082">
        <v>210</v>
      </c>
      <c r="S2082">
        <v>1.1052631578947369</v>
      </c>
      <c r="T2082">
        <v>1.1125</v>
      </c>
      <c r="U2082">
        <v>1.075</v>
      </c>
    </row>
    <row r="2083" spans="1:21" x14ac:dyDescent="0.35">
      <c r="A2083">
        <v>415</v>
      </c>
      <c r="B2083" s="16">
        <v>40513</v>
      </c>
      <c r="C2083" s="15" t="s">
        <v>76</v>
      </c>
      <c r="D2083" s="15" t="s">
        <v>38</v>
      </c>
      <c r="E2083" s="15" t="s">
        <v>53</v>
      </c>
      <c r="F2083" s="15" t="s">
        <v>52</v>
      </c>
      <c r="G2083" s="15" t="s">
        <v>78</v>
      </c>
      <c r="H2083" s="15" t="s">
        <v>45</v>
      </c>
      <c r="I2083">
        <v>220</v>
      </c>
      <c r="J2083">
        <v>260</v>
      </c>
      <c r="K2083">
        <v>170</v>
      </c>
      <c r="L2083">
        <v>480</v>
      </c>
      <c r="M2083">
        <v>241</v>
      </c>
      <c r="N2083">
        <v>1321</v>
      </c>
      <c r="O2083">
        <v>284</v>
      </c>
      <c r="P2083">
        <v>74</v>
      </c>
      <c r="Q2083">
        <v>188</v>
      </c>
      <c r="R2083">
        <v>525</v>
      </c>
      <c r="S2083">
        <v>1.09375</v>
      </c>
      <c r="T2083">
        <v>1.1058823529411765</v>
      </c>
      <c r="U2083">
        <v>1.0954545454545455</v>
      </c>
    </row>
    <row r="2084" spans="1:21" x14ac:dyDescent="0.35">
      <c r="A2084">
        <v>805</v>
      </c>
      <c r="B2084" s="16">
        <v>40513</v>
      </c>
      <c r="C2084" s="15" t="s">
        <v>76</v>
      </c>
      <c r="D2084" s="15" t="s">
        <v>38</v>
      </c>
      <c r="E2084" s="15" t="s">
        <v>54</v>
      </c>
      <c r="F2084" s="15" t="s">
        <v>52</v>
      </c>
      <c r="G2084" s="15" t="s">
        <v>78</v>
      </c>
      <c r="H2084" s="15" t="s">
        <v>45</v>
      </c>
      <c r="I2084">
        <v>40</v>
      </c>
      <c r="J2084">
        <v>50</v>
      </c>
      <c r="K2084">
        <v>30</v>
      </c>
      <c r="L2084">
        <v>90</v>
      </c>
      <c r="M2084">
        <v>43</v>
      </c>
      <c r="N2084">
        <v>531</v>
      </c>
      <c r="O2084">
        <v>56</v>
      </c>
      <c r="P2084">
        <v>14</v>
      </c>
      <c r="Q2084">
        <v>29</v>
      </c>
      <c r="R2084">
        <v>99</v>
      </c>
      <c r="S2084">
        <v>1.1000000000000001</v>
      </c>
      <c r="T2084">
        <v>0.96666666666666667</v>
      </c>
      <c r="U2084">
        <v>1.075</v>
      </c>
    </row>
    <row r="2085" spans="1:21" x14ac:dyDescent="0.35">
      <c r="A2085">
        <v>916</v>
      </c>
      <c r="B2085" s="16">
        <v>40513</v>
      </c>
      <c r="C2085" s="15" t="s">
        <v>76</v>
      </c>
      <c r="D2085" s="15" t="s">
        <v>38</v>
      </c>
      <c r="E2085" s="15" t="s">
        <v>55</v>
      </c>
      <c r="F2085" s="15" t="s">
        <v>47</v>
      </c>
      <c r="G2085" s="15" t="s">
        <v>78</v>
      </c>
      <c r="H2085" s="15" t="s">
        <v>42</v>
      </c>
      <c r="I2085">
        <v>90</v>
      </c>
      <c r="J2085">
        <v>130</v>
      </c>
      <c r="K2085">
        <v>110</v>
      </c>
      <c r="L2085">
        <v>220</v>
      </c>
      <c r="M2085">
        <v>123</v>
      </c>
      <c r="N2085">
        <v>959</v>
      </c>
      <c r="O2085">
        <v>179</v>
      </c>
      <c r="P2085">
        <v>34</v>
      </c>
      <c r="Q2085">
        <v>134</v>
      </c>
      <c r="R2085">
        <v>302</v>
      </c>
      <c r="S2085">
        <v>1.3727272727272728</v>
      </c>
      <c r="T2085">
        <v>1.2181818181818183</v>
      </c>
      <c r="U2085">
        <v>1.3666666666666667</v>
      </c>
    </row>
    <row r="2086" spans="1:21" x14ac:dyDescent="0.35">
      <c r="A2086">
        <v>619</v>
      </c>
      <c r="B2086" s="16">
        <v>40513</v>
      </c>
      <c r="C2086" s="15" t="s">
        <v>76</v>
      </c>
      <c r="D2086" s="15" t="s">
        <v>38</v>
      </c>
      <c r="E2086" s="15" t="s">
        <v>56</v>
      </c>
      <c r="F2086" s="15" t="s">
        <v>47</v>
      </c>
      <c r="G2086" s="15" t="s">
        <v>78</v>
      </c>
      <c r="H2086" s="15" t="s">
        <v>42</v>
      </c>
      <c r="I2086">
        <v>30</v>
      </c>
      <c r="J2086">
        <v>60</v>
      </c>
      <c r="K2086">
        <v>50</v>
      </c>
      <c r="L2086">
        <v>90</v>
      </c>
      <c r="M2086">
        <v>54</v>
      </c>
      <c r="N2086">
        <v>601</v>
      </c>
      <c r="O2086">
        <v>79</v>
      </c>
      <c r="P2086">
        <v>15</v>
      </c>
      <c r="Q2086">
        <v>53</v>
      </c>
      <c r="R2086">
        <v>133</v>
      </c>
      <c r="S2086">
        <v>1.4777777777777779</v>
      </c>
      <c r="T2086">
        <v>1.06</v>
      </c>
      <c r="U2086">
        <v>1.8</v>
      </c>
    </row>
    <row r="2087" spans="1:21" x14ac:dyDescent="0.35">
      <c r="A2087">
        <v>213</v>
      </c>
      <c r="B2087" s="16">
        <v>40513</v>
      </c>
      <c r="C2087" s="15" t="s">
        <v>76</v>
      </c>
      <c r="D2087" s="15" t="s">
        <v>38</v>
      </c>
      <c r="E2087" s="15" t="s">
        <v>46</v>
      </c>
      <c r="F2087" s="15" t="s">
        <v>47</v>
      </c>
      <c r="G2087" s="15" t="s">
        <v>78</v>
      </c>
      <c r="H2087" s="15" t="s">
        <v>42</v>
      </c>
      <c r="I2087">
        <v>40</v>
      </c>
      <c r="J2087">
        <v>80</v>
      </c>
      <c r="K2087">
        <v>50</v>
      </c>
      <c r="L2087">
        <v>120</v>
      </c>
      <c r="M2087">
        <v>67</v>
      </c>
      <c r="N2087">
        <v>677</v>
      </c>
      <c r="O2087">
        <v>101</v>
      </c>
      <c r="P2087">
        <v>22</v>
      </c>
      <c r="Q2087">
        <v>47</v>
      </c>
      <c r="R2087">
        <v>168</v>
      </c>
      <c r="S2087">
        <v>1.4</v>
      </c>
      <c r="T2087">
        <v>0.94</v>
      </c>
      <c r="U2087">
        <v>1.675</v>
      </c>
    </row>
    <row r="2088" spans="1:21" x14ac:dyDescent="0.35">
      <c r="A2088">
        <v>951</v>
      </c>
      <c r="B2088" s="16">
        <v>40513</v>
      </c>
      <c r="C2088" s="15" t="s">
        <v>76</v>
      </c>
      <c r="D2088" s="15" t="s">
        <v>38</v>
      </c>
      <c r="E2088" s="15" t="s">
        <v>39</v>
      </c>
      <c r="F2088" s="15" t="s">
        <v>40</v>
      </c>
      <c r="G2088" s="15" t="s">
        <v>78</v>
      </c>
      <c r="H2088" s="15" t="s">
        <v>42</v>
      </c>
      <c r="I2088">
        <v>150</v>
      </c>
      <c r="J2088">
        <v>-30</v>
      </c>
      <c r="K2088">
        <v>-90</v>
      </c>
      <c r="L2088">
        <v>120</v>
      </c>
      <c r="M2088">
        <v>127</v>
      </c>
      <c r="N2088">
        <v>2947</v>
      </c>
      <c r="O2088">
        <v>-25</v>
      </c>
      <c r="P2088">
        <v>40</v>
      </c>
      <c r="Q2088">
        <v>-88</v>
      </c>
      <c r="R2088">
        <v>102</v>
      </c>
      <c r="S2088">
        <v>0.85</v>
      </c>
      <c r="T2088">
        <v>0.97777777777777775</v>
      </c>
      <c r="U2088">
        <v>0.84666666666666668</v>
      </c>
    </row>
    <row r="2089" spans="1:21" x14ac:dyDescent="0.35">
      <c r="A2089">
        <v>707</v>
      </c>
      <c r="B2089" s="16">
        <v>40513</v>
      </c>
      <c r="C2089" s="15" t="s">
        <v>76</v>
      </c>
      <c r="D2089" s="15" t="s">
        <v>38</v>
      </c>
      <c r="E2089" s="15" t="s">
        <v>43</v>
      </c>
      <c r="F2089" s="15" t="s">
        <v>40</v>
      </c>
      <c r="G2089" s="15" t="s">
        <v>78</v>
      </c>
      <c r="H2089" s="15" t="s">
        <v>42</v>
      </c>
      <c r="I2089">
        <v>330</v>
      </c>
      <c r="J2089">
        <v>500</v>
      </c>
      <c r="K2089">
        <v>350</v>
      </c>
      <c r="L2089">
        <v>830</v>
      </c>
      <c r="M2089">
        <v>279</v>
      </c>
      <c r="N2089">
        <v>2642</v>
      </c>
      <c r="O2089">
        <v>420</v>
      </c>
      <c r="P2089">
        <v>97</v>
      </c>
      <c r="Q2089">
        <v>271</v>
      </c>
      <c r="R2089">
        <v>699</v>
      </c>
      <c r="S2089">
        <v>0.84216867469879519</v>
      </c>
      <c r="T2089">
        <v>0.77428571428571424</v>
      </c>
      <c r="U2089">
        <v>0.84545454545454546</v>
      </c>
    </row>
    <row r="2090" spans="1:21" x14ac:dyDescent="0.35">
      <c r="A2090">
        <v>714</v>
      </c>
      <c r="B2090" s="16">
        <v>40513</v>
      </c>
      <c r="C2090" s="15" t="s">
        <v>76</v>
      </c>
      <c r="D2090" s="15" t="s">
        <v>38</v>
      </c>
      <c r="E2090" s="15" t="s">
        <v>44</v>
      </c>
      <c r="F2090" s="15" t="s">
        <v>40</v>
      </c>
      <c r="G2090" s="15" t="s">
        <v>78</v>
      </c>
      <c r="H2090" s="15" t="s">
        <v>45</v>
      </c>
      <c r="I2090">
        <v>260</v>
      </c>
      <c r="J2090">
        <v>-40</v>
      </c>
      <c r="K2090">
        <v>-150</v>
      </c>
      <c r="L2090">
        <v>220</v>
      </c>
      <c r="M2090">
        <v>224</v>
      </c>
      <c r="N2090">
        <v>4216</v>
      </c>
      <c r="O2090">
        <v>-32</v>
      </c>
      <c r="P2090">
        <v>73</v>
      </c>
      <c r="Q2090">
        <v>-149</v>
      </c>
      <c r="R2090">
        <v>192</v>
      </c>
      <c r="S2090">
        <v>0.87272727272727268</v>
      </c>
      <c r="T2090">
        <v>0.99333333333333329</v>
      </c>
      <c r="U2090">
        <v>0.86153846153846159</v>
      </c>
    </row>
    <row r="2091" spans="1:21" x14ac:dyDescent="0.35">
      <c r="A2091">
        <v>916</v>
      </c>
      <c r="B2091" s="16">
        <v>40513</v>
      </c>
      <c r="C2091" s="15" t="s">
        <v>76</v>
      </c>
      <c r="D2091" s="15" t="s">
        <v>38</v>
      </c>
      <c r="E2091" s="15" t="s">
        <v>72</v>
      </c>
      <c r="F2091" s="15" t="s">
        <v>49</v>
      </c>
      <c r="G2091" s="15" t="s">
        <v>78</v>
      </c>
      <c r="H2091" s="15" t="s">
        <v>42</v>
      </c>
      <c r="I2091">
        <v>240</v>
      </c>
      <c r="J2091">
        <v>240</v>
      </c>
      <c r="K2091">
        <v>160</v>
      </c>
      <c r="L2091">
        <v>480</v>
      </c>
      <c r="M2091">
        <v>250</v>
      </c>
      <c r="N2091">
        <v>1820</v>
      </c>
      <c r="O2091">
        <v>251</v>
      </c>
      <c r="P2091">
        <v>70</v>
      </c>
      <c r="Q2091">
        <v>157</v>
      </c>
      <c r="R2091">
        <v>501</v>
      </c>
      <c r="S2091">
        <v>1.04375</v>
      </c>
      <c r="T2091">
        <v>0.98124999999999996</v>
      </c>
      <c r="U2091">
        <v>1.0416666666666667</v>
      </c>
    </row>
    <row r="2092" spans="1:21" x14ac:dyDescent="0.35">
      <c r="A2092">
        <v>530</v>
      </c>
      <c r="B2092" s="16">
        <v>40513</v>
      </c>
      <c r="C2092" s="15" t="s">
        <v>76</v>
      </c>
      <c r="D2092" s="15" t="s">
        <v>38</v>
      </c>
      <c r="E2092" s="15" t="s">
        <v>48</v>
      </c>
      <c r="F2092" s="15" t="s">
        <v>49</v>
      </c>
      <c r="G2092" s="15" t="s">
        <v>78</v>
      </c>
      <c r="H2092" s="15" t="s">
        <v>42</v>
      </c>
      <c r="I2092">
        <v>130</v>
      </c>
      <c r="J2092">
        <v>180</v>
      </c>
      <c r="K2092">
        <v>40</v>
      </c>
      <c r="L2092">
        <v>310</v>
      </c>
      <c r="M2092">
        <v>135</v>
      </c>
      <c r="N2092">
        <v>940</v>
      </c>
      <c r="O2092">
        <v>187</v>
      </c>
      <c r="P2092">
        <v>122</v>
      </c>
      <c r="Q2092">
        <v>31</v>
      </c>
      <c r="R2092">
        <v>322</v>
      </c>
      <c r="S2092">
        <v>1.0387096774193549</v>
      </c>
      <c r="T2092">
        <v>0.77500000000000002</v>
      </c>
      <c r="U2092">
        <v>1.0384615384615385</v>
      </c>
    </row>
    <row r="2093" spans="1:21" x14ac:dyDescent="0.35">
      <c r="A2093">
        <v>209</v>
      </c>
      <c r="B2093" s="16">
        <v>40513</v>
      </c>
      <c r="C2093" s="15" t="s">
        <v>76</v>
      </c>
      <c r="D2093" s="15" t="s">
        <v>38</v>
      </c>
      <c r="E2093" s="15" t="s">
        <v>50</v>
      </c>
      <c r="F2093" s="15" t="s">
        <v>49</v>
      </c>
      <c r="G2093" s="15" t="s">
        <v>78</v>
      </c>
      <c r="H2093" s="15" t="s">
        <v>45</v>
      </c>
      <c r="I2093">
        <v>240</v>
      </c>
      <c r="J2093">
        <v>310</v>
      </c>
      <c r="K2093">
        <v>210</v>
      </c>
      <c r="L2093">
        <v>550</v>
      </c>
      <c r="M2093">
        <v>247</v>
      </c>
      <c r="N2093">
        <v>1744</v>
      </c>
      <c r="O2093">
        <v>329</v>
      </c>
      <c r="P2093">
        <v>81</v>
      </c>
      <c r="Q2093">
        <v>216</v>
      </c>
      <c r="R2093">
        <v>576</v>
      </c>
      <c r="S2093">
        <v>1.0472727272727274</v>
      </c>
      <c r="T2093">
        <v>1.0285714285714285</v>
      </c>
      <c r="U2093">
        <v>1.0291666666666666</v>
      </c>
    </row>
    <row r="2094" spans="1:21" x14ac:dyDescent="0.35">
      <c r="A2094">
        <v>702</v>
      </c>
      <c r="B2094" s="16">
        <v>40513</v>
      </c>
      <c r="C2094" s="15" t="s">
        <v>76</v>
      </c>
      <c r="D2094" s="15" t="s">
        <v>58</v>
      </c>
      <c r="E2094" s="15" t="s">
        <v>51</v>
      </c>
      <c r="F2094" s="15" t="s">
        <v>52</v>
      </c>
      <c r="G2094" s="15" t="s">
        <v>79</v>
      </c>
      <c r="H2094" s="15" t="s">
        <v>45</v>
      </c>
      <c r="I2094">
        <v>120</v>
      </c>
      <c r="J2094">
        <v>170</v>
      </c>
      <c r="K2094">
        <v>30</v>
      </c>
      <c r="L2094">
        <v>290</v>
      </c>
      <c r="M2094">
        <v>135</v>
      </c>
      <c r="N2094">
        <v>940</v>
      </c>
      <c r="O2094">
        <v>187</v>
      </c>
      <c r="P2094">
        <v>122</v>
      </c>
      <c r="Q2094">
        <v>32</v>
      </c>
      <c r="R2094">
        <v>322</v>
      </c>
      <c r="S2094">
        <v>1.1103448275862069</v>
      </c>
      <c r="T2094">
        <v>1.0666666666666667</v>
      </c>
      <c r="U2094">
        <v>1.125</v>
      </c>
    </row>
    <row r="2095" spans="1:21" x14ac:dyDescent="0.35">
      <c r="A2095">
        <v>775</v>
      </c>
      <c r="B2095" s="16">
        <v>40513</v>
      </c>
      <c r="C2095" s="15" t="s">
        <v>76</v>
      </c>
      <c r="D2095" s="15" t="s">
        <v>58</v>
      </c>
      <c r="E2095" s="15" t="s">
        <v>53</v>
      </c>
      <c r="F2095" s="15" t="s">
        <v>52</v>
      </c>
      <c r="G2095" s="15" t="s">
        <v>79</v>
      </c>
      <c r="H2095" s="15" t="s">
        <v>45</v>
      </c>
      <c r="I2095">
        <v>210</v>
      </c>
      <c r="J2095">
        <v>280</v>
      </c>
      <c r="K2095">
        <v>170</v>
      </c>
      <c r="L2095">
        <v>490</v>
      </c>
      <c r="M2095">
        <v>224</v>
      </c>
      <c r="N2095">
        <v>1191</v>
      </c>
      <c r="O2095">
        <v>310</v>
      </c>
      <c r="P2095">
        <v>73</v>
      </c>
      <c r="Q2095">
        <v>194</v>
      </c>
      <c r="R2095">
        <v>534</v>
      </c>
      <c r="S2095">
        <v>1.0897959183673469</v>
      </c>
      <c r="T2095">
        <v>1.1411764705882352</v>
      </c>
      <c r="U2095">
        <v>1.0666666666666667</v>
      </c>
    </row>
    <row r="2096" spans="1:21" x14ac:dyDescent="0.35">
      <c r="A2096">
        <v>775</v>
      </c>
      <c r="B2096" s="16">
        <v>40513</v>
      </c>
      <c r="C2096" s="15" t="s">
        <v>76</v>
      </c>
      <c r="D2096" s="15" t="s">
        <v>58</v>
      </c>
      <c r="E2096" s="15" t="s">
        <v>54</v>
      </c>
      <c r="F2096" s="15" t="s">
        <v>52</v>
      </c>
      <c r="G2096" s="15" t="s">
        <v>79</v>
      </c>
      <c r="H2096" s="15" t="s">
        <v>45</v>
      </c>
      <c r="I2096">
        <v>120</v>
      </c>
      <c r="J2096">
        <v>170</v>
      </c>
      <c r="K2096">
        <v>120</v>
      </c>
      <c r="L2096">
        <v>290</v>
      </c>
      <c r="M2096">
        <v>127</v>
      </c>
      <c r="N2096">
        <v>830</v>
      </c>
      <c r="O2096">
        <v>185</v>
      </c>
      <c r="P2096">
        <v>40</v>
      </c>
      <c r="Q2096">
        <v>122</v>
      </c>
      <c r="R2096">
        <v>312</v>
      </c>
      <c r="S2096">
        <v>1.0758620689655172</v>
      </c>
      <c r="T2096">
        <v>1.0166666666666666</v>
      </c>
      <c r="U2096">
        <v>1.0583333333333333</v>
      </c>
    </row>
    <row r="2097" spans="1:21" x14ac:dyDescent="0.35">
      <c r="A2097">
        <v>702</v>
      </c>
      <c r="B2097" s="16">
        <v>40513</v>
      </c>
      <c r="C2097" s="15" t="s">
        <v>76</v>
      </c>
      <c r="D2097" s="15" t="s">
        <v>58</v>
      </c>
      <c r="E2097" s="15" t="s">
        <v>55</v>
      </c>
      <c r="F2097" s="15" t="s">
        <v>47</v>
      </c>
      <c r="G2097" s="15" t="s">
        <v>79</v>
      </c>
      <c r="H2097" s="15" t="s">
        <v>42</v>
      </c>
      <c r="I2097">
        <v>180</v>
      </c>
      <c r="J2097">
        <v>240</v>
      </c>
      <c r="K2097">
        <v>150</v>
      </c>
      <c r="L2097">
        <v>420</v>
      </c>
      <c r="M2097">
        <v>247</v>
      </c>
      <c r="N2097">
        <v>1744</v>
      </c>
      <c r="O2097">
        <v>329</v>
      </c>
      <c r="P2097">
        <v>81</v>
      </c>
      <c r="Q2097">
        <v>215</v>
      </c>
      <c r="R2097">
        <v>576</v>
      </c>
      <c r="S2097">
        <v>1.3714285714285714</v>
      </c>
      <c r="T2097">
        <v>1.4333333333333333</v>
      </c>
      <c r="U2097">
        <v>1.3722222222222222</v>
      </c>
    </row>
    <row r="2098" spans="1:21" x14ac:dyDescent="0.35">
      <c r="A2098">
        <v>702</v>
      </c>
      <c r="B2098" s="16">
        <v>40513</v>
      </c>
      <c r="C2098" s="15" t="s">
        <v>76</v>
      </c>
      <c r="D2098" s="15" t="s">
        <v>58</v>
      </c>
      <c r="E2098" s="15" t="s">
        <v>56</v>
      </c>
      <c r="F2098" s="15" t="s">
        <v>47</v>
      </c>
      <c r="G2098" s="15" t="s">
        <v>79</v>
      </c>
      <c r="H2098" s="15" t="s">
        <v>42</v>
      </c>
      <c r="I2098">
        <v>180</v>
      </c>
      <c r="J2098">
        <v>180</v>
      </c>
      <c r="K2098">
        <v>100</v>
      </c>
      <c r="L2098">
        <v>360</v>
      </c>
      <c r="M2098">
        <v>250</v>
      </c>
      <c r="N2098">
        <v>1820</v>
      </c>
      <c r="O2098">
        <v>251</v>
      </c>
      <c r="P2098">
        <v>70</v>
      </c>
      <c r="Q2098">
        <v>157</v>
      </c>
      <c r="R2098">
        <v>501</v>
      </c>
      <c r="S2098">
        <v>1.3916666666666666</v>
      </c>
      <c r="T2098">
        <v>1.57</v>
      </c>
      <c r="U2098">
        <v>1.3888888888888888</v>
      </c>
    </row>
    <row r="2099" spans="1:21" x14ac:dyDescent="0.35">
      <c r="A2099">
        <v>775</v>
      </c>
      <c r="B2099" s="16">
        <v>40513</v>
      </c>
      <c r="C2099" s="15" t="s">
        <v>76</v>
      </c>
      <c r="D2099" s="15" t="s">
        <v>58</v>
      </c>
      <c r="E2099" s="15" t="s">
        <v>46</v>
      </c>
      <c r="F2099" s="15" t="s">
        <v>47</v>
      </c>
      <c r="G2099" s="15" t="s">
        <v>79</v>
      </c>
      <c r="H2099" s="15" t="s">
        <v>42</v>
      </c>
      <c r="I2099">
        <v>210</v>
      </c>
      <c r="J2099">
        <v>-210</v>
      </c>
      <c r="K2099">
        <v>-320</v>
      </c>
      <c r="L2099">
        <v>0</v>
      </c>
      <c r="M2099">
        <v>294</v>
      </c>
      <c r="N2099">
        <v>8252</v>
      </c>
      <c r="O2099">
        <v>-294</v>
      </c>
      <c r="P2099">
        <v>111</v>
      </c>
      <c r="Q2099">
        <v>-408</v>
      </c>
      <c r="R2099">
        <v>31</v>
      </c>
      <c r="T2099">
        <v>1.2749999999999999</v>
      </c>
      <c r="U2099">
        <v>1.4</v>
      </c>
    </row>
    <row r="2100" spans="1:21" x14ac:dyDescent="0.35">
      <c r="A2100">
        <v>775</v>
      </c>
      <c r="B2100" s="16">
        <v>40513</v>
      </c>
      <c r="C2100" s="15" t="s">
        <v>76</v>
      </c>
      <c r="D2100" s="15" t="s">
        <v>58</v>
      </c>
      <c r="E2100" s="15" t="s">
        <v>43</v>
      </c>
      <c r="F2100" s="15" t="s">
        <v>40</v>
      </c>
      <c r="G2100" s="15" t="s">
        <v>79</v>
      </c>
      <c r="H2100" s="15" t="s">
        <v>42</v>
      </c>
      <c r="I2100">
        <v>40</v>
      </c>
      <c r="J2100">
        <v>60</v>
      </c>
      <c r="K2100">
        <v>20</v>
      </c>
      <c r="L2100">
        <v>100</v>
      </c>
      <c r="M2100">
        <v>39</v>
      </c>
      <c r="N2100">
        <v>250</v>
      </c>
      <c r="O2100">
        <v>49</v>
      </c>
      <c r="P2100">
        <v>14</v>
      </c>
      <c r="Q2100">
        <v>1</v>
      </c>
      <c r="R2100">
        <v>88</v>
      </c>
      <c r="S2100">
        <v>0.88</v>
      </c>
      <c r="T2100">
        <v>0.05</v>
      </c>
      <c r="U2100">
        <v>0.97499999999999998</v>
      </c>
    </row>
    <row r="2101" spans="1:21" x14ac:dyDescent="0.35">
      <c r="A2101">
        <v>702</v>
      </c>
      <c r="B2101" s="16">
        <v>40513</v>
      </c>
      <c r="C2101" s="15" t="s">
        <v>76</v>
      </c>
      <c r="D2101" s="15" t="s">
        <v>58</v>
      </c>
      <c r="E2101" s="15" t="s">
        <v>44</v>
      </c>
      <c r="F2101" s="15" t="s">
        <v>40</v>
      </c>
      <c r="G2101" s="15" t="s">
        <v>79</v>
      </c>
      <c r="H2101" s="15" t="s">
        <v>45</v>
      </c>
      <c r="I2101">
        <v>30</v>
      </c>
      <c r="J2101">
        <v>50</v>
      </c>
      <c r="K2101">
        <v>30</v>
      </c>
      <c r="L2101">
        <v>80</v>
      </c>
      <c r="M2101">
        <v>31</v>
      </c>
      <c r="N2101">
        <v>1009</v>
      </c>
      <c r="O2101">
        <v>38</v>
      </c>
      <c r="P2101">
        <v>9</v>
      </c>
      <c r="Q2101">
        <v>8</v>
      </c>
      <c r="R2101">
        <v>69</v>
      </c>
      <c r="S2101">
        <v>0.86250000000000004</v>
      </c>
      <c r="T2101">
        <v>0.26666666666666666</v>
      </c>
      <c r="U2101">
        <v>1.0333333333333334</v>
      </c>
    </row>
    <row r="2102" spans="1:21" x14ac:dyDescent="0.35">
      <c r="A2102">
        <v>702</v>
      </c>
      <c r="B2102" s="16">
        <v>40513</v>
      </c>
      <c r="C2102" s="15" t="s">
        <v>76</v>
      </c>
      <c r="D2102" s="15" t="s">
        <v>58</v>
      </c>
      <c r="E2102" s="15" t="s">
        <v>72</v>
      </c>
      <c r="F2102" s="15" t="s">
        <v>49</v>
      </c>
      <c r="G2102" s="15" t="s">
        <v>79</v>
      </c>
      <c r="H2102" s="15" t="s">
        <v>42</v>
      </c>
      <c r="I2102">
        <v>0</v>
      </c>
      <c r="J2102">
        <v>40</v>
      </c>
      <c r="K2102">
        <v>30</v>
      </c>
      <c r="L2102">
        <v>40</v>
      </c>
      <c r="M2102">
        <v>0</v>
      </c>
      <c r="N2102">
        <v>344</v>
      </c>
      <c r="O2102">
        <v>43</v>
      </c>
      <c r="P2102">
        <v>0</v>
      </c>
      <c r="Q2102">
        <v>31</v>
      </c>
      <c r="R2102">
        <v>43</v>
      </c>
      <c r="S2102">
        <v>1.075</v>
      </c>
      <c r="T2102">
        <v>1.0333333333333334</v>
      </c>
    </row>
    <row r="2103" spans="1:21" x14ac:dyDescent="0.35">
      <c r="A2103">
        <v>775</v>
      </c>
      <c r="B2103" s="16">
        <v>40513</v>
      </c>
      <c r="C2103" s="15" t="s">
        <v>76</v>
      </c>
      <c r="D2103" s="15" t="s">
        <v>58</v>
      </c>
      <c r="E2103" s="15" t="s">
        <v>48</v>
      </c>
      <c r="F2103" s="15" t="s">
        <v>49</v>
      </c>
      <c r="G2103" s="15" t="s">
        <v>79</v>
      </c>
      <c r="H2103" s="15" t="s">
        <v>42</v>
      </c>
      <c r="I2103">
        <v>10</v>
      </c>
      <c r="J2103">
        <v>20</v>
      </c>
      <c r="K2103">
        <v>10</v>
      </c>
      <c r="L2103">
        <v>30</v>
      </c>
      <c r="M2103">
        <v>16</v>
      </c>
      <c r="N2103">
        <v>851</v>
      </c>
      <c r="O2103">
        <v>25</v>
      </c>
      <c r="P2103">
        <v>4</v>
      </c>
      <c r="Q2103">
        <v>10</v>
      </c>
      <c r="R2103">
        <v>41</v>
      </c>
      <c r="S2103">
        <v>1.3666666666666667</v>
      </c>
      <c r="T2103">
        <v>1</v>
      </c>
      <c r="U2103">
        <v>1.6</v>
      </c>
    </row>
    <row r="2104" spans="1:21" x14ac:dyDescent="0.35">
      <c r="A2104">
        <v>702</v>
      </c>
      <c r="B2104" s="16">
        <v>40513</v>
      </c>
      <c r="C2104" s="15" t="s">
        <v>76</v>
      </c>
      <c r="D2104" s="15" t="s">
        <v>58</v>
      </c>
      <c r="E2104" s="15" t="s">
        <v>50</v>
      </c>
      <c r="F2104" s="15" t="s">
        <v>49</v>
      </c>
      <c r="G2104" s="15" t="s">
        <v>79</v>
      </c>
      <c r="H2104" s="15" t="s">
        <v>45</v>
      </c>
      <c r="I2104">
        <v>20</v>
      </c>
      <c r="J2104">
        <v>30</v>
      </c>
      <c r="K2104">
        <v>20</v>
      </c>
      <c r="L2104">
        <v>50</v>
      </c>
      <c r="M2104">
        <v>23</v>
      </c>
      <c r="N2104">
        <v>807</v>
      </c>
      <c r="O2104">
        <v>35</v>
      </c>
      <c r="P2104">
        <v>6</v>
      </c>
      <c r="Q2104">
        <v>17</v>
      </c>
      <c r="R2104">
        <v>58</v>
      </c>
      <c r="S2104">
        <v>1.1599999999999999</v>
      </c>
      <c r="T2104">
        <v>0.85</v>
      </c>
      <c r="U2104">
        <v>1.1499999999999999</v>
      </c>
    </row>
    <row r="2105" spans="1:21" x14ac:dyDescent="0.35">
      <c r="A2105">
        <v>541</v>
      </c>
      <c r="B2105" s="16">
        <v>40513</v>
      </c>
      <c r="C2105" s="15" t="s">
        <v>76</v>
      </c>
      <c r="D2105" s="15" t="s">
        <v>58</v>
      </c>
      <c r="E2105" s="15" t="s">
        <v>51</v>
      </c>
      <c r="F2105" s="15" t="s">
        <v>52</v>
      </c>
      <c r="G2105" s="15" t="s">
        <v>80</v>
      </c>
      <c r="H2105" s="15" t="s">
        <v>45</v>
      </c>
      <c r="I2105">
        <v>20</v>
      </c>
      <c r="J2105">
        <v>30</v>
      </c>
      <c r="K2105">
        <v>20</v>
      </c>
      <c r="L2105">
        <v>50</v>
      </c>
      <c r="M2105">
        <v>24</v>
      </c>
      <c r="N2105">
        <v>829</v>
      </c>
      <c r="O2105">
        <v>36</v>
      </c>
      <c r="P2105">
        <v>6</v>
      </c>
      <c r="Q2105">
        <v>19</v>
      </c>
      <c r="R2105">
        <v>60</v>
      </c>
      <c r="S2105">
        <v>1.2</v>
      </c>
      <c r="T2105">
        <v>0.95</v>
      </c>
      <c r="U2105">
        <v>1.2</v>
      </c>
    </row>
    <row r="2106" spans="1:21" x14ac:dyDescent="0.35">
      <c r="A2106">
        <v>541</v>
      </c>
      <c r="B2106" s="16">
        <v>40513</v>
      </c>
      <c r="C2106" s="15" t="s">
        <v>76</v>
      </c>
      <c r="D2106" s="15" t="s">
        <v>58</v>
      </c>
      <c r="E2106" s="15" t="s">
        <v>53</v>
      </c>
      <c r="F2106" s="15" t="s">
        <v>52</v>
      </c>
      <c r="G2106" s="15" t="s">
        <v>80</v>
      </c>
      <c r="H2106" s="15" t="s">
        <v>45</v>
      </c>
      <c r="I2106">
        <v>70</v>
      </c>
      <c r="J2106">
        <v>100</v>
      </c>
      <c r="K2106">
        <v>70</v>
      </c>
      <c r="L2106">
        <v>170</v>
      </c>
      <c r="M2106">
        <v>81</v>
      </c>
      <c r="N2106">
        <v>551</v>
      </c>
      <c r="O2106">
        <v>104</v>
      </c>
      <c r="P2106">
        <v>26</v>
      </c>
      <c r="Q2106">
        <v>66</v>
      </c>
      <c r="R2106">
        <v>185</v>
      </c>
      <c r="S2106">
        <v>1.088235294117647</v>
      </c>
      <c r="T2106">
        <v>0.94285714285714284</v>
      </c>
      <c r="U2106">
        <v>1.1571428571428573</v>
      </c>
    </row>
    <row r="2107" spans="1:21" x14ac:dyDescent="0.35">
      <c r="A2107">
        <v>971</v>
      </c>
      <c r="B2107" s="16">
        <v>40513</v>
      </c>
      <c r="C2107" s="15" t="s">
        <v>76</v>
      </c>
      <c r="D2107" s="15" t="s">
        <v>58</v>
      </c>
      <c r="E2107" s="15" t="s">
        <v>55</v>
      </c>
      <c r="F2107" s="15" t="s">
        <v>47</v>
      </c>
      <c r="G2107" s="15" t="s">
        <v>80</v>
      </c>
      <c r="H2107" s="15" t="s">
        <v>42</v>
      </c>
      <c r="I2107">
        <v>20</v>
      </c>
      <c r="J2107">
        <v>30</v>
      </c>
      <c r="K2107">
        <v>30</v>
      </c>
      <c r="L2107">
        <v>50</v>
      </c>
      <c r="M2107">
        <v>29</v>
      </c>
      <c r="N2107">
        <v>490</v>
      </c>
      <c r="O2107">
        <v>44</v>
      </c>
      <c r="P2107">
        <v>8</v>
      </c>
      <c r="Q2107">
        <v>25</v>
      </c>
      <c r="R2107">
        <v>73</v>
      </c>
      <c r="S2107">
        <v>1.46</v>
      </c>
      <c r="T2107">
        <v>0.83333333333333337</v>
      </c>
      <c r="U2107">
        <v>1.45</v>
      </c>
    </row>
    <row r="2108" spans="1:21" x14ac:dyDescent="0.35">
      <c r="A2108">
        <v>971</v>
      </c>
      <c r="B2108" s="16">
        <v>40513</v>
      </c>
      <c r="C2108" s="15" t="s">
        <v>76</v>
      </c>
      <c r="D2108" s="15" t="s">
        <v>58</v>
      </c>
      <c r="E2108" s="15" t="s">
        <v>56</v>
      </c>
      <c r="F2108" s="15" t="s">
        <v>47</v>
      </c>
      <c r="G2108" s="15" t="s">
        <v>80</v>
      </c>
      <c r="H2108" s="15" t="s">
        <v>42</v>
      </c>
      <c r="I2108">
        <v>60</v>
      </c>
      <c r="J2108">
        <v>100</v>
      </c>
      <c r="K2108">
        <v>60</v>
      </c>
      <c r="L2108">
        <v>160</v>
      </c>
      <c r="M2108">
        <v>88</v>
      </c>
      <c r="N2108">
        <v>817</v>
      </c>
      <c r="O2108">
        <v>133</v>
      </c>
      <c r="P2108">
        <v>29</v>
      </c>
      <c r="Q2108">
        <v>73</v>
      </c>
      <c r="R2108">
        <v>221</v>
      </c>
      <c r="S2108">
        <v>1.3812500000000001</v>
      </c>
      <c r="T2108">
        <v>1.2166666666666666</v>
      </c>
      <c r="U2108">
        <v>1.4666666666666666</v>
      </c>
    </row>
    <row r="2109" spans="1:21" x14ac:dyDescent="0.35">
      <c r="A2109">
        <v>503</v>
      </c>
      <c r="B2109" s="16">
        <v>40513</v>
      </c>
      <c r="C2109" s="15" t="s">
        <v>76</v>
      </c>
      <c r="D2109" s="15" t="s">
        <v>58</v>
      </c>
      <c r="E2109" s="15" t="s">
        <v>46</v>
      </c>
      <c r="F2109" s="15" t="s">
        <v>47</v>
      </c>
      <c r="G2109" s="15" t="s">
        <v>80</v>
      </c>
      <c r="H2109" s="15" t="s">
        <v>42</v>
      </c>
      <c r="I2109">
        <v>90</v>
      </c>
      <c r="J2109">
        <v>140</v>
      </c>
      <c r="K2109">
        <v>100</v>
      </c>
      <c r="L2109">
        <v>230</v>
      </c>
      <c r="M2109">
        <v>134</v>
      </c>
      <c r="N2109">
        <v>690</v>
      </c>
      <c r="O2109">
        <v>186</v>
      </c>
      <c r="P2109">
        <v>41</v>
      </c>
      <c r="Q2109">
        <v>121</v>
      </c>
      <c r="R2109">
        <v>320</v>
      </c>
      <c r="S2109">
        <v>1.3913043478260869</v>
      </c>
      <c r="T2109">
        <v>1.21</v>
      </c>
      <c r="U2109">
        <v>1.4888888888888889</v>
      </c>
    </row>
    <row r="2110" spans="1:21" x14ac:dyDescent="0.35">
      <c r="A2110">
        <v>503</v>
      </c>
      <c r="B2110" s="16">
        <v>40513</v>
      </c>
      <c r="C2110" s="15" t="s">
        <v>76</v>
      </c>
      <c r="D2110" s="15" t="s">
        <v>58</v>
      </c>
      <c r="E2110" s="15" t="s">
        <v>39</v>
      </c>
      <c r="F2110" s="15" t="s">
        <v>40</v>
      </c>
      <c r="G2110" s="15" t="s">
        <v>80</v>
      </c>
      <c r="H2110" s="15" t="s">
        <v>42</v>
      </c>
      <c r="I2110">
        <v>50</v>
      </c>
      <c r="J2110">
        <v>80</v>
      </c>
      <c r="K2110">
        <v>20</v>
      </c>
      <c r="L2110">
        <v>130</v>
      </c>
      <c r="M2110">
        <v>47</v>
      </c>
      <c r="N2110">
        <v>521</v>
      </c>
      <c r="O2110">
        <v>65</v>
      </c>
      <c r="P2110">
        <v>42</v>
      </c>
      <c r="Q2110">
        <v>-7</v>
      </c>
      <c r="R2110">
        <v>112</v>
      </c>
      <c r="S2110">
        <v>0.86153846153846159</v>
      </c>
      <c r="T2110">
        <v>-0.35</v>
      </c>
      <c r="U2110">
        <v>0.94</v>
      </c>
    </row>
    <row r="2111" spans="1:21" x14ac:dyDescent="0.35">
      <c r="A2111">
        <v>503</v>
      </c>
      <c r="B2111" s="16">
        <v>40513</v>
      </c>
      <c r="C2111" s="15" t="s">
        <v>76</v>
      </c>
      <c r="D2111" s="15" t="s">
        <v>58</v>
      </c>
      <c r="E2111" s="15" t="s">
        <v>43</v>
      </c>
      <c r="F2111" s="15" t="s">
        <v>40</v>
      </c>
      <c r="G2111" s="15" t="s">
        <v>80</v>
      </c>
      <c r="H2111" s="15" t="s">
        <v>42</v>
      </c>
      <c r="I2111">
        <v>40</v>
      </c>
      <c r="J2111">
        <v>70</v>
      </c>
      <c r="K2111">
        <v>20</v>
      </c>
      <c r="L2111">
        <v>110</v>
      </c>
      <c r="M2111">
        <v>41</v>
      </c>
      <c r="N2111">
        <v>482</v>
      </c>
      <c r="O2111">
        <v>57</v>
      </c>
      <c r="P2111">
        <v>13</v>
      </c>
      <c r="Q2111">
        <v>1</v>
      </c>
      <c r="R2111">
        <v>98</v>
      </c>
      <c r="S2111">
        <v>0.89090909090909087</v>
      </c>
      <c r="T2111">
        <v>0.05</v>
      </c>
      <c r="U2111">
        <v>1.0249999999999999</v>
      </c>
    </row>
    <row r="2112" spans="1:21" x14ac:dyDescent="0.35">
      <c r="A2112">
        <v>503</v>
      </c>
      <c r="B2112" s="16">
        <v>40513</v>
      </c>
      <c r="C2112" s="15" t="s">
        <v>76</v>
      </c>
      <c r="D2112" s="15" t="s">
        <v>58</v>
      </c>
      <c r="E2112" s="15" t="s">
        <v>44</v>
      </c>
      <c r="F2112" s="15" t="s">
        <v>40</v>
      </c>
      <c r="G2112" s="15" t="s">
        <v>80</v>
      </c>
      <c r="H2112" s="15" t="s">
        <v>45</v>
      </c>
      <c r="I2112">
        <v>40</v>
      </c>
      <c r="J2112">
        <v>80</v>
      </c>
      <c r="K2112">
        <v>50</v>
      </c>
      <c r="L2112">
        <v>120</v>
      </c>
      <c r="M2112">
        <v>41</v>
      </c>
      <c r="N2112">
        <v>435</v>
      </c>
      <c r="O2112">
        <v>60</v>
      </c>
      <c r="P2112">
        <v>13</v>
      </c>
      <c r="Q2112">
        <v>25</v>
      </c>
      <c r="R2112">
        <v>101</v>
      </c>
      <c r="S2112">
        <v>0.84166666666666667</v>
      </c>
      <c r="T2112">
        <v>0.5</v>
      </c>
      <c r="U2112">
        <v>1.0249999999999999</v>
      </c>
    </row>
    <row r="2113" spans="1:21" x14ac:dyDescent="0.35">
      <c r="A2113">
        <v>971</v>
      </c>
      <c r="B2113" s="16">
        <v>40513</v>
      </c>
      <c r="C2113" s="15" t="s">
        <v>76</v>
      </c>
      <c r="D2113" s="15" t="s">
        <v>58</v>
      </c>
      <c r="E2113" s="15" t="s">
        <v>72</v>
      </c>
      <c r="F2113" s="15" t="s">
        <v>49</v>
      </c>
      <c r="G2113" s="15" t="s">
        <v>80</v>
      </c>
      <c r="H2113" s="15" t="s">
        <v>42</v>
      </c>
      <c r="I2113">
        <v>40</v>
      </c>
      <c r="J2113">
        <v>50</v>
      </c>
      <c r="K2113">
        <v>10</v>
      </c>
      <c r="L2113">
        <v>90</v>
      </c>
      <c r="M2113">
        <v>46</v>
      </c>
      <c r="N2113">
        <v>422</v>
      </c>
      <c r="O2113">
        <v>57</v>
      </c>
      <c r="P2113">
        <v>17</v>
      </c>
      <c r="Q2113">
        <v>6</v>
      </c>
      <c r="R2113">
        <v>103</v>
      </c>
      <c r="S2113">
        <v>1.1444444444444444</v>
      </c>
      <c r="T2113">
        <v>0.6</v>
      </c>
      <c r="U2113">
        <v>1.1499999999999999</v>
      </c>
    </row>
    <row r="2114" spans="1:21" x14ac:dyDescent="0.35">
      <c r="A2114">
        <v>503</v>
      </c>
      <c r="B2114" s="16">
        <v>40513</v>
      </c>
      <c r="C2114" s="15" t="s">
        <v>76</v>
      </c>
      <c r="D2114" s="15" t="s">
        <v>58</v>
      </c>
      <c r="E2114" s="15" t="s">
        <v>48</v>
      </c>
      <c r="F2114" s="15" t="s">
        <v>49</v>
      </c>
      <c r="G2114" s="15" t="s">
        <v>80</v>
      </c>
      <c r="H2114" s="15" t="s">
        <v>42</v>
      </c>
      <c r="I2114">
        <v>50</v>
      </c>
      <c r="J2114">
        <v>70</v>
      </c>
      <c r="K2114">
        <v>40</v>
      </c>
      <c r="L2114">
        <v>120</v>
      </c>
      <c r="M2114">
        <v>54</v>
      </c>
      <c r="N2114">
        <v>424</v>
      </c>
      <c r="O2114">
        <v>73</v>
      </c>
      <c r="P2114">
        <v>17</v>
      </c>
      <c r="Q2114">
        <v>28</v>
      </c>
      <c r="R2114">
        <v>127</v>
      </c>
      <c r="S2114">
        <v>1.0583333333333333</v>
      </c>
      <c r="T2114">
        <v>0.7</v>
      </c>
      <c r="U2114">
        <v>1.08</v>
      </c>
    </row>
    <row r="2115" spans="1:21" x14ac:dyDescent="0.35">
      <c r="A2115">
        <v>971</v>
      </c>
      <c r="B2115" s="16">
        <v>40513</v>
      </c>
      <c r="C2115" s="15" t="s">
        <v>76</v>
      </c>
      <c r="D2115" s="15" t="s">
        <v>58</v>
      </c>
      <c r="E2115" s="15" t="s">
        <v>50</v>
      </c>
      <c r="F2115" s="15" t="s">
        <v>49</v>
      </c>
      <c r="G2115" s="15" t="s">
        <v>80</v>
      </c>
      <c r="H2115" s="15" t="s">
        <v>45</v>
      </c>
      <c r="I2115">
        <v>150</v>
      </c>
      <c r="J2115">
        <v>140</v>
      </c>
      <c r="K2115">
        <v>80</v>
      </c>
      <c r="L2115">
        <v>290</v>
      </c>
      <c r="M2115">
        <v>153</v>
      </c>
      <c r="N2115">
        <v>1319</v>
      </c>
      <c r="O2115">
        <v>153</v>
      </c>
      <c r="P2115">
        <v>42</v>
      </c>
      <c r="Q2115">
        <v>87</v>
      </c>
      <c r="R2115">
        <v>306</v>
      </c>
      <c r="S2115">
        <v>1.0551724137931036</v>
      </c>
      <c r="T2115">
        <v>1.0874999999999999</v>
      </c>
      <c r="U2115">
        <v>1.02</v>
      </c>
    </row>
    <row r="2116" spans="1:21" x14ac:dyDescent="0.35">
      <c r="A2116">
        <v>509</v>
      </c>
      <c r="B2116" s="16">
        <v>40513</v>
      </c>
      <c r="C2116" s="15" t="s">
        <v>76</v>
      </c>
      <c r="D2116" s="15" t="s">
        <v>58</v>
      </c>
      <c r="E2116" s="15" t="s">
        <v>51</v>
      </c>
      <c r="F2116" s="15" t="s">
        <v>52</v>
      </c>
      <c r="G2116" s="15" t="s">
        <v>81</v>
      </c>
      <c r="H2116" s="15" t="s">
        <v>45</v>
      </c>
      <c r="I2116">
        <v>100</v>
      </c>
      <c r="J2116">
        <v>160</v>
      </c>
      <c r="K2116">
        <v>110</v>
      </c>
      <c r="L2116">
        <v>260</v>
      </c>
      <c r="M2116">
        <v>115</v>
      </c>
      <c r="N2116">
        <v>1166</v>
      </c>
      <c r="O2116">
        <v>174</v>
      </c>
      <c r="P2116">
        <v>37</v>
      </c>
      <c r="Q2116">
        <v>105</v>
      </c>
      <c r="R2116">
        <v>289</v>
      </c>
      <c r="S2116">
        <v>1.1115384615384616</v>
      </c>
      <c r="T2116">
        <v>0.95454545454545459</v>
      </c>
      <c r="U2116">
        <v>1.1499999999999999</v>
      </c>
    </row>
    <row r="2117" spans="1:21" x14ac:dyDescent="0.35">
      <c r="A2117">
        <v>425</v>
      </c>
      <c r="B2117" s="16">
        <v>40513</v>
      </c>
      <c r="C2117" s="15" t="s">
        <v>76</v>
      </c>
      <c r="D2117" s="15" t="s">
        <v>58</v>
      </c>
      <c r="E2117" s="15" t="s">
        <v>53</v>
      </c>
      <c r="F2117" s="15" t="s">
        <v>52</v>
      </c>
      <c r="G2117" s="15" t="s">
        <v>81</v>
      </c>
      <c r="H2117" s="15" t="s">
        <v>45</v>
      </c>
      <c r="I2117">
        <v>40</v>
      </c>
      <c r="J2117">
        <v>70</v>
      </c>
      <c r="K2117">
        <v>50</v>
      </c>
      <c r="L2117">
        <v>110</v>
      </c>
      <c r="M2117">
        <v>49</v>
      </c>
      <c r="N2117">
        <v>845</v>
      </c>
      <c r="O2117">
        <v>71</v>
      </c>
      <c r="P2117">
        <v>13</v>
      </c>
      <c r="Q2117">
        <v>46</v>
      </c>
      <c r="R2117">
        <v>120</v>
      </c>
      <c r="S2117">
        <v>1.0909090909090908</v>
      </c>
      <c r="T2117">
        <v>0.92</v>
      </c>
      <c r="U2117">
        <v>1.2250000000000001</v>
      </c>
    </row>
    <row r="2118" spans="1:21" x14ac:dyDescent="0.35">
      <c r="A2118">
        <v>509</v>
      </c>
      <c r="B2118" s="16">
        <v>40513</v>
      </c>
      <c r="C2118" s="15" t="s">
        <v>76</v>
      </c>
      <c r="D2118" s="15" t="s">
        <v>58</v>
      </c>
      <c r="E2118" s="15" t="s">
        <v>55</v>
      </c>
      <c r="F2118" s="15" t="s">
        <v>47</v>
      </c>
      <c r="G2118" s="15" t="s">
        <v>81</v>
      </c>
      <c r="H2118" s="15" t="s">
        <v>42</v>
      </c>
      <c r="I2118">
        <v>30</v>
      </c>
      <c r="J2118">
        <v>40</v>
      </c>
      <c r="K2118">
        <v>20</v>
      </c>
      <c r="L2118">
        <v>70</v>
      </c>
      <c r="M2118">
        <v>41</v>
      </c>
      <c r="N2118">
        <v>320</v>
      </c>
      <c r="O2118">
        <v>66</v>
      </c>
      <c r="P2118">
        <v>12</v>
      </c>
      <c r="Q2118">
        <v>30</v>
      </c>
      <c r="R2118">
        <v>107</v>
      </c>
      <c r="S2118">
        <v>1.5285714285714285</v>
      </c>
      <c r="T2118">
        <v>1.5</v>
      </c>
      <c r="U2118">
        <v>1.3666666666666667</v>
      </c>
    </row>
    <row r="2119" spans="1:21" x14ac:dyDescent="0.35">
      <c r="A2119">
        <v>509</v>
      </c>
      <c r="B2119" s="16">
        <v>40513</v>
      </c>
      <c r="C2119" s="15" t="s">
        <v>76</v>
      </c>
      <c r="D2119" s="15" t="s">
        <v>58</v>
      </c>
      <c r="E2119" s="15" t="s">
        <v>56</v>
      </c>
      <c r="F2119" s="15" t="s">
        <v>47</v>
      </c>
      <c r="G2119" s="15" t="s">
        <v>81</v>
      </c>
      <c r="H2119" s="15" t="s">
        <v>42</v>
      </c>
      <c r="I2119">
        <v>30</v>
      </c>
      <c r="J2119">
        <v>40</v>
      </c>
      <c r="K2119">
        <v>20</v>
      </c>
      <c r="L2119">
        <v>70</v>
      </c>
      <c r="M2119">
        <v>43</v>
      </c>
      <c r="N2119">
        <v>466</v>
      </c>
      <c r="O2119">
        <v>63</v>
      </c>
      <c r="P2119">
        <v>13</v>
      </c>
      <c r="Q2119">
        <v>28</v>
      </c>
      <c r="R2119">
        <v>106</v>
      </c>
      <c r="S2119">
        <v>1.5142857142857142</v>
      </c>
      <c r="T2119">
        <v>1.4</v>
      </c>
      <c r="U2119">
        <v>1.4333333333333333</v>
      </c>
    </row>
    <row r="2120" spans="1:21" x14ac:dyDescent="0.35">
      <c r="A2120">
        <v>360</v>
      </c>
      <c r="B2120" s="16">
        <v>40513</v>
      </c>
      <c r="C2120" s="15" t="s">
        <v>76</v>
      </c>
      <c r="D2120" s="15" t="s">
        <v>58</v>
      </c>
      <c r="E2120" s="15" t="s">
        <v>46</v>
      </c>
      <c r="F2120" s="15" t="s">
        <v>47</v>
      </c>
      <c r="G2120" s="15" t="s">
        <v>81</v>
      </c>
      <c r="H2120" s="15" t="s">
        <v>42</v>
      </c>
      <c r="I2120">
        <v>40</v>
      </c>
      <c r="J2120">
        <v>50</v>
      </c>
      <c r="K2120">
        <v>-10</v>
      </c>
      <c r="L2120">
        <v>90</v>
      </c>
      <c r="M2120">
        <v>55</v>
      </c>
      <c r="N2120">
        <v>627</v>
      </c>
      <c r="O2120">
        <v>76</v>
      </c>
      <c r="P2120">
        <v>49</v>
      </c>
      <c r="Q2120">
        <v>-3</v>
      </c>
      <c r="R2120">
        <v>131</v>
      </c>
      <c r="S2120">
        <v>1.4555555555555555</v>
      </c>
      <c r="T2120">
        <v>0.3</v>
      </c>
      <c r="U2120">
        <v>1.375</v>
      </c>
    </row>
    <row r="2121" spans="1:21" x14ac:dyDescent="0.35">
      <c r="A2121">
        <v>253</v>
      </c>
      <c r="B2121" s="16">
        <v>40513</v>
      </c>
      <c r="C2121" s="15" t="s">
        <v>76</v>
      </c>
      <c r="D2121" s="15" t="s">
        <v>58</v>
      </c>
      <c r="E2121" s="15" t="s">
        <v>43</v>
      </c>
      <c r="F2121" s="15" t="s">
        <v>40</v>
      </c>
      <c r="G2121" s="15" t="s">
        <v>81</v>
      </c>
      <c r="H2121" s="15" t="s">
        <v>42</v>
      </c>
      <c r="I2121">
        <v>80</v>
      </c>
      <c r="J2121">
        <v>120</v>
      </c>
      <c r="K2121">
        <v>80</v>
      </c>
      <c r="L2121">
        <v>200</v>
      </c>
      <c r="M2121">
        <v>72</v>
      </c>
      <c r="N2121">
        <v>461</v>
      </c>
      <c r="O2121">
        <v>104</v>
      </c>
      <c r="P2121">
        <v>23</v>
      </c>
      <c r="Q2121">
        <v>58</v>
      </c>
      <c r="R2121">
        <v>176</v>
      </c>
      <c r="S2121">
        <v>0.88</v>
      </c>
      <c r="T2121">
        <v>0.72499999999999998</v>
      </c>
      <c r="U2121">
        <v>0.9</v>
      </c>
    </row>
    <row r="2122" spans="1:21" x14ac:dyDescent="0.35">
      <c r="A2122">
        <v>509</v>
      </c>
      <c r="B2122" s="16">
        <v>40513</v>
      </c>
      <c r="C2122" s="15" t="s">
        <v>76</v>
      </c>
      <c r="D2122" s="15" t="s">
        <v>58</v>
      </c>
      <c r="E2122" s="15" t="s">
        <v>44</v>
      </c>
      <c r="F2122" s="15" t="s">
        <v>40</v>
      </c>
      <c r="G2122" s="15" t="s">
        <v>81</v>
      </c>
      <c r="H2122" s="15" t="s">
        <v>45</v>
      </c>
      <c r="I2122">
        <v>120</v>
      </c>
      <c r="J2122">
        <v>170</v>
      </c>
      <c r="K2122">
        <v>50</v>
      </c>
      <c r="L2122">
        <v>290</v>
      </c>
      <c r="M2122">
        <v>105</v>
      </c>
      <c r="N2122">
        <v>716</v>
      </c>
      <c r="O2122">
        <v>145</v>
      </c>
      <c r="P2122">
        <v>95</v>
      </c>
      <c r="Q2122">
        <v>20</v>
      </c>
      <c r="R2122">
        <v>250</v>
      </c>
      <c r="S2122">
        <v>0.86206896551724133</v>
      </c>
      <c r="T2122">
        <v>0.4</v>
      </c>
      <c r="U2122">
        <v>0.875</v>
      </c>
    </row>
    <row r="2123" spans="1:21" x14ac:dyDescent="0.35">
      <c r="A2123">
        <v>253</v>
      </c>
      <c r="B2123" s="16">
        <v>40513</v>
      </c>
      <c r="C2123" s="15" t="s">
        <v>76</v>
      </c>
      <c r="D2123" s="15" t="s">
        <v>58</v>
      </c>
      <c r="E2123" s="15" t="s">
        <v>72</v>
      </c>
      <c r="F2123" s="15" t="s">
        <v>49</v>
      </c>
      <c r="G2123" s="15" t="s">
        <v>81</v>
      </c>
      <c r="H2123" s="15" t="s">
        <v>42</v>
      </c>
      <c r="I2123">
        <v>20</v>
      </c>
      <c r="J2123">
        <v>30</v>
      </c>
      <c r="K2123">
        <v>20</v>
      </c>
      <c r="L2123">
        <v>50</v>
      </c>
      <c r="M2123">
        <v>24</v>
      </c>
      <c r="N2123">
        <v>567</v>
      </c>
      <c r="O2123">
        <v>32</v>
      </c>
      <c r="P2123">
        <v>7</v>
      </c>
      <c r="Q2123">
        <v>13</v>
      </c>
      <c r="R2123">
        <v>56</v>
      </c>
      <c r="S2123">
        <v>1.1200000000000001</v>
      </c>
      <c r="T2123">
        <v>0.65</v>
      </c>
      <c r="U2123">
        <v>1.2</v>
      </c>
    </row>
    <row r="2124" spans="1:21" x14ac:dyDescent="0.35">
      <c r="A2124">
        <v>509</v>
      </c>
      <c r="B2124" s="16">
        <v>40513</v>
      </c>
      <c r="C2124" s="15" t="s">
        <v>76</v>
      </c>
      <c r="D2124" s="15" t="s">
        <v>58</v>
      </c>
      <c r="E2124" s="15" t="s">
        <v>48</v>
      </c>
      <c r="F2124" s="15" t="s">
        <v>49</v>
      </c>
      <c r="G2124" s="15" t="s">
        <v>81</v>
      </c>
      <c r="H2124" s="15" t="s">
        <v>42</v>
      </c>
      <c r="I2124">
        <v>60</v>
      </c>
      <c r="J2124">
        <v>80</v>
      </c>
      <c r="K2124">
        <v>30</v>
      </c>
      <c r="L2124">
        <v>140</v>
      </c>
      <c r="M2124">
        <v>65</v>
      </c>
      <c r="N2124">
        <v>403</v>
      </c>
      <c r="O2124">
        <v>80</v>
      </c>
      <c r="P2124">
        <v>24</v>
      </c>
      <c r="Q2124">
        <v>23</v>
      </c>
      <c r="R2124">
        <v>145</v>
      </c>
      <c r="S2124">
        <v>1.0357142857142858</v>
      </c>
      <c r="T2124">
        <v>0.76666666666666672</v>
      </c>
      <c r="U2124">
        <v>1.0833333333333333</v>
      </c>
    </row>
    <row r="2125" spans="1:21" x14ac:dyDescent="0.35">
      <c r="A2125">
        <v>253</v>
      </c>
      <c r="B2125" s="16">
        <v>40513</v>
      </c>
      <c r="C2125" s="15" t="s">
        <v>76</v>
      </c>
      <c r="D2125" s="15" t="s">
        <v>58</v>
      </c>
      <c r="E2125" s="15" t="s">
        <v>50</v>
      </c>
      <c r="F2125" s="15" t="s">
        <v>49</v>
      </c>
      <c r="G2125" s="15" t="s">
        <v>81</v>
      </c>
      <c r="H2125" s="15" t="s">
        <v>45</v>
      </c>
      <c r="I2125">
        <v>70</v>
      </c>
      <c r="J2125">
        <v>100</v>
      </c>
      <c r="K2125">
        <v>60</v>
      </c>
      <c r="L2125">
        <v>170</v>
      </c>
      <c r="M2125">
        <v>80</v>
      </c>
      <c r="N2125">
        <v>1079</v>
      </c>
      <c r="O2125">
        <v>96</v>
      </c>
      <c r="P2125">
        <v>24</v>
      </c>
      <c r="Q2125">
        <v>51</v>
      </c>
      <c r="R2125">
        <v>176</v>
      </c>
      <c r="S2125">
        <v>1.0352941176470589</v>
      </c>
      <c r="T2125">
        <v>0.85</v>
      </c>
      <c r="U2125">
        <v>1.1428571428571428</v>
      </c>
    </row>
    <row r="2126" spans="1:21" x14ac:dyDescent="0.35">
      <c r="A2126">
        <v>720</v>
      </c>
      <c r="B2126" s="16">
        <v>40544</v>
      </c>
      <c r="C2126" s="15" t="s">
        <v>37</v>
      </c>
      <c r="D2126" s="15" t="s">
        <v>38</v>
      </c>
      <c r="E2126" s="15" t="s">
        <v>51</v>
      </c>
      <c r="F2126" s="15" t="s">
        <v>52</v>
      </c>
      <c r="G2126" s="15" t="s">
        <v>41</v>
      </c>
      <c r="H2126" s="15" t="s">
        <v>45</v>
      </c>
      <c r="I2126">
        <v>140</v>
      </c>
      <c r="J2126">
        <v>160</v>
      </c>
      <c r="K2126">
        <v>110</v>
      </c>
      <c r="L2126">
        <v>300</v>
      </c>
      <c r="M2126">
        <v>170</v>
      </c>
      <c r="N2126">
        <v>1091</v>
      </c>
      <c r="O2126">
        <v>171</v>
      </c>
      <c r="P2126">
        <v>47</v>
      </c>
      <c r="Q2126">
        <v>154</v>
      </c>
      <c r="R2126">
        <v>382</v>
      </c>
      <c r="S2126">
        <v>1.2733333333333334</v>
      </c>
      <c r="T2126">
        <v>1.4</v>
      </c>
      <c r="U2126">
        <v>1.2142857142857142</v>
      </c>
    </row>
    <row r="2127" spans="1:21" x14ac:dyDescent="0.35">
      <c r="A2127">
        <v>720</v>
      </c>
      <c r="B2127" s="16">
        <v>40544</v>
      </c>
      <c r="C2127" s="15" t="s">
        <v>37</v>
      </c>
      <c r="D2127" s="15" t="s">
        <v>38</v>
      </c>
      <c r="E2127" s="15" t="s">
        <v>53</v>
      </c>
      <c r="F2127" s="15" t="s">
        <v>52</v>
      </c>
      <c r="G2127" s="15" t="s">
        <v>41</v>
      </c>
      <c r="H2127" s="15" t="s">
        <v>45</v>
      </c>
      <c r="I2127">
        <v>50</v>
      </c>
      <c r="J2127">
        <v>80</v>
      </c>
      <c r="K2127">
        <v>20</v>
      </c>
      <c r="L2127">
        <v>130</v>
      </c>
      <c r="M2127">
        <v>63</v>
      </c>
      <c r="N2127">
        <v>435</v>
      </c>
      <c r="O2127">
        <v>87</v>
      </c>
      <c r="P2127">
        <v>57</v>
      </c>
      <c r="Q2127">
        <v>0</v>
      </c>
      <c r="R2127">
        <v>168</v>
      </c>
      <c r="S2127">
        <v>1.2923076923076924</v>
      </c>
      <c r="T2127">
        <v>0</v>
      </c>
      <c r="U2127">
        <v>1.26</v>
      </c>
    </row>
    <row r="2128" spans="1:21" x14ac:dyDescent="0.35">
      <c r="A2128">
        <v>970</v>
      </c>
      <c r="B2128" s="16">
        <v>40544</v>
      </c>
      <c r="C2128" s="15" t="s">
        <v>37</v>
      </c>
      <c r="D2128" s="15" t="s">
        <v>38</v>
      </c>
      <c r="E2128" s="15" t="s">
        <v>54</v>
      </c>
      <c r="F2128" s="15" t="s">
        <v>52</v>
      </c>
      <c r="G2128" s="15" t="s">
        <v>41</v>
      </c>
      <c r="H2128" s="15" t="s">
        <v>45</v>
      </c>
      <c r="I2128">
        <v>50</v>
      </c>
      <c r="J2128">
        <v>70</v>
      </c>
      <c r="K2128">
        <v>40</v>
      </c>
      <c r="L2128">
        <v>120</v>
      </c>
      <c r="M2128">
        <v>60</v>
      </c>
      <c r="N2128">
        <v>336</v>
      </c>
      <c r="O2128">
        <v>80</v>
      </c>
      <c r="P2128">
        <v>19</v>
      </c>
      <c r="Q2128">
        <v>51</v>
      </c>
      <c r="R2128">
        <v>157</v>
      </c>
      <c r="S2128">
        <v>1.3083333333333333</v>
      </c>
      <c r="T2128">
        <v>1.2749999999999999</v>
      </c>
      <c r="U2128">
        <v>1.2</v>
      </c>
    </row>
    <row r="2129" spans="1:21" x14ac:dyDescent="0.35">
      <c r="A2129">
        <v>719</v>
      </c>
      <c r="B2129" s="16">
        <v>40544</v>
      </c>
      <c r="C2129" s="15" t="s">
        <v>37</v>
      </c>
      <c r="D2129" s="15" t="s">
        <v>38</v>
      </c>
      <c r="E2129" s="15" t="s">
        <v>55</v>
      </c>
      <c r="F2129" s="15" t="s">
        <v>47</v>
      </c>
      <c r="G2129" s="15" t="s">
        <v>41</v>
      </c>
      <c r="H2129" s="15" t="s">
        <v>42</v>
      </c>
      <c r="I2129">
        <v>40</v>
      </c>
      <c r="J2129">
        <v>70</v>
      </c>
      <c r="K2129">
        <v>20</v>
      </c>
      <c r="L2129">
        <v>110</v>
      </c>
      <c r="M2129">
        <v>58</v>
      </c>
      <c r="N2129">
        <v>338</v>
      </c>
      <c r="O2129">
        <v>72</v>
      </c>
      <c r="P2129">
        <v>22</v>
      </c>
      <c r="Q2129">
        <v>26</v>
      </c>
      <c r="R2129">
        <v>145</v>
      </c>
      <c r="S2129">
        <v>1.3181818181818181</v>
      </c>
      <c r="T2129">
        <v>1.3</v>
      </c>
      <c r="U2129">
        <v>1.45</v>
      </c>
    </row>
    <row r="2130" spans="1:21" x14ac:dyDescent="0.35">
      <c r="A2130">
        <v>719</v>
      </c>
      <c r="B2130" s="16">
        <v>40544</v>
      </c>
      <c r="C2130" s="15" t="s">
        <v>37</v>
      </c>
      <c r="D2130" s="15" t="s">
        <v>38</v>
      </c>
      <c r="E2130" s="15" t="s">
        <v>56</v>
      </c>
      <c r="F2130" s="15" t="s">
        <v>47</v>
      </c>
      <c r="G2130" s="15" t="s">
        <v>41</v>
      </c>
      <c r="H2130" s="15" t="s">
        <v>42</v>
      </c>
      <c r="I2130">
        <v>50</v>
      </c>
      <c r="J2130">
        <v>70</v>
      </c>
      <c r="K2130">
        <v>40</v>
      </c>
      <c r="L2130">
        <v>120</v>
      </c>
      <c r="M2130">
        <v>64</v>
      </c>
      <c r="N2130">
        <v>965</v>
      </c>
      <c r="O2130">
        <v>76</v>
      </c>
      <c r="P2130">
        <v>19</v>
      </c>
      <c r="Q2130">
        <v>56</v>
      </c>
      <c r="R2130">
        <v>157</v>
      </c>
      <c r="S2130">
        <v>1.3083333333333333</v>
      </c>
      <c r="T2130">
        <v>1.4</v>
      </c>
      <c r="U2130">
        <v>1.28</v>
      </c>
    </row>
    <row r="2131" spans="1:21" x14ac:dyDescent="0.35">
      <c r="A2131">
        <v>303</v>
      </c>
      <c r="B2131" s="16">
        <v>40544</v>
      </c>
      <c r="C2131" s="15" t="s">
        <v>37</v>
      </c>
      <c r="D2131" s="15" t="s">
        <v>38</v>
      </c>
      <c r="E2131" s="15" t="s">
        <v>46</v>
      </c>
      <c r="F2131" s="15" t="s">
        <v>47</v>
      </c>
      <c r="G2131" s="15" t="s">
        <v>41</v>
      </c>
      <c r="H2131" s="15" t="s">
        <v>42</v>
      </c>
      <c r="I2131">
        <v>30</v>
      </c>
      <c r="J2131">
        <v>50</v>
      </c>
      <c r="K2131">
        <v>30</v>
      </c>
      <c r="L2131">
        <v>80</v>
      </c>
      <c r="M2131">
        <v>44</v>
      </c>
      <c r="N2131">
        <v>623</v>
      </c>
      <c r="O2131">
        <v>56</v>
      </c>
      <c r="P2131">
        <v>14</v>
      </c>
      <c r="Q2131">
        <v>47</v>
      </c>
      <c r="R2131">
        <v>112</v>
      </c>
      <c r="S2131">
        <v>1.4</v>
      </c>
      <c r="T2131">
        <v>1.5666666666666667</v>
      </c>
      <c r="U2131">
        <v>1.4666666666666666</v>
      </c>
    </row>
    <row r="2132" spans="1:21" x14ac:dyDescent="0.35">
      <c r="A2132">
        <v>720</v>
      </c>
      <c r="B2132" s="16">
        <v>40544</v>
      </c>
      <c r="C2132" s="15" t="s">
        <v>37</v>
      </c>
      <c r="D2132" s="15" t="s">
        <v>38</v>
      </c>
      <c r="E2132" s="15" t="s">
        <v>48</v>
      </c>
      <c r="F2132" s="15" t="s">
        <v>49</v>
      </c>
      <c r="G2132" s="15" t="s">
        <v>41</v>
      </c>
      <c r="H2132" s="15" t="s">
        <v>42</v>
      </c>
      <c r="I2132">
        <v>60</v>
      </c>
      <c r="J2132">
        <v>90</v>
      </c>
      <c r="K2132">
        <v>70</v>
      </c>
      <c r="L2132">
        <v>150</v>
      </c>
      <c r="M2132">
        <v>54</v>
      </c>
      <c r="N2132">
        <v>456</v>
      </c>
      <c r="O2132">
        <v>80</v>
      </c>
      <c r="P2132">
        <v>15</v>
      </c>
      <c r="Q2132">
        <v>84</v>
      </c>
      <c r="R2132">
        <v>150</v>
      </c>
      <c r="S2132">
        <v>1</v>
      </c>
      <c r="T2132">
        <v>1.2</v>
      </c>
      <c r="U2132">
        <v>0.9</v>
      </c>
    </row>
    <row r="2133" spans="1:21" x14ac:dyDescent="0.35">
      <c r="A2133">
        <v>719</v>
      </c>
      <c r="B2133" s="16">
        <v>40544</v>
      </c>
      <c r="C2133" s="15" t="s">
        <v>37</v>
      </c>
      <c r="D2133" s="15" t="s">
        <v>38</v>
      </c>
      <c r="E2133" s="15" t="s">
        <v>50</v>
      </c>
      <c r="F2133" s="15" t="s">
        <v>49</v>
      </c>
      <c r="G2133" s="15" t="s">
        <v>41</v>
      </c>
      <c r="H2133" s="15" t="s">
        <v>45</v>
      </c>
      <c r="I2133">
        <v>80</v>
      </c>
      <c r="J2133">
        <v>130</v>
      </c>
      <c r="K2133">
        <v>80</v>
      </c>
      <c r="L2133">
        <v>210</v>
      </c>
      <c r="M2133">
        <v>72</v>
      </c>
      <c r="N2133">
        <v>558</v>
      </c>
      <c r="O2133">
        <v>108</v>
      </c>
      <c r="P2133">
        <v>23</v>
      </c>
      <c r="Q2133">
        <v>83</v>
      </c>
      <c r="R2133">
        <v>201</v>
      </c>
      <c r="S2133">
        <v>0.95714285714285718</v>
      </c>
      <c r="T2133">
        <v>1.0375000000000001</v>
      </c>
      <c r="U2133">
        <v>0.9</v>
      </c>
    </row>
    <row r="2134" spans="1:21" x14ac:dyDescent="0.35">
      <c r="A2134">
        <v>719</v>
      </c>
      <c r="B2134" s="16">
        <v>40544</v>
      </c>
      <c r="C2134" s="15" t="s">
        <v>37</v>
      </c>
      <c r="D2134" s="15" t="s">
        <v>38</v>
      </c>
      <c r="E2134" s="15" t="s">
        <v>39</v>
      </c>
      <c r="F2134" s="15" t="s">
        <v>40</v>
      </c>
      <c r="G2134" s="15" t="s">
        <v>41</v>
      </c>
      <c r="H2134" s="15" t="s">
        <v>42</v>
      </c>
      <c r="I2134">
        <v>90</v>
      </c>
      <c r="J2134">
        <v>130</v>
      </c>
      <c r="K2134">
        <v>100</v>
      </c>
      <c r="L2134">
        <v>220</v>
      </c>
      <c r="M2134">
        <v>89</v>
      </c>
      <c r="N2134">
        <v>777</v>
      </c>
      <c r="O2134">
        <v>130</v>
      </c>
      <c r="P2134">
        <v>24</v>
      </c>
      <c r="Q2134">
        <v>146</v>
      </c>
      <c r="R2134">
        <v>245</v>
      </c>
      <c r="S2134">
        <v>1.1136363636363635</v>
      </c>
      <c r="T2134">
        <v>1.46</v>
      </c>
      <c r="U2134">
        <v>0.98888888888888893</v>
      </c>
    </row>
    <row r="2135" spans="1:21" x14ac:dyDescent="0.35">
      <c r="A2135">
        <v>720</v>
      </c>
      <c r="B2135" s="16">
        <v>40544</v>
      </c>
      <c r="C2135" s="15" t="s">
        <v>37</v>
      </c>
      <c r="D2135" s="15" t="s">
        <v>38</v>
      </c>
      <c r="E2135" s="15" t="s">
        <v>43</v>
      </c>
      <c r="F2135" s="15" t="s">
        <v>40</v>
      </c>
      <c r="G2135" s="15" t="s">
        <v>41</v>
      </c>
      <c r="H2135" s="15" t="s">
        <v>42</v>
      </c>
      <c r="I2135">
        <v>80</v>
      </c>
      <c r="J2135">
        <v>110</v>
      </c>
      <c r="K2135">
        <v>80</v>
      </c>
      <c r="L2135">
        <v>190</v>
      </c>
      <c r="M2135">
        <v>83</v>
      </c>
      <c r="N2135">
        <v>623</v>
      </c>
      <c r="O2135">
        <v>107</v>
      </c>
      <c r="P2135">
        <v>27</v>
      </c>
      <c r="Q2135">
        <v>106</v>
      </c>
      <c r="R2135">
        <v>213</v>
      </c>
      <c r="S2135">
        <v>1.1210526315789473</v>
      </c>
      <c r="T2135">
        <v>1.325</v>
      </c>
      <c r="U2135">
        <v>1.0375000000000001</v>
      </c>
    </row>
    <row r="2136" spans="1:21" x14ac:dyDescent="0.35">
      <c r="A2136">
        <v>719</v>
      </c>
      <c r="B2136" s="16">
        <v>40544</v>
      </c>
      <c r="C2136" s="15" t="s">
        <v>37</v>
      </c>
      <c r="D2136" s="15" t="s">
        <v>38</v>
      </c>
      <c r="E2136" s="15" t="s">
        <v>44</v>
      </c>
      <c r="F2136" s="15" t="s">
        <v>40</v>
      </c>
      <c r="G2136" s="15" t="s">
        <v>41</v>
      </c>
      <c r="H2136" s="15" t="s">
        <v>45</v>
      </c>
      <c r="I2136">
        <v>100</v>
      </c>
      <c r="J2136">
        <v>140</v>
      </c>
      <c r="K2136">
        <v>110</v>
      </c>
      <c r="L2136">
        <v>240</v>
      </c>
      <c r="M2136">
        <v>95</v>
      </c>
      <c r="N2136">
        <v>821</v>
      </c>
      <c r="O2136">
        <v>139</v>
      </c>
      <c r="P2136">
        <v>26</v>
      </c>
      <c r="Q2136">
        <v>157</v>
      </c>
      <c r="R2136">
        <v>262</v>
      </c>
      <c r="S2136">
        <v>1.0916666666666666</v>
      </c>
      <c r="T2136">
        <v>1.4272727272727272</v>
      </c>
      <c r="U2136">
        <v>0.95</v>
      </c>
    </row>
    <row r="2137" spans="1:21" x14ac:dyDescent="0.35">
      <c r="A2137">
        <v>773</v>
      </c>
      <c r="B2137" s="16">
        <v>40544</v>
      </c>
      <c r="C2137" s="15" t="s">
        <v>37</v>
      </c>
      <c r="D2137" s="15" t="s">
        <v>38</v>
      </c>
      <c r="E2137" s="15" t="s">
        <v>51</v>
      </c>
      <c r="F2137" s="15" t="s">
        <v>52</v>
      </c>
      <c r="G2137" s="15" t="s">
        <v>57</v>
      </c>
      <c r="H2137" s="15" t="s">
        <v>45</v>
      </c>
      <c r="I2137">
        <v>70</v>
      </c>
      <c r="J2137">
        <v>120</v>
      </c>
      <c r="K2137">
        <v>100</v>
      </c>
      <c r="L2137">
        <v>190</v>
      </c>
      <c r="M2137">
        <v>89</v>
      </c>
      <c r="N2137">
        <v>777</v>
      </c>
      <c r="O2137">
        <v>130</v>
      </c>
      <c r="P2137">
        <v>24</v>
      </c>
      <c r="Q2137">
        <v>148</v>
      </c>
      <c r="R2137">
        <v>245</v>
      </c>
      <c r="S2137">
        <v>1.2894736842105263</v>
      </c>
      <c r="T2137">
        <v>1.48</v>
      </c>
      <c r="U2137">
        <v>1.2714285714285714</v>
      </c>
    </row>
    <row r="2138" spans="1:21" x14ac:dyDescent="0.35">
      <c r="A2138">
        <v>773</v>
      </c>
      <c r="B2138" s="16">
        <v>40544</v>
      </c>
      <c r="C2138" s="15" t="s">
        <v>37</v>
      </c>
      <c r="D2138" s="15" t="s">
        <v>38</v>
      </c>
      <c r="E2138" s="15" t="s">
        <v>53</v>
      </c>
      <c r="F2138" s="15" t="s">
        <v>52</v>
      </c>
      <c r="G2138" s="15" t="s">
        <v>57</v>
      </c>
      <c r="H2138" s="15" t="s">
        <v>45</v>
      </c>
      <c r="I2138">
        <v>70</v>
      </c>
      <c r="J2138">
        <v>90</v>
      </c>
      <c r="K2138">
        <v>60</v>
      </c>
      <c r="L2138">
        <v>160</v>
      </c>
      <c r="M2138">
        <v>83</v>
      </c>
      <c r="N2138">
        <v>623</v>
      </c>
      <c r="O2138">
        <v>107</v>
      </c>
      <c r="P2138">
        <v>27</v>
      </c>
      <c r="Q2138">
        <v>106</v>
      </c>
      <c r="R2138">
        <v>213</v>
      </c>
      <c r="S2138">
        <v>1.33125</v>
      </c>
      <c r="T2138">
        <v>1.7666666666666666</v>
      </c>
      <c r="U2138">
        <v>1.1857142857142857</v>
      </c>
    </row>
    <row r="2139" spans="1:21" x14ac:dyDescent="0.35">
      <c r="A2139">
        <v>224</v>
      </c>
      <c r="B2139" s="16">
        <v>40544</v>
      </c>
      <c r="C2139" s="15" t="s">
        <v>37</v>
      </c>
      <c r="D2139" s="15" t="s">
        <v>38</v>
      </c>
      <c r="E2139" s="15" t="s">
        <v>54</v>
      </c>
      <c r="F2139" s="15" t="s">
        <v>52</v>
      </c>
      <c r="G2139" s="15" t="s">
        <v>57</v>
      </c>
      <c r="H2139" s="15" t="s">
        <v>45</v>
      </c>
      <c r="I2139">
        <v>80</v>
      </c>
      <c r="J2139">
        <v>120</v>
      </c>
      <c r="K2139">
        <v>100</v>
      </c>
      <c r="L2139">
        <v>200</v>
      </c>
      <c r="M2139">
        <v>95</v>
      </c>
      <c r="N2139">
        <v>821</v>
      </c>
      <c r="O2139">
        <v>139</v>
      </c>
      <c r="P2139">
        <v>26</v>
      </c>
      <c r="Q2139">
        <v>157</v>
      </c>
      <c r="R2139">
        <v>262</v>
      </c>
      <c r="S2139">
        <v>1.31</v>
      </c>
      <c r="T2139">
        <v>1.57</v>
      </c>
      <c r="U2139">
        <v>1.1875</v>
      </c>
    </row>
    <row r="2140" spans="1:21" x14ac:dyDescent="0.35">
      <c r="A2140">
        <v>217</v>
      </c>
      <c r="B2140" s="16">
        <v>40544</v>
      </c>
      <c r="C2140" s="15" t="s">
        <v>37</v>
      </c>
      <c r="D2140" s="15" t="s">
        <v>38</v>
      </c>
      <c r="E2140" s="15" t="s">
        <v>55</v>
      </c>
      <c r="F2140" s="15" t="s">
        <v>47</v>
      </c>
      <c r="G2140" s="15" t="s">
        <v>57</v>
      </c>
      <c r="H2140" s="15" t="s">
        <v>42</v>
      </c>
      <c r="I2140">
        <v>40</v>
      </c>
      <c r="J2140">
        <v>70</v>
      </c>
      <c r="K2140">
        <v>50</v>
      </c>
      <c r="L2140">
        <v>110</v>
      </c>
      <c r="M2140">
        <v>54</v>
      </c>
      <c r="N2140">
        <v>456</v>
      </c>
      <c r="O2140">
        <v>80</v>
      </c>
      <c r="P2140">
        <v>15</v>
      </c>
      <c r="Q2140">
        <v>83</v>
      </c>
      <c r="R2140">
        <v>150</v>
      </c>
      <c r="S2140">
        <v>1.3636363636363635</v>
      </c>
      <c r="T2140">
        <v>1.66</v>
      </c>
      <c r="U2140">
        <v>1.35</v>
      </c>
    </row>
    <row r="2141" spans="1:21" x14ac:dyDescent="0.35">
      <c r="A2141">
        <v>815</v>
      </c>
      <c r="B2141" s="16">
        <v>40544</v>
      </c>
      <c r="C2141" s="15" t="s">
        <v>37</v>
      </c>
      <c r="D2141" s="15" t="s">
        <v>38</v>
      </c>
      <c r="E2141" s="15" t="s">
        <v>56</v>
      </c>
      <c r="F2141" s="15" t="s">
        <v>47</v>
      </c>
      <c r="G2141" s="15" t="s">
        <v>57</v>
      </c>
      <c r="H2141" s="15" t="s">
        <v>42</v>
      </c>
      <c r="I2141">
        <v>60</v>
      </c>
      <c r="J2141">
        <v>90</v>
      </c>
      <c r="K2141">
        <v>40</v>
      </c>
      <c r="L2141">
        <v>150</v>
      </c>
      <c r="M2141">
        <v>72</v>
      </c>
      <c r="N2141">
        <v>558</v>
      </c>
      <c r="O2141">
        <v>108</v>
      </c>
      <c r="P2141">
        <v>23</v>
      </c>
      <c r="Q2141">
        <v>84</v>
      </c>
      <c r="R2141">
        <v>201</v>
      </c>
      <c r="S2141">
        <v>1.34</v>
      </c>
      <c r="T2141">
        <v>2.1</v>
      </c>
      <c r="U2141">
        <v>1.2</v>
      </c>
    </row>
    <row r="2142" spans="1:21" x14ac:dyDescent="0.35">
      <c r="A2142">
        <v>312</v>
      </c>
      <c r="B2142" s="16">
        <v>40544</v>
      </c>
      <c r="C2142" s="15" t="s">
        <v>37</v>
      </c>
      <c r="D2142" s="15" t="s">
        <v>38</v>
      </c>
      <c r="E2142" s="15" t="s">
        <v>48</v>
      </c>
      <c r="F2142" s="15" t="s">
        <v>49</v>
      </c>
      <c r="G2142" s="15" t="s">
        <v>57</v>
      </c>
      <c r="H2142" s="15" t="s">
        <v>42</v>
      </c>
      <c r="I2142">
        <v>270</v>
      </c>
      <c r="J2142">
        <v>370</v>
      </c>
      <c r="K2142">
        <v>260</v>
      </c>
      <c r="L2142">
        <v>640</v>
      </c>
      <c r="M2142">
        <v>234</v>
      </c>
      <c r="N2142">
        <v>1310</v>
      </c>
      <c r="O2142">
        <v>312</v>
      </c>
      <c r="P2142">
        <v>77</v>
      </c>
      <c r="Q2142">
        <v>316</v>
      </c>
      <c r="R2142">
        <v>611</v>
      </c>
      <c r="S2142">
        <v>0.95468750000000002</v>
      </c>
      <c r="T2142">
        <v>1.2153846153846153</v>
      </c>
      <c r="U2142">
        <v>0.8666666666666667</v>
      </c>
    </row>
    <row r="2143" spans="1:21" x14ac:dyDescent="0.35">
      <c r="A2143">
        <v>773</v>
      </c>
      <c r="B2143" s="16">
        <v>40544</v>
      </c>
      <c r="C2143" s="15" t="s">
        <v>37</v>
      </c>
      <c r="D2143" s="15" t="s">
        <v>38</v>
      </c>
      <c r="E2143" s="15" t="s">
        <v>50</v>
      </c>
      <c r="F2143" s="15" t="s">
        <v>49</v>
      </c>
      <c r="G2143" s="15" t="s">
        <v>57</v>
      </c>
      <c r="H2143" s="15" t="s">
        <v>45</v>
      </c>
      <c r="I2143">
        <v>260</v>
      </c>
      <c r="J2143">
        <v>270</v>
      </c>
      <c r="K2143">
        <v>180</v>
      </c>
      <c r="L2143">
        <v>530</v>
      </c>
      <c r="M2143">
        <v>228</v>
      </c>
      <c r="N2143">
        <v>1459</v>
      </c>
      <c r="O2143">
        <v>228</v>
      </c>
      <c r="P2143">
        <v>63</v>
      </c>
      <c r="Q2143">
        <v>218</v>
      </c>
      <c r="R2143">
        <v>510</v>
      </c>
      <c r="S2143">
        <v>0.96226415094339623</v>
      </c>
      <c r="T2143">
        <v>1.211111111111111</v>
      </c>
      <c r="U2143">
        <v>0.87692307692307692</v>
      </c>
    </row>
    <row r="2144" spans="1:21" x14ac:dyDescent="0.35">
      <c r="A2144">
        <v>815</v>
      </c>
      <c r="B2144" s="16">
        <v>40544</v>
      </c>
      <c r="C2144" s="15" t="s">
        <v>37</v>
      </c>
      <c r="D2144" s="15" t="s">
        <v>38</v>
      </c>
      <c r="E2144" s="15" t="s">
        <v>43</v>
      </c>
      <c r="F2144" s="15" t="s">
        <v>40</v>
      </c>
      <c r="G2144" s="15" t="s">
        <v>57</v>
      </c>
      <c r="H2144" s="15" t="s">
        <v>42</v>
      </c>
      <c r="I2144">
        <v>150</v>
      </c>
      <c r="J2144">
        <v>210</v>
      </c>
      <c r="K2144">
        <v>130</v>
      </c>
      <c r="L2144">
        <v>360</v>
      </c>
      <c r="M2144">
        <v>144</v>
      </c>
      <c r="N2144">
        <v>862</v>
      </c>
      <c r="O2144">
        <v>201</v>
      </c>
      <c r="P2144">
        <v>47</v>
      </c>
      <c r="Q2144">
        <v>173</v>
      </c>
      <c r="R2144">
        <v>386</v>
      </c>
      <c r="S2144">
        <v>1.0722222222222222</v>
      </c>
      <c r="T2144">
        <v>1.3307692307692307</v>
      </c>
      <c r="U2144">
        <v>0.96</v>
      </c>
    </row>
    <row r="2145" spans="1:21" x14ac:dyDescent="0.35">
      <c r="A2145">
        <v>217</v>
      </c>
      <c r="B2145" s="16">
        <v>40544</v>
      </c>
      <c r="C2145" s="15" t="s">
        <v>37</v>
      </c>
      <c r="D2145" s="15" t="s">
        <v>38</v>
      </c>
      <c r="E2145" s="15" t="s">
        <v>44</v>
      </c>
      <c r="F2145" s="15" t="s">
        <v>40</v>
      </c>
      <c r="G2145" s="15" t="s">
        <v>57</v>
      </c>
      <c r="H2145" s="15" t="s">
        <v>45</v>
      </c>
      <c r="I2145">
        <v>100</v>
      </c>
      <c r="J2145">
        <v>140</v>
      </c>
      <c r="K2145">
        <v>100</v>
      </c>
      <c r="L2145">
        <v>240</v>
      </c>
      <c r="M2145">
        <v>95</v>
      </c>
      <c r="N2145">
        <v>608</v>
      </c>
      <c r="O2145">
        <v>139</v>
      </c>
      <c r="P2145">
        <v>30</v>
      </c>
      <c r="Q2145">
        <v>136</v>
      </c>
      <c r="R2145">
        <v>262</v>
      </c>
      <c r="S2145">
        <v>1.0916666666666666</v>
      </c>
      <c r="T2145">
        <v>1.36</v>
      </c>
      <c r="U2145">
        <v>0.95</v>
      </c>
    </row>
    <row r="2146" spans="1:21" x14ac:dyDescent="0.35">
      <c r="A2146">
        <v>641</v>
      </c>
      <c r="B2146" s="16">
        <v>40544</v>
      </c>
      <c r="C2146" s="15" t="s">
        <v>37</v>
      </c>
      <c r="D2146" s="15" t="s">
        <v>58</v>
      </c>
      <c r="E2146" s="15" t="s">
        <v>51</v>
      </c>
      <c r="F2146" s="15" t="s">
        <v>52</v>
      </c>
      <c r="G2146" s="15" t="s">
        <v>59</v>
      </c>
      <c r="H2146" s="15" t="s">
        <v>45</v>
      </c>
      <c r="I2146">
        <v>200</v>
      </c>
      <c r="J2146">
        <v>280</v>
      </c>
      <c r="K2146">
        <v>200</v>
      </c>
      <c r="L2146">
        <v>480</v>
      </c>
      <c r="M2146">
        <v>234</v>
      </c>
      <c r="N2146">
        <v>1310</v>
      </c>
      <c r="O2146">
        <v>312</v>
      </c>
      <c r="P2146">
        <v>77</v>
      </c>
      <c r="Q2146">
        <v>315</v>
      </c>
      <c r="R2146">
        <v>611</v>
      </c>
      <c r="S2146">
        <v>1.2729166666666667</v>
      </c>
      <c r="T2146">
        <v>1.575</v>
      </c>
      <c r="U2146">
        <v>1.17</v>
      </c>
    </row>
    <row r="2147" spans="1:21" x14ac:dyDescent="0.35">
      <c r="A2147">
        <v>641</v>
      </c>
      <c r="B2147" s="16">
        <v>40544</v>
      </c>
      <c r="C2147" s="15" t="s">
        <v>37</v>
      </c>
      <c r="D2147" s="15" t="s">
        <v>58</v>
      </c>
      <c r="E2147" s="15" t="s">
        <v>53</v>
      </c>
      <c r="F2147" s="15" t="s">
        <v>52</v>
      </c>
      <c r="G2147" s="15" t="s">
        <v>59</v>
      </c>
      <c r="H2147" s="15" t="s">
        <v>45</v>
      </c>
      <c r="I2147">
        <v>80</v>
      </c>
      <c r="J2147">
        <v>120</v>
      </c>
      <c r="K2147">
        <v>90</v>
      </c>
      <c r="L2147">
        <v>200</v>
      </c>
      <c r="M2147">
        <v>95</v>
      </c>
      <c r="N2147">
        <v>608</v>
      </c>
      <c r="O2147">
        <v>139</v>
      </c>
      <c r="P2147">
        <v>30</v>
      </c>
      <c r="Q2147">
        <v>134</v>
      </c>
      <c r="R2147">
        <v>262</v>
      </c>
      <c r="S2147">
        <v>1.31</v>
      </c>
      <c r="T2147">
        <v>1.4888888888888889</v>
      </c>
      <c r="U2147">
        <v>1.1875</v>
      </c>
    </row>
    <row r="2148" spans="1:21" x14ac:dyDescent="0.35">
      <c r="A2148">
        <v>319</v>
      </c>
      <c r="B2148" s="16">
        <v>40544</v>
      </c>
      <c r="C2148" s="15" t="s">
        <v>37</v>
      </c>
      <c r="D2148" s="15" t="s">
        <v>58</v>
      </c>
      <c r="E2148" s="15" t="s">
        <v>55</v>
      </c>
      <c r="F2148" s="15" t="s">
        <v>47</v>
      </c>
      <c r="G2148" s="15" t="s">
        <v>59</v>
      </c>
      <c r="H2148" s="15" t="s">
        <v>42</v>
      </c>
      <c r="I2148">
        <v>190</v>
      </c>
      <c r="J2148">
        <v>210</v>
      </c>
      <c r="K2148">
        <v>140</v>
      </c>
      <c r="L2148">
        <v>400</v>
      </c>
      <c r="M2148">
        <v>228</v>
      </c>
      <c r="N2148">
        <v>1459</v>
      </c>
      <c r="O2148">
        <v>228</v>
      </c>
      <c r="P2148">
        <v>63</v>
      </c>
      <c r="Q2148">
        <v>220</v>
      </c>
      <c r="R2148">
        <v>510</v>
      </c>
      <c r="S2148">
        <v>1.2749999999999999</v>
      </c>
      <c r="T2148">
        <v>1.5714285714285714</v>
      </c>
      <c r="U2148">
        <v>1.2</v>
      </c>
    </row>
    <row r="2149" spans="1:21" x14ac:dyDescent="0.35">
      <c r="A2149">
        <v>641</v>
      </c>
      <c r="B2149" s="16">
        <v>40544</v>
      </c>
      <c r="C2149" s="15" t="s">
        <v>37</v>
      </c>
      <c r="D2149" s="15" t="s">
        <v>58</v>
      </c>
      <c r="E2149" s="15" t="s">
        <v>56</v>
      </c>
      <c r="F2149" s="15" t="s">
        <v>47</v>
      </c>
      <c r="G2149" s="15" t="s">
        <v>59</v>
      </c>
      <c r="H2149" s="15" t="s">
        <v>42</v>
      </c>
      <c r="I2149">
        <v>210</v>
      </c>
      <c r="J2149">
        <v>270</v>
      </c>
      <c r="K2149">
        <v>160</v>
      </c>
      <c r="L2149">
        <v>480</v>
      </c>
      <c r="M2149">
        <v>245</v>
      </c>
      <c r="N2149">
        <v>1419</v>
      </c>
      <c r="O2149">
        <v>301</v>
      </c>
      <c r="P2149">
        <v>93</v>
      </c>
      <c r="Q2149">
        <v>273</v>
      </c>
      <c r="R2149">
        <v>611</v>
      </c>
      <c r="S2149">
        <v>1.2729166666666667</v>
      </c>
      <c r="T2149">
        <v>1.70625</v>
      </c>
      <c r="U2149">
        <v>1.1666666666666667</v>
      </c>
    </row>
    <row r="2150" spans="1:21" x14ac:dyDescent="0.35">
      <c r="A2150">
        <v>563</v>
      </c>
      <c r="B2150" s="16">
        <v>40544</v>
      </c>
      <c r="C2150" s="15" t="s">
        <v>37</v>
      </c>
      <c r="D2150" s="15" t="s">
        <v>58</v>
      </c>
      <c r="E2150" s="15" t="s">
        <v>48</v>
      </c>
      <c r="F2150" s="15" t="s">
        <v>49</v>
      </c>
      <c r="G2150" s="15" t="s">
        <v>59</v>
      </c>
      <c r="H2150" s="15" t="s">
        <v>42</v>
      </c>
      <c r="I2150">
        <v>10</v>
      </c>
      <c r="J2150">
        <v>40</v>
      </c>
      <c r="K2150">
        <v>30</v>
      </c>
      <c r="L2150">
        <v>50</v>
      </c>
      <c r="M2150">
        <v>17</v>
      </c>
      <c r="N2150">
        <v>777</v>
      </c>
      <c r="O2150">
        <v>26</v>
      </c>
      <c r="P2150">
        <v>4</v>
      </c>
      <c r="Q2150">
        <v>17</v>
      </c>
      <c r="R2150">
        <v>48</v>
      </c>
      <c r="S2150">
        <v>0.96</v>
      </c>
      <c r="T2150">
        <v>0.56666666666666665</v>
      </c>
      <c r="U2150">
        <v>1.7</v>
      </c>
    </row>
    <row r="2151" spans="1:21" x14ac:dyDescent="0.35">
      <c r="A2151">
        <v>515</v>
      </c>
      <c r="B2151" s="16">
        <v>40544</v>
      </c>
      <c r="C2151" s="15" t="s">
        <v>37</v>
      </c>
      <c r="D2151" s="15" t="s">
        <v>58</v>
      </c>
      <c r="E2151" s="15" t="s">
        <v>50</v>
      </c>
      <c r="F2151" s="15" t="s">
        <v>49</v>
      </c>
      <c r="G2151" s="15" t="s">
        <v>59</v>
      </c>
      <c r="H2151" s="15" t="s">
        <v>45</v>
      </c>
      <c r="I2151">
        <v>10</v>
      </c>
      <c r="J2151">
        <v>40</v>
      </c>
      <c r="K2151">
        <v>30</v>
      </c>
      <c r="L2151">
        <v>50</v>
      </c>
      <c r="M2151">
        <v>17</v>
      </c>
      <c r="N2151">
        <v>777</v>
      </c>
      <c r="O2151">
        <v>26</v>
      </c>
      <c r="P2151">
        <v>4</v>
      </c>
      <c r="Q2151">
        <v>16</v>
      </c>
      <c r="R2151">
        <v>48</v>
      </c>
      <c r="S2151">
        <v>0.96</v>
      </c>
      <c r="T2151">
        <v>0.53333333333333333</v>
      </c>
      <c r="U2151">
        <v>1.7</v>
      </c>
    </row>
    <row r="2152" spans="1:21" x14ac:dyDescent="0.35">
      <c r="A2152">
        <v>563</v>
      </c>
      <c r="B2152" s="16">
        <v>40544</v>
      </c>
      <c r="C2152" s="15" t="s">
        <v>37</v>
      </c>
      <c r="D2152" s="15" t="s">
        <v>58</v>
      </c>
      <c r="E2152" s="15" t="s">
        <v>39</v>
      </c>
      <c r="F2152" s="15" t="s">
        <v>40</v>
      </c>
      <c r="G2152" s="15" t="s">
        <v>59</v>
      </c>
      <c r="H2152" s="15" t="s">
        <v>42</v>
      </c>
      <c r="I2152">
        <v>10</v>
      </c>
      <c r="J2152">
        <v>30</v>
      </c>
      <c r="K2152">
        <v>20</v>
      </c>
      <c r="L2152">
        <v>40</v>
      </c>
      <c r="M2152">
        <v>18</v>
      </c>
      <c r="N2152">
        <v>821</v>
      </c>
      <c r="O2152">
        <v>27</v>
      </c>
      <c r="P2152">
        <v>5</v>
      </c>
      <c r="Q2152">
        <v>17</v>
      </c>
      <c r="R2152">
        <v>50</v>
      </c>
      <c r="S2152">
        <v>1.25</v>
      </c>
      <c r="T2152">
        <v>0.85</v>
      </c>
      <c r="U2152">
        <v>1.8</v>
      </c>
    </row>
    <row r="2153" spans="1:21" x14ac:dyDescent="0.35">
      <c r="A2153">
        <v>641</v>
      </c>
      <c r="B2153" s="16">
        <v>40544</v>
      </c>
      <c r="C2153" s="15" t="s">
        <v>37</v>
      </c>
      <c r="D2153" s="15" t="s">
        <v>58</v>
      </c>
      <c r="E2153" s="15" t="s">
        <v>43</v>
      </c>
      <c r="F2153" s="15" t="s">
        <v>40</v>
      </c>
      <c r="G2153" s="15" t="s">
        <v>59</v>
      </c>
      <c r="H2153" s="15" t="s">
        <v>42</v>
      </c>
      <c r="I2153">
        <v>20</v>
      </c>
      <c r="J2153">
        <v>40</v>
      </c>
      <c r="K2153">
        <v>20</v>
      </c>
      <c r="L2153">
        <v>60</v>
      </c>
      <c r="M2153">
        <v>28</v>
      </c>
      <c r="N2153">
        <v>965</v>
      </c>
      <c r="O2153">
        <v>34</v>
      </c>
      <c r="P2153">
        <v>8</v>
      </c>
      <c r="Q2153">
        <v>8</v>
      </c>
      <c r="R2153">
        <v>69</v>
      </c>
      <c r="S2153">
        <v>1.1499999999999999</v>
      </c>
      <c r="T2153">
        <v>0.4</v>
      </c>
      <c r="U2153">
        <v>1.4</v>
      </c>
    </row>
    <row r="2154" spans="1:21" x14ac:dyDescent="0.35">
      <c r="A2154">
        <v>515</v>
      </c>
      <c r="B2154" s="16">
        <v>40544</v>
      </c>
      <c r="C2154" s="15" t="s">
        <v>37</v>
      </c>
      <c r="D2154" s="15" t="s">
        <v>58</v>
      </c>
      <c r="E2154" s="15" t="s">
        <v>44</v>
      </c>
      <c r="F2154" s="15" t="s">
        <v>40</v>
      </c>
      <c r="G2154" s="15" t="s">
        <v>59</v>
      </c>
      <c r="H2154" s="15" t="s">
        <v>45</v>
      </c>
      <c r="I2154">
        <v>20</v>
      </c>
      <c r="J2154">
        <v>30</v>
      </c>
      <c r="K2154">
        <v>20</v>
      </c>
      <c r="L2154">
        <v>50</v>
      </c>
      <c r="M2154">
        <v>23</v>
      </c>
      <c r="N2154">
        <v>623</v>
      </c>
      <c r="O2154">
        <v>31</v>
      </c>
      <c r="P2154">
        <v>7</v>
      </c>
      <c r="Q2154">
        <v>19</v>
      </c>
      <c r="R2154">
        <v>60</v>
      </c>
      <c r="S2154">
        <v>1.2</v>
      </c>
      <c r="T2154">
        <v>0.95</v>
      </c>
      <c r="U2154">
        <v>1.1499999999999999</v>
      </c>
    </row>
    <row r="2155" spans="1:21" x14ac:dyDescent="0.35">
      <c r="A2155">
        <v>573</v>
      </c>
      <c r="B2155" s="16">
        <v>40544</v>
      </c>
      <c r="C2155" s="15" t="s">
        <v>37</v>
      </c>
      <c r="D2155" s="15" t="s">
        <v>58</v>
      </c>
      <c r="E2155" s="15" t="s">
        <v>51</v>
      </c>
      <c r="F2155" s="15" t="s">
        <v>52</v>
      </c>
      <c r="G2155" s="15" t="s">
        <v>60</v>
      </c>
      <c r="H2155" s="15" t="s">
        <v>45</v>
      </c>
      <c r="I2155">
        <v>30</v>
      </c>
      <c r="J2155">
        <v>40</v>
      </c>
      <c r="K2155">
        <v>0</v>
      </c>
      <c r="L2155">
        <v>70</v>
      </c>
      <c r="M2155">
        <v>37</v>
      </c>
      <c r="N2155">
        <v>261</v>
      </c>
      <c r="O2155">
        <v>53</v>
      </c>
      <c r="P2155">
        <v>34</v>
      </c>
      <c r="Q2155">
        <v>-17</v>
      </c>
      <c r="R2155">
        <v>101</v>
      </c>
      <c r="S2155">
        <v>1.4428571428571428</v>
      </c>
      <c r="U2155">
        <v>1.2333333333333334</v>
      </c>
    </row>
    <row r="2156" spans="1:21" x14ac:dyDescent="0.35">
      <c r="A2156">
        <v>314</v>
      </c>
      <c r="B2156" s="16">
        <v>40544</v>
      </c>
      <c r="C2156" s="15" t="s">
        <v>37</v>
      </c>
      <c r="D2156" s="15" t="s">
        <v>58</v>
      </c>
      <c r="E2156" s="15" t="s">
        <v>53</v>
      </c>
      <c r="F2156" s="15" t="s">
        <v>52</v>
      </c>
      <c r="G2156" s="15" t="s">
        <v>60</v>
      </c>
      <c r="H2156" s="15" t="s">
        <v>45</v>
      </c>
      <c r="I2156">
        <v>70</v>
      </c>
      <c r="J2156">
        <v>10</v>
      </c>
      <c r="K2156">
        <v>-20</v>
      </c>
      <c r="L2156">
        <v>80</v>
      </c>
      <c r="M2156">
        <v>88</v>
      </c>
      <c r="N2156">
        <v>525</v>
      </c>
      <c r="O2156">
        <v>11</v>
      </c>
      <c r="P2156">
        <v>27</v>
      </c>
      <c r="Q2156">
        <v>-61</v>
      </c>
      <c r="R2156">
        <v>111</v>
      </c>
      <c r="S2156">
        <v>1.3875</v>
      </c>
      <c r="T2156">
        <v>3.05</v>
      </c>
      <c r="U2156">
        <v>1.2571428571428571</v>
      </c>
    </row>
    <row r="2157" spans="1:21" x14ac:dyDescent="0.35">
      <c r="A2157">
        <v>573</v>
      </c>
      <c r="B2157" s="16">
        <v>40544</v>
      </c>
      <c r="C2157" s="15" t="s">
        <v>37</v>
      </c>
      <c r="D2157" s="15" t="s">
        <v>58</v>
      </c>
      <c r="E2157" s="15" t="s">
        <v>55</v>
      </c>
      <c r="F2157" s="15" t="s">
        <v>47</v>
      </c>
      <c r="G2157" s="15" t="s">
        <v>60</v>
      </c>
      <c r="H2157" s="15" t="s">
        <v>42</v>
      </c>
      <c r="I2157">
        <v>30</v>
      </c>
      <c r="J2157">
        <v>40</v>
      </c>
      <c r="K2157">
        <v>10</v>
      </c>
      <c r="L2157">
        <v>70</v>
      </c>
      <c r="M2157">
        <v>35</v>
      </c>
      <c r="N2157">
        <v>196</v>
      </c>
      <c r="O2157">
        <v>47</v>
      </c>
      <c r="P2157">
        <v>11</v>
      </c>
      <c r="Q2157">
        <v>14</v>
      </c>
      <c r="R2157">
        <v>92</v>
      </c>
      <c r="S2157">
        <v>1.3142857142857143</v>
      </c>
      <c r="T2157">
        <v>1.4</v>
      </c>
      <c r="U2157">
        <v>1.1666666666666667</v>
      </c>
    </row>
    <row r="2158" spans="1:21" x14ac:dyDescent="0.35">
      <c r="A2158">
        <v>660</v>
      </c>
      <c r="B2158" s="16">
        <v>40544</v>
      </c>
      <c r="C2158" s="15" t="s">
        <v>37</v>
      </c>
      <c r="D2158" s="15" t="s">
        <v>58</v>
      </c>
      <c r="E2158" s="15" t="s">
        <v>56</v>
      </c>
      <c r="F2158" s="15" t="s">
        <v>47</v>
      </c>
      <c r="G2158" s="15" t="s">
        <v>60</v>
      </c>
      <c r="H2158" s="15" t="s">
        <v>42</v>
      </c>
      <c r="I2158">
        <v>20</v>
      </c>
      <c r="J2158">
        <v>30</v>
      </c>
      <c r="K2158">
        <v>-10</v>
      </c>
      <c r="L2158">
        <v>50</v>
      </c>
      <c r="M2158">
        <v>29</v>
      </c>
      <c r="N2158">
        <v>169</v>
      </c>
      <c r="O2158">
        <v>36</v>
      </c>
      <c r="P2158">
        <v>11</v>
      </c>
      <c r="Q2158">
        <v>-14</v>
      </c>
      <c r="R2158">
        <v>73</v>
      </c>
      <c r="S2158">
        <v>1.46</v>
      </c>
      <c r="T2158">
        <v>1.4</v>
      </c>
      <c r="U2158">
        <v>1.45</v>
      </c>
    </row>
    <row r="2159" spans="1:21" x14ac:dyDescent="0.35">
      <c r="A2159">
        <v>816</v>
      </c>
      <c r="B2159" s="16">
        <v>40544</v>
      </c>
      <c r="C2159" s="15" t="s">
        <v>37</v>
      </c>
      <c r="D2159" s="15" t="s">
        <v>58</v>
      </c>
      <c r="E2159" s="15" t="s">
        <v>46</v>
      </c>
      <c r="F2159" s="15" t="s">
        <v>47</v>
      </c>
      <c r="G2159" s="15" t="s">
        <v>60</v>
      </c>
      <c r="H2159" s="15" t="s">
        <v>42</v>
      </c>
      <c r="I2159">
        <v>20</v>
      </c>
      <c r="J2159">
        <v>40</v>
      </c>
      <c r="K2159">
        <v>0</v>
      </c>
      <c r="L2159">
        <v>60</v>
      </c>
      <c r="M2159">
        <v>34</v>
      </c>
      <c r="N2159">
        <v>197</v>
      </c>
      <c r="O2159">
        <v>42</v>
      </c>
      <c r="P2159">
        <v>12</v>
      </c>
      <c r="Q2159">
        <v>-6</v>
      </c>
      <c r="R2159">
        <v>85</v>
      </c>
      <c r="S2159">
        <v>1.4166666666666667</v>
      </c>
      <c r="U2159">
        <v>1.7</v>
      </c>
    </row>
    <row r="2160" spans="1:21" x14ac:dyDescent="0.35">
      <c r="A2160">
        <v>573</v>
      </c>
      <c r="B2160" s="16">
        <v>40544</v>
      </c>
      <c r="C2160" s="15" t="s">
        <v>37</v>
      </c>
      <c r="D2160" s="15" t="s">
        <v>58</v>
      </c>
      <c r="E2160" s="15" t="s">
        <v>48</v>
      </c>
      <c r="F2160" s="15" t="s">
        <v>49</v>
      </c>
      <c r="G2160" s="15" t="s">
        <v>60</v>
      </c>
      <c r="H2160" s="15" t="s">
        <v>42</v>
      </c>
      <c r="I2160">
        <v>50</v>
      </c>
      <c r="J2160">
        <v>90</v>
      </c>
      <c r="K2160">
        <v>70</v>
      </c>
      <c r="L2160">
        <v>140</v>
      </c>
      <c r="M2160">
        <v>50</v>
      </c>
      <c r="N2160">
        <v>821</v>
      </c>
      <c r="O2160">
        <v>73</v>
      </c>
      <c r="P2160">
        <v>14</v>
      </c>
      <c r="Q2160">
        <v>75</v>
      </c>
      <c r="R2160">
        <v>138</v>
      </c>
      <c r="S2160">
        <v>0.98571428571428577</v>
      </c>
      <c r="T2160">
        <v>1.0714285714285714</v>
      </c>
      <c r="U2160">
        <v>1</v>
      </c>
    </row>
    <row r="2161" spans="1:21" x14ac:dyDescent="0.35">
      <c r="A2161">
        <v>573</v>
      </c>
      <c r="B2161" s="16">
        <v>40544</v>
      </c>
      <c r="C2161" s="15" t="s">
        <v>37</v>
      </c>
      <c r="D2161" s="15" t="s">
        <v>58</v>
      </c>
      <c r="E2161" s="15" t="s">
        <v>50</v>
      </c>
      <c r="F2161" s="15" t="s">
        <v>49</v>
      </c>
      <c r="G2161" s="15" t="s">
        <v>60</v>
      </c>
      <c r="H2161" s="15" t="s">
        <v>45</v>
      </c>
      <c r="I2161">
        <v>50</v>
      </c>
      <c r="J2161">
        <v>80</v>
      </c>
      <c r="K2161">
        <v>60</v>
      </c>
      <c r="L2161">
        <v>130</v>
      </c>
      <c r="M2161">
        <v>46</v>
      </c>
      <c r="N2161">
        <v>777</v>
      </c>
      <c r="O2161">
        <v>68</v>
      </c>
      <c r="P2161">
        <v>12</v>
      </c>
      <c r="Q2161">
        <v>70</v>
      </c>
      <c r="R2161">
        <v>128</v>
      </c>
      <c r="S2161">
        <v>0.98461538461538467</v>
      </c>
      <c r="T2161">
        <v>1.1666666666666667</v>
      </c>
      <c r="U2161">
        <v>0.92</v>
      </c>
    </row>
    <row r="2162" spans="1:21" x14ac:dyDescent="0.35">
      <c r="A2162">
        <v>314</v>
      </c>
      <c r="B2162" s="16">
        <v>40544</v>
      </c>
      <c r="C2162" s="15" t="s">
        <v>37</v>
      </c>
      <c r="D2162" s="15" t="s">
        <v>58</v>
      </c>
      <c r="E2162" s="15" t="s">
        <v>43</v>
      </c>
      <c r="F2162" s="15" t="s">
        <v>40</v>
      </c>
      <c r="G2162" s="15" t="s">
        <v>60</v>
      </c>
      <c r="H2162" s="15" t="s">
        <v>42</v>
      </c>
      <c r="I2162">
        <v>90</v>
      </c>
      <c r="J2162">
        <v>100</v>
      </c>
      <c r="K2162">
        <v>40</v>
      </c>
      <c r="L2162">
        <v>190</v>
      </c>
      <c r="M2162">
        <v>85</v>
      </c>
      <c r="N2162">
        <v>494</v>
      </c>
      <c r="O2162">
        <v>105</v>
      </c>
      <c r="P2162">
        <v>32</v>
      </c>
      <c r="Q2162">
        <v>61</v>
      </c>
      <c r="R2162">
        <v>213</v>
      </c>
      <c r="S2162">
        <v>1.1210526315789473</v>
      </c>
      <c r="T2162">
        <v>1.5249999999999999</v>
      </c>
      <c r="U2162">
        <v>0.94444444444444442</v>
      </c>
    </row>
    <row r="2163" spans="1:21" x14ac:dyDescent="0.35">
      <c r="A2163">
        <v>314</v>
      </c>
      <c r="B2163" s="16">
        <v>40544</v>
      </c>
      <c r="C2163" s="15" t="s">
        <v>37</v>
      </c>
      <c r="D2163" s="15" t="s">
        <v>58</v>
      </c>
      <c r="E2163" s="15" t="s">
        <v>44</v>
      </c>
      <c r="F2163" s="15" t="s">
        <v>40</v>
      </c>
      <c r="G2163" s="15" t="s">
        <v>60</v>
      </c>
      <c r="H2163" s="15" t="s">
        <v>45</v>
      </c>
      <c r="I2163">
        <v>80</v>
      </c>
      <c r="J2163">
        <v>90</v>
      </c>
      <c r="K2163">
        <v>50</v>
      </c>
      <c r="L2163">
        <v>170</v>
      </c>
      <c r="M2163">
        <v>78</v>
      </c>
      <c r="N2163">
        <v>965</v>
      </c>
      <c r="O2163">
        <v>92</v>
      </c>
      <c r="P2163">
        <v>24</v>
      </c>
      <c r="Q2163">
        <v>73</v>
      </c>
      <c r="R2163">
        <v>190</v>
      </c>
      <c r="S2163">
        <v>1.1176470588235294</v>
      </c>
      <c r="T2163">
        <v>1.46</v>
      </c>
      <c r="U2163">
        <v>0.97499999999999998</v>
      </c>
    </row>
    <row r="2164" spans="1:21" x14ac:dyDescent="0.35">
      <c r="A2164">
        <v>567</v>
      </c>
      <c r="B2164" s="16">
        <v>40544</v>
      </c>
      <c r="C2164" s="15" t="s">
        <v>37</v>
      </c>
      <c r="D2164" s="15" t="s">
        <v>38</v>
      </c>
      <c r="E2164" s="15" t="s">
        <v>51</v>
      </c>
      <c r="F2164" s="15" t="s">
        <v>52</v>
      </c>
      <c r="G2164" s="15" t="s">
        <v>61</v>
      </c>
      <c r="H2164" s="15" t="s">
        <v>45</v>
      </c>
      <c r="I2164">
        <v>20</v>
      </c>
      <c r="J2164">
        <v>50</v>
      </c>
      <c r="K2164">
        <v>50</v>
      </c>
      <c r="L2164">
        <v>70</v>
      </c>
      <c r="M2164">
        <v>32</v>
      </c>
      <c r="N2164">
        <v>456</v>
      </c>
      <c r="O2164">
        <v>48</v>
      </c>
      <c r="P2164">
        <v>8</v>
      </c>
      <c r="Q2164">
        <v>45</v>
      </c>
      <c r="R2164">
        <v>90</v>
      </c>
      <c r="S2164">
        <v>1.2857142857142858</v>
      </c>
      <c r="T2164">
        <v>0.9</v>
      </c>
      <c r="U2164">
        <v>1.6</v>
      </c>
    </row>
    <row r="2165" spans="1:21" x14ac:dyDescent="0.35">
      <c r="A2165">
        <v>614</v>
      </c>
      <c r="B2165" s="16">
        <v>40544</v>
      </c>
      <c r="C2165" s="15" t="s">
        <v>37</v>
      </c>
      <c r="D2165" s="15" t="s">
        <v>38</v>
      </c>
      <c r="E2165" s="15" t="s">
        <v>53</v>
      </c>
      <c r="F2165" s="15" t="s">
        <v>52</v>
      </c>
      <c r="G2165" s="15" t="s">
        <v>61</v>
      </c>
      <c r="H2165" s="15" t="s">
        <v>45</v>
      </c>
      <c r="I2165">
        <v>20</v>
      </c>
      <c r="J2165">
        <v>50</v>
      </c>
      <c r="K2165">
        <v>50</v>
      </c>
      <c r="L2165">
        <v>70</v>
      </c>
      <c r="M2165">
        <v>32</v>
      </c>
      <c r="N2165">
        <v>821</v>
      </c>
      <c r="O2165">
        <v>48</v>
      </c>
      <c r="P2165">
        <v>8</v>
      </c>
      <c r="Q2165">
        <v>45</v>
      </c>
      <c r="R2165">
        <v>90</v>
      </c>
      <c r="S2165">
        <v>1.2857142857142858</v>
      </c>
      <c r="T2165">
        <v>0.9</v>
      </c>
      <c r="U2165">
        <v>1.6</v>
      </c>
    </row>
    <row r="2166" spans="1:21" x14ac:dyDescent="0.35">
      <c r="A2166">
        <v>513</v>
      </c>
      <c r="B2166" s="16">
        <v>40544</v>
      </c>
      <c r="C2166" s="15" t="s">
        <v>37</v>
      </c>
      <c r="D2166" s="15" t="s">
        <v>38</v>
      </c>
      <c r="E2166" s="15" t="s">
        <v>55</v>
      </c>
      <c r="F2166" s="15" t="s">
        <v>47</v>
      </c>
      <c r="G2166" s="15" t="s">
        <v>61</v>
      </c>
      <c r="H2166" s="15" t="s">
        <v>42</v>
      </c>
      <c r="I2166">
        <v>70</v>
      </c>
      <c r="J2166">
        <v>110</v>
      </c>
      <c r="K2166">
        <v>60</v>
      </c>
      <c r="L2166">
        <v>180</v>
      </c>
      <c r="M2166">
        <v>84</v>
      </c>
      <c r="N2166">
        <v>651</v>
      </c>
      <c r="O2166">
        <v>126</v>
      </c>
      <c r="P2166">
        <v>27</v>
      </c>
      <c r="Q2166">
        <v>106</v>
      </c>
      <c r="R2166">
        <v>235</v>
      </c>
      <c r="S2166">
        <v>1.3055555555555556</v>
      </c>
      <c r="T2166">
        <v>1.7666666666666666</v>
      </c>
      <c r="U2166">
        <v>1.2</v>
      </c>
    </row>
    <row r="2167" spans="1:21" x14ac:dyDescent="0.35">
      <c r="A2167">
        <v>567</v>
      </c>
      <c r="B2167" s="16">
        <v>40544</v>
      </c>
      <c r="C2167" s="15" t="s">
        <v>37</v>
      </c>
      <c r="D2167" s="15" t="s">
        <v>38</v>
      </c>
      <c r="E2167" s="15" t="s">
        <v>56</v>
      </c>
      <c r="F2167" s="15" t="s">
        <v>47</v>
      </c>
      <c r="G2167" s="15" t="s">
        <v>61</v>
      </c>
      <c r="H2167" s="15" t="s">
        <v>42</v>
      </c>
      <c r="I2167">
        <v>70</v>
      </c>
      <c r="J2167">
        <v>100</v>
      </c>
      <c r="K2167">
        <v>60</v>
      </c>
      <c r="L2167">
        <v>170</v>
      </c>
      <c r="M2167">
        <v>84</v>
      </c>
      <c r="N2167">
        <v>500</v>
      </c>
      <c r="O2167">
        <v>116</v>
      </c>
      <c r="P2167">
        <v>26</v>
      </c>
      <c r="Q2167">
        <v>104</v>
      </c>
      <c r="R2167">
        <v>224</v>
      </c>
      <c r="S2167">
        <v>1.3176470588235294</v>
      </c>
      <c r="T2167">
        <v>1.7333333333333334</v>
      </c>
      <c r="U2167">
        <v>1.2</v>
      </c>
    </row>
    <row r="2168" spans="1:21" x14ac:dyDescent="0.35">
      <c r="A2168">
        <v>234</v>
      </c>
      <c r="B2168" s="16">
        <v>40544</v>
      </c>
      <c r="C2168" s="15" t="s">
        <v>37</v>
      </c>
      <c r="D2168" s="15" t="s">
        <v>38</v>
      </c>
      <c r="E2168" s="15" t="s">
        <v>48</v>
      </c>
      <c r="F2168" s="15" t="s">
        <v>49</v>
      </c>
      <c r="G2168" s="15" t="s">
        <v>61</v>
      </c>
      <c r="H2168" s="15" t="s">
        <v>42</v>
      </c>
      <c r="I2168">
        <v>190</v>
      </c>
      <c r="J2168">
        <v>210</v>
      </c>
      <c r="K2168">
        <v>140</v>
      </c>
      <c r="L2168">
        <v>400</v>
      </c>
      <c r="M2168">
        <v>170</v>
      </c>
      <c r="N2168">
        <v>1091</v>
      </c>
      <c r="O2168">
        <v>171</v>
      </c>
      <c r="P2168">
        <v>47</v>
      </c>
      <c r="Q2168">
        <v>154</v>
      </c>
      <c r="R2168">
        <v>382</v>
      </c>
      <c r="S2168">
        <v>0.95499999999999996</v>
      </c>
      <c r="T2168">
        <v>1.1000000000000001</v>
      </c>
      <c r="U2168">
        <v>0.89473684210526316</v>
      </c>
    </row>
    <row r="2169" spans="1:21" x14ac:dyDescent="0.35">
      <c r="A2169">
        <v>937</v>
      </c>
      <c r="B2169" s="16">
        <v>40544</v>
      </c>
      <c r="C2169" s="15" t="s">
        <v>37</v>
      </c>
      <c r="D2169" s="15" t="s">
        <v>38</v>
      </c>
      <c r="E2169" s="15" t="s">
        <v>50</v>
      </c>
      <c r="F2169" s="15" t="s">
        <v>49</v>
      </c>
      <c r="G2169" s="15" t="s">
        <v>61</v>
      </c>
      <c r="H2169" s="15" t="s">
        <v>45</v>
      </c>
      <c r="I2169">
        <v>60</v>
      </c>
      <c r="J2169">
        <v>90</v>
      </c>
      <c r="K2169">
        <v>40</v>
      </c>
      <c r="L2169">
        <v>150</v>
      </c>
      <c r="M2169">
        <v>58</v>
      </c>
      <c r="N2169">
        <v>338</v>
      </c>
      <c r="O2169">
        <v>72</v>
      </c>
      <c r="P2169">
        <v>22</v>
      </c>
      <c r="Q2169">
        <v>25</v>
      </c>
      <c r="R2169">
        <v>145</v>
      </c>
      <c r="S2169">
        <v>0.96666666666666667</v>
      </c>
      <c r="T2169">
        <v>0.625</v>
      </c>
      <c r="U2169">
        <v>0.96666666666666667</v>
      </c>
    </row>
    <row r="2170" spans="1:21" x14ac:dyDescent="0.35">
      <c r="A2170">
        <v>330</v>
      </c>
      <c r="B2170" s="16">
        <v>40544</v>
      </c>
      <c r="C2170" s="15" t="s">
        <v>37</v>
      </c>
      <c r="D2170" s="15" t="s">
        <v>38</v>
      </c>
      <c r="E2170" s="15" t="s">
        <v>39</v>
      </c>
      <c r="F2170" s="15" t="s">
        <v>40</v>
      </c>
      <c r="G2170" s="15" t="s">
        <v>61</v>
      </c>
      <c r="H2170" s="15" t="s">
        <v>42</v>
      </c>
      <c r="I2170">
        <v>60</v>
      </c>
      <c r="J2170">
        <v>80</v>
      </c>
      <c r="K2170">
        <v>50</v>
      </c>
      <c r="L2170">
        <v>140</v>
      </c>
      <c r="M2170">
        <v>60</v>
      </c>
      <c r="N2170">
        <v>336</v>
      </c>
      <c r="O2170">
        <v>80</v>
      </c>
      <c r="P2170">
        <v>19</v>
      </c>
      <c r="Q2170">
        <v>53</v>
      </c>
      <c r="R2170">
        <v>157</v>
      </c>
      <c r="S2170">
        <v>1.1214285714285714</v>
      </c>
      <c r="T2170">
        <v>1.06</v>
      </c>
      <c r="U2170">
        <v>1</v>
      </c>
    </row>
    <row r="2171" spans="1:21" x14ac:dyDescent="0.35">
      <c r="A2171">
        <v>614</v>
      </c>
      <c r="B2171" s="16">
        <v>40544</v>
      </c>
      <c r="C2171" s="15" t="s">
        <v>37</v>
      </c>
      <c r="D2171" s="15" t="s">
        <v>38</v>
      </c>
      <c r="E2171" s="15" t="s">
        <v>43</v>
      </c>
      <c r="F2171" s="15" t="s">
        <v>40</v>
      </c>
      <c r="G2171" s="15" t="s">
        <v>61</v>
      </c>
      <c r="H2171" s="15" t="s">
        <v>42</v>
      </c>
      <c r="I2171">
        <v>60</v>
      </c>
      <c r="J2171">
        <v>80</v>
      </c>
      <c r="K2171">
        <v>50</v>
      </c>
      <c r="L2171">
        <v>140</v>
      </c>
      <c r="M2171">
        <v>57</v>
      </c>
      <c r="N2171">
        <v>364</v>
      </c>
      <c r="O2171">
        <v>83</v>
      </c>
      <c r="P2171">
        <v>18</v>
      </c>
      <c r="Q2171">
        <v>65</v>
      </c>
      <c r="R2171">
        <v>157</v>
      </c>
      <c r="S2171">
        <v>1.1214285714285714</v>
      </c>
      <c r="T2171">
        <v>1.3</v>
      </c>
      <c r="U2171">
        <v>0.95</v>
      </c>
    </row>
    <row r="2172" spans="1:21" x14ac:dyDescent="0.35">
      <c r="A2172">
        <v>513</v>
      </c>
      <c r="B2172" s="16">
        <v>40544</v>
      </c>
      <c r="C2172" s="15" t="s">
        <v>37</v>
      </c>
      <c r="D2172" s="15" t="s">
        <v>38</v>
      </c>
      <c r="E2172" s="15" t="s">
        <v>44</v>
      </c>
      <c r="F2172" s="15" t="s">
        <v>40</v>
      </c>
      <c r="G2172" s="15" t="s">
        <v>61</v>
      </c>
      <c r="H2172" s="15" t="s">
        <v>45</v>
      </c>
      <c r="I2172">
        <v>60</v>
      </c>
      <c r="J2172">
        <v>90</v>
      </c>
      <c r="K2172">
        <v>20</v>
      </c>
      <c r="L2172">
        <v>150</v>
      </c>
      <c r="M2172">
        <v>63</v>
      </c>
      <c r="N2172">
        <v>435</v>
      </c>
      <c r="O2172">
        <v>87</v>
      </c>
      <c r="P2172">
        <v>57</v>
      </c>
      <c r="Q2172">
        <v>0</v>
      </c>
      <c r="R2172">
        <v>168</v>
      </c>
      <c r="S2172">
        <v>1.1200000000000001</v>
      </c>
      <c r="T2172">
        <v>0</v>
      </c>
      <c r="U2172">
        <v>1.05</v>
      </c>
    </row>
    <row r="2173" spans="1:21" x14ac:dyDescent="0.35">
      <c r="A2173">
        <v>715</v>
      </c>
      <c r="B2173" s="16">
        <v>40544</v>
      </c>
      <c r="C2173" s="15" t="s">
        <v>37</v>
      </c>
      <c r="D2173" s="15" t="s">
        <v>58</v>
      </c>
      <c r="E2173" s="15" t="s">
        <v>51</v>
      </c>
      <c r="F2173" s="15" t="s">
        <v>52</v>
      </c>
      <c r="G2173" s="15" t="s">
        <v>62</v>
      </c>
      <c r="H2173" s="15" t="s">
        <v>45</v>
      </c>
      <c r="I2173">
        <v>50</v>
      </c>
      <c r="J2173">
        <v>100</v>
      </c>
      <c r="K2173">
        <v>80</v>
      </c>
      <c r="L2173">
        <v>150</v>
      </c>
      <c r="M2173">
        <v>67</v>
      </c>
      <c r="N2173">
        <v>400</v>
      </c>
      <c r="O2173">
        <v>113</v>
      </c>
      <c r="P2173">
        <v>20</v>
      </c>
      <c r="Q2173">
        <v>109</v>
      </c>
      <c r="R2173">
        <v>201</v>
      </c>
      <c r="S2173">
        <v>1.34</v>
      </c>
      <c r="T2173">
        <v>1.3625</v>
      </c>
      <c r="U2173">
        <v>1.34</v>
      </c>
    </row>
    <row r="2174" spans="1:21" x14ac:dyDescent="0.35">
      <c r="A2174">
        <v>608</v>
      </c>
      <c r="B2174" s="16">
        <v>40544</v>
      </c>
      <c r="C2174" s="15" t="s">
        <v>37</v>
      </c>
      <c r="D2174" s="15" t="s">
        <v>58</v>
      </c>
      <c r="E2174" s="15" t="s">
        <v>53</v>
      </c>
      <c r="F2174" s="15" t="s">
        <v>52</v>
      </c>
      <c r="G2174" s="15" t="s">
        <v>62</v>
      </c>
      <c r="H2174" s="15" t="s">
        <v>45</v>
      </c>
      <c r="I2174">
        <v>20</v>
      </c>
      <c r="J2174">
        <v>50</v>
      </c>
      <c r="K2174">
        <v>50</v>
      </c>
      <c r="L2174">
        <v>70</v>
      </c>
      <c r="M2174">
        <v>33</v>
      </c>
      <c r="N2174">
        <v>777</v>
      </c>
      <c r="O2174">
        <v>48</v>
      </c>
      <c r="P2174">
        <v>9</v>
      </c>
      <c r="Q2174">
        <v>44</v>
      </c>
      <c r="R2174">
        <v>91</v>
      </c>
      <c r="S2174">
        <v>1.3</v>
      </c>
      <c r="T2174">
        <v>0.88</v>
      </c>
      <c r="U2174">
        <v>1.65</v>
      </c>
    </row>
    <row r="2175" spans="1:21" x14ac:dyDescent="0.35">
      <c r="A2175">
        <v>608</v>
      </c>
      <c r="B2175" s="16">
        <v>40544</v>
      </c>
      <c r="C2175" s="15" t="s">
        <v>37</v>
      </c>
      <c r="D2175" s="15" t="s">
        <v>58</v>
      </c>
      <c r="E2175" s="15" t="s">
        <v>55</v>
      </c>
      <c r="F2175" s="15" t="s">
        <v>47</v>
      </c>
      <c r="G2175" s="15" t="s">
        <v>62</v>
      </c>
      <c r="H2175" s="15" t="s">
        <v>42</v>
      </c>
      <c r="I2175">
        <v>50</v>
      </c>
      <c r="J2175">
        <v>80</v>
      </c>
      <c r="K2175">
        <v>50</v>
      </c>
      <c r="L2175">
        <v>130</v>
      </c>
      <c r="M2175">
        <v>61</v>
      </c>
      <c r="N2175">
        <v>390</v>
      </c>
      <c r="O2175">
        <v>89</v>
      </c>
      <c r="P2175">
        <v>19</v>
      </c>
      <c r="Q2175">
        <v>73</v>
      </c>
      <c r="R2175">
        <v>168</v>
      </c>
      <c r="S2175">
        <v>1.2923076923076924</v>
      </c>
      <c r="T2175">
        <v>1.46</v>
      </c>
      <c r="U2175">
        <v>1.22</v>
      </c>
    </row>
    <row r="2176" spans="1:21" x14ac:dyDescent="0.35">
      <c r="A2176">
        <v>262</v>
      </c>
      <c r="B2176" s="16">
        <v>40544</v>
      </c>
      <c r="C2176" s="15" t="s">
        <v>37</v>
      </c>
      <c r="D2176" s="15" t="s">
        <v>58</v>
      </c>
      <c r="E2176" s="15" t="s">
        <v>56</v>
      </c>
      <c r="F2176" s="15" t="s">
        <v>47</v>
      </c>
      <c r="G2176" s="15" t="s">
        <v>62</v>
      </c>
      <c r="H2176" s="15" t="s">
        <v>42</v>
      </c>
      <c r="I2176">
        <v>60</v>
      </c>
      <c r="J2176">
        <v>90</v>
      </c>
      <c r="K2176">
        <v>10</v>
      </c>
      <c r="L2176">
        <v>150</v>
      </c>
      <c r="M2176">
        <v>75</v>
      </c>
      <c r="N2176">
        <v>522</v>
      </c>
      <c r="O2176">
        <v>105</v>
      </c>
      <c r="P2176">
        <v>68</v>
      </c>
      <c r="Q2176">
        <v>11</v>
      </c>
      <c r="R2176">
        <v>201</v>
      </c>
      <c r="S2176">
        <v>1.34</v>
      </c>
      <c r="T2176">
        <v>1.1000000000000001</v>
      </c>
      <c r="U2176">
        <v>1.25</v>
      </c>
    </row>
    <row r="2177" spans="1:21" x14ac:dyDescent="0.35">
      <c r="A2177">
        <v>262</v>
      </c>
      <c r="B2177" s="16">
        <v>40544</v>
      </c>
      <c r="C2177" s="15" t="s">
        <v>37</v>
      </c>
      <c r="D2177" s="15" t="s">
        <v>58</v>
      </c>
      <c r="E2177" s="15" t="s">
        <v>48</v>
      </c>
      <c r="F2177" s="15" t="s">
        <v>49</v>
      </c>
      <c r="G2177" s="15" t="s">
        <v>62</v>
      </c>
      <c r="H2177" s="15" t="s">
        <v>42</v>
      </c>
      <c r="I2177">
        <v>80</v>
      </c>
      <c r="J2177">
        <v>90</v>
      </c>
      <c r="K2177">
        <v>50</v>
      </c>
      <c r="L2177">
        <v>170</v>
      </c>
      <c r="M2177">
        <v>69</v>
      </c>
      <c r="N2177">
        <v>965</v>
      </c>
      <c r="O2177">
        <v>81</v>
      </c>
      <c r="P2177">
        <v>21</v>
      </c>
      <c r="Q2177">
        <v>59</v>
      </c>
      <c r="R2177">
        <v>168</v>
      </c>
      <c r="S2177">
        <v>0.9882352941176471</v>
      </c>
      <c r="T2177">
        <v>1.18</v>
      </c>
      <c r="U2177">
        <v>0.86250000000000004</v>
      </c>
    </row>
    <row r="2178" spans="1:21" x14ac:dyDescent="0.35">
      <c r="A2178">
        <v>715</v>
      </c>
      <c r="B2178" s="16">
        <v>40544</v>
      </c>
      <c r="C2178" s="15" t="s">
        <v>37</v>
      </c>
      <c r="D2178" s="15" t="s">
        <v>58</v>
      </c>
      <c r="E2178" s="15" t="s">
        <v>50</v>
      </c>
      <c r="F2178" s="15" t="s">
        <v>49</v>
      </c>
      <c r="G2178" s="15" t="s">
        <v>62</v>
      </c>
      <c r="H2178" s="15" t="s">
        <v>45</v>
      </c>
      <c r="I2178">
        <v>50</v>
      </c>
      <c r="J2178">
        <v>70</v>
      </c>
      <c r="K2178">
        <v>50</v>
      </c>
      <c r="L2178">
        <v>120</v>
      </c>
      <c r="M2178">
        <v>48</v>
      </c>
      <c r="N2178">
        <v>623</v>
      </c>
      <c r="O2178">
        <v>62</v>
      </c>
      <c r="P2178">
        <v>15</v>
      </c>
      <c r="Q2178">
        <v>53</v>
      </c>
      <c r="R2178">
        <v>123</v>
      </c>
      <c r="S2178">
        <v>1.0249999999999999</v>
      </c>
      <c r="T2178">
        <v>1.06</v>
      </c>
      <c r="U2178">
        <v>0.96</v>
      </c>
    </row>
    <row r="2179" spans="1:21" x14ac:dyDescent="0.35">
      <c r="A2179">
        <v>608</v>
      </c>
      <c r="B2179" s="16">
        <v>40544</v>
      </c>
      <c r="C2179" s="15" t="s">
        <v>37</v>
      </c>
      <c r="D2179" s="15" t="s">
        <v>58</v>
      </c>
      <c r="E2179" s="15" t="s">
        <v>39</v>
      </c>
      <c r="F2179" s="15" t="s">
        <v>40</v>
      </c>
      <c r="G2179" s="15" t="s">
        <v>62</v>
      </c>
      <c r="H2179" s="15" t="s">
        <v>42</v>
      </c>
      <c r="I2179">
        <v>50</v>
      </c>
      <c r="J2179">
        <v>70</v>
      </c>
      <c r="K2179">
        <v>30</v>
      </c>
      <c r="L2179">
        <v>120</v>
      </c>
      <c r="M2179">
        <v>54</v>
      </c>
      <c r="N2179">
        <v>312</v>
      </c>
      <c r="O2179">
        <v>66</v>
      </c>
      <c r="P2179">
        <v>20</v>
      </c>
      <c r="Q2179">
        <v>20</v>
      </c>
      <c r="R2179">
        <v>134</v>
      </c>
      <c r="S2179">
        <v>1.1166666666666667</v>
      </c>
      <c r="T2179">
        <v>0.66666666666666663</v>
      </c>
      <c r="U2179">
        <v>1.08</v>
      </c>
    </row>
    <row r="2180" spans="1:21" x14ac:dyDescent="0.35">
      <c r="A2180">
        <v>715</v>
      </c>
      <c r="B2180" s="16">
        <v>40544</v>
      </c>
      <c r="C2180" s="15" t="s">
        <v>37</v>
      </c>
      <c r="D2180" s="15" t="s">
        <v>58</v>
      </c>
      <c r="E2180" s="15" t="s">
        <v>43</v>
      </c>
      <c r="F2180" s="15" t="s">
        <v>40</v>
      </c>
      <c r="G2180" s="15" t="s">
        <v>62</v>
      </c>
      <c r="H2180" s="15" t="s">
        <v>42</v>
      </c>
      <c r="I2180">
        <v>80</v>
      </c>
      <c r="J2180">
        <v>110</v>
      </c>
      <c r="K2180">
        <v>20</v>
      </c>
      <c r="L2180">
        <v>190</v>
      </c>
      <c r="M2180">
        <v>79</v>
      </c>
      <c r="N2180">
        <v>551</v>
      </c>
      <c r="O2180">
        <v>111</v>
      </c>
      <c r="P2180">
        <v>72</v>
      </c>
      <c r="Q2180">
        <v>14</v>
      </c>
      <c r="R2180">
        <v>213</v>
      </c>
      <c r="S2180">
        <v>1.1210526315789473</v>
      </c>
      <c r="T2180">
        <v>0.7</v>
      </c>
      <c r="U2180">
        <v>0.98750000000000004</v>
      </c>
    </row>
    <row r="2181" spans="1:21" x14ac:dyDescent="0.35">
      <c r="A2181">
        <v>414</v>
      </c>
      <c r="B2181" s="16">
        <v>40544</v>
      </c>
      <c r="C2181" s="15" t="s">
        <v>37</v>
      </c>
      <c r="D2181" s="15" t="s">
        <v>58</v>
      </c>
      <c r="E2181" s="15" t="s">
        <v>44</v>
      </c>
      <c r="F2181" s="15" t="s">
        <v>40</v>
      </c>
      <c r="G2181" s="15" t="s">
        <v>62</v>
      </c>
      <c r="H2181" s="15" t="s">
        <v>45</v>
      </c>
      <c r="I2181">
        <v>80</v>
      </c>
      <c r="J2181">
        <v>100</v>
      </c>
      <c r="K2181">
        <v>60</v>
      </c>
      <c r="L2181">
        <v>180</v>
      </c>
      <c r="M2181">
        <v>77</v>
      </c>
      <c r="N2181">
        <v>432</v>
      </c>
      <c r="O2181">
        <v>103</v>
      </c>
      <c r="P2181">
        <v>25</v>
      </c>
      <c r="Q2181">
        <v>79</v>
      </c>
      <c r="R2181">
        <v>201</v>
      </c>
      <c r="S2181">
        <v>1.1166666666666667</v>
      </c>
      <c r="T2181">
        <v>1.3166666666666667</v>
      </c>
      <c r="U2181">
        <v>0.96250000000000002</v>
      </c>
    </row>
    <row r="2182" spans="1:21" x14ac:dyDescent="0.35">
      <c r="A2182">
        <v>860</v>
      </c>
      <c r="B2182" s="16">
        <v>40544</v>
      </c>
      <c r="C2182" s="15" t="s">
        <v>63</v>
      </c>
      <c r="D2182" s="15" t="s">
        <v>58</v>
      </c>
      <c r="E2182" s="15" t="s">
        <v>53</v>
      </c>
      <c r="F2182" s="15" t="s">
        <v>52</v>
      </c>
      <c r="G2182" s="15" t="s">
        <v>64</v>
      </c>
      <c r="H2182" s="15" t="s">
        <v>45</v>
      </c>
      <c r="I2182">
        <v>60</v>
      </c>
      <c r="J2182">
        <v>80</v>
      </c>
      <c r="K2182">
        <v>40</v>
      </c>
      <c r="L2182">
        <v>140</v>
      </c>
      <c r="M2182">
        <v>85</v>
      </c>
      <c r="N2182">
        <v>494</v>
      </c>
      <c r="O2182">
        <v>105</v>
      </c>
      <c r="P2182">
        <v>32</v>
      </c>
      <c r="Q2182">
        <v>62</v>
      </c>
      <c r="R2182">
        <v>213</v>
      </c>
      <c r="S2182">
        <v>1.5214285714285714</v>
      </c>
      <c r="T2182">
        <v>1.55</v>
      </c>
      <c r="U2182">
        <v>1.4166666666666667</v>
      </c>
    </row>
    <row r="2183" spans="1:21" x14ac:dyDescent="0.35">
      <c r="A2183">
        <v>860</v>
      </c>
      <c r="B2183" s="16">
        <v>40544</v>
      </c>
      <c r="C2183" s="15" t="s">
        <v>63</v>
      </c>
      <c r="D2183" s="15" t="s">
        <v>58</v>
      </c>
      <c r="E2183" s="15" t="s">
        <v>54</v>
      </c>
      <c r="F2183" s="15" t="s">
        <v>52</v>
      </c>
      <c r="G2183" s="15" t="s">
        <v>64</v>
      </c>
      <c r="H2183" s="15" t="s">
        <v>45</v>
      </c>
      <c r="I2183">
        <v>50</v>
      </c>
      <c r="J2183">
        <v>80</v>
      </c>
      <c r="K2183">
        <v>50</v>
      </c>
      <c r="L2183">
        <v>130</v>
      </c>
      <c r="M2183">
        <v>78</v>
      </c>
      <c r="N2183">
        <v>965</v>
      </c>
      <c r="O2183">
        <v>92</v>
      </c>
      <c r="P2183">
        <v>24</v>
      </c>
      <c r="Q2183">
        <v>73</v>
      </c>
      <c r="R2183">
        <v>190</v>
      </c>
      <c r="S2183">
        <v>1.4615384615384615</v>
      </c>
      <c r="T2183">
        <v>1.46</v>
      </c>
      <c r="U2183">
        <v>1.56</v>
      </c>
    </row>
    <row r="2184" spans="1:21" x14ac:dyDescent="0.35">
      <c r="A2184">
        <v>959</v>
      </c>
      <c r="B2184" s="16">
        <v>40544</v>
      </c>
      <c r="C2184" s="15" t="s">
        <v>63</v>
      </c>
      <c r="D2184" s="15" t="s">
        <v>58</v>
      </c>
      <c r="E2184" s="15" t="s">
        <v>55</v>
      </c>
      <c r="F2184" s="15" t="s">
        <v>47</v>
      </c>
      <c r="G2184" s="15" t="s">
        <v>64</v>
      </c>
      <c r="H2184" s="15" t="s">
        <v>42</v>
      </c>
      <c r="I2184">
        <v>50</v>
      </c>
      <c r="J2184">
        <v>80</v>
      </c>
      <c r="K2184">
        <v>60</v>
      </c>
      <c r="L2184">
        <v>130</v>
      </c>
      <c r="M2184">
        <v>50</v>
      </c>
      <c r="N2184">
        <v>821</v>
      </c>
      <c r="O2184">
        <v>73</v>
      </c>
      <c r="P2184">
        <v>14</v>
      </c>
      <c r="Q2184">
        <v>73</v>
      </c>
      <c r="R2184">
        <v>138</v>
      </c>
      <c r="S2184">
        <v>1.0615384615384615</v>
      </c>
      <c r="T2184">
        <v>1.2166666666666666</v>
      </c>
      <c r="U2184">
        <v>1</v>
      </c>
    </row>
    <row r="2185" spans="1:21" x14ac:dyDescent="0.35">
      <c r="A2185">
        <v>475</v>
      </c>
      <c r="B2185" s="16">
        <v>40544</v>
      </c>
      <c r="C2185" s="15" t="s">
        <v>63</v>
      </c>
      <c r="D2185" s="15" t="s">
        <v>58</v>
      </c>
      <c r="E2185" s="15" t="s">
        <v>46</v>
      </c>
      <c r="F2185" s="15" t="s">
        <v>47</v>
      </c>
      <c r="G2185" s="15" t="s">
        <v>64</v>
      </c>
      <c r="H2185" s="15" t="s">
        <v>42</v>
      </c>
      <c r="I2185">
        <v>40</v>
      </c>
      <c r="J2185">
        <v>60</v>
      </c>
      <c r="K2185">
        <v>40</v>
      </c>
      <c r="L2185">
        <v>100</v>
      </c>
      <c r="M2185">
        <v>38</v>
      </c>
      <c r="N2185">
        <v>777</v>
      </c>
      <c r="O2185">
        <v>56</v>
      </c>
      <c r="P2185">
        <v>10</v>
      </c>
      <c r="Q2185">
        <v>55</v>
      </c>
      <c r="R2185">
        <v>105</v>
      </c>
      <c r="S2185">
        <v>1.05</v>
      </c>
      <c r="T2185">
        <v>1.375</v>
      </c>
      <c r="U2185">
        <v>0.95</v>
      </c>
    </row>
    <row r="2186" spans="1:21" x14ac:dyDescent="0.35">
      <c r="A2186">
        <v>203</v>
      </c>
      <c r="B2186" s="16">
        <v>40544</v>
      </c>
      <c r="C2186" s="15" t="s">
        <v>63</v>
      </c>
      <c r="D2186" s="15" t="s">
        <v>58</v>
      </c>
      <c r="E2186" s="15" t="s">
        <v>48</v>
      </c>
      <c r="F2186" s="15" t="s">
        <v>49</v>
      </c>
      <c r="G2186" s="15" t="s">
        <v>64</v>
      </c>
      <c r="H2186" s="15" t="s">
        <v>42</v>
      </c>
      <c r="I2186">
        <v>70</v>
      </c>
      <c r="J2186">
        <v>100</v>
      </c>
      <c r="K2186">
        <v>20</v>
      </c>
      <c r="L2186">
        <v>170</v>
      </c>
      <c r="M2186">
        <v>75</v>
      </c>
      <c r="N2186">
        <v>522</v>
      </c>
      <c r="O2186">
        <v>105</v>
      </c>
      <c r="P2186">
        <v>68</v>
      </c>
      <c r="Q2186">
        <v>11</v>
      </c>
      <c r="R2186">
        <v>201</v>
      </c>
      <c r="S2186">
        <v>1.1823529411764706</v>
      </c>
      <c r="T2186">
        <v>0.55000000000000004</v>
      </c>
      <c r="U2186">
        <v>1.0714285714285714</v>
      </c>
    </row>
    <row r="2187" spans="1:21" x14ac:dyDescent="0.35">
      <c r="A2187">
        <v>203</v>
      </c>
      <c r="B2187" s="16">
        <v>40544</v>
      </c>
      <c r="C2187" s="15" t="s">
        <v>63</v>
      </c>
      <c r="D2187" s="15" t="s">
        <v>58</v>
      </c>
      <c r="E2187" s="15" t="s">
        <v>50</v>
      </c>
      <c r="F2187" s="15" t="s">
        <v>49</v>
      </c>
      <c r="G2187" s="15" t="s">
        <v>64</v>
      </c>
      <c r="H2187" s="15" t="s">
        <v>45</v>
      </c>
      <c r="I2187">
        <v>50</v>
      </c>
      <c r="J2187">
        <v>70</v>
      </c>
      <c r="K2187">
        <v>40</v>
      </c>
      <c r="L2187">
        <v>120</v>
      </c>
      <c r="M2187">
        <v>55</v>
      </c>
      <c r="N2187">
        <v>312</v>
      </c>
      <c r="O2187">
        <v>75</v>
      </c>
      <c r="P2187">
        <v>18</v>
      </c>
      <c r="Q2187">
        <v>47</v>
      </c>
      <c r="R2187">
        <v>145</v>
      </c>
      <c r="S2187">
        <v>1.2083333333333333</v>
      </c>
      <c r="T2187">
        <v>1.175</v>
      </c>
      <c r="U2187">
        <v>1.1000000000000001</v>
      </c>
    </row>
    <row r="2188" spans="1:21" x14ac:dyDescent="0.35">
      <c r="A2188">
        <v>959</v>
      </c>
      <c r="B2188" s="16">
        <v>40544</v>
      </c>
      <c r="C2188" s="15" t="s">
        <v>63</v>
      </c>
      <c r="D2188" s="15" t="s">
        <v>58</v>
      </c>
      <c r="E2188" s="15" t="s">
        <v>43</v>
      </c>
      <c r="F2188" s="15" t="s">
        <v>40</v>
      </c>
      <c r="G2188" s="15" t="s">
        <v>64</v>
      </c>
      <c r="H2188" s="15" t="s">
        <v>42</v>
      </c>
      <c r="I2188">
        <v>110</v>
      </c>
      <c r="J2188">
        <v>180</v>
      </c>
      <c r="K2188">
        <v>130</v>
      </c>
      <c r="L2188">
        <v>290</v>
      </c>
      <c r="M2188">
        <v>124</v>
      </c>
      <c r="N2188">
        <v>961</v>
      </c>
      <c r="O2188">
        <v>186</v>
      </c>
      <c r="P2188">
        <v>40</v>
      </c>
      <c r="Q2188">
        <v>179</v>
      </c>
      <c r="R2188">
        <v>347</v>
      </c>
      <c r="S2188">
        <v>1.1965517241379311</v>
      </c>
      <c r="T2188">
        <v>1.3769230769230769</v>
      </c>
      <c r="U2188">
        <v>1.1272727272727272</v>
      </c>
    </row>
    <row r="2189" spans="1:21" x14ac:dyDescent="0.35">
      <c r="A2189">
        <v>850</v>
      </c>
      <c r="B2189" s="16">
        <v>40544</v>
      </c>
      <c r="C2189" s="15" t="s">
        <v>63</v>
      </c>
      <c r="D2189" s="15" t="s">
        <v>38</v>
      </c>
      <c r="E2189" s="15" t="s">
        <v>51</v>
      </c>
      <c r="F2189" s="15" t="s">
        <v>52</v>
      </c>
      <c r="G2189" s="15" t="s">
        <v>65</v>
      </c>
      <c r="H2189" s="15" t="s">
        <v>45</v>
      </c>
      <c r="I2189">
        <v>30</v>
      </c>
      <c r="J2189">
        <v>50</v>
      </c>
      <c r="K2189">
        <v>30</v>
      </c>
      <c r="L2189">
        <v>80</v>
      </c>
      <c r="M2189">
        <v>48</v>
      </c>
      <c r="N2189">
        <v>623</v>
      </c>
      <c r="O2189">
        <v>62</v>
      </c>
      <c r="P2189">
        <v>15</v>
      </c>
      <c r="Q2189">
        <v>53</v>
      </c>
      <c r="R2189">
        <v>123</v>
      </c>
      <c r="S2189">
        <v>1.5375000000000001</v>
      </c>
      <c r="T2189">
        <v>1.7666666666666666</v>
      </c>
      <c r="U2189">
        <v>1.6</v>
      </c>
    </row>
    <row r="2190" spans="1:21" x14ac:dyDescent="0.35">
      <c r="A2190">
        <v>904</v>
      </c>
      <c r="B2190" s="16">
        <v>40544</v>
      </c>
      <c r="C2190" s="15" t="s">
        <v>63</v>
      </c>
      <c r="D2190" s="15" t="s">
        <v>38</v>
      </c>
      <c r="E2190" s="15" t="s">
        <v>53</v>
      </c>
      <c r="F2190" s="15" t="s">
        <v>52</v>
      </c>
      <c r="G2190" s="15" t="s">
        <v>65</v>
      </c>
      <c r="H2190" s="15" t="s">
        <v>45</v>
      </c>
      <c r="I2190">
        <v>40</v>
      </c>
      <c r="J2190">
        <v>50</v>
      </c>
      <c r="K2190">
        <v>20</v>
      </c>
      <c r="L2190">
        <v>90</v>
      </c>
      <c r="M2190">
        <v>54</v>
      </c>
      <c r="N2190">
        <v>312</v>
      </c>
      <c r="O2190">
        <v>66</v>
      </c>
      <c r="P2190">
        <v>20</v>
      </c>
      <c r="Q2190">
        <v>20</v>
      </c>
      <c r="R2190">
        <v>134</v>
      </c>
      <c r="S2190">
        <v>1.4888888888888889</v>
      </c>
      <c r="T2190">
        <v>1</v>
      </c>
      <c r="U2190">
        <v>1.35</v>
      </c>
    </row>
    <row r="2191" spans="1:21" x14ac:dyDescent="0.35">
      <c r="A2191">
        <v>321</v>
      </c>
      <c r="B2191" s="16">
        <v>40544</v>
      </c>
      <c r="C2191" s="15" t="s">
        <v>63</v>
      </c>
      <c r="D2191" s="15" t="s">
        <v>38</v>
      </c>
      <c r="E2191" s="15" t="s">
        <v>54</v>
      </c>
      <c r="F2191" s="15" t="s">
        <v>52</v>
      </c>
      <c r="G2191" s="15" t="s">
        <v>65</v>
      </c>
      <c r="H2191" s="15" t="s">
        <v>45</v>
      </c>
      <c r="I2191">
        <v>50</v>
      </c>
      <c r="J2191">
        <v>60</v>
      </c>
      <c r="K2191">
        <v>40</v>
      </c>
      <c r="L2191">
        <v>110</v>
      </c>
      <c r="M2191">
        <v>69</v>
      </c>
      <c r="N2191">
        <v>965</v>
      </c>
      <c r="O2191">
        <v>81</v>
      </c>
      <c r="P2191">
        <v>21</v>
      </c>
      <c r="Q2191">
        <v>61</v>
      </c>
      <c r="R2191">
        <v>168</v>
      </c>
      <c r="S2191">
        <v>1.5272727272727273</v>
      </c>
      <c r="T2191">
        <v>1.5249999999999999</v>
      </c>
      <c r="U2191">
        <v>1.38</v>
      </c>
    </row>
    <row r="2192" spans="1:21" x14ac:dyDescent="0.35">
      <c r="A2192">
        <v>239</v>
      </c>
      <c r="B2192" s="16">
        <v>40544</v>
      </c>
      <c r="C2192" s="15" t="s">
        <v>63</v>
      </c>
      <c r="D2192" s="15" t="s">
        <v>38</v>
      </c>
      <c r="E2192" s="15" t="s">
        <v>55</v>
      </c>
      <c r="F2192" s="15" t="s">
        <v>47</v>
      </c>
      <c r="G2192" s="15" t="s">
        <v>65</v>
      </c>
      <c r="H2192" s="15" t="s">
        <v>42</v>
      </c>
      <c r="I2192">
        <v>30</v>
      </c>
      <c r="J2192">
        <v>50</v>
      </c>
      <c r="K2192">
        <v>40</v>
      </c>
      <c r="L2192">
        <v>80</v>
      </c>
      <c r="M2192">
        <v>32</v>
      </c>
      <c r="N2192">
        <v>821</v>
      </c>
      <c r="O2192">
        <v>48</v>
      </c>
      <c r="P2192">
        <v>8</v>
      </c>
      <c r="Q2192">
        <v>44</v>
      </c>
      <c r="R2192">
        <v>90</v>
      </c>
      <c r="S2192">
        <v>1.125</v>
      </c>
      <c r="T2192">
        <v>1.1000000000000001</v>
      </c>
      <c r="U2192">
        <v>1.0666666666666667</v>
      </c>
    </row>
    <row r="2193" spans="1:21" x14ac:dyDescent="0.35">
      <c r="A2193">
        <v>239</v>
      </c>
      <c r="B2193" s="16">
        <v>40544</v>
      </c>
      <c r="C2193" s="15" t="s">
        <v>63</v>
      </c>
      <c r="D2193" s="15" t="s">
        <v>38</v>
      </c>
      <c r="E2193" s="15" t="s">
        <v>46</v>
      </c>
      <c r="F2193" s="15" t="s">
        <v>47</v>
      </c>
      <c r="G2193" s="15" t="s">
        <v>65</v>
      </c>
      <c r="H2193" s="15" t="s">
        <v>42</v>
      </c>
      <c r="I2193">
        <v>30</v>
      </c>
      <c r="J2193">
        <v>50</v>
      </c>
      <c r="K2193">
        <v>40</v>
      </c>
      <c r="L2193">
        <v>80</v>
      </c>
      <c r="M2193">
        <v>33</v>
      </c>
      <c r="N2193">
        <v>777</v>
      </c>
      <c r="O2193">
        <v>48</v>
      </c>
      <c r="P2193">
        <v>9</v>
      </c>
      <c r="Q2193">
        <v>44</v>
      </c>
      <c r="R2193">
        <v>91</v>
      </c>
      <c r="S2193">
        <v>1.1375</v>
      </c>
      <c r="T2193">
        <v>1.1000000000000001</v>
      </c>
      <c r="U2193">
        <v>1.1000000000000001</v>
      </c>
    </row>
    <row r="2194" spans="1:21" x14ac:dyDescent="0.35">
      <c r="A2194">
        <v>239</v>
      </c>
      <c r="B2194" s="16">
        <v>40544</v>
      </c>
      <c r="C2194" s="15" t="s">
        <v>63</v>
      </c>
      <c r="D2194" s="15" t="s">
        <v>38</v>
      </c>
      <c r="E2194" s="15" t="s">
        <v>48</v>
      </c>
      <c r="F2194" s="15" t="s">
        <v>49</v>
      </c>
      <c r="G2194" s="15" t="s">
        <v>65</v>
      </c>
      <c r="H2194" s="15" t="s">
        <v>42</v>
      </c>
      <c r="I2194">
        <v>70</v>
      </c>
      <c r="J2194">
        <v>110</v>
      </c>
      <c r="K2194">
        <v>30</v>
      </c>
      <c r="L2194">
        <v>180</v>
      </c>
      <c r="M2194">
        <v>79</v>
      </c>
      <c r="N2194">
        <v>551</v>
      </c>
      <c r="O2194">
        <v>111</v>
      </c>
      <c r="P2194">
        <v>72</v>
      </c>
      <c r="Q2194">
        <v>14</v>
      </c>
      <c r="R2194">
        <v>213</v>
      </c>
      <c r="S2194">
        <v>1.1833333333333333</v>
      </c>
      <c r="T2194">
        <v>0.46666666666666667</v>
      </c>
      <c r="U2194">
        <v>1.1285714285714286</v>
      </c>
    </row>
    <row r="2195" spans="1:21" x14ac:dyDescent="0.35">
      <c r="A2195">
        <v>305</v>
      </c>
      <c r="B2195" s="16">
        <v>40544</v>
      </c>
      <c r="C2195" s="15" t="s">
        <v>63</v>
      </c>
      <c r="D2195" s="15" t="s">
        <v>38</v>
      </c>
      <c r="E2195" s="15" t="s">
        <v>50</v>
      </c>
      <c r="F2195" s="15" t="s">
        <v>49</v>
      </c>
      <c r="G2195" s="15" t="s">
        <v>65</v>
      </c>
      <c r="H2195" s="15" t="s">
        <v>45</v>
      </c>
      <c r="I2195">
        <v>70</v>
      </c>
      <c r="J2195">
        <v>100</v>
      </c>
      <c r="K2195">
        <v>60</v>
      </c>
      <c r="L2195">
        <v>170</v>
      </c>
      <c r="M2195">
        <v>77</v>
      </c>
      <c r="N2195">
        <v>432</v>
      </c>
      <c r="O2195">
        <v>103</v>
      </c>
      <c r="P2195">
        <v>25</v>
      </c>
      <c r="Q2195">
        <v>78</v>
      </c>
      <c r="R2195">
        <v>201</v>
      </c>
      <c r="S2195">
        <v>1.1823529411764706</v>
      </c>
      <c r="T2195">
        <v>1.3</v>
      </c>
      <c r="U2195">
        <v>1.1000000000000001</v>
      </c>
    </row>
    <row r="2196" spans="1:21" x14ac:dyDescent="0.35">
      <c r="A2196">
        <v>813</v>
      </c>
      <c r="B2196" s="16">
        <v>40544</v>
      </c>
      <c r="C2196" s="15" t="s">
        <v>63</v>
      </c>
      <c r="D2196" s="15" t="s">
        <v>38</v>
      </c>
      <c r="E2196" s="15" t="s">
        <v>43</v>
      </c>
      <c r="F2196" s="15" t="s">
        <v>40</v>
      </c>
      <c r="G2196" s="15" t="s">
        <v>65</v>
      </c>
      <c r="H2196" s="15" t="s">
        <v>42</v>
      </c>
      <c r="I2196">
        <v>80</v>
      </c>
      <c r="J2196">
        <v>110</v>
      </c>
      <c r="K2196">
        <v>70</v>
      </c>
      <c r="L2196">
        <v>190</v>
      </c>
      <c r="M2196">
        <v>84</v>
      </c>
      <c r="N2196">
        <v>651</v>
      </c>
      <c r="O2196">
        <v>126</v>
      </c>
      <c r="P2196">
        <v>27</v>
      </c>
      <c r="Q2196">
        <v>106</v>
      </c>
      <c r="R2196">
        <v>235</v>
      </c>
      <c r="S2196">
        <v>1.236842105263158</v>
      </c>
      <c r="T2196">
        <v>1.5142857142857142</v>
      </c>
      <c r="U2196">
        <v>1.05</v>
      </c>
    </row>
    <row r="2197" spans="1:21" x14ac:dyDescent="0.35">
      <c r="A2197">
        <v>386</v>
      </c>
      <c r="B2197" s="16">
        <v>40544</v>
      </c>
      <c r="C2197" s="15" t="s">
        <v>63</v>
      </c>
      <c r="D2197" s="15" t="s">
        <v>38</v>
      </c>
      <c r="E2197" s="15" t="s">
        <v>44</v>
      </c>
      <c r="F2197" s="15" t="s">
        <v>40</v>
      </c>
      <c r="G2197" s="15" t="s">
        <v>65</v>
      </c>
      <c r="H2197" s="15" t="s">
        <v>45</v>
      </c>
      <c r="I2197">
        <v>80</v>
      </c>
      <c r="J2197">
        <v>110</v>
      </c>
      <c r="K2197">
        <v>70</v>
      </c>
      <c r="L2197">
        <v>190</v>
      </c>
      <c r="M2197">
        <v>84</v>
      </c>
      <c r="N2197">
        <v>500</v>
      </c>
      <c r="O2197">
        <v>116</v>
      </c>
      <c r="P2197">
        <v>26</v>
      </c>
      <c r="Q2197">
        <v>104</v>
      </c>
      <c r="R2197">
        <v>224</v>
      </c>
      <c r="S2197">
        <v>1.1789473684210525</v>
      </c>
      <c r="T2197">
        <v>1.4857142857142858</v>
      </c>
      <c r="U2197">
        <v>1.05</v>
      </c>
    </row>
    <row r="2198" spans="1:21" x14ac:dyDescent="0.35">
      <c r="A2198">
        <v>781</v>
      </c>
      <c r="B2198" s="16">
        <v>40544</v>
      </c>
      <c r="C2198" s="15" t="s">
        <v>63</v>
      </c>
      <c r="D2198" s="15" t="s">
        <v>38</v>
      </c>
      <c r="E2198" s="15" t="s">
        <v>53</v>
      </c>
      <c r="F2198" s="15" t="s">
        <v>52</v>
      </c>
      <c r="G2198" s="15" t="s">
        <v>66</v>
      </c>
      <c r="H2198" s="15" t="s">
        <v>45</v>
      </c>
      <c r="I2198">
        <v>40</v>
      </c>
      <c r="J2198">
        <v>60</v>
      </c>
      <c r="K2198">
        <v>30</v>
      </c>
      <c r="L2198">
        <v>100</v>
      </c>
      <c r="M2198">
        <v>58</v>
      </c>
      <c r="N2198">
        <v>338</v>
      </c>
      <c r="O2198">
        <v>72</v>
      </c>
      <c r="P2198">
        <v>22</v>
      </c>
      <c r="Q2198">
        <v>26</v>
      </c>
      <c r="R2198">
        <v>145</v>
      </c>
      <c r="S2198">
        <v>1.45</v>
      </c>
      <c r="T2198">
        <v>0.8666666666666667</v>
      </c>
      <c r="U2198">
        <v>1.45</v>
      </c>
    </row>
    <row r="2199" spans="1:21" x14ac:dyDescent="0.35">
      <c r="A2199">
        <v>781</v>
      </c>
      <c r="B2199" s="16">
        <v>40544</v>
      </c>
      <c r="C2199" s="15" t="s">
        <v>63</v>
      </c>
      <c r="D2199" s="15" t="s">
        <v>38</v>
      </c>
      <c r="E2199" s="15" t="s">
        <v>55</v>
      </c>
      <c r="F2199" s="15" t="s">
        <v>47</v>
      </c>
      <c r="G2199" s="15" t="s">
        <v>66</v>
      </c>
      <c r="H2199" s="15" t="s">
        <v>42</v>
      </c>
      <c r="I2199">
        <v>30</v>
      </c>
      <c r="J2199">
        <v>50</v>
      </c>
      <c r="K2199">
        <v>40</v>
      </c>
      <c r="L2199">
        <v>80</v>
      </c>
      <c r="M2199">
        <v>32</v>
      </c>
      <c r="N2199">
        <v>821</v>
      </c>
      <c r="O2199">
        <v>48</v>
      </c>
      <c r="P2199">
        <v>8</v>
      </c>
      <c r="Q2199">
        <v>45</v>
      </c>
      <c r="R2199">
        <v>90</v>
      </c>
      <c r="S2199">
        <v>1.125</v>
      </c>
      <c r="T2199">
        <v>1.125</v>
      </c>
      <c r="U2199">
        <v>1.0666666666666667</v>
      </c>
    </row>
    <row r="2200" spans="1:21" x14ac:dyDescent="0.35">
      <c r="A2200">
        <v>978</v>
      </c>
      <c r="B2200" s="16">
        <v>40544</v>
      </c>
      <c r="C2200" s="15" t="s">
        <v>63</v>
      </c>
      <c r="D2200" s="15" t="s">
        <v>38</v>
      </c>
      <c r="E2200" s="15" t="s">
        <v>46</v>
      </c>
      <c r="F2200" s="15" t="s">
        <v>47</v>
      </c>
      <c r="G2200" s="15" t="s">
        <v>66</v>
      </c>
      <c r="H2200" s="15" t="s">
        <v>42</v>
      </c>
      <c r="I2200">
        <v>30</v>
      </c>
      <c r="J2200">
        <v>50</v>
      </c>
      <c r="K2200">
        <v>40</v>
      </c>
      <c r="L2200">
        <v>80</v>
      </c>
      <c r="M2200">
        <v>32</v>
      </c>
      <c r="N2200">
        <v>456</v>
      </c>
      <c r="O2200">
        <v>48</v>
      </c>
      <c r="P2200">
        <v>8</v>
      </c>
      <c r="Q2200">
        <v>45</v>
      </c>
      <c r="R2200">
        <v>90</v>
      </c>
      <c r="S2200">
        <v>1.125</v>
      </c>
      <c r="T2200">
        <v>1.125</v>
      </c>
      <c r="U2200">
        <v>1.0666666666666667</v>
      </c>
    </row>
    <row r="2201" spans="1:21" x14ac:dyDescent="0.35">
      <c r="A2201">
        <v>617</v>
      </c>
      <c r="B2201" s="16">
        <v>40544</v>
      </c>
      <c r="C2201" s="15" t="s">
        <v>63</v>
      </c>
      <c r="D2201" s="15" t="s">
        <v>38</v>
      </c>
      <c r="E2201" s="15" t="s">
        <v>48</v>
      </c>
      <c r="F2201" s="15" t="s">
        <v>49</v>
      </c>
      <c r="G2201" s="15" t="s">
        <v>66</v>
      </c>
      <c r="H2201" s="15" t="s">
        <v>42</v>
      </c>
      <c r="I2201">
        <v>60</v>
      </c>
      <c r="J2201">
        <v>60</v>
      </c>
      <c r="K2201">
        <v>-10</v>
      </c>
      <c r="L2201">
        <v>120</v>
      </c>
      <c r="M2201">
        <v>63</v>
      </c>
      <c r="N2201">
        <v>435</v>
      </c>
      <c r="O2201">
        <v>63</v>
      </c>
      <c r="P2201">
        <v>57</v>
      </c>
      <c r="Q2201">
        <v>-36</v>
      </c>
      <c r="R2201">
        <v>141</v>
      </c>
      <c r="S2201">
        <v>1.175</v>
      </c>
      <c r="T2201">
        <v>3.6</v>
      </c>
      <c r="U2201">
        <v>1.05</v>
      </c>
    </row>
    <row r="2202" spans="1:21" x14ac:dyDescent="0.35">
      <c r="A2202">
        <v>617</v>
      </c>
      <c r="B2202" s="16">
        <v>40544</v>
      </c>
      <c r="C2202" s="15" t="s">
        <v>63</v>
      </c>
      <c r="D2202" s="15" t="s">
        <v>38</v>
      </c>
      <c r="E2202" s="15" t="s">
        <v>67</v>
      </c>
      <c r="F2202" s="15" t="s">
        <v>49</v>
      </c>
      <c r="G2202" s="15" t="s">
        <v>66</v>
      </c>
      <c r="H2202" s="15" t="s">
        <v>42</v>
      </c>
      <c r="I2202">
        <v>160</v>
      </c>
      <c r="J2202">
        <v>170</v>
      </c>
      <c r="K2202">
        <v>110</v>
      </c>
      <c r="L2202">
        <v>330</v>
      </c>
      <c r="M2202">
        <v>170</v>
      </c>
      <c r="N2202">
        <v>1091</v>
      </c>
      <c r="O2202">
        <v>171</v>
      </c>
      <c r="P2202">
        <v>47</v>
      </c>
      <c r="Q2202">
        <v>156</v>
      </c>
      <c r="R2202">
        <v>382</v>
      </c>
      <c r="S2202">
        <v>1.1575757575757575</v>
      </c>
      <c r="T2202">
        <v>1.4181818181818182</v>
      </c>
      <c r="U2202">
        <v>1.0625</v>
      </c>
    </row>
    <row r="2203" spans="1:21" x14ac:dyDescent="0.35">
      <c r="A2203">
        <v>413</v>
      </c>
      <c r="B2203" s="16">
        <v>40544</v>
      </c>
      <c r="C2203" s="15" t="s">
        <v>63</v>
      </c>
      <c r="D2203" s="15" t="s">
        <v>38</v>
      </c>
      <c r="E2203" s="15" t="s">
        <v>43</v>
      </c>
      <c r="F2203" s="15" t="s">
        <v>40</v>
      </c>
      <c r="G2203" s="15" t="s">
        <v>66</v>
      </c>
      <c r="H2203" s="15" t="s">
        <v>42</v>
      </c>
      <c r="I2203">
        <v>60</v>
      </c>
      <c r="J2203">
        <v>400</v>
      </c>
      <c r="K2203">
        <v>360</v>
      </c>
      <c r="L2203">
        <v>460</v>
      </c>
      <c r="M2203">
        <v>72</v>
      </c>
      <c r="N2203">
        <v>558</v>
      </c>
      <c r="O2203">
        <v>422</v>
      </c>
      <c r="P2203">
        <v>23</v>
      </c>
      <c r="Q2203">
        <v>572</v>
      </c>
      <c r="R2203">
        <v>553</v>
      </c>
      <c r="S2203">
        <v>1.2021739130434783</v>
      </c>
      <c r="T2203">
        <v>1.5888888888888888</v>
      </c>
      <c r="U2203">
        <v>1.2</v>
      </c>
    </row>
    <row r="2204" spans="1:21" x14ac:dyDescent="0.35">
      <c r="A2204">
        <v>603</v>
      </c>
      <c r="B2204" s="16">
        <v>40544</v>
      </c>
      <c r="C2204" s="15" t="s">
        <v>63</v>
      </c>
      <c r="D2204" s="15" t="s">
        <v>58</v>
      </c>
      <c r="E2204" s="15" t="s">
        <v>53</v>
      </c>
      <c r="F2204" s="15" t="s">
        <v>52</v>
      </c>
      <c r="G2204" s="15" t="s">
        <v>68</v>
      </c>
      <c r="H2204" s="15" t="s">
        <v>45</v>
      </c>
      <c r="I2204">
        <v>20</v>
      </c>
      <c r="J2204">
        <v>30</v>
      </c>
      <c r="K2204">
        <v>0</v>
      </c>
      <c r="L2204">
        <v>50</v>
      </c>
      <c r="M2204">
        <v>34</v>
      </c>
      <c r="N2204">
        <v>197</v>
      </c>
      <c r="O2204">
        <v>42</v>
      </c>
      <c r="P2204">
        <v>12</v>
      </c>
      <c r="Q2204">
        <v>-6</v>
      </c>
      <c r="R2204">
        <v>85</v>
      </c>
      <c r="S2204">
        <v>1.7</v>
      </c>
      <c r="U2204">
        <v>1.7</v>
      </c>
    </row>
    <row r="2205" spans="1:21" x14ac:dyDescent="0.35">
      <c r="A2205">
        <v>603</v>
      </c>
      <c r="B2205" s="16">
        <v>40544</v>
      </c>
      <c r="C2205" s="15" t="s">
        <v>63</v>
      </c>
      <c r="D2205" s="15" t="s">
        <v>58</v>
      </c>
      <c r="E2205" s="15" t="s">
        <v>55</v>
      </c>
      <c r="F2205" s="15" t="s">
        <v>47</v>
      </c>
      <c r="G2205" s="15" t="s">
        <v>68</v>
      </c>
      <c r="H2205" s="15" t="s">
        <v>42</v>
      </c>
      <c r="I2205">
        <v>10</v>
      </c>
      <c r="J2205">
        <v>30</v>
      </c>
      <c r="K2205">
        <v>20</v>
      </c>
      <c r="L2205">
        <v>40</v>
      </c>
      <c r="M2205">
        <v>18</v>
      </c>
      <c r="N2205">
        <v>821</v>
      </c>
      <c r="O2205">
        <v>27</v>
      </c>
      <c r="P2205">
        <v>5</v>
      </c>
      <c r="Q2205">
        <v>16</v>
      </c>
      <c r="R2205">
        <v>50</v>
      </c>
      <c r="S2205">
        <v>1.25</v>
      </c>
      <c r="T2205">
        <v>0.8</v>
      </c>
      <c r="U2205">
        <v>1.8</v>
      </c>
    </row>
    <row r="2206" spans="1:21" x14ac:dyDescent="0.35">
      <c r="A2206">
        <v>603</v>
      </c>
      <c r="B2206" s="16">
        <v>40544</v>
      </c>
      <c r="C2206" s="15" t="s">
        <v>63</v>
      </c>
      <c r="D2206" s="15" t="s">
        <v>58</v>
      </c>
      <c r="E2206" s="15" t="s">
        <v>46</v>
      </c>
      <c r="F2206" s="15" t="s">
        <v>47</v>
      </c>
      <c r="G2206" s="15" t="s">
        <v>68</v>
      </c>
      <c r="H2206" s="15" t="s">
        <v>42</v>
      </c>
      <c r="I2206">
        <v>10</v>
      </c>
      <c r="J2206">
        <v>30</v>
      </c>
      <c r="K2206">
        <v>20</v>
      </c>
      <c r="L2206">
        <v>40</v>
      </c>
      <c r="M2206">
        <v>17</v>
      </c>
      <c r="N2206">
        <v>777</v>
      </c>
      <c r="O2206">
        <v>26</v>
      </c>
      <c r="P2206">
        <v>4</v>
      </c>
      <c r="Q2206">
        <v>17</v>
      </c>
      <c r="R2206">
        <v>48</v>
      </c>
      <c r="S2206">
        <v>1.2</v>
      </c>
      <c r="T2206">
        <v>0.85</v>
      </c>
      <c r="U2206">
        <v>1.7</v>
      </c>
    </row>
    <row r="2207" spans="1:21" x14ac:dyDescent="0.35">
      <c r="A2207">
        <v>603</v>
      </c>
      <c r="B2207" s="16">
        <v>40544</v>
      </c>
      <c r="C2207" s="15" t="s">
        <v>63</v>
      </c>
      <c r="D2207" s="15" t="s">
        <v>58</v>
      </c>
      <c r="E2207" s="15" t="s">
        <v>48</v>
      </c>
      <c r="F2207" s="15" t="s">
        <v>49</v>
      </c>
      <c r="G2207" s="15" t="s">
        <v>68</v>
      </c>
      <c r="H2207" s="15" t="s">
        <v>42</v>
      </c>
      <c r="I2207">
        <v>30</v>
      </c>
      <c r="J2207">
        <v>50</v>
      </c>
      <c r="K2207">
        <v>0</v>
      </c>
      <c r="L2207">
        <v>80</v>
      </c>
      <c r="M2207">
        <v>37</v>
      </c>
      <c r="N2207">
        <v>261</v>
      </c>
      <c r="O2207">
        <v>53</v>
      </c>
      <c r="P2207">
        <v>34</v>
      </c>
      <c r="Q2207">
        <v>-16</v>
      </c>
      <c r="R2207">
        <v>101</v>
      </c>
      <c r="S2207">
        <v>1.2625</v>
      </c>
      <c r="U2207">
        <v>1.2333333333333334</v>
      </c>
    </row>
    <row r="2208" spans="1:21" x14ac:dyDescent="0.35">
      <c r="A2208">
        <v>603</v>
      </c>
      <c r="B2208" s="16">
        <v>40544</v>
      </c>
      <c r="C2208" s="15" t="s">
        <v>63</v>
      </c>
      <c r="D2208" s="15" t="s">
        <v>58</v>
      </c>
      <c r="E2208" s="15" t="s">
        <v>67</v>
      </c>
      <c r="F2208" s="15" t="s">
        <v>49</v>
      </c>
      <c r="G2208" s="15" t="s">
        <v>68</v>
      </c>
      <c r="H2208" s="15" t="s">
        <v>42</v>
      </c>
      <c r="I2208">
        <v>20</v>
      </c>
      <c r="J2208">
        <v>40</v>
      </c>
      <c r="K2208">
        <v>0</v>
      </c>
      <c r="L2208">
        <v>60</v>
      </c>
      <c r="M2208">
        <v>29</v>
      </c>
      <c r="N2208">
        <v>169</v>
      </c>
      <c r="O2208">
        <v>36</v>
      </c>
      <c r="P2208">
        <v>11</v>
      </c>
      <c r="Q2208">
        <v>-12</v>
      </c>
      <c r="R2208">
        <v>73</v>
      </c>
      <c r="S2208">
        <v>1.2166666666666666</v>
      </c>
      <c r="U2208">
        <v>1.45</v>
      </c>
    </row>
    <row r="2209" spans="1:21" x14ac:dyDescent="0.35">
      <c r="A2209">
        <v>603</v>
      </c>
      <c r="B2209" s="16">
        <v>40544</v>
      </c>
      <c r="C2209" s="15" t="s">
        <v>63</v>
      </c>
      <c r="D2209" s="15" t="s">
        <v>58</v>
      </c>
      <c r="E2209" s="15" t="s">
        <v>39</v>
      </c>
      <c r="F2209" s="15" t="s">
        <v>40</v>
      </c>
      <c r="G2209" s="15" t="s">
        <v>68</v>
      </c>
      <c r="H2209" s="15" t="s">
        <v>42</v>
      </c>
      <c r="I2209">
        <v>30</v>
      </c>
      <c r="J2209">
        <v>50</v>
      </c>
      <c r="K2209">
        <v>30</v>
      </c>
      <c r="L2209">
        <v>80</v>
      </c>
      <c r="M2209">
        <v>38</v>
      </c>
      <c r="N2209">
        <v>241</v>
      </c>
      <c r="O2209">
        <v>55</v>
      </c>
      <c r="P2209">
        <v>12</v>
      </c>
      <c r="Q2209">
        <v>31</v>
      </c>
      <c r="R2209">
        <v>104</v>
      </c>
      <c r="S2209">
        <v>1.3</v>
      </c>
      <c r="T2209">
        <v>1.0333333333333334</v>
      </c>
      <c r="U2209">
        <v>1.2666666666666666</v>
      </c>
    </row>
    <row r="2210" spans="1:21" x14ac:dyDescent="0.35">
      <c r="A2210">
        <v>603</v>
      </c>
      <c r="B2210" s="16">
        <v>40544</v>
      </c>
      <c r="C2210" s="15" t="s">
        <v>63</v>
      </c>
      <c r="D2210" s="15" t="s">
        <v>58</v>
      </c>
      <c r="E2210" s="15" t="s">
        <v>43</v>
      </c>
      <c r="F2210" s="15" t="s">
        <v>40</v>
      </c>
      <c r="G2210" s="15" t="s">
        <v>68</v>
      </c>
      <c r="H2210" s="15" t="s">
        <v>42</v>
      </c>
      <c r="I2210">
        <v>40</v>
      </c>
      <c r="J2210">
        <v>70</v>
      </c>
      <c r="K2210">
        <v>40</v>
      </c>
      <c r="L2210">
        <v>110</v>
      </c>
      <c r="M2210">
        <v>48</v>
      </c>
      <c r="N2210">
        <v>372</v>
      </c>
      <c r="O2210">
        <v>72</v>
      </c>
      <c r="P2210">
        <v>15</v>
      </c>
      <c r="Q2210">
        <v>39</v>
      </c>
      <c r="R2210">
        <v>134</v>
      </c>
      <c r="S2210">
        <v>1.2181818181818183</v>
      </c>
      <c r="T2210">
        <v>0.97499999999999998</v>
      </c>
      <c r="U2210">
        <v>1.2</v>
      </c>
    </row>
    <row r="2211" spans="1:21" x14ac:dyDescent="0.35">
      <c r="A2211">
        <v>516</v>
      </c>
      <c r="B2211" s="16">
        <v>40544</v>
      </c>
      <c r="C2211" s="15" t="s">
        <v>63</v>
      </c>
      <c r="D2211" s="15" t="s">
        <v>38</v>
      </c>
      <c r="E2211" s="15" t="s">
        <v>53</v>
      </c>
      <c r="F2211" s="15" t="s">
        <v>52</v>
      </c>
      <c r="G2211" s="15" t="s">
        <v>69</v>
      </c>
      <c r="H2211" s="15" t="s">
        <v>45</v>
      </c>
      <c r="I2211">
        <v>180</v>
      </c>
      <c r="J2211">
        <v>190</v>
      </c>
      <c r="K2211">
        <v>100</v>
      </c>
      <c r="L2211">
        <v>370</v>
      </c>
      <c r="M2211">
        <v>245</v>
      </c>
      <c r="N2211">
        <v>1419</v>
      </c>
      <c r="O2211">
        <v>238</v>
      </c>
      <c r="P2211">
        <v>93</v>
      </c>
      <c r="Q2211">
        <v>173</v>
      </c>
      <c r="R2211">
        <v>540</v>
      </c>
      <c r="S2211">
        <v>1.4594594594594594</v>
      </c>
      <c r="T2211">
        <v>1.73</v>
      </c>
      <c r="U2211">
        <v>1.3611111111111112</v>
      </c>
    </row>
    <row r="2212" spans="1:21" x14ac:dyDescent="0.35">
      <c r="A2212">
        <v>516</v>
      </c>
      <c r="B2212" s="16">
        <v>40544</v>
      </c>
      <c r="C2212" s="15" t="s">
        <v>63</v>
      </c>
      <c r="D2212" s="15" t="s">
        <v>38</v>
      </c>
      <c r="E2212" s="15" t="s">
        <v>54</v>
      </c>
      <c r="F2212" s="15" t="s">
        <v>52</v>
      </c>
      <c r="G2212" s="15" t="s">
        <v>69</v>
      </c>
      <c r="H2212" s="15" t="s">
        <v>45</v>
      </c>
      <c r="I2212">
        <v>150</v>
      </c>
      <c r="J2212">
        <v>-10</v>
      </c>
      <c r="K2212">
        <v>-70</v>
      </c>
      <c r="L2212">
        <v>140</v>
      </c>
      <c r="M2212">
        <v>207</v>
      </c>
      <c r="N2212">
        <v>965</v>
      </c>
      <c r="O2212">
        <v>-27</v>
      </c>
      <c r="P2212">
        <v>64</v>
      </c>
      <c r="Q2212">
        <v>-176</v>
      </c>
      <c r="R2212">
        <v>201</v>
      </c>
      <c r="S2212">
        <v>1.4357142857142857</v>
      </c>
      <c r="T2212">
        <v>2.5142857142857142</v>
      </c>
      <c r="U2212">
        <v>1.38</v>
      </c>
    </row>
    <row r="2213" spans="1:21" x14ac:dyDescent="0.35">
      <c r="A2213">
        <v>607</v>
      </c>
      <c r="B2213" s="16">
        <v>40544</v>
      </c>
      <c r="C2213" s="15" t="s">
        <v>63</v>
      </c>
      <c r="D2213" s="15" t="s">
        <v>38</v>
      </c>
      <c r="E2213" s="15" t="s">
        <v>55</v>
      </c>
      <c r="F2213" s="15" t="s">
        <v>47</v>
      </c>
      <c r="G2213" s="15" t="s">
        <v>69</v>
      </c>
      <c r="H2213" s="15" t="s">
        <v>42</v>
      </c>
      <c r="I2213">
        <v>100</v>
      </c>
      <c r="J2213">
        <v>150</v>
      </c>
      <c r="K2213">
        <v>120</v>
      </c>
      <c r="L2213">
        <v>250</v>
      </c>
      <c r="M2213">
        <v>95</v>
      </c>
      <c r="N2213">
        <v>821</v>
      </c>
      <c r="O2213">
        <v>139</v>
      </c>
      <c r="P2213">
        <v>26</v>
      </c>
      <c r="Q2213">
        <v>157</v>
      </c>
      <c r="R2213">
        <v>262</v>
      </c>
      <c r="S2213">
        <v>1.048</v>
      </c>
      <c r="T2213">
        <v>1.3083333333333333</v>
      </c>
      <c r="U2213">
        <v>0.95</v>
      </c>
    </row>
    <row r="2214" spans="1:21" x14ac:dyDescent="0.35">
      <c r="A2214">
        <v>716</v>
      </c>
      <c r="B2214" s="16">
        <v>40544</v>
      </c>
      <c r="C2214" s="15" t="s">
        <v>63</v>
      </c>
      <c r="D2214" s="15" t="s">
        <v>38</v>
      </c>
      <c r="E2214" s="15" t="s">
        <v>56</v>
      </c>
      <c r="F2214" s="15" t="s">
        <v>47</v>
      </c>
      <c r="G2214" s="15" t="s">
        <v>69</v>
      </c>
      <c r="H2214" s="15" t="s">
        <v>42</v>
      </c>
      <c r="I2214">
        <v>90</v>
      </c>
      <c r="J2214">
        <v>140</v>
      </c>
      <c r="K2214">
        <v>110</v>
      </c>
      <c r="L2214">
        <v>230</v>
      </c>
      <c r="M2214">
        <v>89</v>
      </c>
      <c r="N2214">
        <v>777</v>
      </c>
      <c r="O2214">
        <v>130</v>
      </c>
      <c r="P2214">
        <v>24</v>
      </c>
      <c r="Q2214">
        <v>146</v>
      </c>
      <c r="R2214">
        <v>245</v>
      </c>
      <c r="S2214">
        <v>1.0652173913043479</v>
      </c>
      <c r="T2214">
        <v>1.3272727272727274</v>
      </c>
      <c r="U2214">
        <v>0.98888888888888893</v>
      </c>
    </row>
    <row r="2215" spans="1:21" x14ac:dyDescent="0.35">
      <c r="A2215">
        <v>212</v>
      </c>
      <c r="B2215" s="16">
        <v>40544</v>
      </c>
      <c r="C2215" s="15" t="s">
        <v>63</v>
      </c>
      <c r="D2215" s="15" t="s">
        <v>38</v>
      </c>
      <c r="E2215" s="15" t="s">
        <v>46</v>
      </c>
      <c r="F2215" s="15" t="s">
        <v>47</v>
      </c>
      <c r="G2215" s="15" t="s">
        <v>69</v>
      </c>
      <c r="H2215" s="15" t="s">
        <v>42</v>
      </c>
      <c r="I2215">
        <v>50</v>
      </c>
      <c r="J2215">
        <v>90</v>
      </c>
      <c r="K2215">
        <v>70</v>
      </c>
      <c r="L2215">
        <v>140</v>
      </c>
      <c r="M2215">
        <v>54</v>
      </c>
      <c r="N2215">
        <v>456</v>
      </c>
      <c r="O2215">
        <v>80</v>
      </c>
      <c r="P2215">
        <v>15</v>
      </c>
      <c r="Q2215">
        <v>84</v>
      </c>
      <c r="R2215">
        <v>150</v>
      </c>
      <c r="S2215">
        <v>1.0714285714285714</v>
      </c>
      <c r="T2215">
        <v>1.2</v>
      </c>
      <c r="U2215">
        <v>1.08</v>
      </c>
    </row>
    <row r="2216" spans="1:21" x14ac:dyDescent="0.35">
      <c r="A2216">
        <v>516</v>
      </c>
      <c r="B2216" s="16">
        <v>40544</v>
      </c>
      <c r="C2216" s="15" t="s">
        <v>63</v>
      </c>
      <c r="D2216" s="15" t="s">
        <v>38</v>
      </c>
      <c r="E2216" s="15" t="s">
        <v>48</v>
      </c>
      <c r="F2216" s="15" t="s">
        <v>49</v>
      </c>
      <c r="G2216" s="15" t="s">
        <v>69</v>
      </c>
      <c r="H2216" s="15" t="s">
        <v>42</v>
      </c>
      <c r="I2216">
        <v>100</v>
      </c>
      <c r="J2216">
        <v>-50</v>
      </c>
      <c r="K2216">
        <v>-170</v>
      </c>
      <c r="L2216">
        <v>50</v>
      </c>
      <c r="M2216">
        <v>105</v>
      </c>
      <c r="N2216">
        <v>725</v>
      </c>
      <c r="O2216">
        <v>-44</v>
      </c>
      <c r="P2216">
        <v>95</v>
      </c>
      <c r="Q2216">
        <v>-268</v>
      </c>
      <c r="R2216">
        <v>68</v>
      </c>
      <c r="S2216">
        <v>1.36</v>
      </c>
      <c r="T2216">
        <v>1.5764705882352941</v>
      </c>
      <c r="U2216">
        <v>1.05</v>
      </c>
    </row>
    <row r="2217" spans="1:21" x14ac:dyDescent="0.35">
      <c r="A2217">
        <v>516</v>
      </c>
      <c r="B2217" s="16">
        <v>40544</v>
      </c>
      <c r="C2217" s="15" t="s">
        <v>63</v>
      </c>
      <c r="D2217" s="15" t="s">
        <v>38</v>
      </c>
      <c r="E2217" s="15" t="s">
        <v>67</v>
      </c>
      <c r="F2217" s="15" t="s">
        <v>49</v>
      </c>
      <c r="G2217" s="15" t="s">
        <v>69</v>
      </c>
      <c r="H2217" s="15" t="s">
        <v>42</v>
      </c>
      <c r="I2217">
        <v>210</v>
      </c>
      <c r="J2217">
        <v>270</v>
      </c>
      <c r="K2217">
        <v>200</v>
      </c>
      <c r="L2217">
        <v>480</v>
      </c>
      <c r="M2217">
        <v>228</v>
      </c>
      <c r="N2217">
        <v>1459</v>
      </c>
      <c r="O2217">
        <v>262</v>
      </c>
      <c r="P2217">
        <v>63</v>
      </c>
      <c r="Q2217">
        <v>273</v>
      </c>
      <c r="R2217">
        <v>548</v>
      </c>
      <c r="S2217">
        <v>1.1416666666666666</v>
      </c>
      <c r="T2217">
        <v>1.365</v>
      </c>
      <c r="U2217">
        <v>1.0857142857142856</v>
      </c>
    </row>
    <row r="2218" spans="1:21" x14ac:dyDescent="0.35">
      <c r="A2218">
        <v>518</v>
      </c>
      <c r="B2218" s="16">
        <v>40544</v>
      </c>
      <c r="C2218" s="15" t="s">
        <v>63</v>
      </c>
      <c r="D2218" s="15" t="s">
        <v>38</v>
      </c>
      <c r="E2218" s="15" t="s">
        <v>43</v>
      </c>
      <c r="F2218" s="15" t="s">
        <v>40</v>
      </c>
      <c r="G2218" s="15" t="s">
        <v>69</v>
      </c>
      <c r="H2218" s="15" t="s">
        <v>42</v>
      </c>
      <c r="I2218">
        <v>260</v>
      </c>
      <c r="J2218">
        <v>380</v>
      </c>
      <c r="K2218">
        <v>260</v>
      </c>
      <c r="L2218">
        <v>640</v>
      </c>
      <c r="M2218">
        <v>271</v>
      </c>
      <c r="N2218">
        <v>2101</v>
      </c>
      <c r="O2218">
        <v>407</v>
      </c>
      <c r="P2218">
        <v>94</v>
      </c>
      <c r="Q2218">
        <v>408</v>
      </c>
      <c r="R2218">
        <v>759</v>
      </c>
      <c r="S2218">
        <v>1.1859375000000001</v>
      </c>
      <c r="T2218">
        <v>1.5692307692307692</v>
      </c>
      <c r="U2218">
        <v>1.0423076923076924</v>
      </c>
    </row>
    <row r="2219" spans="1:21" x14ac:dyDescent="0.35">
      <c r="A2219">
        <v>318</v>
      </c>
      <c r="B2219" s="16">
        <v>40544</v>
      </c>
      <c r="C2219" s="15" t="s">
        <v>70</v>
      </c>
      <c r="D2219" s="15" t="s">
        <v>58</v>
      </c>
      <c r="E2219" s="15" t="s">
        <v>51</v>
      </c>
      <c r="F2219" s="15" t="s">
        <v>52</v>
      </c>
      <c r="G2219" s="15" t="s">
        <v>71</v>
      </c>
      <c r="H2219" s="15" t="s">
        <v>45</v>
      </c>
      <c r="I2219">
        <v>40</v>
      </c>
      <c r="J2219">
        <v>60</v>
      </c>
      <c r="K2219">
        <v>40</v>
      </c>
      <c r="L2219">
        <v>100</v>
      </c>
      <c r="M2219">
        <v>49</v>
      </c>
      <c r="N2219">
        <v>623</v>
      </c>
      <c r="O2219">
        <v>63</v>
      </c>
      <c r="P2219">
        <v>16</v>
      </c>
      <c r="Q2219">
        <v>55</v>
      </c>
      <c r="R2219">
        <v>125</v>
      </c>
      <c r="S2219">
        <v>1.25</v>
      </c>
      <c r="T2219">
        <v>1.375</v>
      </c>
      <c r="U2219">
        <v>1.2250000000000001</v>
      </c>
    </row>
    <row r="2220" spans="1:21" x14ac:dyDescent="0.35">
      <c r="A2220">
        <v>318</v>
      </c>
      <c r="B2220" s="16">
        <v>40544</v>
      </c>
      <c r="C2220" s="15" t="s">
        <v>70</v>
      </c>
      <c r="D2220" s="15" t="s">
        <v>58</v>
      </c>
      <c r="E2220" s="15" t="s">
        <v>53</v>
      </c>
      <c r="F2220" s="15" t="s">
        <v>52</v>
      </c>
      <c r="G2220" s="15" t="s">
        <v>71</v>
      </c>
      <c r="H2220" s="15" t="s">
        <v>45</v>
      </c>
      <c r="I2220">
        <v>80</v>
      </c>
      <c r="J2220">
        <v>100</v>
      </c>
      <c r="K2220">
        <v>40</v>
      </c>
      <c r="L2220">
        <v>180</v>
      </c>
      <c r="M2220">
        <v>85</v>
      </c>
      <c r="N2220">
        <v>494</v>
      </c>
      <c r="O2220">
        <v>105</v>
      </c>
      <c r="P2220">
        <v>32</v>
      </c>
      <c r="Q2220">
        <v>62</v>
      </c>
      <c r="R2220">
        <v>213</v>
      </c>
      <c r="S2220">
        <v>1.1833333333333333</v>
      </c>
      <c r="T2220">
        <v>1.55</v>
      </c>
      <c r="U2220">
        <v>1.0625</v>
      </c>
    </row>
    <row r="2221" spans="1:21" x14ac:dyDescent="0.35">
      <c r="A2221">
        <v>337</v>
      </c>
      <c r="B2221" s="16">
        <v>40544</v>
      </c>
      <c r="C2221" s="15" t="s">
        <v>70</v>
      </c>
      <c r="D2221" s="15" t="s">
        <v>58</v>
      </c>
      <c r="E2221" s="15" t="s">
        <v>43</v>
      </c>
      <c r="F2221" s="15" t="s">
        <v>40</v>
      </c>
      <c r="G2221" s="15" t="s">
        <v>71</v>
      </c>
      <c r="H2221" s="15" t="s">
        <v>42</v>
      </c>
      <c r="I2221">
        <v>40</v>
      </c>
      <c r="J2221">
        <v>60</v>
      </c>
      <c r="K2221">
        <v>50</v>
      </c>
      <c r="L2221">
        <v>100</v>
      </c>
      <c r="M2221">
        <v>34</v>
      </c>
      <c r="N2221">
        <v>777</v>
      </c>
      <c r="O2221">
        <v>51</v>
      </c>
      <c r="P2221">
        <v>9</v>
      </c>
      <c r="Q2221">
        <v>47</v>
      </c>
      <c r="R2221">
        <v>95</v>
      </c>
      <c r="S2221">
        <v>0.95</v>
      </c>
      <c r="T2221">
        <v>0.94</v>
      </c>
      <c r="U2221">
        <v>0.85</v>
      </c>
    </row>
    <row r="2222" spans="1:21" x14ac:dyDescent="0.35">
      <c r="A2222">
        <v>318</v>
      </c>
      <c r="B2222" s="16">
        <v>40544</v>
      </c>
      <c r="C2222" s="15" t="s">
        <v>70</v>
      </c>
      <c r="D2222" s="15" t="s">
        <v>58</v>
      </c>
      <c r="E2222" s="15" t="s">
        <v>44</v>
      </c>
      <c r="F2222" s="15" t="s">
        <v>40</v>
      </c>
      <c r="G2222" s="15" t="s">
        <v>71</v>
      </c>
      <c r="H2222" s="15" t="s">
        <v>45</v>
      </c>
      <c r="I2222">
        <v>40</v>
      </c>
      <c r="J2222">
        <v>60</v>
      </c>
      <c r="K2222">
        <v>50</v>
      </c>
      <c r="L2222">
        <v>100</v>
      </c>
      <c r="M2222">
        <v>33</v>
      </c>
      <c r="N2222">
        <v>777</v>
      </c>
      <c r="O2222">
        <v>48</v>
      </c>
      <c r="P2222">
        <v>9</v>
      </c>
      <c r="Q2222">
        <v>44</v>
      </c>
      <c r="R2222">
        <v>91</v>
      </c>
      <c r="S2222">
        <v>0.91</v>
      </c>
      <c r="T2222">
        <v>0.88</v>
      </c>
      <c r="U2222">
        <v>0.82499999999999996</v>
      </c>
    </row>
    <row r="2223" spans="1:21" x14ac:dyDescent="0.35">
      <c r="A2223">
        <v>504</v>
      </c>
      <c r="B2223" s="16">
        <v>40544</v>
      </c>
      <c r="C2223" s="15" t="s">
        <v>70</v>
      </c>
      <c r="D2223" s="15" t="s">
        <v>58</v>
      </c>
      <c r="E2223" s="15" t="s">
        <v>72</v>
      </c>
      <c r="F2223" s="15" t="s">
        <v>49</v>
      </c>
      <c r="G2223" s="15" t="s">
        <v>71</v>
      </c>
      <c r="H2223" s="15" t="s">
        <v>42</v>
      </c>
      <c r="I2223">
        <v>60</v>
      </c>
      <c r="J2223">
        <v>90</v>
      </c>
      <c r="K2223">
        <v>10</v>
      </c>
      <c r="L2223">
        <v>150</v>
      </c>
      <c r="M2223">
        <v>75</v>
      </c>
      <c r="N2223">
        <v>522</v>
      </c>
      <c r="O2223">
        <v>105</v>
      </c>
      <c r="P2223">
        <v>68</v>
      </c>
      <c r="Q2223">
        <v>12</v>
      </c>
      <c r="R2223">
        <v>201</v>
      </c>
      <c r="S2223">
        <v>1.34</v>
      </c>
      <c r="T2223">
        <v>1.2</v>
      </c>
      <c r="U2223">
        <v>1.25</v>
      </c>
    </row>
    <row r="2224" spans="1:21" x14ac:dyDescent="0.35">
      <c r="A2224">
        <v>225</v>
      </c>
      <c r="B2224" s="16">
        <v>40544</v>
      </c>
      <c r="C2224" s="15" t="s">
        <v>70</v>
      </c>
      <c r="D2224" s="15" t="s">
        <v>58</v>
      </c>
      <c r="E2224" s="15" t="s">
        <v>48</v>
      </c>
      <c r="F2224" s="15" t="s">
        <v>49</v>
      </c>
      <c r="G2224" s="15" t="s">
        <v>71</v>
      </c>
      <c r="H2224" s="15" t="s">
        <v>42</v>
      </c>
      <c r="I2224">
        <v>50</v>
      </c>
      <c r="J2224">
        <v>100</v>
      </c>
      <c r="K2224">
        <v>80</v>
      </c>
      <c r="L2224">
        <v>150</v>
      </c>
      <c r="M2224">
        <v>67</v>
      </c>
      <c r="N2224">
        <v>400</v>
      </c>
      <c r="O2224">
        <v>113</v>
      </c>
      <c r="P2224">
        <v>20</v>
      </c>
      <c r="Q2224">
        <v>109</v>
      </c>
      <c r="R2224">
        <v>201</v>
      </c>
      <c r="S2224">
        <v>1.34</v>
      </c>
      <c r="T2224">
        <v>1.3625</v>
      </c>
      <c r="U2224">
        <v>1.34</v>
      </c>
    </row>
    <row r="2225" spans="1:21" x14ac:dyDescent="0.35">
      <c r="A2225">
        <v>337</v>
      </c>
      <c r="B2225" s="16">
        <v>40544</v>
      </c>
      <c r="C2225" s="15" t="s">
        <v>70</v>
      </c>
      <c r="D2225" s="15" t="s">
        <v>58</v>
      </c>
      <c r="E2225" s="15" t="s">
        <v>50</v>
      </c>
      <c r="F2225" s="15" t="s">
        <v>49</v>
      </c>
      <c r="G2225" s="15" t="s">
        <v>71</v>
      </c>
      <c r="H2225" s="15" t="s">
        <v>45</v>
      </c>
      <c r="I2225">
        <v>50</v>
      </c>
      <c r="J2225">
        <v>70</v>
      </c>
      <c r="K2225">
        <v>50</v>
      </c>
      <c r="L2225">
        <v>120</v>
      </c>
      <c r="M2225">
        <v>61</v>
      </c>
      <c r="N2225">
        <v>390</v>
      </c>
      <c r="O2225">
        <v>89</v>
      </c>
      <c r="P2225">
        <v>19</v>
      </c>
      <c r="Q2225">
        <v>75</v>
      </c>
      <c r="R2225">
        <v>168</v>
      </c>
      <c r="S2225">
        <v>1.4</v>
      </c>
      <c r="T2225">
        <v>1.5</v>
      </c>
      <c r="U2225">
        <v>1.22</v>
      </c>
    </row>
    <row r="2226" spans="1:21" x14ac:dyDescent="0.35">
      <c r="A2226">
        <v>505</v>
      </c>
      <c r="B2226" s="16">
        <v>40544</v>
      </c>
      <c r="C2226" s="15" t="s">
        <v>70</v>
      </c>
      <c r="D2226" s="15" t="s">
        <v>58</v>
      </c>
      <c r="E2226" s="15" t="s">
        <v>51</v>
      </c>
      <c r="F2226" s="15" t="s">
        <v>52</v>
      </c>
      <c r="G2226" s="15" t="s">
        <v>73</v>
      </c>
      <c r="H2226" s="15" t="s">
        <v>45</v>
      </c>
      <c r="I2226">
        <v>10</v>
      </c>
      <c r="J2226">
        <v>30</v>
      </c>
      <c r="K2226">
        <v>20</v>
      </c>
      <c r="L2226">
        <v>40</v>
      </c>
      <c r="M2226">
        <v>18</v>
      </c>
      <c r="N2226">
        <v>821</v>
      </c>
      <c r="O2226">
        <v>27</v>
      </c>
      <c r="P2226">
        <v>5</v>
      </c>
      <c r="Q2226">
        <v>17</v>
      </c>
      <c r="R2226">
        <v>50</v>
      </c>
      <c r="S2226">
        <v>1.25</v>
      </c>
      <c r="T2226">
        <v>0.85</v>
      </c>
      <c r="U2226">
        <v>1.8</v>
      </c>
    </row>
    <row r="2227" spans="1:21" x14ac:dyDescent="0.35">
      <c r="A2227">
        <v>505</v>
      </c>
      <c r="B2227" s="16">
        <v>40544</v>
      </c>
      <c r="C2227" s="15" t="s">
        <v>70</v>
      </c>
      <c r="D2227" s="15" t="s">
        <v>58</v>
      </c>
      <c r="E2227" s="15" t="s">
        <v>53</v>
      </c>
      <c r="F2227" s="15" t="s">
        <v>52</v>
      </c>
      <c r="G2227" s="15" t="s">
        <v>73</v>
      </c>
      <c r="H2227" s="15" t="s">
        <v>45</v>
      </c>
      <c r="I2227">
        <v>20</v>
      </c>
      <c r="J2227">
        <v>40</v>
      </c>
      <c r="K2227">
        <v>20</v>
      </c>
      <c r="L2227">
        <v>60</v>
      </c>
      <c r="M2227">
        <v>28</v>
      </c>
      <c r="N2227">
        <v>965</v>
      </c>
      <c r="O2227">
        <v>34</v>
      </c>
      <c r="P2227">
        <v>8</v>
      </c>
      <c r="Q2227">
        <v>6</v>
      </c>
      <c r="R2227">
        <v>69</v>
      </c>
      <c r="S2227">
        <v>1.1499999999999999</v>
      </c>
      <c r="T2227">
        <v>0.3</v>
      </c>
      <c r="U2227">
        <v>1.4</v>
      </c>
    </row>
    <row r="2228" spans="1:21" x14ac:dyDescent="0.35">
      <c r="A2228">
        <v>505</v>
      </c>
      <c r="B2228" s="16">
        <v>40544</v>
      </c>
      <c r="C2228" s="15" t="s">
        <v>70</v>
      </c>
      <c r="D2228" s="15" t="s">
        <v>58</v>
      </c>
      <c r="E2228" s="15" t="s">
        <v>43</v>
      </c>
      <c r="F2228" s="15" t="s">
        <v>40</v>
      </c>
      <c r="G2228" s="15" t="s">
        <v>73</v>
      </c>
      <c r="H2228" s="15" t="s">
        <v>42</v>
      </c>
      <c r="I2228">
        <v>60</v>
      </c>
      <c r="J2228">
        <v>90</v>
      </c>
      <c r="K2228">
        <v>50</v>
      </c>
      <c r="L2228">
        <v>150</v>
      </c>
      <c r="M2228">
        <v>48</v>
      </c>
      <c r="N2228">
        <v>372</v>
      </c>
      <c r="O2228">
        <v>72</v>
      </c>
      <c r="P2228">
        <v>15</v>
      </c>
      <c r="Q2228">
        <v>41</v>
      </c>
      <c r="R2228">
        <v>134</v>
      </c>
      <c r="S2228">
        <v>0.89333333333333331</v>
      </c>
      <c r="T2228">
        <v>0.82</v>
      </c>
      <c r="U2228">
        <v>0.8</v>
      </c>
    </row>
    <row r="2229" spans="1:21" x14ac:dyDescent="0.35">
      <c r="A2229">
        <v>505</v>
      </c>
      <c r="B2229" s="16">
        <v>40544</v>
      </c>
      <c r="C2229" s="15" t="s">
        <v>70</v>
      </c>
      <c r="D2229" s="15" t="s">
        <v>58</v>
      </c>
      <c r="E2229" s="15" t="s">
        <v>44</v>
      </c>
      <c r="F2229" s="15" t="s">
        <v>40</v>
      </c>
      <c r="G2229" s="15" t="s">
        <v>73</v>
      </c>
      <c r="H2229" s="15" t="s">
        <v>45</v>
      </c>
      <c r="I2229">
        <v>110</v>
      </c>
      <c r="J2229">
        <v>10</v>
      </c>
      <c r="K2229">
        <v>-30</v>
      </c>
      <c r="L2229">
        <v>120</v>
      </c>
      <c r="M2229">
        <v>88</v>
      </c>
      <c r="N2229">
        <v>525</v>
      </c>
      <c r="O2229">
        <v>11</v>
      </c>
      <c r="P2229">
        <v>27</v>
      </c>
      <c r="Q2229">
        <v>-61</v>
      </c>
      <c r="R2229">
        <v>111</v>
      </c>
      <c r="S2229">
        <v>0.92500000000000004</v>
      </c>
      <c r="T2229">
        <v>2.0333333333333332</v>
      </c>
      <c r="U2229">
        <v>0.8</v>
      </c>
    </row>
    <row r="2230" spans="1:21" x14ac:dyDescent="0.35">
      <c r="A2230">
        <v>505</v>
      </c>
      <c r="B2230" s="16">
        <v>40544</v>
      </c>
      <c r="C2230" s="15" t="s">
        <v>70</v>
      </c>
      <c r="D2230" s="15" t="s">
        <v>58</v>
      </c>
      <c r="E2230" s="15" t="s">
        <v>72</v>
      </c>
      <c r="F2230" s="15" t="s">
        <v>49</v>
      </c>
      <c r="G2230" s="15" t="s">
        <v>73</v>
      </c>
      <c r="H2230" s="15" t="s">
        <v>42</v>
      </c>
      <c r="I2230">
        <v>20</v>
      </c>
      <c r="J2230">
        <v>30</v>
      </c>
      <c r="K2230">
        <v>0</v>
      </c>
      <c r="L2230">
        <v>50</v>
      </c>
      <c r="M2230">
        <v>29</v>
      </c>
      <c r="N2230">
        <v>169</v>
      </c>
      <c r="O2230">
        <v>36</v>
      </c>
      <c r="P2230">
        <v>11</v>
      </c>
      <c r="Q2230">
        <v>-12</v>
      </c>
      <c r="R2230">
        <v>73</v>
      </c>
      <c r="S2230">
        <v>1.46</v>
      </c>
      <c r="U2230">
        <v>1.45</v>
      </c>
    </row>
    <row r="2231" spans="1:21" x14ac:dyDescent="0.35">
      <c r="A2231">
        <v>505</v>
      </c>
      <c r="B2231" s="16">
        <v>40544</v>
      </c>
      <c r="C2231" s="15" t="s">
        <v>70</v>
      </c>
      <c r="D2231" s="15" t="s">
        <v>58</v>
      </c>
      <c r="E2231" s="15" t="s">
        <v>48</v>
      </c>
      <c r="F2231" s="15" t="s">
        <v>49</v>
      </c>
      <c r="G2231" s="15" t="s">
        <v>73</v>
      </c>
      <c r="H2231" s="15" t="s">
        <v>42</v>
      </c>
      <c r="I2231">
        <v>30</v>
      </c>
      <c r="J2231">
        <v>40</v>
      </c>
      <c r="K2231">
        <v>-10</v>
      </c>
      <c r="L2231">
        <v>70</v>
      </c>
      <c r="M2231">
        <v>37</v>
      </c>
      <c r="N2231">
        <v>261</v>
      </c>
      <c r="O2231">
        <v>53</v>
      </c>
      <c r="P2231">
        <v>34</v>
      </c>
      <c r="Q2231">
        <v>-16</v>
      </c>
      <c r="R2231">
        <v>101</v>
      </c>
      <c r="S2231">
        <v>1.4428571428571428</v>
      </c>
      <c r="T2231">
        <v>1.6</v>
      </c>
      <c r="U2231">
        <v>1.2333333333333334</v>
      </c>
    </row>
    <row r="2232" spans="1:21" x14ac:dyDescent="0.35">
      <c r="A2232">
        <v>505</v>
      </c>
      <c r="B2232" s="16">
        <v>40544</v>
      </c>
      <c r="C2232" s="15" t="s">
        <v>70</v>
      </c>
      <c r="D2232" s="15" t="s">
        <v>58</v>
      </c>
      <c r="E2232" s="15" t="s">
        <v>50</v>
      </c>
      <c r="F2232" s="15" t="s">
        <v>49</v>
      </c>
      <c r="G2232" s="15" t="s">
        <v>73</v>
      </c>
      <c r="H2232" s="15" t="s">
        <v>45</v>
      </c>
      <c r="I2232">
        <v>30</v>
      </c>
      <c r="J2232">
        <v>40</v>
      </c>
      <c r="K2232">
        <v>10</v>
      </c>
      <c r="L2232">
        <v>70</v>
      </c>
      <c r="M2232">
        <v>35</v>
      </c>
      <c r="N2232">
        <v>196</v>
      </c>
      <c r="O2232">
        <v>47</v>
      </c>
      <c r="P2232">
        <v>11</v>
      </c>
      <c r="Q2232">
        <v>14</v>
      </c>
      <c r="R2232">
        <v>92</v>
      </c>
      <c r="S2232">
        <v>1.3142857142857143</v>
      </c>
      <c r="T2232">
        <v>1.4</v>
      </c>
      <c r="U2232">
        <v>1.1666666666666667</v>
      </c>
    </row>
    <row r="2233" spans="1:21" x14ac:dyDescent="0.35">
      <c r="A2233">
        <v>918</v>
      </c>
      <c r="B2233" s="16">
        <v>40544</v>
      </c>
      <c r="C2233" s="15" t="s">
        <v>70</v>
      </c>
      <c r="D2233" s="15" t="s">
        <v>58</v>
      </c>
      <c r="E2233" s="15" t="s">
        <v>51</v>
      </c>
      <c r="F2233" s="15" t="s">
        <v>52</v>
      </c>
      <c r="G2233" s="15" t="s">
        <v>74</v>
      </c>
      <c r="H2233" s="15" t="s">
        <v>45</v>
      </c>
      <c r="I2233">
        <v>50</v>
      </c>
      <c r="J2233">
        <v>60</v>
      </c>
      <c r="K2233">
        <v>20</v>
      </c>
      <c r="L2233">
        <v>110</v>
      </c>
      <c r="M2233">
        <v>54</v>
      </c>
      <c r="N2233">
        <v>312</v>
      </c>
      <c r="O2233">
        <v>66</v>
      </c>
      <c r="P2233">
        <v>20</v>
      </c>
      <c r="Q2233">
        <v>20</v>
      </c>
      <c r="R2233">
        <v>134</v>
      </c>
      <c r="S2233">
        <v>1.2181818181818183</v>
      </c>
      <c r="T2233">
        <v>1</v>
      </c>
      <c r="U2233">
        <v>1.08</v>
      </c>
    </row>
    <row r="2234" spans="1:21" x14ac:dyDescent="0.35">
      <c r="A2234">
        <v>405</v>
      </c>
      <c r="B2234" s="16">
        <v>40544</v>
      </c>
      <c r="C2234" s="15" t="s">
        <v>70</v>
      </c>
      <c r="D2234" s="15" t="s">
        <v>58</v>
      </c>
      <c r="E2234" s="15" t="s">
        <v>53</v>
      </c>
      <c r="F2234" s="15" t="s">
        <v>52</v>
      </c>
      <c r="G2234" s="15" t="s">
        <v>74</v>
      </c>
      <c r="H2234" s="15" t="s">
        <v>45</v>
      </c>
      <c r="I2234">
        <v>70</v>
      </c>
      <c r="J2234">
        <v>110</v>
      </c>
      <c r="K2234">
        <v>30</v>
      </c>
      <c r="L2234">
        <v>180</v>
      </c>
      <c r="M2234">
        <v>79</v>
      </c>
      <c r="N2234">
        <v>551</v>
      </c>
      <c r="O2234">
        <v>111</v>
      </c>
      <c r="P2234">
        <v>72</v>
      </c>
      <c r="Q2234">
        <v>16</v>
      </c>
      <c r="R2234">
        <v>213</v>
      </c>
      <c r="S2234">
        <v>1.1833333333333333</v>
      </c>
      <c r="T2234">
        <v>0.53333333333333333</v>
      </c>
      <c r="U2234">
        <v>1.1285714285714286</v>
      </c>
    </row>
    <row r="2235" spans="1:21" x14ac:dyDescent="0.35">
      <c r="A2235">
        <v>580</v>
      </c>
      <c r="B2235" s="16">
        <v>40544</v>
      </c>
      <c r="C2235" s="15" t="s">
        <v>70</v>
      </c>
      <c r="D2235" s="15" t="s">
        <v>58</v>
      </c>
      <c r="E2235" s="15" t="s">
        <v>43</v>
      </c>
      <c r="F2235" s="15" t="s">
        <v>40</v>
      </c>
      <c r="G2235" s="15" t="s">
        <v>74</v>
      </c>
      <c r="H2235" s="15" t="s">
        <v>42</v>
      </c>
      <c r="I2235">
        <v>50</v>
      </c>
      <c r="J2235">
        <v>70</v>
      </c>
      <c r="K2235">
        <v>50</v>
      </c>
      <c r="L2235">
        <v>120</v>
      </c>
      <c r="M2235">
        <v>44</v>
      </c>
      <c r="N2235">
        <v>623</v>
      </c>
      <c r="O2235">
        <v>56</v>
      </c>
      <c r="P2235">
        <v>14</v>
      </c>
      <c r="Q2235">
        <v>45</v>
      </c>
      <c r="R2235">
        <v>112</v>
      </c>
      <c r="S2235">
        <v>0.93333333333333335</v>
      </c>
      <c r="T2235">
        <v>0.9</v>
      </c>
      <c r="U2235">
        <v>0.88</v>
      </c>
    </row>
    <row r="2236" spans="1:21" x14ac:dyDescent="0.35">
      <c r="A2236">
        <v>918</v>
      </c>
      <c r="B2236" s="16">
        <v>40544</v>
      </c>
      <c r="C2236" s="15" t="s">
        <v>70</v>
      </c>
      <c r="D2236" s="15" t="s">
        <v>58</v>
      </c>
      <c r="E2236" s="15" t="s">
        <v>44</v>
      </c>
      <c r="F2236" s="15" t="s">
        <v>40</v>
      </c>
      <c r="G2236" s="15" t="s">
        <v>74</v>
      </c>
      <c r="H2236" s="15" t="s">
        <v>45</v>
      </c>
      <c r="I2236">
        <v>40</v>
      </c>
      <c r="J2236">
        <v>60</v>
      </c>
      <c r="K2236">
        <v>50</v>
      </c>
      <c r="L2236">
        <v>100</v>
      </c>
      <c r="M2236">
        <v>32</v>
      </c>
      <c r="N2236">
        <v>821</v>
      </c>
      <c r="O2236">
        <v>48</v>
      </c>
      <c r="P2236">
        <v>8</v>
      </c>
      <c r="Q2236">
        <v>44</v>
      </c>
      <c r="R2236">
        <v>90</v>
      </c>
      <c r="S2236">
        <v>0.9</v>
      </c>
      <c r="T2236">
        <v>0.88</v>
      </c>
      <c r="U2236">
        <v>0.8</v>
      </c>
    </row>
    <row r="2237" spans="1:21" x14ac:dyDescent="0.35">
      <c r="A2237">
        <v>405</v>
      </c>
      <c r="B2237" s="16">
        <v>40544</v>
      </c>
      <c r="C2237" s="15" t="s">
        <v>70</v>
      </c>
      <c r="D2237" s="15" t="s">
        <v>58</v>
      </c>
      <c r="E2237" s="15" t="s">
        <v>72</v>
      </c>
      <c r="F2237" s="15" t="s">
        <v>49</v>
      </c>
      <c r="G2237" s="15" t="s">
        <v>74</v>
      </c>
      <c r="H2237" s="15" t="s">
        <v>42</v>
      </c>
      <c r="I2237">
        <v>70</v>
      </c>
      <c r="J2237">
        <v>100</v>
      </c>
      <c r="K2237">
        <v>70</v>
      </c>
      <c r="L2237">
        <v>170</v>
      </c>
      <c r="M2237">
        <v>84</v>
      </c>
      <c r="N2237">
        <v>500</v>
      </c>
      <c r="O2237">
        <v>116</v>
      </c>
      <c r="P2237">
        <v>26</v>
      </c>
      <c r="Q2237">
        <v>103</v>
      </c>
      <c r="R2237">
        <v>224</v>
      </c>
      <c r="S2237">
        <v>1.3176470588235294</v>
      </c>
      <c r="T2237">
        <v>1.4714285714285715</v>
      </c>
      <c r="U2237">
        <v>1.2</v>
      </c>
    </row>
    <row r="2238" spans="1:21" x14ac:dyDescent="0.35">
      <c r="A2238">
        <v>580</v>
      </c>
      <c r="B2238" s="16">
        <v>40544</v>
      </c>
      <c r="C2238" s="15" t="s">
        <v>70</v>
      </c>
      <c r="D2238" s="15" t="s">
        <v>58</v>
      </c>
      <c r="E2238" s="15" t="s">
        <v>48</v>
      </c>
      <c r="F2238" s="15" t="s">
        <v>49</v>
      </c>
      <c r="G2238" s="15" t="s">
        <v>74</v>
      </c>
      <c r="H2238" s="15" t="s">
        <v>42</v>
      </c>
      <c r="I2238">
        <v>20</v>
      </c>
      <c r="J2238">
        <v>40</v>
      </c>
      <c r="K2238">
        <v>40</v>
      </c>
      <c r="L2238">
        <v>60</v>
      </c>
      <c r="M2238">
        <v>32</v>
      </c>
      <c r="N2238">
        <v>456</v>
      </c>
      <c r="O2238">
        <v>48</v>
      </c>
      <c r="P2238">
        <v>8</v>
      </c>
      <c r="Q2238">
        <v>44</v>
      </c>
      <c r="R2238">
        <v>90</v>
      </c>
      <c r="S2238">
        <v>1.5</v>
      </c>
      <c r="T2238">
        <v>1.1000000000000001</v>
      </c>
      <c r="U2238">
        <v>1.6</v>
      </c>
    </row>
    <row r="2239" spans="1:21" x14ac:dyDescent="0.35">
      <c r="A2239">
        <v>405</v>
      </c>
      <c r="B2239" s="16">
        <v>40544</v>
      </c>
      <c r="C2239" s="15" t="s">
        <v>70</v>
      </c>
      <c r="D2239" s="15" t="s">
        <v>58</v>
      </c>
      <c r="E2239" s="15" t="s">
        <v>50</v>
      </c>
      <c r="F2239" s="15" t="s">
        <v>49</v>
      </c>
      <c r="G2239" s="15" t="s">
        <v>74</v>
      </c>
      <c r="H2239" s="15" t="s">
        <v>45</v>
      </c>
      <c r="I2239">
        <v>70</v>
      </c>
      <c r="J2239">
        <v>110</v>
      </c>
      <c r="K2239">
        <v>70</v>
      </c>
      <c r="L2239">
        <v>180</v>
      </c>
      <c r="M2239">
        <v>84</v>
      </c>
      <c r="N2239">
        <v>651</v>
      </c>
      <c r="O2239">
        <v>126</v>
      </c>
      <c r="P2239">
        <v>27</v>
      </c>
      <c r="Q2239">
        <v>104</v>
      </c>
      <c r="R2239">
        <v>235</v>
      </c>
      <c r="S2239">
        <v>1.3055555555555556</v>
      </c>
      <c r="T2239">
        <v>1.4857142857142858</v>
      </c>
      <c r="U2239">
        <v>1.2</v>
      </c>
    </row>
    <row r="2240" spans="1:21" x14ac:dyDescent="0.35">
      <c r="A2240">
        <v>281</v>
      </c>
      <c r="B2240" s="16">
        <v>40544</v>
      </c>
      <c r="C2240" s="15" t="s">
        <v>70</v>
      </c>
      <c r="D2240" s="15" t="s">
        <v>38</v>
      </c>
      <c r="E2240" s="15" t="s">
        <v>51</v>
      </c>
      <c r="F2240" s="15" t="s">
        <v>52</v>
      </c>
      <c r="G2240" s="15" t="s">
        <v>75</v>
      </c>
      <c r="H2240" s="15" t="s">
        <v>45</v>
      </c>
      <c r="I2240">
        <v>50</v>
      </c>
      <c r="J2240">
        <v>80</v>
      </c>
      <c r="K2240">
        <v>50</v>
      </c>
      <c r="L2240">
        <v>130</v>
      </c>
      <c r="M2240">
        <v>60</v>
      </c>
      <c r="N2240">
        <v>336</v>
      </c>
      <c r="O2240">
        <v>80</v>
      </c>
      <c r="P2240">
        <v>19</v>
      </c>
      <c r="Q2240">
        <v>51</v>
      </c>
      <c r="R2240">
        <v>157</v>
      </c>
      <c r="S2240">
        <v>1.2076923076923076</v>
      </c>
      <c r="T2240">
        <v>1.02</v>
      </c>
      <c r="U2240">
        <v>1.2</v>
      </c>
    </row>
    <row r="2241" spans="1:21" x14ac:dyDescent="0.35">
      <c r="A2241">
        <v>254</v>
      </c>
      <c r="B2241" s="16">
        <v>40544</v>
      </c>
      <c r="C2241" s="15" t="s">
        <v>70</v>
      </c>
      <c r="D2241" s="15" t="s">
        <v>38</v>
      </c>
      <c r="E2241" s="15" t="s">
        <v>53</v>
      </c>
      <c r="F2241" s="15" t="s">
        <v>52</v>
      </c>
      <c r="G2241" s="15" t="s">
        <v>75</v>
      </c>
      <c r="H2241" s="15" t="s">
        <v>45</v>
      </c>
      <c r="I2241">
        <v>50</v>
      </c>
      <c r="J2241">
        <v>80</v>
      </c>
      <c r="K2241">
        <v>50</v>
      </c>
      <c r="L2241">
        <v>130</v>
      </c>
      <c r="M2241">
        <v>57</v>
      </c>
      <c r="N2241">
        <v>364</v>
      </c>
      <c r="O2241">
        <v>83</v>
      </c>
      <c r="P2241">
        <v>18</v>
      </c>
      <c r="Q2241">
        <v>65</v>
      </c>
      <c r="R2241">
        <v>157</v>
      </c>
      <c r="S2241">
        <v>1.2076923076923076</v>
      </c>
      <c r="T2241">
        <v>1.3</v>
      </c>
      <c r="U2241">
        <v>1.1399999999999999</v>
      </c>
    </row>
    <row r="2242" spans="1:21" x14ac:dyDescent="0.35">
      <c r="A2242">
        <v>682</v>
      </c>
      <c r="B2242" s="16">
        <v>40544</v>
      </c>
      <c r="C2242" s="15" t="s">
        <v>70</v>
      </c>
      <c r="D2242" s="15" t="s">
        <v>38</v>
      </c>
      <c r="E2242" s="15" t="s">
        <v>43</v>
      </c>
      <c r="F2242" s="15" t="s">
        <v>40</v>
      </c>
      <c r="G2242" s="15" t="s">
        <v>75</v>
      </c>
      <c r="H2242" s="15" t="s">
        <v>42</v>
      </c>
      <c r="I2242">
        <v>260</v>
      </c>
      <c r="J2242">
        <v>300</v>
      </c>
      <c r="K2242">
        <v>220</v>
      </c>
      <c r="L2242">
        <v>560</v>
      </c>
      <c r="M2242">
        <v>207</v>
      </c>
      <c r="N2242">
        <v>965</v>
      </c>
      <c r="O2242">
        <v>245</v>
      </c>
      <c r="P2242">
        <v>64</v>
      </c>
      <c r="Q2242">
        <v>248</v>
      </c>
      <c r="R2242">
        <v>506</v>
      </c>
      <c r="S2242">
        <v>0.90357142857142858</v>
      </c>
      <c r="T2242">
        <v>1.1272727272727272</v>
      </c>
      <c r="U2242">
        <v>0.7961538461538461</v>
      </c>
    </row>
    <row r="2243" spans="1:21" x14ac:dyDescent="0.35">
      <c r="A2243">
        <v>361</v>
      </c>
      <c r="B2243" s="16">
        <v>40544</v>
      </c>
      <c r="C2243" s="15" t="s">
        <v>70</v>
      </c>
      <c r="D2243" s="15" t="s">
        <v>38</v>
      </c>
      <c r="E2243" s="15" t="s">
        <v>44</v>
      </c>
      <c r="F2243" s="15" t="s">
        <v>40</v>
      </c>
      <c r="G2243" s="15" t="s">
        <v>75</v>
      </c>
      <c r="H2243" s="15" t="s">
        <v>45</v>
      </c>
      <c r="I2243">
        <v>100</v>
      </c>
      <c r="J2243">
        <v>130</v>
      </c>
      <c r="K2243">
        <v>100</v>
      </c>
      <c r="L2243">
        <v>230</v>
      </c>
      <c r="M2243">
        <v>83</v>
      </c>
      <c r="N2243">
        <v>623</v>
      </c>
      <c r="O2243">
        <v>107</v>
      </c>
      <c r="P2243">
        <v>27</v>
      </c>
      <c r="Q2243">
        <v>106</v>
      </c>
      <c r="R2243">
        <v>213</v>
      </c>
      <c r="S2243">
        <v>0.92608695652173911</v>
      </c>
      <c r="T2243">
        <v>1.06</v>
      </c>
      <c r="U2243">
        <v>0.83</v>
      </c>
    </row>
    <row r="2244" spans="1:21" x14ac:dyDescent="0.35">
      <c r="A2244">
        <v>806</v>
      </c>
      <c r="B2244" s="16">
        <v>40544</v>
      </c>
      <c r="C2244" s="15" t="s">
        <v>70</v>
      </c>
      <c r="D2244" s="15" t="s">
        <v>38</v>
      </c>
      <c r="E2244" s="15" t="s">
        <v>72</v>
      </c>
      <c r="F2244" s="15" t="s">
        <v>49</v>
      </c>
      <c r="G2244" s="15" t="s">
        <v>75</v>
      </c>
      <c r="H2244" s="15" t="s">
        <v>42</v>
      </c>
      <c r="I2244">
        <v>60</v>
      </c>
      <c r="J2244">
        <v>90</v>
      </c>
      <c r="K2244">
        <v>50</v>
      </c>
      <c r="L2244">
        <v>150</v>
      </c>
      <c r="M2244">
        <v>72</v>
      </c>
      <c r="N2244">
        <v>558</v>
      </c>
      <c r="O2244">
        <v>108</v>
      </c>
      <c r="P2244">
        <v>23</v>
      </c>
      <c r="Q2244">
        <v>83</v>
      </c>
      <c r="R2244">
        <v>201</v>
      </c>
      <c r="S2244">
        <v>1.34</v>
      </c>
      <c r="T2244">
        <v>1.66</v>
      </c>
      <c r="U2244">
        <v>1.2</v>
      </c>
    </row>
    <row r="2245" spans="1:21" x14ac:dyDescent="0.35">
      <c r="A2245">
        <v>512</v>
      </c>
      <c r="B2245" s="16">
        <v>40544</v>
      </c>
      <c r="C2245" s="15" t="s">
        <v>70</v>
      </c>
      <c r="D2245" s="15" t="s">
        <v>38</v>
      </c>
      <c r="E2245" s="15" t="s">
        <v>48</v>
      </c>
      <c r="F2245" s="15" t="s">
        <v>49</v>
      </c>
      <c r="G2245" s="15" t="s">
        <v>75</v>
      </c>
      <c r="H2245" s="15" t="s">
        <v>42</v>
      </c>
      <c r="I2245">
        <v>70</v>
      </c>
      <c r="J2245">
        <v>110</v>
      </c>
      <c r="K2245">
        <v>90</v>
      </c>
      <c r="L2245">
        <v>180</v>
      </c>
      <c r="M2245">
        <v>89</v>
      </c>
      <c r="N2245">
        <v>777</v>
      </c>
      <c r="O2245">
        <v>130</v>
      </c>
      <c r="P2245">
        <v>24</v>
      </c>
      <c r="Q2245">
        <v>148</v>
      </c>
      <c r="R2245">
        <v>245</v>
      </c>
      <c r="S2245">
        <v>1.3611111111111112</v>
      </c>
      <c r="T2245">
        <v>1.6444444444444444</v>
      </c>
      <c r="U2245">
        <v>1.2714285714285714</v>
      </c>
    </row>
    <row r="2246" spans="1:21" x14ac:dyDescent="0.35">
      <c r="A2246">
        <v>409</v>
      </c>
      <c r="B2246" s="16">
        <v>40544</v>
      </c>
      <c r="C2246" s="15" t="s">
        <v>70</v>
      </c>
      <c r="D2246" s="15" t="s">
        <v>38</v>
      </c>
      <c r="E2246" s="15" t="s">
        <v>50</v>
      </c>
      <c r="F2246" s="15" t="s">
        <v>49</v>
      </c>
      <c r="G2246" s="15" t="s">
        <v>75</v>
      </c>
      <c r="H2246" s="15" t="s">
        <v>45</v>
      </c>
      <c r="I2246">
        <v>40</v>
      </c>
      <c r="J2246">
        <v>70</v>
      </c>
      <c r="K2246">
        <v>60</v>
      </c>
      <c r="L2246">
        <v>110</v>
      </c>
      <c r="M2246">
        <v>54</v>
      </c>
      <c r="N2246">
        <v>456</v>
      </c>
      <c r="O2246">
        <v>80</v>
      </c>
      <c r="P2246">
        <v>15</v>
      </c>
      <c r="Q2246">
        <v>84</v>
      </c>
      <c r="R2246">
        <v>150</v>
      </c>
      <c r="S2246">
        <v>1.3636363636363635</v>
      </c>
      <c r="T2246">
        <v>1.4</v>
      </c>
      <c r="U2246">
        <v>1.35</v>
      </c>
    </row>
    <row r="2247" spans="1:21" x14ac:dyDescent="0.35">
      <c r="A2247">
        <v>435</v>
      </c>
      <c r="B2247" s="16">
        <v>40544</v>
      </c>
      <c r="C2247" s="15" t="s">
        <v>76</v>
      </c>
      <c r="D2247" s="15" t="s">
        <v>58</v>
      </c>
      <c r="E2247" s="15" t="s">
        <v>51</v>
      </c>
      <c r="F2247" s="15" t="s">
        <v>52</v>
      </c>
      <c r="G2247" s="15" t="s">
        <v>77</v>
      </c>
      <c r="H2247" s="15" t="s">
        <v>45</v>
      </c>
      <c r="I2247">
        <v>30</v>
      </c>
      <c r="J2247">
        <v>50</v>
      </c>
      <c r="K2247">
        <v>30</v>
      </c>
      <c r="L2247">
        <v>80</v>
      </c>
      <c r="M2247">
        <v>38</v>
      </c>
      <c r="N2247">
        <v>241</v>
      </c>
      <c r="O2247">
        <v>55</v>
      </c>
      <c r="P2247">
        <v>12</v>
      </c>
      <c r="Q2247">
        <v>33</v>
      </c>
      <c r="R2247">
        <v>104</v>
      </c>
      <c r="S2247">
        <v>1.3</v>
      </c>
      <c r="T2247">
        <v>1.1000000000000001</v>
      </c>
      <c r="U2247">
        <v>1.2666666666666666</v>
      </c>
    </row>
    <row r="2248" spans="1:21" x14ac:dyDescent="0.35">
      <c r="A2248">
        <v>435</v>
      </c>
      <c r="B2248" s="16">
        <v>40544</v>
      </c>
      <c r="C2248" s="15" t="s">
        <v>76</v>
      </c>
      <c r="D2248" s="15" t="s">
        <v>58</v>
      </c>
      <c r="E2248" s="15" t="s">
        <v>53</v>
      </c>
      <c r="F2248" s="15" t="s">
        <v>52</v>
      </c>
      <c r="G2248" s="15" t="s">
        <v>77</v>
      </c>
      <c r="H2248" s="15" t="s">
        <v>45</v>
      </c>
      <c r="I2248">
        <v>40</v>
      </c>
      <c r="J2248">
        <v>60</v>
      </c>
      <c r="K2248">
        <v>30</v>
      </c>
      <c r="L2248">
        <v>100</v>
      </c>
      <c r="M2248">
        <v>48</v>
      </c>
      <c r="N2248">
        <v>372</v>
      </c>
      <c r="O2248">
        <v>72</v>
      </c>
      <c r="P2248">
        <v>15</v>
      </c>
      <c r="Q2248">
        <v>39</v>
      </c>
      <c r="R2248">
        <v>134</v>
      </c>
      <c r="S2248">
        <v>1.34</v>
      </c>
      <c r="T2248">
        <v>1.3</v>
      </c>
      <c r="U2248">
        <v>1.2</v>
      </c>
    </row>
    <row r="2249" spans="1:21" x14ac:dyDescent="0.35">
      <c r="A2249">
        <v>435</v>
      </c>
      <c r="B2249" s="16">
        <v>40544</v>
      </c>
      <c r="C2249" s="15" t="s">
        <v>76</v>
      </c>
      <c r="D2249" s="15" t="s">
        <v>58</v>
      </c>
      <c r="E2249" s="15" t="s">
        <v>54</v>
      </c>
      <c r="F2249" s="15" t="s">
        <v>52</v>
      </c>
      <c r="G2249" s="15" t="s">
        <v>77</v>
      </c>
      <c r="H2249" s="15" t="s">
        <v>45</v>
      </c>
      <c r="I2249">
        <v>70</v>
      </c>
      <c r="J2249">
        <v>10</v>
      </c>
      <c r="K2249">
        <v>-30</v>
      </c>
      <c r="L2249">
        <v>80</v>
      </c>
      <c r="M2249">
        <v>88</v>
      </c>
      <c r="N2249">
        <v>525</v>
      </c>
      <c r="O2249">
        <v>11</v>
      </c>
      <c r="P2249">
        <v>27</v>
      </c>
      <c r="Q2249">
        <v>-62</v>
      </c>
      <c r="R2249">
        <v>111</v>
      </c>
      <c r="S2249">
        <v>1.3875</v>
      </c>
      <c r="T2249">
        <v>2.0666666666666669</v>
      </c>
      <c r="U2249">
        <v>1.2571428571428571</v>
      </c>
    </row>
    <row r="2250" spans="1:21" x14ac:dyDescent="0.35">
      <c r="A2250">
        <v>435</v>
      </c>
      <c r="B2250" s="16">
        <v>40544</v>
      </c>
      <c r="C2250" s="15" t="s">
        <v>76</v>
      </c>
      <c r="D2250" s="15" t="s">
        <v>58</v>
      </c>
      <c r="E2250" s="15" t="s">
        <v>55</v>
      </c>
      <c r="F2250" s="15" t="s">
        <v>47</v>
      </c>
      <c r="G2250" s="15" t="s">
        <v>77</v>
      </c>
      <c r="H2250" s="15" t="s">
        <v>42</v>
      </c>
      <c r="I2250">
        <v>20</v>
      </c>
      <c r="J2250">
        <v>40</v>
      </c>
      <c r="K2250">
        <v>0</v>
      </c>
      <c r="L2250">
        <v>60</v>
      </c>
      <c r="M2250">
        <v>37</v>
      </c>
      <c r="N2250">
        <v>261</v>
      </c>
      <c r="O2250">
        <v>53</v>
      </c>
      <c r="P2250">
        <v>34</v>
      </c>
      <c r="Q2250">
        <v>-16</v>
      </c>
      <c r="R2250">
        <v>101</v>
      </c>
      <c r="S2250">
        <v>1.6833333333333333</v>
      </c>
      <c r="U2250">
        <v>1.85</v>
      </c>
    </row>
    <row r="2251" spans="1:21" x14ac:dyDescent="0.35">
      <c r="A2251">
        <v>801</v>
      </c>
      <c r="B2251" s="16">
        <v>40544</v>
      </c>
      <c r="C2251" s="15" t="s">
        <v>76</v>
      </c>
      <c r="D2251" s="15" t="s">
        <v>58</v>
      </c>
      <c r="E2251" s="15" t="s">
        <v>56</v>
      </c>
      <c r="F2251" s="15" t="s">
        <v>47</v>
      </c>
      <c r="G2251" s="15" t="s">
        <v>77</v>
      </c>
      <c r="H2251" s="15" t="s">
        <v>42</v>
      </c>
      <c r="I2251">
        <v>20</v>
      </c>
      <c r="J2251">
        <v>30</v>
      </c>
      <c r="K2251">
        <v>10</v>
      </c>
      <c r="L2251">
        <v>50</v>
      </c>
      <c r="M2251">
        <v>35</v>
      </c>
      <c r="N2251">
        <v>196</v>
      </c>
      <c r="O2251">
        <v>47</v>
      </c>
      <c r="P2251">
        <v>11</v>
      </c>
      <c r="Q2251">
        <v>14</v>
      </c>
      <c r="R2251">
        <v>92</v>
      </c>
      <c r="S2251">
        <v>1.84</v>
      </c>
      <c r="T2251">
        <v>1.4</v>
      </c>
      <c r="U2251">
        <v>1.75</v>
      </c>
    </row>
    <row r="2252" spans="1:21" x14ac:dyDescent="0.35">
      <c r="A2252">
        <v>435</v>
      </c>
      <c r="B2252" s="16">
        <v>40544</v>
      </c>
      <c r="C2252" s="15" t="s">
        <v>76</v>
      </c>
      <c r="D2252" s="15" t="s">
        <v>58</v>
      </c>
      <c r="E2252" s="15" t="s">
        <v>46</v>
      </c>
      <c r="F2252" s="15" t="s">
        <v>47</v>
      </c>
      <c r="G2252" s="15" t="s">
        <v>77</v>
      </c>
      <c r="H2252" s="15" t="s">
        <v>42</v>
      </c>
      <c r="I2252">
        <v>10</v>
      </c>
      <c r="J2252">
        <v>30</v>
      </c>
      <c r="K2252">
        <v>10</v>
      </c>
      <c r="L2252">
        <v>40</v>
      </c>
      <c r="M2252">
        <v>29</v>
      </c>
      <c r="N2252">
        <v>169</v>
      </c>
      <c r="O2252">
        <v>36</v>
      </c>
      <c r="P2252">
        <v>11</v>
      </c>
      <c r="Q2252">
        <v>-14</v>
      </c>
      <c r="R2252">
        <v>73</v>
      </c>
      <c r="S2252">
        <v>1.825</v>
      </c>
      <c r="T2252">
        <v>-1.4</v>
      </c>
      <c r="U2252">
        <v>2.9</v>
      </c>
    </row>
    <row r="2253" spans="1:21" x14ac:dyDescent="0.35">
      <c r="A2253">
        <v>435</v>
      </c>
      <c r="B2253" s="16">
        <v>40544</v>
      </c>
      <c r="C2253" s="15" t="s">
        <v>76</v>
      </c>
      <c r="D2253" s="15" t="s">
        <v>58</v>
      </c>
      <c r="E2253" s="15" t="s">
        <v>50</v>
      </c>
      <c r="F2253" s="15" t="s">
        <v>49</v>
      </c>
      <c r="G2253" s="15" t="s">
        <v>77</v>
      </c>
      <c r="H2253" s="15" t="s">
        <v>45</v>
      </c>
      <c r="I2253">
        <v>40</v>
      </c>
      <c r="J2253">
        <v>70</v>
      </c>
      <c r="K2253">
        <v>50</v>
      </c>
      <c r="L2253">
        <v>110</v>
      </c>
      <c r="M2253">
        <v>50</v>
      </c>
      <c r="N2253">
        <v>821</v>
      </c>
      <c r="O2253">
        <v>73</v>
      </c>
      <c r="P2253">
        <v>14</v>
      </c>
      <c r="Q2253">
        <v>73</v>
      </c>
      <c r="R2253">
        <v>138</v>
      </c>
      <c r="S2253">
        <v>1.2545454545454546</v>
      </c>
      <c r="T2253">
        <v>1.46</v>
      </c>
      <c r="U2253">
        <v>1.25</v>
      </c>
    </row>
    <row r="2254" spans="1:21" x14ac:dyDescent="0.35">
      <c r="A2254">
        <v>801</v>
      </c>
      <c r="B2254" s="16">
        <v>40544</v>
      </c>
      <c r="C2254" s="15" t="s">
        <v>76</v>
      </c>
      <c r="D2254" s="15" t="s">
        <v>58</v>
      </c>
      <c r="E2254" s="15" t="s">
        <v>39</v>
      </c>
      <c r="F2254" s="15" t="s">
        <v>40</v>
      </c>
      <c r="G2254" s="15" t="s">
        <v>77</v>
      </c>
      <c r="H2254" s="15" t="s">
        <v>42</v>
      </c>
      <c r="I2254">
        <v>90</v>
      </c>
      <c r="J2254">
        <v>120</v>
      </c>
      <c r="K2254">
        <v>80</v>
      </c>
      <c r="L2254">
        <v>210</v>
      </c>
      <c r="M2254">
        <v>78</v>
      </c>
      <c r="N2254">
        <v>965</v>
      </c>
      <c r="O2254">
        <v>92</v>
      </c>
      <c r="P2254">
        <v>24</v>
      </c>
      <c r="Q2254">
        <v>73</v>
      </c>
      <c r="R2254">
        <v>190</v>
      </c>
      <c r="S2254">
        <v>0.90476190476190477</v>
      </c>
      <c r="T2254">
        <v>0.91249999999999998</v>
      </c>
      <c r="U2254">
        <v>0.8666666666666667</v>
      </c>
    </row>
    <row r="2255" spans="1:21" x14ac:dyDescent="0.35">
      <c r="A2255">
        <v>435</v>
      </c>
      <c r="B2255" s="16">
        <v>40544</v>
      </c>
      <c r="C2255" s="15" t="s">
        <v>76</v>
      </c>
      <c r="D2255" s="15" t="s">
        <v>58</v>
      </c>
      <c r="E2255" s="15" t="s">
        <v>43</v>
      </c>
      <c r="F2255" s="15" t="s">
        <v>40</v>
      </c>
      <c r="G2255" s="15" t="s">
        <v>77</v>
      </c>
      <c r="H2255" s="15" t="s">
        <v>42</v>
      </c>
      <c r="I2255">
        <v>60</v>
      </c>
      <c r="J2255">
        <v>100</v>
      </c>
      <c r="K2255">
        <v>70</v>
      </c>
      <c r="L2255">
        <v>160</v>
      </c>
      <c r="M2255">
        <v>55</v>
      </c>
      <c r="N2255">
        <v>312</v>
      </c>
      <c r="O2255">
        <v>75</v>
      </c>
      <c r="P2255">
        <v>18</v>
      </c>
      <c r="Q2255">
        <v>47</v>
      </c>
      <c r="R2255">
        <v>145</v>
      </c>
      <c r="S2255">
        <v>0.90625</v>
      </c>
      <c r="T2255">
        <v>0.67142857142857137</v>
      </c>
      <c r="U2255">
        <v>0.91666666666666663</v>
      </c>
    </row>
    <row r="2256" spans="1:21" x14ac:dyDescent="0.35">
      <c r="A2256">
        <v>801</v>
      </c>
      <c r="B2256" s="16">
        <v>40544</v>
      </c>
      <c r="C2256" s="15" t="s">
        <v>76</v>
      </c>
      <c r="D2256" s="15" t="s">
        <v>58</v>
      </c>
      <c r="E2256" s="15" t="s">
        <v>44</v>
      </c>
      <c r="F2256" s="15" t="s">
        <v>40</v>
      </c>
      <c r="G2256" s="15" t="s">
        <v>77</v>
      </c>
      <c r="H2256" s="15" t="s">
        <v>45</v>
      </c>
      <c r="I2256">
        <v>100</v>
      </c>
      <c r="J2256">
        <v>130</v>
      </c>
      <c r="K2256">
        <v>70</v>
      </c>
      <c r="L2256">
        <v>230</v>
      </c>
      <c r="M2256">
        <v>85</v>
      </c>
      <c r="N2256">
        <v>494</v>
      </c>
      <c r="O2256">
        <v>105</v>
      </c>
      <c r="P2256">
        <v>32</v>
      </c>
      <c r="Q2256">
        <v>61</v>
      </c>
      <c r="R2256">
        <v>213</v>
      </c>
      <c r="S2256">
        <v>0.92608695652173911</v>
      </c>
      <c r="T2256">
        <v>0.87142857142857144</v>
      </c>
      <c r="U2256">
        <v>0.85</v>
      </c>
    </row>
    <row r="2257" spans="1:21" x14ac:dyDescent="0.35">
      <c r="A2257">
        <v>435</v>
      </c>
      <c r="B2257" s="16">
        <v>40544</v>
      </c>
      <c r="C2257" s="15" t="s">
        <v>76</v>
      </c>
      <c r="D2257" s="15" t="s">
        <v>58</v>
      </c>
      <c r="E2257" s="15" t="s">
        <v>72</v>
      </c>
      <c r="F2257" s="15" t="s">
        <v>49</v>
      </c>
      <c r="G2257" s="15" t="s">
        <v>77</v>
      </c>
      <c r="H2257" s="15" t="s">
        <v>42</v>
      </c>
      <c r="I2257">
        <v>40</v>
      </c>
      <c r="J2257">
        <v>60</v>
      </c>
      <c r="K2257">
        <v>40</v>
      </c>
      <c r="L2257">
        <v>100</v>
      </c>
      <c r="M2257">
        <v>46</v>
      </c>
      <c r="N2257">
        <v>777</v>
      </c>
      <c r="O2257">
        <v>68</v>
      </c>
      <c r="P2257">
        <v>12</v>
      </c>
      <c r="Q2257">
        <v>69</v>
      </c>
      <c r="R2257">
        <v>128</v>
      </c>
      <c r="S2257">
        <v>1.28</v>
      </c>
      <c r="T2257">
        <v>1.7250000000000001</v>
      </c>
      <c r="U2257">
        <v>1.1499999999999999</v>
      </c>
    </row>
    <row r="2258" spans="1:21" x14ac:dyDescent="0.35">
      <c r="A2258">
        <v>435</v>
      </c>
      <c r="B2258" s="16">
        <v>40544</v>
      </c>
      <c r="C2258" s="15" t="s">
        <v>76</v>
      </c>
      <c r="D2258" s="15" t="s">
        <v>58</v>
      </c>
      <c r="E2258" s="15" t="s">
        <v>48</v>
      </c>
      <c r="F2258" s="15" t="s">
        <v>49</v>
      </c>
      <c r="G2258" s="15" t="s">
        <v>77</v>
      </c>
      <c r="H2258" s="15" t="s">
        <v>42</v>
      </c>
      <c r="I2258">
        <v>40</v>
      </c>
      <c r="J2258">
        <v>60</v>
      </c>
      <c r="K2258">
        <v>40</v>
      </c>
      <c r="L2258">
        <v>100</v>
      </c>
      <c r="M2258">
        <v>49</v>
      </c>
      <c r="N2258">
        <v>623</v>
      </c>
      <c r="O2258">
        <v>63</v>
      </c>
      <c r="P2258">
        <v>16</v>
      </c>
      <c r="Q2258">
        <v>53</v>
      </c>
      <c r="R2258">
        <v>125</v>
      </c>
      <c r="S2258">
        <v>1.25</v>
      </c>
      <c r="T2258">
        <v>1.325</v>
      </c>
      <c r="U2258">
        <v>1.2250000000000001</v>
      </c>
    </row>
    <row r="2259" spans="1:21" x14ac:dyDescent="0.35">
      <c r="A2259">
        <v>650</v>
      </c>
      <c r="B2259" s="16">
        <v>40544</v>
      </c>
      <c r="C2259" s="15" t="s">
        <v>76</v>
      </c>
      <c r="D2259" s="15" t="s">
        <v>38</v>
      </c>
      <c r="E2259" s="15" t="s">
        <v>51</v>
      </c>
      <c r="F2259" s="15" t="s">
        <v>52</v>
      </c>
      <c r="G2259" s="15" t="s">
        <v>78</v>
      </c>
      <c r="H2259" s="15" t="s">
        <v>45</v>
      </c>
      <c r="I2259">
        <v>80</v>
      </c>
      <c r="J2259">
        <v>120</v>
      </c>
      <c r="K2259">
        <v>100</v>
      </c>
      <c r="L2259">
        <v>200</v>
      </c>
      <c r="M2259">
        <v>95</v>
      </c>
      <c r="N2259">
        <v>821</v>
      </c>
      <c r="O2259">
        <v>139</v>
      </c>
      <c r="P2259">
        <v>26</v>
      </c>
      <c r="Q2259">
        <v>159</v>
      </c>
      <c r="R2259">
        <v>262</v>
      </c>
      <c r="S2259">
        <v>1.31</v>
      </c>
      <c r="T2259">
        <v>1.59</v>
      </c>
      <c r="U2259">
        <v>1.1875</v>
      </c>
    </row>
    <row r="2260" spans="1:21" x14ac:dyDescent="0.35">
      <c r="A2260">
        <v>530</v>
      </c>
      <c r="B2260" s="16">
        <v>40544</v>
      </c>
      <c r="C2260" s="15" t="s">
        <v>76</v>
      </c>
      <c r="D2260" s="15" t="s">
        <v>38</v>
      </c>
      <c r="E2260" s="15" t="s">
        <v>53</v>
      </c>
      <c r="F2260" s="15" t="s">
        <v>52</v>
      </c>
      <c r="G2260" s="15" t="s">
        <v>78</v>
      </c>
      <c r="H2260" s="15" t="s">
        <v>45</v>
      </c>
      <c r="I2260">
        <v>170</v>
      </c>
      <c r="J2260">
        <v>220</v>
      </c>
      <c r="K2260">
        <v>160</v>
      </c>
      <c r="L2260">
        <v>390</v>
      </c>
      <c r="M2260">
        <v>207</v>
      </c>
      <c r="N2260">
        <v>965</v>
      </c>
      <c r="O2260">
        <v>245</v>
      </c>
      <c r="P2260">
        <v>64</v>
      </c>
      <c r="Q2260">
        <v>249</v>
      </c>
      <c r="R2260">
        <v>506</v>
      </c>
      <c r="S2260">
        <v>1.2974358974358975</v>
      </c>
      <c r="T2260">
        <v>1.5562499999999999</v>
      </c>
      <c r="U2260">
        <v>1.2176470588235293</v>
      </c>
    </row>
    <row r="2261" spans="1:21" x14ac:dyDescent="0.35">
      <c r="A2261">
        <v>650</v>
      </c>
      <c r="B2261" s="16">
        <v>40544</v>
      </c>
      <c r="C2261" s="15" t="s">
        <v>76</v>
      </c>
      <c r="D2261" s="15" t="s">
        <v>38</v>
      </c>
      <c r="E2261" s="15" t="s">
        <v>54</v>
      </c>
      <c r="F2261" s="15" t="s">
        <v>52</v>
      </c>
      <c r="G2261" s="15" t="s">
        <v>78</v>
      </c>
      <c r="H2261" s="15" t="s">
        <v>45</v>
      </c>
      <c r="I2261">
        <v>70</v>
      </c>
      <c r="J2261">
        <v>90</v>
      </c>
      <c r="K2261">
        <v>60</v>
      </c>
      <c r="L2261">
        <v>160</v>
      </c>
      <c r="M2261">
        <v>83</v>
      </c>
      <c r="N2261">
        <v>623</v>
      </c>
      <c r="O2261">
        <v>107</v>
      </c>
      <c r="P2261">
        <v>27</v>
      </c>
      <c r="Q2261">
        <v>104</v>
      </c>
      <c r="R2261">
        <v>213</v>
      </c>
      <c r="S2261">
        <v>1.33125</v>
      </c>
      <c r="T2261">
        <v>1.7333333333333334</v>
      </c>
      <c r="U2261">
        <v>1.1857142857142857</v>
      </c>
    </row>
    <row r="2262" spans="1:21" x14ac:dyDescent="0.35">
      <c r="A2262">
        <v>562</v>
      </c>
      <c r="B2262" s="16">
        <v>40544</v>
      </c>
      <c r="C2262" s="15" t="s">
        <v>76</v>
      </c>
      <c r="D2262" s="15" t="s">
        <v>38</v>
      </c>
      <c r="E2262" s="15" t="s">
        <v>55</v>
      </c>
      <c r="F2262" s="15" t="s">
        <v>47</v>
      </c>
      <c r="G2262" s="15" t="s">
        <v>78</v>
      </c>
      <c r="H2262" s="15" t="s">
        <v>42</v>
      </c>
      <c r="I2262">
        <v>50</v>
      </c>
      <c r="J2262">
        <v>90</v>
      </c>
      <c r="K2262">
        <v>80</v>
      </c>
      <c r="L2262">
        <v>140</v>
      </c>
      <c r="M2262">
        <v>89</v>
      </c>
      <c r="N2262">
        <v>777</v>
      </c>
      <c r="O2262">
        <v>130</v>
      </c>
      <c r="P2262">
        <v>24</v>
      </c>
      <c r="Q2262">
        <v>146</v>
      </c>
      <c r="R2262">
        <v>245</v>
      </c>
      <c r="S2262">
        <v>1.75</v>
      </c>
      <c r="T2262">
        <v>1.825</v>
      </c>
      <c r="U2262">
        <v>1.78</v>
      </c>
    </row>
    <row r="2263" spans="1:21" x14ac:dyDescent="0.35">
      <c r="A2263">
        <v>707</v>
      </c>
      <c r="B2263" s="16">
        <v>40544</v>
      </c>
      <c r="C2263" s="15" t="s">
        <v>76</v>
      </c>
      <c r="D2263" s="15" t="s">
        <v>38</v>
      </c>
      <c r="E2263" s="15" t="s">
        <v>56</v>
      </c>
      <c r="F2263" s="15" t="s">
        <v>47</v>
      </c>
      <c r="G2263" s="15" t="s">
        <v>78</v>
      </c>
      <c r="H2263" s="15" t="s">
        <v>42</v>
      </c>
      <c r="I2263">
        <v>30</v>
      </c>
      <c r="J2263">
        <v>60</v>
      </c>
      <c r="K2263">
        <v>60</v>
      </c>
      <c r="L2263">
        <v>90</v>
      </c>
      <c r="M2263">
        <v>54</v>
      </c>
      <c r="N2263">
        <v>456</v>
      </c>
      <c r="O2263">
        <v>80</v>
      </c>
      <c r="P2263">
        <v>15</v>
      </c>
      <c r="Q2263">
        <v>84</v>
      </c>
      <c r="R2263">
        <v>150</v>
      </c>
      <c r="S2263">
        <v>1.6666666666666667</v>
      </c>
      <c r="T2263">
        <v>1.4</v>
      </c>
      <c r="U2263">
        <v>1.8</v>
      </c>
    </row>
    <row r="2264" spans="1:21" x14ac:dyDescent="0.35">
      <c r="A2264">
        <v>650</v>
      </c>
      <c r="B2264" s="16">
        <v>40544</v>
      </c>
      <c r="C2264" s="15" t="s">
        <v>76</v>
      </c>
      <c r="D2264" s="15" t="s">
        <v>38</v>
      </c>
      <c r="E2264" s="15" t="s">
        <v>46</v>
      </c>
      <c r="F2264" s="15" t="s">
        <v>47</v>
      </c>
      <c r="G2264" s="15" t="s">
        <v>78</v>
      </c>
      <c r="H2264" s="15" t="s">
        <v>42</v>
      </c>
      <c r="I2264">
        <v>40</v>
      </c>
      <c r="J2264">
        <v>80</v>
      </c>
      <c r="K2264">
        <v>50</v>
      </c>
      <c r="L2264">
        <v>120</v>
      </c>
      <c r="M2264">
        <v>72</v>
      </c>
      <c r="N2264">
        <v>558</v>
      </c>
      <c r="O2264">
        <v>108</v>
      </c>
      <c r="P2264">
        <v>23</v>
      </c>
      <c r="Q2264">
        <v>84</v>
      </c>
      <c r="R2264">
        <v>201</v>
      </c>
      <c r="S2264">
        <v>1.675</v>
      </c>
      <c r="T2264">
        <v>1.68</v>
      </c>
      <c r="U2264">
        <v>1.8</v>
      </c>
    </row>
    <row r="2265" spans="1:21" x14ac:dyDescent="0.35">
      <c r="A2265">
        <v>951</v>
      </c>
      <c r="B2265" s="16">
        <v>40544</v>
      </c>
      <c r="C2265" s="15" t="s">
        <v>76</v>
      </c>
      <c r="D2265" s="15" t="s">
        <v>38</v>
      </c>
      <c r="E2265" s="15" t="s">
        <v>50</v>
      </c>
      <c r="F2265" s="15" t="s">
        <v>49</v>
      </c>
      <c r="G2265" s="15" t="s">
        <v>78</v>
      </c>
      <c r="H2265" s="15" t="s">
        <v>45</v>
      </c>
      <c r="I2265">
        <v>220</v>
      </c>
      <c r="J2265">
        <v>300</v>
      </c>
      <c r="K2265">
        <v>200</v>
      </c>
      <c r="L2265">
        <v>520</v>
      </c>
      <c r="M2265">
        <v>234</v>
      </c>
      <c r="N2265">
        <v>1310</v>
      </c>
      <c r="O2265">
        <v>312</v>
      </c>
      <c r="P2265">
        <v>77</v>
      </c>
      <c r="Q2265">
        <v>316</v>
      </c>
      <c r="R2265">
        <v>611</v>
      </c>
      <c r="S2265">
        <v>1.175</v>
      </c>
      <c r="T2265">
        <v>1.58</v>
      </c>
      <c r="U2265">
        <v>1.0636363636363637</v>
      </c>
    </row>
    <row r="2266" spans="1:21" x14ac:dyDescent="0.35">
      <c r="A2266">
        <v>209</v>
      </c>
      <c r="B2266" s="16">
        <v>40544</v>
      </c>
      <c r="C2266" s="15" t="s">
        <v>76</v>
      </c>
      <c r="D2266" s="15" t="s">
        <v>38</v>
      </c>
      <c r="E2266" s="15" t="s">
        <v>39</v>
      </c>
      <c r="F2266" s="15" t="s">
        <v>40</v>
      </c>
      <c r="G2266" s="15" t="s">
        <v>78</v>
      </c>
      <c r="H2266" s="15" t="s">
        <v>42</v>
      </c>
      <c r="I2266">
        <v>110</v>
      </c>
      <c r="J2266">
        <v>70</v>
      </c>
      <c r="K2266">
        <v>30</v>
      </c>
      <c r="L2266">
        <v>180</v>
      </c>
      <c r="M2266">
        <v>95</v>
      </c>
      <c r="N2266">
        <v>608</v>
      </c>
      <c r="O2266">
        <v>50</v>
      </c>
      <c r="P2266">
        <v>30</v>
      </c>
      <c r="Q2266">
        <v>-3</v>
      </c>
      <c r="R2266">
        <v>162</v>
      </c>
      <c r="S2266">
        <v>0.9</v>
      </c>
      <c r="T2266">
        <v>-0.1</v>
      </c>
      <c r="U2266">
        <v>0.86363636363636365</v>
      </c>
    </row>
    <row r="2267" spans="1:21" x14ac:dyDescent="0.35">
      <c r="A2267">
        <v>949</v>
      </c>
      <c r="B2267" s="16">
        <v>40544</v>
      </c>
      <c r="C2267" s="15" t="s">
        <v>76</v>
      </c>
      <c r="D2267" s="15" t="s">
        <v>38</v>
      </c>
      <c r="E2267" s="15" t="s">
        <v>43</v>
      </c>
      <c r="F2267" s="15" t="s">
        <v>40</v>
      </c>
      <c r="G2267" s="15" t="s">
        <v>78</v>
      </c>
      <c r="H2267" s="15" t="s">
        <v>42</v>
      </c>
      <c r="I2267">
        <v>340</v>
      </c>
      <c r="J2267">
        <v>500</v>
      </c>
      <c r="K2267">
        <v>370</v>
      </c>
      <c r="L2267">
        <v>840</v>
      </c>
      <c r="M2267">
        <v>271</v>
      </c>
      <c r="N2267">
        <v>2101</v>
      </c>
      <c r="O2267">
        <v>407</v>
      </c>
      <c r="P2267">
        <v>94</v>
      </c>
      <c r="Q2267">
        <v>408</v>
      </c>
      <c r="R2267">
        <v>759</v>
      </c>
      <c r="S2267">
        <v>0.90357142857142858</v>
      </c>
      <c r="T2267">
        <v>1.1027027027027028</v>
      </c>
      <c r="U2267">
        <v>0.79705882352941182</v>
      </c>
    </row>
    <row r="2268" spans="1:21" x14ac:dyDescent="0.35">
      <c r="A2268">
        <v>310</v>
      </c>
      <c r="B2268" s="16">
        <v>40544</v>
      </c>
      <c r="C2268" s="15" t="s">
        <v>76</v>
      </c>
      <c r="D2268" s="15" t="s">
        <v>38</v>
      </c>
      <c r="E2268" s="15" t="s">
        <v>44</v>
      </c>
      <c r="F2268" s="15" t="s">
        <v>40</v>
      </c>
      <c r="G2268" s="15" t="s">
        <v>78</v>
      </c>
      <c r="H2268" s="15" t="s">
        <v>45</v>
      </c>
      <c r="I2268">
        <v>180</v>
      </c>
      <c r="J2268">
        <v>-40</v>
      </c>
      <c r="K2268">
        <v>-120</v>
      </c>
      <c r="L2268">
        <v>140</v>
      </c>
      <c r="M2268">
        <v>144</v>
      </c>
      <c r="N2268">
        <v>862</v>
      </c>
      <c r="O2268">
        <v>-26</v>
      </c>
      <c r="P2268">
        <v>47</v>
      </c>
      <c r="Q2268">
        <v>-182</v>
      </c>
      <c r="R2268">
        <v>132</v>
      </c>
      <c r="S2268">
        <v>0.94285714285714284</v>
      </c>
      <c r="T2268">
        <v>1.5166666666666666</v>
      </c>
      <c r="U2268">
        <v>0.8</v>
      </c>
    </row>
    <row r="2269" spans="1:21" x14ac:dyDescent="0.35">
      <c r="A2269">
        <v>323</v>
      </c>
      <c r="B2269" s="16">
        <v>40544</v>
      </c>
      <c r="C2269" s="15" t="s">
        <v>76</v>
      </c>
      <c r="D2269" s="15" t="s">
        <v>38</v>
      </c>
      <c r="E2269" s="15" t="s">
        <v>72</v>
      </c>
      <c r="F2269" s="15" t="s">
        <v>49</v>
      </c>
      <c r="G2269" s="15" t="s">
        <v>78</v>
      </c>
      <c r="H2269" s="15" t="s">
        <v>42</v>
      </c>
      <c r="I2269">
        <v>210</v>
      </c>
      <c r="J2269">
        <v>220</v>
      </c>
      <c r="K2269">
        <v>150</v>
      </c>
      <c r="L2269">
        <v>430</v>
      </c>
      <c r="M2269">
        <v>228</v>
      </c>
      <c r="N2269">
        <v>1459</v>
      </c>
      <c r="O2269">
        <v>228</v>
      </c>
      <c r="P2269">
        <v>63</v>
      </c>
      <c r="Q2269">
        <v>218</v>
      </c>
      <c r="R2269">
        <v>510</v>
      </c>
      <c r="S2269">
        <v>1.1860465116279071</v>
      </c>
      <c r="T2269">
        <v>1.4533333333333334</v>
      </c>
      <c r="U2269">
        <v>1.0857142857142856</v>
      </c>
    </row>
    <row r="2270" spans="1:21" x14ac:dyDescent="0.35">
      <c r="A2270">
        <v>530</v>
      </c>
      <c r="B2270" s="16">
        <v>40544</v>
      </c>
      <c r="C2270" s="15" t="s">
        <v>76</v>
      </c>
      <c r="D2270" s="15" t="s">
        <v>38</v>
      </c>
      <c r="E2270" s="15" t="s">
        <v>48</v>
      </c>
      <c r="F2270" s="15" t="s">
        <v>49</v>
      </c>
      <c r="G2270" s="15" t="s">
        <v>78</v>
      </c>
      <c r="H2270" s="15" t="s">
        <v>42</v>
      </c>
      <c r="I2270">
        <v>100</v>
      </c>
      <c r="J2270">
        <v>140</v>
      </c>
      <c r="K2270">
        <v>20</v>
      </c>
      <c r="L2270">
        <v>240</v>
      </c>
      <c r="M2270">
        <v>105</v>
      </c>
      <c r="N2270">
        <v>725</v>
      </c>
      <c r="O2270">
        <v>145</v>
      </c>
      <c r="P2270">
        <v>95</v>
      </c>
      <c r="Q2270">
        <v>26</v>
      </c>
      <c r="R2270">
        <v>280</v>
      </c>
      <c r="S2270">
        <v>1.1666666666666667</v>
      </c>
      <c r="T2270">
        <v>1.3</v>
      </c>
      <c r="U2270">
        <v>1.05</v>
      </c>
    </row>
    <row r="2271" spans="1:21" x14ac:dyDescent="0.35">
      <c r="A2271">
        <v>775</v>
      </c>
      <c r="B2271" s="16">
        <v>40544</v>
      </c>
      <c r="C2271" s="15" t="s">
        <v>76</v>
      </c>
      <c r="D2271" s="15" t="s">
        <v>58</v>
      </c>
      <c r="E2271" s="15" t="s">
        <v>51</v>
      </c>
      <c r="F2271" s="15" t="s">
        <v>52</v>
      </c>
      <c r="G2271" s="15" t="s">
        <v>79</v>
      </c>
      <c r="H2271" s="15" t="s">
        <v>45</v>
      </c>
      <c r="I2271">
        <v>90</v>
      </c>
      <c r="J2271">
        <v>130</v>
      </c>
      <c r="K2271">
        <v>30</v>
      </c>
      <c r="L2271">
        <v>220</v>
      </c>
      <c r="M2271">
        <v>105</v>
      </c>
      <c r="N2271">
        <v>725</v>
      </c>
      <c r="O2271">
        <v>145</v>
      </c>
      <c r="P2271">
        <v>95</v>
      </c>
      <c r="Q2271">
        <v>25</v>
      </c>
      <c r="R2271">
        <v>280</v>
      </c>
      <c r="S2271">
        <v>1.2727272727272727</v>
      </c>
      <c r="T2271">
        <v>0.83333333333333337</v>
      </c>
      <c r="U2271">
        <v>1.1666666666666667</v>
      </c>
    </row>
    <row r="2272" spans="1:21" x14ac:dyDescent="0.35">
      <c r="A2272">
        <v>775</v>
      </c>
      <c r="B2272" s="16">
        <v>40544</v>
      </c>
      <c r="C2272" s="15" t="s">
        <v>76</v>
      </c>
      <c r="D2272" s="15" t="s">
        <v>58</v>
      </c>
      <c r="E2272" s="15" t="s">
        <v>53</v>
      </c>
      <c r="F2272" s="15" t="s">
        <v>52</v>
      </c>
      <c r="G2272" s="15" t="s">
        <v>79</v>
      </c>
      <c r="H2272" s="15" t="s">
        <v>45</v>
      </c>
      <c r="I2272">
        <v>120</v>
      </c>
      <c r="J2272">
        <v>180</v>
      </c>
      <c r="K2272">
        <v>120</v>
      </c>
      <c r="L2272">
        <v>300</v>
      </c>
      <c r="M2272">
        <v>144</v>
      </c>
      <c r="N2272">
        <v>862</v>
      </c>
      <c r="O2272">
        <v>201</v>
      </c>
      <c r="P2272">
        <v>47</v>
      </c>
      <c r="Q2272">
        <v>173</v>
      </c>
      <c r="R2272">
        <v>386</v>
      </c>
      <c r="S2272">
        <v>1.2866666666666666</v>
      </c>
      <c r="T2272">
        <v>1.4416666666666667</v>
      </c>
      <c r="U2272">
        <v>1.2</v>
      </c>
    </row>
    <row r="2273" spans="1:21" x14ac:dyDescent="0.35">
      <c r="A2273">
        <v>775</v>
      </c>
      <c r="B2273" s="16">
        <v>40544</v>
      </c>
      <c r="C2273" s="15" t="s">
        <v>76</v>
      </c>
      <c r="D2273" s="15" t="s">
        <v>58</v>
      </c>
      <c r="E2273" s="15" t="s">
        <v>54</v>
      </c>
      <c r="F2273" s="15" t="s">
        <v>52</v>
      </c>
      <c r="G2273" s="15" t="s">
        <v>79</v>
      </c>
      <c r="H2273" s="15" t="s">
        <v>45</v>
      </c>
      <c r="I2273">
        <v>80</v>
      </c>
      <c r="J2273">
        <v>120</v>
      </c>
      <c r="K2273">
        <v>90</v>
      </c>
      <c r="L2273">
        <v>200</v>
      </c>
      <c r="M2273">
        <v>95</v>
      </c>
      <c r="N2273">
        <v>608</v>
      </c>
      <c r="O2273">
        <v>139</v>
      </c>
      <c r="P2273">
        <v>30</v>
      </c>
      <c r="Q2273">
        <v>134</v>
      </c>
      <c r="R2273">
        <v>262</v>
      </c>
      <c r="S2273">
        <v>1.31</v>
      </c>
      <c r="T2273">
        <v>1.4888888888888889</v>
      </c>
      <c r="U2273">
        <v>1.1875</v>
      </c>
    </row>
    <row r="2274" spans="1:21" x14ac:dyDescent="0.35">
      <c r="A2274">
        <v>702</v>
      </c>
      <c r="B2274" s="16">
        <v>40544</v>
      </c>
      <c r="C2274" s="15" t="s">
        <v>76</v>
      </c>
      <c r="D2274" s="15" t="s">
        <v>58</v>
      </c>
      <c r="E2274" s="15" t="s">
        <v>55</v>
      </c>
      <c r="F2274" s="15" t="s">
        <v>47</v>
      </c>
      <c r="G2274" s="15" t="s">
        <v>79</v>
      </c>
      <c r="H2274" s="15" t="s">
        <v>42</v>
      </c>
      <c r="I2274">
        <v>150</v>
      </c>
      <c r="J2274">
        <v>220</v>
      </c>
      <c r="K2274">
        <v>150</v>
      </c>
      <c r="L2274">
        <v>370</v>
      </c>
      <c r="M2274">
        <v>234</v>
      </c>
      <c r="N2274">
        <v>1310</v>
      </c>
      <c r="O2274">
        <v>312</v>
      </c>
      <c r="P2274">
        <v>77</v>
      </c>
      <c r="Q2274">
        <v>316</v>
      </c>
      <c r="R2274">
        <v>611</v>
      </c>
      <c r="S2274">
        <v>1.6513513513513514</v>
      </c>
      <c r="T2274">
        <v>2.1066666666666665</v>
      </c>
      <c r="U2274">
        <v>1.56</v>
      </c>
    </row>
    <row r="2275" spans="1:21" x14ac:dyDescent="0.35">
      <c r="A2275">
        <v>775</v>
      </c>
      <c r="B2275" s="16">
        <v>40544</v>
      </c>
      <c r="C2275" s="15" t="s">
        <v>76</v>
      </c>
      <c r="D2275" s="15" t="s">
        <v>58</v>
      </c>
      <c r="E2275" s="15" t="s">
        <v>56</v>
      </c>
      <c r="F2275" s="15" t="s">
        <v>47</v>
      </c>
      <c r="G2275" s="15" t="s">
        <v>79</v>
      </c>
      <c r="H2275" s="15" t="s">
        <v>42</v>
      </c>
      <c r="I2275">
        <v>150</v>
      </c>
      <c r="J2275">
        <v>160</v>
      </c>
      <c r="K2275">
        <v>100</v>
      </c>
      <c r="L2275">
        <v>310</v>
      </c>
      <c r="M2275">
        <v>228</v>
      </c>
      <c r="N2275">
        <v>1459</v>
      </c>
      <c r="O2275">
        <v>228</v>
      </c>
      <c r="P2275">
        <v>63</v>
      </c>
      <c r="Q2275">
        <v>220</v>
      </c>
      <c r="R2275">
        <v>510</v>
      </c>
      <c r="S2275">
        <v>1.6451612903225807</v>
      </c>
      <c r="T2275">
        <v>2.2000000000000002</v>
      </c>
      <c r="U2275">
        <v>1.52</v>
      </c>
    </row>
    <row r="2276" spans="1:21" x14ac:dyDescent="0.35">
      <c r="A2276">
        <v>775</v>
      </c>
      <c r="B2276" s="16">
        <v>40544</v>
      </c>
      <c r="C2276" s="15" t="s">
        <v>76</v>
      </c>
      <c r="D2276" s="15" t="s">
        <v>58</v>
      </c>
      <c r="E2276" s="15" t="s">
        <v>46</v>
      </c>
      <c r="F2276" s="15" t="s">
        <v>47</v>
      </c>
      <c r="G2276" s="15" t="s">
        <v>79</v>
      </c>
      <c r="H2276" s="15" t="s">
        <v>42</v>
      </c>
      <c r="I2276">
        <v>160</v>
      </c>
      <c r="J2276">
        <v>-160</v>
      </c>
      <c r="K2276">
        <v>-240</v>
      </c>
      <c r="L2276">
        <v>0</v>
      </c>
      <c r="M2276">
        <v>245</v>
      </c>
      <c r="N2276">
        <v>1419</v>
      </c>
      <c r="O2276">
        <v>-245</v>
      </c>
      <c r="P2276">
        <v>93</v>
      </c>
      <c r="Q2276">
        <v>-552</v>
      </c>
      <c r="R2276">
        <v>19</v>
      </c>
      <c r="T2276">
        <v>2.2999999999999998</v>
      </c>
      <c r="U2276">
        <v>1.53125</v>
      </c>
    </row>
    <row r="2277" spans="1:21" x14ac:dyDescent="0.35">
      <c r="A2277">
        <v>702</v>
      </c>
      <c r="B2277" s="16">
        <v>40544</v>
      </c>
      <c r="C2277" s="15" t="s">
        <v>76</v>
      </c>
      <c r="D2277" s="15" t="s">
        <v>58</v>
      </c>
      <c r="E2277" s="15" t="s">
        <v>50</v>
      </c>
      <c r="F2277" s="15" t="s">
        <v>49</v>
      </c>
      <c r="G2277" s="15" t="s">
        <v>79</v>
      </c>
      <c r="H2277" s="15" t="s">
        <v>45</v>
      </c>
      <c r="I2277">
        <v>10</v>
      </c>
      <c r="J2277">
        <v>30</v>
      </c>
      <c r="K2277">
        <v>20</v>
      </c>
      <c r="L2277">
        <v>40</v>
      </c>
      <c r="M2277">
        <v>17</v>
      </c>
      <c r="N2277">
        <v>777</v>
      </c>
      <c r="O2277">
        <v>26</v>
      </c>
      <c r="P2277">
        <v>4</v>
      </c>
      <c r="Q2277">
        <v>17</v>
      </c>
      <c r="R2277">
        <v>48</v>
      </c>
      <c r="S2277">
        <v>1.2</v>
      </c>
      <c r="T2277">
        <v>0.85</v>
      </c>
      <c r="U2277">
        <v>1.7</v>
      </c>
    </row>
    <row r="2278" spans="1:21" x14ac:dyDescent="0.35">
      <c r="A2278">
        <v>775</v>
      </c>
      <c r="B2278" s="16">
        <v>40544</v>
      </c>
      <c r="C2278" s="15" t="s">
        <v>76</v>
      </c>
      <c r="D2278" s="15" t="s">
        <v>58</v>
      </c>
      <c r="E2278" s="15" t="s">
        <v>43</v>
      </c>
      <c r="F2278" s="15" t="s">
        <v>40</v>
      </c>
      <c r="G2278" s="15" t="s">
        <v>79</v>
      </c>
      <c r="H2278" s="15" t="s">
        <v>42</v>
      </c>
      <c r="I2278">
        <v>40</v>
      </c>
      <c r="J2278">
        <v>50</v>
      </c>
      <c r="K2278">
        <v>10</v>
      </c>
      <c r="L2278">
        <v>90</v>
      </c>
      <c r="M2278">
        <v>34</v>
      </c>
      <c r="N2278">
        <v>197</v>
      </c>
      <c r="O2278">
        <v>42</v>
      </c>
      <c r="P2278">
        <v>12</v>
      </c>
      <c r="Q2278">
        <v>-5</v>
      </c>
      <c r="R2278">
        <v>85</v>
      </c>
      <c r="S2278">
        <v>0.94444444444444442</v>
      </c>
      <c r="T2278">
        <v>-0.5</v>
      </c>
      <c r="U2278">
        <v>0.85</v>
      </c>
    </row>
    <row r="2279" spans="1:21" x14ac:dyDescent="0.35">
      <c r="A2279">
        <v>702</v>
      </c>
      <c r="B2279" s="16">
        <v>40544</v>
      </c>
      <c r="C2279" s="15" t="s">
        <v>76</v>
      </c>
      <c r="D2279" s="15" t="s">
        <v>58</v>
      </c>
      <c r="E2279" s="15" t="s">
        <v>44</v>
      </c>
      <c r="F2279" s="15" t="s">
        <v>40</v>
      </c>
      <c r="G2279" s="15" t="s">
        <v>79</v>
      </c>
      <c r="H2279" s="15" t="s">
        <v>45</v>
      </c>
      <c r="I2279">
        <v>30</v>
      </c>
      <c r="J2279">
        <v>40</v>
      </c>
      <c r="K2279">
        <v>20</v>
      </c>
      <c r="L2279">
        <v>70</v>
      </c>
      <c r="M2279">
        <v>28</v>
      </c>
      <c r="N2279">
        <v>965</v>
      </c>
      <c r="O2279">
        <v>34</v>
      </c>
      <c r="P2279">
        <v>8</v>
      </c>
      <c r="Q2279">
        <v>6</v>
      </c>
      <c r="R2279">
        <v>69</v>
      </c>
      <c r="S2279">
        <v>0.98571428571428577</v>
      </c>
      <c r="T2279">
        <v>0.3</v>
      </c>
      <c r="U2279">
        <v>0.93333333333333335</v>
      </c>
    </row>
    <row r="2280" spans="1:21" x14ac:dyDescent="0.35">
      <c r="A2280">
        <v>702</v>
      </c>
      <c r="B2280" s="16">
        <v>40544</v>
      </c>
      <c r="C2280" s="15" t="s">
        <v>76</v>
      </c>
      <c r="D2280" s="15" t="s">
        <v>58</v>
      </c>
      <c r="E2280" s="15" t="s">
        <v>72</v>
      </c>
      <c r="F2280" s="15" t="s">
        <v>49</v>
      </c>
      <c r="G2280" s="15" t="s">
        <v>79</v>
      </c>
      <c r="H2280" s="15" t="s">
        <v>42</v>
      </c>
      <c r="I2280">
        <v>10</v>
      </c>
      <c r="J2280">
        <v>30</v>
      </c>
      <c r="K2280">
        <v>20</v>
      </c>
      <c r="L2280">
        <v>40</v>
      </c>
      <c r="M2280">
        <v>17</v>
      </c>
      <c r="N2280">
        <v>777</v>
      </c>
      <c r="O2280">
        <v>26</v>
      </c>
      <c r="P2280">
        <v>4</v>
      </c>
      <c r="Q2280">
        <v>17</v>
      </c>
      <c r="R2280">
        <v>48</v>
      </c>
      <c r="S2280">
        <v>1.2</v>
      </c>
      <c r="T2280">
        <v>0.85</v>
      </c>
      <c r="U2280">
        <v>1.7</v>
      </c>
    </row>
    <row r="2281" spans="1:21" x14ac:dyDescent="0.35">
      <c r="A2281">
        <v>775</v>
      </c>
      <c r="B2281" s="16">
        <v>40544</v>
      </c>
      <c r="C2281" s="15" t="s">
        <v>76</v>
      </c>
      <c r="D2281" s="15" t="s">
        <v>58</v>
      </c>
      <c r="E2281" s="15" t="s">
        <v>48</v>
      </c>
      <c r="F2281" s="15" t="s">
        <v>49</v>
      </c>
      <c r="G2281" s="15" t="s">
        <v>79</v>
      </c>
      <c r="H2281" s="15" t="s">
        <v>42</v>
      </c>
      <c r="I2281">
        <v>10</v>
      </c>
      <c r="J2281">
        <v>30</v>
      </c>
      <c r="K2281">
        <v>20</v>
      </c>
      <c r="L2281">
        <v>40</v>
      </c>
      <c r="M2281">
        <v>18</v>
      </c>
      <c r="N2281">
        <v>821</v>
      </c>
      <c r="O2281">
        <v>27</v>
      </c>
      <c r="P2281">
        <v>5</v>
      </c>
      <c r="Q2281">
        <v>16</v>
      </c>
      <c r="R2281">
        <v>50</v>
      </c>
      <c r="S2281">
        <v>1.25</v>
      </c>
      <c r="T2281">
        <v>0.8</v>
      </c>
      <c r="U2281">
        <v>1.8</v>
      </c>
    </row>
    <row r="2282" spans="1:21" x14ac:dyDescent="0.35">
      <c r="A2282">
        <v>503</v>
      </c>
      <c r="B2282" s="16">
        <v>40544</v>
      </c>
      <c r="C2282" s="15" t="s">
        <v>76</v>
      </c>
      <c r="D2282" s="15" t="s">
        <v>58</v>
      </c>
      <c r="E2282" s="15" t="s">
        <v>51</v>
      </c>
      <c r="F2282" s="15" t="s">
        <v>52</v>
      </c>
      <c r="G2282" s="15" t="s">
        <v>80</v>
      </c>
      <c r="H2282" s="15" t="s">
        <v>45</v>
      </c>
      <c r="I2282">
        <v>30</v>
      </c>
      <c r="J2282">
        <v>40</v>
      </c>
      <c r="K2282">
        <v>40</v>
      </c>
      <c r="L2282">
        <v>70</v>
      </c>
      <c r="M2282">
        <v>36</v>
      </c>
      <c r="N2282">
        <v>777</v>
      </c>
      <c r="O2282">
        <v>54</v>
      </c>
      <c r="P2282">
        <v>10</v>
      </c>
      <c r="Q2282">
        <v>51</v>
      </c>
      <c r="R2282">
        <v>101</v>
      </c>
      <c r="S2282">
        <v>1.4428571428571428</v>
      </c>
      <c r="T2282">
        <v>1.2749999999999999</v>
      </c>
      <c r="U2282">
        <v>1.2</v>
      </c>
    </row>
    <row r="2283" spans="1:21" x14ac:dyDescent="0.35">
      <c r="A2283">
        <v>503</v>
      </c>
      <c r="B2283" s="16">
        <v>40544</v>
      </c>
      <c r="C2283" s="15" t="s">
        <v>76</v>
      </c>
      <c r="D2283" s="15" t="s">
        <v>58</v>
      </c>
      <c r="E2283" s="15" t="s">
        <v>53</v>
      </c>
      <c r="F2283" s="15" t="s">
        <v>52</v>
      </c>
      <c r="G2283" s="15" t="s">
        <v>80</v>
      </c>
      <c r="H2283" s="15" t="s">
        <v>45</v>
      </c>
      <c r="I2283">
        <v>30</v>
      </c>
      <c r="J2283">
        <v>50</v>
      </c>
      <c r="K2283">
        <v>30</v>
      </c>
      <c r="L2283">
        <v>80</v>
      </c>
      <c r="M2283">
        <v>44</v>
      </c>
      <c r="N2283">
        <v>623</v>
      </c>
      <c r="O2283">
        <v>56</v>
      </c>
      <c r="P2283">
        <v>14</v>
      </c>
      <c r="Q2283">
        <v>45</v>
      </c>
      <c r="R2283">
        <v>112</v>
      </c>
      <c r="S2283">
        <v>1.4</v>
      </c>
      <c r="T2283">
        <v>1.5</v>
      </c>
      <c r="U2283">
        <v>1.4666666666666666</v>
      </c>
    </row>
    <row r="2284" spans="1:21" x14ac:dyDescent="0.35">
      <c r="A2284">
        <v>541</v>
      </c>
      <c r="B2284" s="16">
        <v>40544</v>
      </c>
      <c r="C2284" s="15" t="s">
        <v>76</v>
      </c>
      <c r="D2284" s="15" t="s">
        <v>58</v>
      </c>
      <c r="E2284" s="15" t="s">
        <v>55</v>
      </c>
      <c r="F2284" s="15" t="s">
        <v>47</v>
      </c>
      <c r="G2284" s="15" t="s">
        <v>80</v>
      </c>
      <c r="H2284" s="15" t="s">
        <v>42</v>
      </c>
      <c r="I2284">
        <v>20</v>
      </c>
      <c r="J2284">
        <v>30</v>
      </c>
      <c r="K2284">
        <v>30</v>
      </c>
      <c r="L2284">
        <v>50</v>
      </c>
      <c r="M2284">
        <v>32</v>
      </c>
      <c r="N2284">
        <v>456</v>
      </c>
      <c r="O2284">
        <v>48</v>
      </c>
      <c r="P2284">
        <v>8</v>
      </c>
      <c r="Q2284">
        <v>44</v>
      </c>
      <c r="R2284">
        <v>90</v>
      </c>
      <c r="S2284">
        <v>1.8</v>
      </c>
      <c r="T2284">
        <v>1.4666666666666666</v>
      </c>
      <c r="U2284">
        <v>1.6</v>
      </c>
    </row>
    <row r="2285" spans="1:21" x14ac:dyDescent="0.35">
      <c r="A2285">
        <v>503</v>
      </c>
      <c r="B2285" s="16">
        <v>40544</v>
      </c>
      <c r="C2285" s="15" t="s">
        <v>76</v>
      </c>
      <c r="D2285" s="15" t="s">
        <v>58</v>
      </c>
      <c r="E2285" s="15" t="s">
        <v>56</v>
      </c>
      <c r="F2285" s="15" t="s">
        <v>47</v>
      </c>
      <c r="G2285" s="15" t="s">
        <v>80</v>
      </c>
      <c r="H2285" s="15" t="s">
        <v>42</v>
      </c>
      <c r="I2285">
        <v>50</v>
      </c>
      <c r="J2285">
        <v>90</v>
      </c>
      <c r="K2285">
        <v>60</v>
      </c>
      <c r="L2285">
        <v>140</v>
      </c>
      <c r="M2285">
        <v>84</v>
      </c>
      <c r="N2285">
        <v>651</v>
      </c>
      <c r="O2285">
        <v>126</v>
      </c>
      <c r="P2285">
        <v>27</v>
      </c>
      <c r="Q2285">
        <v>106</v>
      </c>
      <c r="R2285">
        <v>235</v>
      </c>
      <c r="S2285">
        <v>1.6785714285714286</v>
      </c>
      <c r="T2285">
        <v>1.7666666666666666</v>
      </c>
      <c r="U2285">
        <v>1.68</v>
      </c>
    </row>
    <row r="2286" spans="1:21" x14ac:dyDescent="0.35">
      <c r="A2286">
        <v>541</v>
      </c>
      <c r="B2286" s="16">
        <v>40544</v>
      </c>
      <c r="C2286" s="15" t="s">
        <v>76</v>
      </c>
      <c r="D2286" s="15" t="s">
        <v>58</v>
      </c>
      <c r="E2286" s="15" t="s">
        <v>46</v>
      </c>
      <c r="F2286" s="15" t="s">
        <v>47</v>
      </c>
      <c r="G2286" s="15" t="s">
        <v>80</v>
      </c>
      <c r="H2286" s="15" t="s">
        <v>42</v>
      </c>
      <c r="I2286">
        <v>50</v>
      </c>
      <c r="J2286">
        <v>80</v>
      </c>
      <c r="K2286">
        <v>50</v>
      </c>
      <c r="L2286">
        <v>130</v>
      </c>
      <c r="M2286">
        <v>84</v>
      </c>
      <c r="N2286">
        <v>500</v>
      </c>
      <c r="O2286">
        <v>116</v>
      </c>
      <c r="P2286">
        <v>26</v>
      </c>
      <c r="Q2286">
        <v>104</v>
      </c>
      <c r="R2286">
        <v>224</v>
      </c>
      <c r="S2286">
        <v>1.7230769230769232</v>
      </c>
      <c r="T2286">
        <v>2.08</v>
      </c>
      <c r="U2286">
        <v>1.68</v>
      </c>
    </row>
    <row r="2287" spans="1:21" x14ac:dyDescent="0.35">
      <c r="A2287">
        <v>971</v>
      </c>
      <c r="B2287" s="16">
        <v>40544</v>
      </c>
      <c r="C2287" s="15" t="s">
        <v>76</v>
      </c>
      <c r="D2287" s="15" t="s">
        <v>58</v>
      </c>
      <c r="E2287" s="15" t="s">
        <v>50</v>
      </c>
      <c r="F2287" s="15" t="s">
        <v>49</v>
      </c>
      <c r="G2287" s="15" t="s">
        <v>80</v>
      </c>
      <c r="H2287" s="15" t="s">
        <v>45</v>
      </c>
      <c r="I2287">
        <v>160</v>
      </c>
      <c r="J2287">
        <v>160</v>
      </c>
      <c r="K2287">
        <v>100</v>
      </c>
      <c r="L2287">
        <v>320</v>
      </c>
      <c r="M2287">
        <v>170</v>
      </c>
      <c r="N2287">
        <v>1091</v>
      </c>
      <c r="O2287">
        <v>171</v>
      </c>
      <c r="P2287">
        <v>47</v>
      </c>
      <c r="Q2287">
        <v>154</v>
      </c>
      <c r="R2287">
        <v>382</v>
      </c>
      <c r="S2287">
        <v>1.1937500000000001</v>
      </c>
      <c r="T2287">
        <v>1.54</v>
      </c>
      <c r="U2287">
        <v>1.0625</v>
      </c>
    </row>
    <row r="2288" spans="1:21" x14ac:dyDescent="0.35">
      <c r="A2288">
        <v>503</v>
      </c>
      <c r="B2288" s="16">
        <v>40544</v>
      </c>
      <c r="C2288" s="15" t="s">
        <v>76</v>
      </c>
      <c r="D2288" s="15" t="s">
        <v>58</v>
      </c>
      <c r="E2288" s="15" t="s">
        <v>39</v>
      </c>
      <c r="F2288" s="15" t="s">
        <v>40</v>
      </c>
      <c r="G2288" s="15" t="s">
        <v>80</v>
      </c>
      <c r="H2288" s="15" t="s">
        <v>42</v>
      </c>
      <c r="I2288">
        <v>70</v>
      </c>
      <c r="J2288">
        <v>110</v>
      </c>
      <c r="K2288">
        <v>40</v>
      </c>
      <c r="L2288">
        <v>180</v>
      </c>
      <c r="M2288">
        <v>63</v>
      </c>
      <c r="N2288">
        <v>435</v>
      </c>
      <c r="O2288">
        <v>87</v>
      </c>
      <c r="P2288">
        <v>57</v>
      </c>
      <c r="Q2288">
        <v>2</v>
      </c>
      <c r="R2288">
        <v>168</v>
      </c>
      <c r="S2288">
        <v>0.93333333333333335</v>
      </c>
      <c r="T2288">
        <v>0.05</v>
      </c>
      <c r="U2288">
        <v>0.9</v>
      </c>
    </row>
    <row r="2289" spans="1:21" x14ac:dyDescent="0.35">
      <c r="A2289">
        <v>503</v>
      </c>
      <c r="B2289" s="16">
        <v>40544</v>
      </c>
      <c r="C2289" s="15" t="s">
        <v>76</v>
      </c>
      <c r="D2289" s="15" t="s">
        <v>58</v>
      </c>
      <c r="E2289" s="15" t="s">
        <v>43</v>
      </c>
      <c r="F2289" s="15" t="s">
        <v>40</v>
      </c>
      <c r="G2289" s="15" t="s">
        <v>80</v>
      </c>
      <c r="H2289" s="15" t="s">
        <v>42</v>
      </c>
      <c r="I2289">
        <v>80</v>
      </c>
      <c r="J2289">
        <v>120</v>
      </c>
      <c r="K2289">
        <v>60</v>
      </c>
      <c r="L2289">
        <v>200</v>
      </c>
      <c r="M2289">
        <v>67</v>
      </c>
      <c r="N2289">
        <v>400</v>
      </c>
      <c r="O2289">
        <v>93</v>
      </c>
      <c r="P2289">
        <v>22</v>
      </c>
      <c r="Q2289">
        <v>44</v>
      </c>
      <c r="R2289">
        <v>179</v>
      </c>
      <c r="S2289">
        <v>0.89500000000000002</v>
      </c>
      <c r="T2289">
        <v>0.73333333333333328</v>
      </c>
      <c r="U2289">
        <v>0.83750000000000002</v>
      </c>
    </row>
    <row r="2290" spans="1:21" x14ac:dyDescent="0.35">
      <c r="A2290">
        <v>971</v>
      </c>
      <c r="B2290" s="16">
        <v>40544</v>
      </c>
      <c r="C2290" s="15" t="s">
        <v>76</v>
      </c>
      <c r="D2290" s="15" t="s">
        <v>58</v>
      </c>
      <c r="E2290" s="15" t="s">
        <v>44</v>
      </c>
      <c r="F2290" s="15" t="s">
        <v>40</v>
      </c>
      <c r="G2290" s="15" t="s">
        <v>80</v>
      </c>
      <c r="H2290" s="15" t="s">
        <v>45</v>
      </c>
      <c r="I2290">
        <v>70</v>
      </c>
      <c r="J2290">
        <v>100</v>
      </c>
      <c r="K2290">
        <v>70</v>
      </c>
      <c r="L2290">
        <v>170</v>
      </c>
      <c r="M2290">
        <v>57</v>
      </c>
      <c r="N2290">
        <v>364</v>
      </c>
      <c r="O2290">
        <v>83</v>
      </c>
      <c r="P2290">
        <v>18</v>
      </c>
      <c r="Q2290">
        <v>65</v>
      </c>
      <c r="R2290">
        <v>157</v>
      </c>
      <c r="S2290">
        <v>0.92352941176470593</v>
      </c>
      <c r="T2290">
        <v>0.9285714285714286</v>
      </c>
      <c r="U2290">
        <v>0.81428571428571428</v>
      </c>
    </row>
    <row r="2291" spans="1:21" x14ac:dyDescent="0.35">
      <c r="A2291">
        <v>503</v>
      </c>
      <c r="B2291" s="16">
        <v>40544</v>
      </c>
      <c r="C2291" s="15" t="s">
        <v>76</v>
      </c>
      <c r="D2291" s="15" t="s">
        <v>58</v>
      </c>
      <c r="E2291" s="15" t="s">
        <v>72</v>
      </c>
      <c r="F2291" s="15" t="s">
        <v>49</v>
      </c>
      <c r="G2291" s="15" t="s">
        <v>80</v>
      </c>
      <c r="H2291" s="15" t="s">
        <v>42</v>
      </c>
      <c r="I2291">
        <v>50</v>
      </c>
      <c r="J2291">
        <v>70</v>
      </c>
      <c r="K2291">
        <v>20</v>
      </c>
      <c r="L2291">
        <v>120</v>
      </c>
      <c r="M2291">
        <v>58</v>
      </c>
      <c r="N2291">
        <v>338</v>
      </c>
      <c r="O2291">
        <v>72</v>
      </c>
      <c r="P2291">
        <v>22</v>
      </c>
      <c r="Q2291">
        <v>25</v>
      </c>
      <c r="R2291">
        <v>145</v>
      </c>
      <c r="S2291">
        <v>1.2083333333333333</v>
      </c>
      <c r="T2291">
        <v>1.25</v>
      </c>
      <c r="U2291">
        <v>1.1599999999999999</v>
      </c>
    </row>
    <row r="2292" spans="1:21" x14ac:dyDescent="0.35">
      <c r="A2292">
        <v>503</v>
      </c>
      <c r="B2292" s="16">
        <v>40544</v>
      </c>
      <c r="C2292" s="15" t="s">
        <v>76</v>
      </c>
      <c r="D2292" s="15" t="s">
        <v>58</v>
      </c>
      <c r="E2292" s="15" t="s">
        <v>48</v>
      </c>
      <c r="F2292" s="15" t="s">
        <v>49</v>
      </c>
      <c r="G2292" s="15" t="s">
        <v>80</v>
      </c>
      <c r="H2292" s="15" t="s">
        <v>42</v>
      </c>
      <c r="I2292">
        <v>50</v>
      </c>
      <c r="J2292">
        <v>80</v>
      </c>
      <c r="K2292">
        <v>50</v>
      </c>
      <c r="L2292">
        <v>130</v>
      </c>
      <c r="M2292">
        <v>60</v>
      </c>
      <c r="N2292">
        <v>336</v>
      </c>
      <c r="O2292">
        <v>80</v>
      </c>
      <c r="P2292">
        <v>19</v>
      </c>
      <c r="Q2292">
        <v>51</v>
      </c>
      <c r="R2292">
        <v>157</v>
      </c>
      <c r="S2292">
        <v>1.2076923076923076</v>
      </c>
      <c r="T2292">
        <v>1.02</v>
      </c>
      <c r="U2292">
        <v>1.2</v>
      </c>
    </row>
    <row r="2293" spans="1:21" x14ac:dyDescent="0.35">
      <c r="A2293">
        <v>509</v>
      </c>
      <c r="B2293" s="16">
        <v>40544</v>
      </c>
      <c r="C2293" s="15" t="s">
        <v>76</v>
      </c>
      <c r="D2293" s="15" t="s">
        <v>58</v>
      </c>
      <c r="E2293" s="15" t="s">
        <v>51</v>
      </c>
      <c r="F2293" s="15" t="s">
        <v>52</v>
      </c>
      <c r="G2293" s="15" t="s">
        <v>81</v>
      </c>
      <c r="H2293" s="15" t="s">
        <v>45</v>
      </c>
      <c r="I2293">
        <v>100</v>
      </c>
      <c r="J2293">
        <v>170</v>
      </c>
      <c r="K2293">
        <v>120</v>
      </c>
      <c r="L2293">
        <v>270</v>
      </c>
      <c r="M2293">
        <v>124</v>
      </c>
      <c r="N2293">
        <v>961</v>
      </c>
      <c r="O2293">
        <v>186</v>
      </c>
      <c r="P2293">
        <v>40</v>
      </c>
      <c r="Q2293">
        <v>179</v>
      </c>
      <c r="R2293">
        <v>347</v>
      </c>
      <c r="S2293">
        <v>1.2851851851851852</v>
      </c>
      <c r="T2293">
        <v>1.4916666666666667</v>
      </c>
      <c r="U2293">
        <v>1.24</v>
      </c>
    </row>
    <row r="2294" spans="1:21" x14ac:dyDescent="0.35">
      <c r="A2294">
        <v>360</v>
      </c>
      <c r="B2294" s="16">
        <v>40544</v>
      </c>
      <c r="C2294" s="15" t="s">
        <v>76</v>
      </c>
      <c r="D2294" s="15" t="s">
        <v>58</v>
      </c>
      <c r="E2294" s="15" t="s">
        <v>53</v>
      </c>
      <c r="F2294" s="15" t="s">
        <v>52</v>
      </c>
      <c r="G2294" s="15" t="s">
        <v>81</v>
      </c>
      <c r="H2294" s="15" t="s">
        <v>45</v>
      </c>
      <c r="I2294">
        <v>20</v>
      </c>
      <c r="J2294">
        <v>50</v>
      </c>
      <c r="K2294">
        <v>50</v>
      </c>
      <c r="L2294">
        <v>70</v>
      </c>
      <c r="M2294">
        <v>34</v>
      </c>
      <c r="N2294">
        <v>777</v>
      </c>
      <c r="O2294">
        <v>51</v>
      </c>
      <c r="P2294">
        <v>9</v>
      </c>
      <c r="Q2294">
        <v>47</v>
      </c>
      <c r="R2294">
        <v>95</v>
      </c>
      <c r="S2294">
        <v>1.3571428571428572</v>
      </c>
      <c r="T2294">
        <v>0.94</v>
      </c>
      <c r="U2294">
        <v>1.7</v>
      </c>
    </row>
    <row r="2295" spans="1:21" x14ac:dyDescent="0.35">
      <c r="A2295">
        <v>253</v>
      </c>
      <c r="B2295" s="16">
        <v>40544</v>
      </c>
      <c r="C2295" s="15" t="s">
        <v>76</v>
      </c>
      <c r="D2295" s="15" t="s">
        <v>58</v>
      </c>
      <c r="E2295" s="15" t="s">
        <v>55</v>
      </c>
      <c r="F2295" s="15" t="s">
        <v>47</v>
      </c>
      <c r="G2295" s="15" t="s">
        <v>81</v>
      </c>
      <c r="H2295" s="15" t="s">
        <v>42</v>
      </c>
      <c r="I2295">
        <v>40</v>
      </c>
      <c r="J2295">
        <v>80</v>
      </c>
      <c r="K2295">
        <v>50</v>
      </c>
      <c r="L2295">
        <v>120</v>
      </c>
      <c r="M2295">
        <v>67</v>
      </c>
      <c r="N2295">
        <v>400</v>
      </c>
      <c r="O2295">
        <v>113</v>
      </c>
      <c r="P2295">
        <v>20</v>
      </c>
      <c r="Q2295">
        <v>109</v>
      </c>
      <c r="R2295">
        <v>201</v>
      </c>
      <c r="S2295">
        <v>1.675</v>
      </c>
      <c r="T2295">
        <v>2.1800000000000002</v>
      </c>
      <c r="U2295">
        <v>1.675</v>
      </c>
    </row>
    <row r="2296" spans="1:21" x14ac:dyDescent="0.35">
      <c r="A2296">
        <v>206</v>
      </c>
      <c r="B2296" s="16">
        <v>40544</v>
      </c>
      <c r="C2296" s="15" t="s">
        <v>76</v>
      </c>
      <c r="D2296" s="15" t="s">
        <v>58</v>
      </c>
      <c r="E2296" s="15" t="s">
        <v>56</v>
      </c>
      <c r="F2296" s="15" t="s">
        <v>47</v>
      </c>
      <c r="G2296" s="15" t="s">
        <v>81</v>
      </c>
      <c r="H2296" s="15" t="s">
        <v>42</v>
      </c>
      <c r="I2296">
        <v>40</v>
      </c>
      <c r="J2296">
        <v>60</v>
      </c>
      <c r="K2296">
        <v>40</v>
      </c>
      <c r="L2296">
        <v>100</v>
      </c>
      <c r="M2296">
        <v>61</v>
      </c>
      <c r="N2296">
        <v>390</v>
      </c>
      <c r="O2296">
        <v>89</v>
      </c>
      <c r="P2296">
        <v>19</v>
      </c>
      <c r="Q2296">
        <v>75</v>
      </c>
      <c r="R2296">
        <v>168</v>
      </c>
      <c r="S2296">
        <v>1.68</v>
      </c>
      <c r="T2296">
        <v>1.875</v>
      </c>
      <c r="U2296">
        <v>1.5249999999999999</v>
      </c>
    </row>
    <row r="2297" spans="1:21" x14ac:dyDescent="0.35">
      <c r="A2297">
        <v>425</v>
      </c>
      <c r="B2297" s="16">
        <v>40544</v>
      </c>
      <c r="C2297" s="15" t="s">
        <v>76</v>
      </c>
      <c r="D2297" s="15" t="s">
        <v>58</v>
      </c>
      <c r="E2297" s="15" t="s">
        <v>46</v>
      </c>
      <c r="F2297" s="15" t="s">
        <v>47</v>
      </c>
      <c r="G2297" s="15" t="s">
        <v>81</v>
      </c>
      <c r="H2297" s="15" t="s">
        <v>42</v>
      </c>
      <c r="I2297">
        <v>40</v>
      </c>
      <c r="J2297">
        <v>80</v>
      </c>
      <c r="K2297">
        <v>20</v>
      </c>
      <c r="L2297">
        <v>120</v>
      </c>
      <c r="M2297">
        <v>75</v>
      </c>
      <c r="N2297">
        <v>522</v>
      </c>
      <c r="O2297">
        <v>105</v>
      </c>
      <c r="P2297">
        <v>68</v>
      </c>
      <c r="Q2297">
        <v>12</v>
      </c>
      <c r="R2297">
        <v>201</v>
      </c>
      <c r="S2297">
        <v>1.675</v>
      </c>
      <c r="T2297">
        <v>0.6</v>
      </c>
      <c r="U2297">
        <v>1.875</v>
      </c>
    </row>
    <row r="2298" spans="1:21" x14ac:dyDescent="0.35">
      <c r="A2298">
        <v>206</v>
      </c>
      <c r="B2298" s="16">
        <v>40544</v>
      </c>
      <c r="C2298" s="15" t="s">
        <v>76</v>
      </c>
      <c r="D2298" s="15" t="s">
        <v>58</v>
      </c>
      <c r="E2298" s="15" t="s">
        <v>72</v>
      </c>
      <c r="F2298" s="15" t="s">
        <v>49</v>
      </c>
      <c r="G2298" s="15" t="s">
        <v>81</v>
      </c>
      <c r="H2298" s="15" t="s">
        <v>42</v>
      </c>
      <c r="I2298">
        <v>40</v>
      </c>
      <c r="J2298">
        <v>60</v>
      </c>
      <c r="K2298">
        <v>40</v>
      </c>
      <c r="L2298">
        <v>100</v>
      </c>
      <c r="M2298">
        <v>48</v>
      </c>
      <c r="N2298">
        <v>623</v>
      </c>
      <c r="O2298">
        <v>62</v>
      </c>
      <c r="P2298">
        <v>15</v>
      </c>
      <c r="Q2298">
        <v>55</v>
      </c>
      <c r="R2298">
        <v>123</v>
      </c>
      <c r="S2298">
        <v>1.23</v>
      </c>
      <c r="T2298">
        <v>1.375</v>
      </c>
      <c r="U2298">
        <v>1.2</v>
      </c>
    </row>
    <row r="2299" spans="1:21" x14ac:dyDescent="0.35">
      <c r="A2299">
        <v>206</v>
      </c>
      <c r="B2299" s="16">
        <v>40544</v>
      </c>
      <c r="C2299" s="15" t="s">
        <v>76</v>
      </c>
      <c r="D2299" s="15" t="s">
        <v>58</v>
      </c>
      <c r="E2299" s="15" t="s">
        <v>48</v>
      </c>
      <c r="F2299" s="15" t="s">
        <v>49</v>
      </c>
      <c r="G2299" s="15" t="s">
        <v>81</v>
      </c>
      <c r="H2299" s="15" t="s">
        <v>42</v>
      </c>
      <c r="I2299">
        <v>50</v>
      </c>
      <c r="J2299">
        <v>60</v>
      </c>
      <c r="K2299">
        <v>20</v>
      </c>
      <c r="L2299">
        <v>110</v>
      </c>
      <c r="M2299">
        <v>54</v>
      </c>
      <c r="N2299">
        <v>312</v>
      </c>
      <c r="O2299">
        <v>66</v>
      </c>
      <c r="P2299">
        <v>20</v>
      </c>
      <c r="Q2299">
        <v>20</v>
      </c>
      <c r="R2299">
        <v>134</v>
      </c>
      <c r="S2299">
        <v>1.2181818181818183</v>
      </c>
      <c r="T2299">
        <v>1</v>
      </c>
      <c r="U2299">
        <v>1.08</v>
      </c>
    </row>
    <row r="2300" spans="1:21" x14ac:dyDescent="0.35">
      <c r="A2300">
        <v>425</v>
      </c>
      <c r="B2300" s="16">
        <v>40544</v>
      </c>
      <c r="C2300" s="15" t="s">
        <v>76</v>
      </c>
      <c r="D2300" s="15" t="s">
        <v>58</v>
      </c>
      <c r="E2300" s="15" t="s">
        <v>50</v>
      </c>
      <c r="F2300" s="15" t="s">
        <v>49</v>
      </c>
      <c r="G2300" s="15" t="s">
        <v>81</v>
      </c>
      <c r="H2300" s="15" t="s">
        <v>45</v>
      </c>
      <c r="I2300">
        <v>60</v>
      </c>
      <c r="J2300">
        <v>80</v>
      </c>
      <c r="K2300">
        <v>60</v>
      </c>
      <c r="L2300">
        <v>140</v>
      </c>
      <c r="M2300">
        <v>69</v>
      </c>
      <c r="N2300">
        <v>965</v>
      </c>
      <c r="O2300">
        <v>81</v>
      </c>
      <c r="P2300">
        <v>21</v>
      </c>
      <c r="Q2300">
        <v>61</v>
      </c>
      <c r="R2300">
        <v>168</v>
      </c>
      <c r="S2300">
        <v>1.2</v>
      </c>
      <c r="T2300">
        <v>1.0166666666666666</v>
      </c>
      <c r="U2300">
        <v>1.1499999999999999</v>
      </c>
    </row>
    <row r="2301" spans="1:21" x14ac:dyDescent="0.35">
      <c r="A2301">
        <v>206</v>
      </c>
      <c r="B2301" s="16">
        <v>40544</v>
      </c>
      <c r="C2301" s="15" t="s">
        <v>76</v>
      </c>
      <c r="D2301" s="15" t="s">
        <v>58</v>
      </c>
      <c r="E2301" s="15" t="s">
        <v>43</v>
      </c>
      <c r="F2301" s="15" t="s">
        <v>40</v>
      </c>
      <c r="G2301" s="15" t="s">
        <v>81</v>
      </c>
      <c r="H2301" s="15" t="s">
        <v>42</v>
      </c>
      <c r="I2301">
        <v>60</v>
      </c>
      <c r="J2301">
        <v>100</v>
      </c>
      <c r="K2301">
        <v>70</v>
      </c>
      <c r="L2301">
        <v>160</v>
      </c>
      <c r="M2301">
        <v>53</v>
      </c>
      <c r="N2301">
        <v>338</v>
      </c>
      <c r="O2301">
        <v>77</v>
      </c>
      <c r="P2301">
        <v>16</v>
      </c>
      <c r="Q2301">
        <v>59</v>
      </c>
      <c r="R2301">
        <v>145</v>
      </c>
      <c r="S2301">
        <v>0.90625</v>
      </c>
      <c r="T2301">
        <v>0.84285714285714286</v>
      </c>
      <c r="U2301">
        <v>0.8833333333333333</v>
      </c>
    </row>
    <row r="2302" spans="1:21" x14ac:dyDescent="0.35">
      <c r="A2302">
        <v>509</v>
      </c>
      <c r="B2302" s="16">
        <v>40544</v>
      </c>
      <c r="C2302" s="15" t="s">
        <v>76</v>
      </c>
      <c r="D2302" s="15" t="s">
        <v>58</v>
      </c>
      <c r="E2302" s="15" t="s">
        <v>44</v>
      </c>
      <c r="F2302" s="15" t="s">
        <v>40</v>
      </c>
      <c r="G2302" s="15" t="s">
        <v>81</v>
      </c>
      <c r="H2302" s="15" t="s">
        <v>45</v>
      </c>
      <c r="I2302">
        <v>90</v>
      </c>
      <c r="J2302">
        <v>140</v>
      </c>
      <c r="K2302">
        <v>60</v>
      </c>
      <c r="L2302">
        <v>230</v>
      </c>
      <c r="M2302">
        <v>79</v>
      </c>
      <c r="N2302">
        <v>551</v>
      </c>
      <c r="O2302">
        <v>111</v>
      </c>
      <c r="P2302">
        <v>72</v>
      </c>
      <c r="Q2302">
        <v>14</v>
      </c>
      <c r="R2302">
        <v>213</v>
      </c>
      <c r="S2302">
        <v>0.92608695652173911</v>
      </c>
      <c r="T2302">
        <v>0.23333333333333334</v>
      </c>
      <c r="U2302">
        <v>0.87777777777777777</v>
      </c>
    </row>
    <row r="2303" spans="1:21" x14ac:dyDescent="0.35">
      <c r="A2303">
        <v>970</v>
      </c>
      <c r="B2303" s="16">
        <v>40575</v>
      </c>
      <c r="C2303" s="15" t="s">
        <v>37</v>
      </c>
      <c r="D2303" s="15" t="s">
        <v>38</v>
      </c>
      <c r="E2303" s="15" t="s">
        <v>51</v>
      </c>
      <c r="F2303" s="15" t="s">
        <v>52</v>
      </c>
      <c r="G2303" s="15" t="s">
        <v>41</v>
      </c>
      <c r="H2303" s="15" t="s">
        <v>45</v>
      </c>
      <c r="I2303">
        <v>140</v>
      </c>
      <c r="J2303">
        <v>150</v>
      </c>
      <c r="K2303">
        <v>100</v>
      </c>
      <c r="L2303">
        <v>290</v>
      </c>
      <c r="M2303">
        <v>170</v>
      </c>
      <c r="N2303">
        <v>1073</v>
      </c>
      <c r="O2303">
        <v>170</v>
      </c>
      <c r="P2303">
        <v>47</v>
      </c>
      <c r="Q2303">
        <v>147</v>
      </c>
      <c r="R2303">
        <v>362</v>
      </c>
      <c r="S2303">
        <v>1.2482758620689656</v>
      </c>
      <c r="T2303">
        <v>1.47</v>
      </c>
      <c r="U2303">
        <v>1.2142857142857142</v>
      </c>
    </row>
    <row r="2304" spans="1:21" x14ac:dyDescent="0.35">
      <c r="A2304">
        <v>970</v>
      </c>
      <c r="B2304" s="16">
        <v>40575</v>
      </c>
      <c r="C2304" s="15" t="s">
        <v>37</v>
      </c>
      <c r="D2304" s="15" t="s">
        <v>38</v>
      </c>
      <c r="E2304" s="15" t="s">
        <v>53</v>
      </c>
      <c r="F2304" s="15" t="s">
        <v>52</v>
      </c>
      <c r="G2304" s="15" t="s">
        <v>41</v>
      </c>
      <c r="H2304" s="15" t="s">
        <v>45</v>
      </c>
      <c r="I2304">
        <v>40</v>
      </c>
      <c r="J2304">
        <v>70</v>
      </c>
      <c r="K2304">
        <v>10</v>
      </c>
      <c r="L2304">
        <v>110</v>
      </c>
      <c r="M2304">
        <v>54</v>
      </c>
      <c r="N2304">
        <v>427</v>
      </c>
      <c r="O2304">
        <v>75</v>
      </c>
      <c r="P2304">
        <v>49</v>
      </c>
      <c r="Q2304">
        <v>-4</v>
      </c>
      <c r="R2304">
        <v>137</v>
      </c>
      <c r="S2304">
        <v>1.2454545454545454</v>
      </c>
      <c r="T2304">
        <v>-0.4</v>
      </c>
      <c r="U2304">
        <v>1.35</v>
      </c>
    </row>
    <row r="2305" spans="1:21" x14ac:dyDescent="0.35">
      <c r="A2305">
        <v>719</v>
      </c>
      <c r="B2305" s="16">
        <v>40575</v>
      </c>
      <c r="C2305" s="15" t="s">
        <v>37</v>
      </c>
      <c r="D2305" s="15" t="s">
        <v>38</v>
      </c>
      <c r="E2305" s="15" t="s">
        <v>54</v>
      </c>
      <c r="F2305" s="15" t="s">
        <v>52</v>
      </c>
      <c r="G2305" s="15" t="s">
        <v>41</v>
      </c>
      <c r="H2305" s="15" t="s">
        <v>45</v>
      </c>
      <c r="I2305">
        <v>50</v>
      </c>
      <c r="J2305">
        <v>70</v>
      </c>
      <c r="K2305">
        <v>40</v>
      </c>
      <c r="L2305">
        <v>120</v>
      </c>
      <c r="M2305">
        <v>60</v>
      </c>
      <c r="N2305">
        <v>329</v>
      </c>
      <c r="O2305">
        <v>80</v>
      </c>
      <c r="P2305">
        <v>19</v>
      </c>
      <c r="Q2305">
        <v>49</v>
      </c>
      <c r="R2305">
        <v>149</v>
      </c>
      <c r="S2305">
        <v>1.2416666666666667</v>
      </c>
      <c r="T2305">
        <v>1.2250000000000001</v>
      </c>
      <c r="U2305">
        <v>1.2</v>
      </c>
    </row>
    <row r="2306" spans="1:21" x14ac:dyDescent="0.35">
      <c r="A2306">
        <v>970</v>
      </c>
      <c r="B2306" s="16">
        <v>40575</v>
      </c>
      <c r="C2306" s="15" t="s">
        <v>37</v>
      </c>
      <c r="D2306" s="15" t="s">
        <v>38</v>
      </c>
      <c r="E2306" s="15" t="s">
        <v>55</v>
      </c>
      <c r="F2306" s="15" t="s">
        <v>47</v>
      </c>
      <c r="G2306" s="15" t="s">
        <v>41</v>
      </c>
      <c r="H2306" s="15" t="s">
        <v>42</v>
      </c>
      <c r="I2306">
        <v>50</v>
      </c>
      <c r="J2306">
        <v>60</v>
      </c>
      <c r="K2306">
        <v>10</v>
      </c>
      <c r="L2306">
        <v>110</v>
      </c>
      <c r="M2306">
        <v>59</v>
      </c>
      <c r="N2306">
        <v>331</v>
      </c>
      <c r="O2306">
        <v>73</v>
      </c>
      <c r="P2306">
        <v>22</v>
      </c>
      <c r="Q2306">
        <v>27</v>
      </c>
      <c r="R2306">
        <v>141</v>
      </c>
      <c r="S2306">
        <v>1.2818181818181817</v>
      </c>
      <c r="T2306">
        <v>2.7</v>
      </c>
      <c r="U2306">
        <v>1.18</v>
      </c>
    </row>
    <row r="2307" spans="1:21" x14ac:dyDescent="0.35">
      <c r="A2307">
        <v>970</v>
      </c>
      <c r="B2307" s="16">
        <v>40575</v>
      </c>
      <c r="C2307" s="15" t="s">
        <v>37</v>
      </c>
      <c r="D2307" s="15" t="s">
        <v>38</v>
      </c>
      <c r="E2307" s="15" t="s">
        <v>56</v>
      </c>
      <c r="F2307" s="15" t="s">
        <v>47</v>
      </c>
      <c r="G2307" s="15" t="s">
        <v>41</v>
      </c>
      <c r="H2307" s="15" t="s">
        <v>42</v>
      </c>
      <c r="I2307">
        <v>50</v>
      </c>
      <c r="J2307">
        <v>60</v>
      </c>
      <c r="K2307">
        <v>30</v>
      </c>
      <c r="L2307">
        <v>110</v>
      </c>
      <c r="M2307">
        <v>62</v>
      </c>
      <c r="N2307">
        <v>958</v>
      </c>
      <c r="O2307">
        <v>74</v>
      </c>
      <c r="P2307">
        <v>19</v>
      </c>
      <c r="Q2307">
        <v>50</v>
      </c>
      <c r="R2307">
        <v>145</v>
      </c>
      <c r="S2307">
        <v>1.3181818181818181</v>
      </c>
      <c r="T2307">
        <v>1.6666666666666667</v>
      </c>
      <c r="U2307">
        <v>1.24</v>
      </c>
    </row>
    <row r="2308" spans="1:21" x14ac:dyDescent="0.35">
      <c r="A2308">
        <v>970</v>
      </c>
      <c r="B2308" s="16">
        <v>40575</v>
      </c>
      <c r="C2308" s="15" t="s">
        <v>37</v>
      </c>
      <c r="D2308" s="15" t="s">
        <v>38</v>
      </c>
      <c r="E2308" s="15" t="s">
        <v>46</v>
      </c>
      <c r="F2308" s="15" t="s">
        <v>47</v>
      </c>
      <c r="G2308" s="15" t="s">
        <v>41</v>
      </c>
      <c r="H2308" s="15" t="s">
        <v>42</v>
      </c>
      <c r="I2308">
        <v>30</v>
      </c>
      <c r="J2308">
        <v>50</v>
      </c>
      <c r="K2308">
        <v>30</v>
      </c>
      <c r="L2308">
        <v>80</v>
      </c>
      <c r="M2308">
        <v>44</v>
      </c>
      <c r="N2308">
        <v>618</v>
      </c>
      <c r="O2308">
        <v>56</v>
      </c>
      <c r="P2308">
        <v>14</v>
      </c>
      <c r="Q2308">
        <v>45</v>
      </c>
      <c r="R2308">
        <v>107</v>
      </c>
      <c r="S2308">
        <v>1.3374999999999999</v>
      </c>
      <c r="T2308">
        <v>1.5</v>
      </c>
      <c r="U2308">
        <v>1.4666666666666666</v>
      </c>
    </row>
    <row r="2309" spans="1:21" x14ac:dyDescent="0.35">
      <c r="A2309">
        <v>303</v>
      </c>
      <c r="B2309" s="16">
        <v>40575</v>
      </c>
      <c r="C2309" s="15" t="s">
        <v>37</v>
      </c>
      <c r="D2309" s="15" t="s">
        <v>38</v>
      </c>
      <c r="E2309" s="15" t="s">
        <v>48</v>
      </c>
      <c r="F2309" s="15" t="s">
        <v>49</v>
      </c>
      <c r="G2309" s="15" t="s">
        <v>41</v>
      </c>
      <c r="H2309" s="15" t="s">
        <v>42</v>
      </c>
      <c r="I2309">
        <v>80</v>
      </c>
      <c r="J2309">
        <v>140</v>
      </c>
      <c r="K2309">
        <v>110</v>
      </c>
      <c r="L2309">
        <v>220</v>
      </c>
      <c r="M2309">
        <v>77</v>
      </c>
      <c r="N2309">
        <v>449</v>
      </c>
      <c r="O2309">
        <v>112</v>
      </c>
      <c r="P2309">
        <v>21</v>
      </c>
      <c r="Q2309">
        <v>119</v>
      </c>
      <c r="R2309">
        <v>201</v>
      </c>
      <c r="S2309">
        <v>0.91363636363636369</v>
      </c>
      <c r="T2309">
        <v>1.0818181818181818</v>
      </c>
      <c r="U2309">
        <v>0.96250000000000002</v>
      </c>
    </row>
    <row r="2310" spans="1:21" x14ac:dyDescent="0.35">
      <c r="A2310">
        <v>970</v>
      </c>
      <c r="B2310" s="16">
        <v>40575</v>
      </c>
      <c r="C2310" s="15" t="s">
        <v>37</v>
      </c>
      <c r="D2310" s="15" t="s">
        <v>38</v>
      </c>
      <c r="E2310" s="15" t="s">
        <v>50</v>
      </c>
      <c r="F2310" s="15" t="s">
        <v>49</v>
      </c>
      <c r="G2310" s="15" t="s">
        <v>41</v>
      </c>
      <c r="H2310" s="15" t="s">
        <v>45</v>
      </c>
      <c r="I2310">
        <v>80</v>
      </c>
      <c r="J2310">
        <v>140</v>
      </c>
      <c r="K2310">
        <v>90</v>
      </c>
      <c r="L2310">
        <v>220</v>
      </c>
      <c r="M2310">
        <v>75</v>
      </c>
      <c r="N2310">
        <v>549</v>
      </c>
      <c r="O2310">
        <v>114</v>
      </c>
      <c r="P2310">
        <v>24</v>
      </c>
      <c r="Q2310">
        <v>88</v>
      </c>
      <c r="R2310">
        <v>201</v>
      </c>
      <c r="S2310">
        <v>0.91363636363636369</v>
      </c>
      <c r="T2310">
        <v>0.97777777777777775</v>
      </c>
      <c r="U2310">
        <v>0.9375</v>
      </c>
    </row>
    <row r="2311" spans="1:21" x14ac:dyDescent="0.35">
      <c r="A2311">
        <v>720</v>
      </c>
      <c r="B2311" s="16">
        <v>40575</v>
      </c>
      <c r="C2311" s="15" t="s">
        <v>37</v>
      </c>
      <c r="D2311" s="15" t="s">
        <v>38</v>
      </c>
      <c r="E2311" s="15" t="s">
        <v>39</v>
      </c>
      <c r="F2311" s="15" t="s">
        <v>40</v>
      </c>
      <c r="G2311" s="15" t="s">
        <v>41</v>
      </c>
      <c r="H2311" s="15" t="s">
        <v>42</v>
      </c>
      <c r="I2311">
        <v>100</v>
      </c>
      <c r="J2311">
        <v>150</v>
      </c>
      <c r="K2311">
        <v>120</v>
      </c>
      <c r="L2311">
        <v>250</v>
      </c>
      <c r="M2311">
        <v>99</v>
      </c>
      <c r="N2311">
        <v>766</v>
      </c>
      <c r="O2311">
        <v>144</v>
      </c>
      <c r="P2311">
        <v>27</v>
      </c>
      <c r="Q2311">
        <v>156</v>
      </c>
      <c r="R2311">
        <v>259</v>
      </c>
      <c r="S2311">
        <v>1.036</v>
      </c>
      <c r="T2311">
        <v>1.3</v>
      </c>
      <c r="U2311">
        <v>0.99</v>
      </c>
    </row>
    <row r="2312" spans="1:21" x14ac:dyDescent="0.35">
      <c r="A2312">
        <v>303</v>
      </c>
      <c r="B2312" s="16">
        <v>40575</v>
      </c>
      <c r="C2312" s="15" t="s">
        <v>37</v>
      </c>
      <c r="D2312" s="15" t="s">
        <v>38</v>
      </c>
      <c r="E2312" s="15" t="s">
        <v>43</v>
      </c>
      <c r="F2312" s="15" t="s">
        <v>40</v>
      </c>
      <c r="G2312" s="15" t="s">
        <v>41</v>
      </c>
      <c r="H2312" s="15" t="s">
        <v>42</v>
      </c>
      <c r="I2312">
        <v>80</v>
      </c>
      <c r="J2312">
        <v>110</v>
      </c>
      <c r="K2312">
        <v>80</v>
      </c>
      <c r="L2312">
        <v>190</v>
      </c>
      <c r="M2312">
        <v>83</v>
      </c>
      <c r="N2312">
        <v>613</v>
      </c>
      <c r="O2312">
        <v>107</v>
      </c>
      <c r="P2312">
        <v>27</v>
      </c>
      <c r="Q2312">
        <v>101</v>
      </c>
      <c r="R2312">
        <v>202</v>
      </c>
      <c r="S2312">
        <v>1.0631578947368421</v>
      </c>
      <c r="T2312">
        <v>1.2625</v>
      </c>
      <c r="U2312">
        <v>1.0375000000000001</v>
      </c>
    </row>
    <row r="2313" spans="1:21" x14ac:dyDescent="0.35">
      <c r="A2313">
        <v>303</v>
      </c>
      <c r="B2313" s="16">
        <v>40575</v>
      </c>
      <c r="C2313" s="15" t="s">
        <v>37</v>
      </c>
      <c r="D2313" s="15" t="s">
        <v>38</v>
      </c>
      <c r="E2313" s="15" t="s">
        <v>44</v>
      </c>
      <c r="F2313" s="15" t="s">
        <v>40</v>
      </c>
      <c r="G2313" s="15" t="s">
        <v>41</v>
      </c>
      <c r="H2313" s="15" t="s">
        <v>45</v>
      </c>
      <c r="I2313">
        <v>100</v>
      </c>
      <c r="J2313">
        <v>140</v>
      </c>
      <c r="K2313">
        <v>110</v>
      </c>
      <c r="L2313">
        <v>240</v>
      </c>
      <c r="M2313">
        <v>95</v>
      </c>
      <c r="N2313">
        <v>809</v>
      </c>
      <c r="O2313">
        <v>137</v>
      </c>
      <c r="P2313">
        <v>26</v>
      </c>
      <c r="Q2313">
        <v>147</v>
      </c>
      <c r="R2313">
        <v>247</v>
      </c>
      <c r="S2313">
        <v>1.0291666666666666</v>
      </c>
      <c r="T2313">
        <v>1.3363636363636364</v>
      </c>
      <c r="U2313">
        <v>0.95</v>
      </c>
    </row>
    <row r="2314" spans="1:21" x14ac:dyDescent="0.35">
      <c r="A2314">
        <v>630</v>
      </c>
      <c r="B2314" s="16">
        <v>40575</v>
      </c>
      <c r="C2314" s="15" t="s">
        <v>37</v>
      </c>
      <c r="D2314" s="15" t="s">
        <v>38</v>
      </c>
      <c r="E2314" s="15" t="s">
        <v>51</v>
      </c>
      <c r="F2314" s="15" t="s">
        <v>52</v>
      </c>
      <c r="G2314" s="15" t="s">
        <v>57</v>
      </c>
      <c r="H2314" s="15" t="s">
        <v>45</v>
      </c>
      <c r="I2314">
        <v>80</v>
      </c>
      <c r="J2314">
        <v>130</v>
      </c>
      <c r="K2314">
        <v>110</v>
      </c>
      <c r="L2314">
        <v>210</v>
      </c>
      <c r="M2314">
        <v>99</v>
      </c>
      <c r="N2314">
        <v>766</v>
      </c>
      <c r="O2314">
        <v>144</v>
      </c>
      <c r="P2314">
        <v>27</v>
      </c>
      <c r="Q2314">
        <v>156</v>
      </c>
      <c r="R2314">
        <v>259</v>
      </c>
      <c r="S2314">
        <v>1.2333333333333334</v>
      </c>
      <c r="T2314">
        <v>1.4181818181818182</v>
      </c>
      <c r="U2314">
        <v>1.2375</v>
      </c>
    </row>
    <row r="2315" spans="1:21" x14ac:dyDescent="0.35">
      <c r="A2315">
        <v>773</v>
      </c>
      <c r="B2315" s="16">
        <v>40575</v>
      </c>
      <c r="C2315" s="15" t="s">
        <v>37</v>
      </c>
      <c r="D2315" s="15" t="s">
        <v>38</v>
      </c>
      <c r="E2315" s="15" t="s">
        <v>53</v>
      </c>
      <c r="F2315" s="15" t="s">
        <v>52</v>
      </c>
      <c r="G2315" s="15" t="s">
        <v>57</v>
      </c>
      <c r="H2315" s="15" t="s">
        <v>45</v>
      </c>
      <c r="I2315">
        <v>70</v>
      </c>
      <c r="J2315">
        <v>90</v>
      </c>
      <c r="K2315">
        <v>60</v>
      </c>
      <c r="L2315">
        <v>160</v>
      </c>
      <c r="M2315">
        <v>83</v>
      </c>
      <c r="N2315">
        <v>613</v>
      </c>
      <c r="O2315">
        <v>107</v>
      </c>
      <c r="P2315">
        <v>27</v>
      </c>
      <c r="Q2315">
        <v>101</v>
      </c>
      <c r="R2315">
        <v>202</v>
      </c>
      <c r="S2315">
        <v>1.2625</v>
      </c>
      <c r="T2315">
        <v>1.6833333333333333</v>
      </c>
      <c r="U2315">
        <v>1.1857142857142857</v>
      </c>
    </row>
    <row r="2316" spans="1:21" x14ac:dyDescent="0.35">
      <c r="A2316">
        <v>815</v>
      </c>
      <c r="B2316" s="16">
        <v>40575</v>
      </c>
      <c r="C2316" s="15" t="s">
        <v>37</v>
      </c>
      <c r="D2316" s="15" t="s">
        <v>38</v>
      </c>
      <c r="E2316" s="15" t="s">
        <v>54</v>
      </c>
      <c r="F2316" s="15" t="s">
        <v>52</v>
      </c>
      <c r="G2316" s="15" t="s">
        <v>57</v>
      </c>
      <c r="H2316" s="15" t="s">
        <v>45</v>
      </c>
      <c r="I2316">
        <v>80</v>
      </c>
      <c r="J2316">
        <v>120</v>
      </c>
      <c r="K2316">
        <v>100</v>
      </c>
      <c r="L2316">
        <v>200</v>
      </c>
      <c r="M2316">
        <v>95</v>
      </c>
      <c r="N2316">
        <v>809</v>
      </c>
      <c r="O2316">
        <v>137</v>
      </c>
      <c r="P2316">
        <v>26</v>
      </c>
      <c r="Q2316">
        <v>147</v>
      </c>
      <c r="R2316">
        <v>247</v>
      </c>
      <c r="S2316">
        <v>1.2350000000000001</v>
      </c>
      <c r="T2316">
        <v>1.47</v>
      </c>
      <c r="U2316">
        <v>1.1875</v>
      </c>
    </row>
    <row r="2317" spans="1:21" x14ac:dyDescent="0.35">
      <c r="A2317">
        <v>708</v>
      </c>
      <c r="B2317" s="16">
        <v>40575</v>
      </c>
      <c r="C2317" s="15" t="s">
        <v>37</v>
      </c>
      <c r="D2317" s="15" t="s">
        <v>38</v>
      </c>
      <c r="E2317" s="15" t="s">
        <v>55</v>
      </c>
      <c r="F2317" s="15" t="s">
        <v>47</v>
      </c>
      <c r="G2317" s="15" t="s">
        <v>57</v>
      </c>
      <c r="H2317" s="15" t="s">
        <v>42</v>
      </c>
      <c r="I2317">
        <v>60</v>
      </c>
      <c r="J2317">
        <v>100</v>
      </c>
      <c r="K2317">
        <v>80</v>
      </c>
      <c r="L2317">
        <v>160</v>
      </c>
      <c r="M2317">
        <v>77</v>
      </c>
      <c r="N2317">
        <v>449</v>
      </c>
      <c r="O2317">
        <v>112</v>
      </c>
      <c r="P2317">
        <v>21</v>
      </c>
      <c r="Q2317">
        <v>117</v>
      </c>
      <c r="R2317">
        <v>201</v>
      </c>
      <c r="S2317">
        <v>1.2562500000000001</v>
      </c>
      <c r="T2317">
        <v>1.4624999999999999</v>
      </c>
      <c r="U2317">
        <v>1.2833333333333334</v>
      </c>
    </row>
    <row r="2318" spans="1:21" x14ac:dyDescent="0.35">
      <c r="A2318">
        <v>708</v>
      </c>
      <c r="B2318" s="16">
        <v>40575</v>
      </c>
      <c r="C2318" s="15" t="s">
        <v>37</v>
      </c>
      <c r="D2318" s="15" t="s">
        <v>38</v>
      </c>
      <c r="E2318" s="15" t="s">
        <v>56</v>
      </c>
      <c r="F2318" s="15" t="s">
        <v>47</v>
      </c>
      <c r="G2318" s="15" t="s">
        <v>57</v>
      </c>
      <c r="H2318" s="15" t="s">
        <v>42</v>
      </c>
      <c r="I2318">
        <v>60</v>
      </c>
      <c r="J2318">
        <v>100</v>
      </c>
      <c r="K2318">
        <v>50</v>
      </c>
      <c r="L2318">
        <v>160</v>
      </c>
      <c r="M2318">
        <v>75</v>
      </c>
      <c r="N2318">
        <v>549</v>
      </c>
      <c r="O2318">
        <v>114</v>
      </c>
      <c r="P2318">
        <v>24</v>
      </c>
      <c r="Q2318">
        <v>88</v>
      </c>
      <c r="R2318">
        <v>201</v>
      </c>
      <c r="S2318">
        <v>1.2562500000000001</v>
      </c>
      <c r="T2318">
        <v>1.76</v>
      </c>
      <c r="U2318">
        <v>1.25</v>
      </c>
    </row>
    <row r="2319" spans="1:21" x14ac:dyDescent="0.35">
      <c r="A2319">
        <v>815</v>
      </c>
      <c r="B2319" s="16">
        <v>40575</v>
      </c>
      <c r="C2319" s="15" t="s">
        <v>37</v>
      </c>
      <c r="D2319" s="15" t="s">
        <v>38</v>
      </c>
      <c r="E2319" s="15" t="s">
        <v>48</v>
      </c>
      <c r="F2319" s="15" t="s">
        <v>49</v>
      </c>
      <c r="G2319" s="15" t="s">
        <v>57</v>
      </c>
      <c r="H2319" s="15" t="s">
        <v>42</v>
      </c>
      <c r="I2319">
        <v>270</v>
      </c>
      <c r="J2319">
        <v>370</v>
      </c>
      <c r="K2319">
        <v>260</v>
      </c>
      <c r="L2319">
        <v>640</v>
      </c>
      <c r="M2319">
        <v>234</v>
      </c>
      <c r="N2319">
        <v>1282</v>
      </c>
      <c r="O2319">
        <v>311</v>
      </c>
      <c r="P2319">
        <v>77</v>
      </c>
      <c r="Q2319">
        <v>298</v>
      </c>
      <c r="R2319">
        <v>581</v>
      </c>
      <c r="S2319">
        <v>0.90781250000000002</v>
      </c>
      <c r="T2319">
        <v>1.1461538461538461</v>
      </c>
      <c r="U2319">
        <v>0.8666666666666667</v>
      </c>
    </row>
    <row r="2320" spans="1:21" x14ac:dyDescent="0.35">
      <c r="A2320">
        <v>630</v>
      </c>
      <c r="B2320" s="16">
        <v>40575</v>
      </c>
      <c r="C2320" s="15" t="s">
        <v>37</v>
      </c>
      <c r="D2320" s="15" t="s">
        <v>38</v>
      </c>
      <c r="E2320" s="15" t="s">
        <v>50</v>
      </c>
      <c r="F2320" s="15" t="s">
        <v>49</v>
      </c>
      <c r="G2320" s="15" t="s">
        <v>57</v>
      </c>
      <c r="H2320" s="15" t="s">
        <v>45</v>
      </c>
      <c r="I2320">
        <v>260</v>
      </c>
      <c r="J2320">
        <v>270</v>
      </c>
      <c r="K2320">
        <v>180</v>
      </c>
      <c r="L2320">
        <v>530</v>
      </c>
      <c r="M2320">
        <v>228</v>
      </c>
      <c r="N2320">
        <v>1436</v>
      </c>
      <c r="O2320">
        <v>229</v>
      </c>
      <c r="P2320">
        <v>63</v>
      </c>
      <c r="Q2320">
        <v>211</v>
      </c>
      <c r="R2320">
        <v>487</v>
      </c>
      <c r="S2320">
        <v>0.9188679245283019</v>
      </c>
      <c r="T2320">
        <v>1.1722222222222223</v>
      </c>
      <c r="U2320">
        <v>0.87692307692307692</v>
      </c>
    </row>
    <row r="2321" spans="1:21" x14ac:dyDescent="0.35">
      <c r="A2321">
        <v>312</v>
      </c>
      <c r="B2321" s="16">
        <v>40575</v>
      </c>
      <c r="C2321" s="15" t="s">
        <v>37</v>
      </c>
      <c r="D2321" s="15" t="s">
        <v>38</v>
      </c>
      <c r="E2321" s="15" t="s">
        <v>43</v>
      </c>
      <c r="F2321" s="15" t="s">
        <v>40</v>
      </c>
      <c r="G2321" s="15" t="s">
        <v>57</v>
      </c>
      <c r="H2321" s="15" t="s">
        <v>42</v>
      </c>
      <c r="I2321">
        <v>150</v>
      </c>
      <c r="J2321">
        <v>220</v>
      </c>
      <c r="K2321">
        <v>140</v>
      </c>
      <c r="L2321">
        <v>370</v>
      </c>
      <c r="M2321">
        <v>148</v>
      </c>
      <c r="N2321">
        <v>844</v>
      </c>
      <c r="O2321">
        <v>206</v>
      </c>
      <c r="P2321">
        <v>48</v>
      </c>
      <c r="Q2321">
        <v>171</v>
      </c>
      <c r="R2321">
        <v>377</v>
      </c>
      <c r="S2321">
        <v>1.0189189189189189</v>
      </c>
      <c r="T2321">
        <v>1.2214285714285715</v>
      </c>
      <c r="U2321">
        <v>0.98666666666666669</v>
      </c>
    </row>
    <row r="2322" spans="1:21" x14ac:dyDescent="0.35">
      <c r="A2322">
        <v>773</v>
      </c>
      <c r="B2322" s="16">
        <v>40575</v>
      </c>
      <c r="C2322" s="15" t="s">
        <v>37</v>
      </c>
      <c r="D2322" s="15" t="s">
        <v>38</v>
      </c>
      <c r="E2322" s="15" t="s">
        <v>44</v>
      </c>
      <c r="F2322" s="15" t="s">
        <v>40</v>
      </c>
      <c r="G2322" s="15" t="s">
        <v>57</v>
      </c>
      <c r="H2322" s="15" t="s">
        <v>45</v>
      </c>
      <c r="I2322">
        <v>110</v>
      </c>
      <c r="J2322">
        <v>150</v>
      </c>
      <c r="K2322">
        <v>100</v>
      </c>
      <c r="L2322">
        <v>260</v>
      </c>
      <c r="M2322">
        <v>104</v>
      </c>
      <c r="N2322">
        <v>596</v>
      </c>
      <c r="O2322">
        <v>150</v>
      </c>
      <c r="P2322">
        <v>33</v>
      </c>
      <c r="Q2322">
        <v>141</v>
      </c>
      <c r="R2322">
        <v>271</v>
      </c>
      <c r="S2322">
        <v>1.0423076923076924</v>
      </c>
      <c r="T2322">
        <v>1.41</v>
      </c>
      <c r="U2322">
        <v>0.94545454545454544</v>
      </c>
    </row>
    <row r="2323" spans="1:21" x14ac:dyDescent="0.35">
      <c r="A2323">
        <v>563</v>
      </c>
      <c r="B2323" s="16">
        <v>40575</v>
      </c>
      <c r="C2323" s="15" t="s">
        <v>37</v>
      </c>
      <c r="D2323" s="15" t="s">
        <v>58</v>
      </c>
      <c r="E2323" s="15" t="s">
        <v>51</v>
      </c>
      <c r="F2323" s="15" t="s">
        <v>52</v>
      </c>
      <c r="G2323" s="15" t="s">
        <v>59</v>
      </c>
      <c r="H2323" s="15" t="s">
        <v>45</v>
      </c>
      <c r="I2323">
        <v>200</v>
      </c>
      <c r="J2323">
        <v>270</v>
      </c>
      <c r="K2323">
        <v>190</v>
      </c>
      <c r="L2323">
        <v>470</v>
      </c>
      <c r="M2323">
        <v>234</v>
      </c>
      <c r="N2323">
        <v>1282</v>
      </c>
      <c r="O2323">
        <v>311</v>
      </c>
      <c r="P2323">
        <v>77</v>
      </c>
      <c r="Q2323">
        <v>298</v>
      </c>
      <c r="R2323">
        <v>581</v>
      </c>
      <c r="S2323">
        <v>1.2361702127659575</v>
      </c>
      <c r="T2323">
        <v>1.5684210526315789</v>
      </c>
      <c r="U2323">
        <v>1.17</v>
      </c>
    </row>
    <row r="2324" spans="1:21" x14ac:dyDescent="0.35">
      <c r="A2324">
        <v>712</v>
      </c>
      <c r="B2324" s="16">
        <v>40575</v>
      </c>
      <c r="C2324" s="15" t="s">
        <v>37</v>
      </c>
      <c r="D2324" s="15" t="s">
        <v>58</v>
      </c>
      <c r="E2324" s="15" t="s">
        <v>53</v>
      </c>
      <c r="F2324" s="15" t="s">
        <v>52</v>
      </c>
      <c r="G2324" s="15" t="s">
        <v>59</v>
      </c>
      <c r="H2324" s="15" t="s">
        <v>45</v>
      </c>
      <c r="I2324">
        <v>80</v>
      </c>
      <c r="J2324">
        <v>140</v>
      </c>
      <c r="K2324">
        <v>110</v>
      </c>
      <c r="L2324">
        <v>220</v>
      </c>
      <c r="M2324">
        <v>104</v>
      </c>
      <c r="N2324">
        <v>596</v>
      </c>
      <c r="O2324">
        <v>150</v>
      </c>
      <c r="P2324">
        <v>33</v>
      </c>
      <c r="Q2324">
        <v>141</v>
      </c>
      <c r="R2324">
        <v>271</v>
      </c>
      <c r="S2324">
        <v>1.2318181818181819</v>
      </c>
      <c r="T2324">
        <v>1.2818181818181817</v>
      </c>
      <c r="U2324">
        <v>1.3</v>
      </c>
    </row>
    <row r="2325" spans="1:21" x14ac:dyDescent="0.35">
      <c r="A2325">
        <v>641</v>
      </c>
      <c r="B2325" s="16">
        <v>40575</v>
      </c>
      <c r="C2325" s="15" t="s">
        <v>37</v>
      </c>
      <c r="D2325" s="15" t="s">
        <v>58</v>
      </c>
      <c r="E2325" s="15" t="s">
        <v>55</v>
      </c>
      <c r="F2325" s="15" t="s">
        <v>47</v>
      </c>
      <c r="G2325" s="15" t="s">
        <v>59</v>
      </c>
      <c r="H2325" s="15" t="s">
        <v>42</v>
      </c>
      <c r="I2325">
        <v>190</v>
      </c>
      <c r="J2325">
        <v>210</v>
      </c>
      <c r="K2325">
        <v>140</v>
      </c>
      <c r="L2325">
        <v>400</v>
      </c>
      <c r="M2325">
        <v>228</v>
      </c>
      <c r="N2325">
        <v>1436</v>
      </c>
      <c r="O2325">
        <v>229</v>
      </c>
      <c r="P2325">
        <v>63</v>
      </c>
      <c r="Q2325">
        <v>209</v>
      </c>
      <c r="R2325">
        <v>487</v>
      </c>
      <c r="S2325">
        <v>1.2175</v>
      </c>
      <c r="T2325">
        <v>1.4928571428571429</v>
      </c>
      <c r="U2325">
        <v>1.2</v>
      </c>
    </row>
    <row r="2326" spans="1:21" x14ac:dyDescent="0.35">
      <c r="A2326">
        <v>641</v>
      </c>
      <c r="B2326" s="16">
        <v>40575</v>
      </c>
      <c r="C2326" s="15" t="s">
        <v>37</v>
      </c>
      <c r="D2326" s="15" t="s">
        <v>58</v>
      </c>
      <c r="E2326" s="15" t="s">
        <v>56</v>
      </c>
      <c r="F2326" s="15" t="s">
        <v>47</v>
      </c>
      <c r="G2326" s="15" t="s">
        <v>59</v>
      </c>
      <c r="H2326" s="15" t="s">
        <v>42</v>
      </c>
      <c r="I2326">
        <v>200</v>
      </c>
      <c r="J2326">
        <v>260</v>
      </c>
      <c r="K2326">
        <v>150</v>
      </c>
      <c r="L2326">
        <v>460</v>
      </c>
      <c r="M2326">
        <v>240</v>
      </c>
      <c r="N2326">
        <v>1391</v>
      </c>
      <c r="O2326">
        <v>294</v>
      </c>
      <c r="P2326">
        <v>91</v>
      </c>
      <c r="Q2326">
        <v>251</v>
      </c>
      <c r="R2326">
        <v>569</v>
      </c>
      <c r="S2326">
        <v>1.2369565217391305</v>
      </c>
      <c r="T2326">
        <v>1.6733333333333333</v>
      </c>
      <c r="U2326">
        <v>1.2</v>
      </c>
    </row>
    <row r="2327" spans="1:21" x14ac:dyDescent="0.35">
      <c r="A2327">
        <v>712</v>
      </c>
      <c r="B2327" s="16">
        <v>40575</v>
      </c>
      <c r="C2327" s="15" t="s">
        <v>37</v>
      </c>
      <c r="D2327" s="15" t="s">
        <v>58</v>
      </c>
      <c r="E2327" s="15" t="s">
        <v>48</v>
      </c>
      <c r="F2327" s="15" t="s">
        <v>49</v>
      </c>
      <c r="G2327" s="15" t="s">
        <v>59</v>
      </c>
      <c r="H2327" s="15" t="s">
        <v>42</v>
      </c>
      <c r="I2327">
        <v>20</v>
      </c>
      <c r="J2327">
        <v>30</v>
      </c>
      <c r="K2327">
        <v>20</v>
      </c>
      <c r="L2327">
        <v>50</v>
      </c>
      <c r="M2327">
        <v>19</v>
      </c>
      <c r="N2327">
        <v>774</v>
      </c>
      <c r="O2327">
        <v>28</v>
      </c>
      <c r="P2327">
        <v>5</v>
      </c>
      <c r="Q2327">
        <v>16</v>
      </c>
      <c r="R2327">
        <v>50</v>
      </c>
      <c r="S2327">
        <v>1</v>
      </c>
      <c r="T2327">
        <v>0.8</v>
      </c>
      <c r="U2327">
        <v>0.95</v>
      </c>
    </row>
    <row r="2328" spans="1:21" x14ac:dyDescent="0.35">
      <c r="A2328">
        <v>319</v>
      </c>
      <c r="B2328" s="16">
        <v>40575</v>
      </c>
      <c r="C2328" s="15" t="s">
        <v>37</v>
      </c>
      <c r="D2328" s="15" t="s">
        <v>58</v>
      </c>
      <c r="E2328" s="15" t="s">
        <v>50</v>
      </c>
      <c r="F2328" s="15" t="s">
        <v>49</v>
      </c>
      <c r="G2328" s="15" t="s">
        <v>59</v>
      </c>
      <c r="H2328" s="15" t="s">
        <v>45</v>
      </c>
      <c r="I2328">
        <v>0</v>
      </c>
      <c r="J2328">
        <v>50</v>
      </c>
      <c r="K2328">
        <v>40</v>
      </c>
      <c r="L2328">
        <v>50</v>
      </c>
      <c r="M2328">
        <v>0</v>
      </c>
      <c r="N2328">
        <v>774</v>
      </c>
      <c r="O2328">
        <v>43</v>
      </c>
      <c r="P2328">
        <v>0</v>
      </c>
      <c r="Q2328">
        <v>47</v>
      </c>
      <c r="R2328">
        <v>46</v>
      </c>
      <c r="S2328">
        <v>0.92</v>
      </c>
      <c r="T2328">
        <v>1.175</v>
      </c>
    </row>
    <row r="2329" spans="1:21" x14ac:dyDescent="0.35">
      <c r="A2329">
        <v>319</v>
      </c>
      <c r="B2329" s="16">
        <v>40575</v>
      </c>
      <c r="C2329" s="15" t="s">
        <v>37</v>
      </c>
      <c r="D2329" s="15" t="s">
        <v>58</v>
      </c>
      <c r="E2329" s="15" t="s">
        <v>39</v>
      </c>
      <c r="F2329" s="15" t="s">
        <v>40</v>
      </c>
      <c r="G2329" s="15" t="s">
        <v>59</v>
      </c>
      <c r="H2329" s="15" t="s">
        <v>42</v>
      </c>
      <c r="I2329">
        <v>10</v>
      </c>
      <c r="J2329">
        <v>30</v>
      </c>
      <c r="K2329">
        <v>20</v>
      </c>
      <c r="L2329">
        <v>40</v>
      </c>
      <c r="M2329">
        <v>18</v>
      </c>
      <c r="N2329">
        <v>818</v>
      </c>
      <c r="O2329">
        <v>27</v>
      </c>
      <c r="P2329">
        <v>5</v>
      </c>
      <c r="Q2329">
        <v>15</v>
      </c>
      <c r="R2329">
        <v>48</v>
      </c>
      <c r="S2329">
        <v>1.2</v>
      </c>
      <c r="T2329">
        <v>0.75</v>
      </c>
      <c r="U2329">
        <v>1.8</v>
      </c>
    </row>
    <row r="2330" spans="1:21" x14ac:dyDescent="0.35">
      <c r="A2330">
        <v>641</v>
      </c>
      <c r="B2330" s="16">
        <v>40575</v>
      </c>
      <c r="C2330" s="15" t="s">
        <v>37</v>
      </c>
      <c r="D2330" s="15" t="s">
        <v>58</v>
      </c>
      <c r="E2330" s="15" t="s">
        <v>43</v>
      </c>
      <c r="F2330" s="15" t="s">
        <v>40</v>
      </c>
      <c r="G2330" s="15" t="s">
        <v>59</v>
      </c>
      <c r="H2330" s="15" t="s">
        <v>42</v>
      </c>
      <c r="I2330">
        <v>20</v>
      </c>
      <c r="J2330">
        <v>40</v>
      </c>
      <c r="K2330">
        <v>20</v>
      </c>
      <c r="L2330">
        <v>60</v>
      </c>
      <c r="M2330">
        <v>28</v>
      </c>
      <c r="N2330">
        <v>961</v>
      </c>
      <c r="O2330">
        <v>35</v>
      </c>
      <c r="P2330">
        <v>8</v>
      </c>
      <c r="Q2330">
        <v>9</v>
      </c>
      <c r="R2330">
        <v>67</v>
      </c>
      <c r="S2330">
        <v>1.1166666666666667</v>
      </c>
      <c r="T2330">
        <v>0.45</v>
      </c>
      <c r="U2330">
        <v>1.4</v>
      </c>
    </row>
    <row r="2331" spans="1:21" x14ac:dyDescent="0.35">
      <c r="A2331">
        <v>641</v>
      </c>
      <c r="B2331" s="16">
        <v>40575</v>
      </c>
      <c r="C2331" s="15" t="s">
        <v>37</v>
      </c>
      <c r="D2331" s="15" t="s">
        <v>58</v>
      </c>
      <c r="E2331" s="15" t="s">
        <v>44</v>
      </c>
      <c r="F2331" s="15" t="s">
        <v>40</v>
      </c>
      <c r="G2331" s="15" t="s">
        <v>59</v>
      </c>
      <c r="H2331" s="15" t="s">
        <v>45</v>
      </c>
      <c r="I2331">
        <v>20</v>
      </c>
      <c r="J2331">
        <v>30</v>
      </c>
      <c r="K2331">
        <v>20</v>
      </c>
      <c r="L2331">
        <v>50</v>
      </c>
      <c r="M2331">
        <v>23</v>
      </c>
      <c r="N2331">
        <v>620</v>
      </c>
      <c r="O2331">
        <v>31</v>
      </c>
      <c r="P2331">
        <v>7</v>
      </c>
      <c r="Q2331">
        <v>18</v>
      </c>
      <c r="R2331">
        <v>58</v>
      </c>
      <c r="S2331">
        <v>1.1599999999999999</v>
      </c>
      <c r="T2331">
        <v>0.9</v>
      </c>
      <c r="U2331">
        <v>1.1499999999999999</v>
      </c>
    </row>
    <row r="2332" spans="1:21" x14ac:dyDescent="0.35">
      <c r="A2332">
        <v>573</v>
      </c>
      <c r="B2332" s="16">
        <v>40575</v>
      </c>
      <c r="C2332" s="15" t="s">
        <v>37</v>
      </c>
      <c r="D2332" s="15" t="s">
        <v>58</v>
      </c>
      <c r="E2332" s="15" t="s">
        <v>51</v>
      </c>
      <c r="F2332" s="15" t="s">
        <v>52</v>
      </c>
      <c r="G2332" s="15" t="s">
        <v>60</v>
      </c>
      <c r="H2332" s="15" t="s">
        <v>45</v>
      </c>
      <c r="I2332">
        <v>30</v>
      </c>
      <c r="J2332">
        <v>60</v>
      </c>
      <c r="K2332">
        <v>10</v>
      </c>
      <c r="L2332">
        <v>90</v>
      </c>
      <c r="M2332">
        <v>43</v>
      </c>
      <c r="N2332">
        <v>256</v>
      </c>
      <c r="O2332">
        <v>61</v>
      </c>
      <c r="P2332">
        <v>39</v>
      </c>
      <c r="Q2332">
        <v>-12</v>
      </c>
      <c r="R2332">
        <v>111</v>
      </c>
      <c r="S2332">
        <v>1.2333333333333334</v>
      </c>
      <c r="T2332">
        <v>-1.2</v>
      </c>
      <c r="U2332">
        <v>1.4333333333333333</v>
      </c>
    </row>
    <row r="2333" spans="1:21" x14ac:dyDescent="0.35">
      <c r="A2333">
        <v>573</v>
      </c>
      <c r="B2333" s="16">
        <v>40575</v>
      </c>
      <c r="C2333" s="15" t="s">
        <v>37</v>
      </c>
      <c r="D2333" s="15" t="s">
        <v>58</v>
      </c>
      <c r="E2333" s="15" t="s">
        <v>53</v>
      </c>
      <c r="F2333" s="15" t="s">
        <v>52</v>
      </c>
      <c r="G2333" s="15" t="s">
        <v>60</v>
      </c>
      <c r="H2333" s="15" t="s">
        <v>45</v>
      </c>
      <c r="I2333">
        <v>70</v>
      </c>
      <c r="J2333">
        <v>10</v>
      </c>
      <c r="K2333">
        <v>-20</v>
      </c>
      <c r="L2333">
        <v>80</v>
      </c>
      <c r="M2333">
        <v>84</v>
      </c>
      <c r="N2333">
        <v>625</v>
      </c>
      <c r="O2333">
        <v>18</v>
      </c>
      <c r="P2333">
        <v>26</v>
      </c>
      <c r="Q2333">
        <v>-47</v>
      </c>
      <c r="R2333">
        <v>109</v>
      </c>
      <c r="S2333">
        <v>1.3625</v>
      </c>
      <c r="T2333">
        <v>2.35</v>
      </c>
      <c r="U2333">
        <v>1.2</v>
      </c>
    </row>
    <row r="2334" spans="1:21" x14ac:dyDescent="0.35">
      <c r="A2334">
        <v>417</v>
      </c>
      <c r="B2334" s="16">
        <v>40575</v>
      </c>
      <c r="C2334" s="15" t="s">
        <v>37</v>
      </c>
      <c r="D2334" s="15" t="s">
        <v>58</v>
      </c>
      <c r="E2334" s="15" t="s">
        <v>55</v>
      </c>
      <c r="F2334" s="15" t="s">
        <v>47</v>
      </c>
      <c r="G2334" s="15" t="s">
        <v>60</v>
      </c>
      <c r="H2334" s="15" t="s">
        <v>42</v>
      </c>
      <c r="I2334">
        <v>30</v>
      </c>
      <c r="J2334">
        <v>40</v>
      </c>
      <c r="K2334">
        <v>10</v>
      </c>
      <c r="L2334">
        <v>70</v>
      </c>
      <c r="M2334">
        <v>35</v>
      </c>
      <c r="N2334">
        <v>191</v>
      </c>
      <c r="O2334">
        <v>47</v>
      </c>
      <c r="P2334">
        <v>11</v>
      </c>
      <c r="Q2334">
        <v>13</v>
      </c>
      <c r="R2334">
        <v>87</v>
      </c>
      <c r="S2334">
        <v>1.2428571428571429</v>
      </c>
      <c r="T2334">
        <v>1.3</v>
      </c>
      <c r="U2334">
        <v>1.1666666666666667</v>
      </c>
    </row>
    <row r="2335" spans="1:21" x14ac:dyDescent="0.35">
      <c r="A2335">
        <v>573</v>
      </c>
      <c r="B2335" s="16">
        <v>40575</v>
      </c>
      <c r="C2335" s="15" t="s">
        <v>37</v>
      </c>
      <c r="D2335" s="15" t="s">
        <v>58</v>
      </c>
      <c r="E2335" s="15" t="s">
        <v>56</v>
      </c>
      <c r="F2335" s="15" t="s">
        <v>47</v>
      </c>
      <c r="G2335" s="15" t="s">
        <v>60</v>
      </c>
      <c r="H2335" s="15" t="s">
        <v>42</v>
      </c>
      <c r="I2335">
        <v>20</v>
      </c>
      <c r="J2335">
        <v>30</v>
      </c>
      <c r="K2335">
        <v>-10</v>
      </c>
      <c r="L2335">
        <v>50</v>
      </c>
      <c r="M2335">
        <v>30</v>
      </c>
      <c r="N2335">
        <v>165</v>
      </c>
      <c r="O2335">
        <v>38</v>
      </c>
      <c r="P2335">
        <v>11</v>
      </c>
      <c r="Q2335">
        <v>-10</v>
      </c>
      <c r="R2335">
        <v>72</v>
      </c>
      <c r="S2335">
        <v>1.44</v>
      </c>
      <c r="T2335">
        <v>1</v>
      </c>
      <c r="U2335">
        <v>1.5</v>
      </c>
    </row>
    <row r="2336" spans="1:21" x14ac:dyDescent="0.35">
      <c r="A2336">
        <v>573</v>
      </c>
      <c r="B2336" s="16">
        <v>40575</v>
      </c>
      <c r="C2336" s="15" t="s">
        <v>37</v>
      </c>
      <c r="D2336" s="15" t="s">
        <v>58</v>
      </c>
      <c r="E2336" s="15" t="s">
        <v>46</v>
      </c>
      <c r="F2336" s="15" t="s">
        <v>47</v>
      </c>
      <c r="G2336" s="15" t="s">
        <v>60</v>
      </c>
      <c r="H2336" s="15" t="s">
        <v>42</v>
      </c>
      <c r="I2336">
        <v>20</v>
      </c>
      <c r="J2336">
        <v>40</v>
      </c>
      <c r="K2336">
        <v>0</v>
      </c>
      <c r="L2336">
        <v>60</v>
      </c>
      <c r="M2336">
        <v>33</v>
      </c>
      <c r="N2336">
        <v>193</v>
      </c>
      <c r="O2336">
        <v>41</v>
      </c>
      <c r="P2336">
        <v>12</v>
      </c>
      <c r="Q2336">
        <v>-6</v>
      </c>
      <c r="R2336">
        <v>79</v>
      </c>
      <c r="S2336">
        <v>1.3166666666666667</v>
      </c>
      <c r="U2336">
        <v>1.65</v>
      </c>
    </row>
    <row r="2337" spans="1:21" x14ac:dyDescent="0.35">
      <c r="A2337">
        <v>314</v>
      </c>
      <c r="B2337" s="16">
        <v>40575</v>
      </c>
      <c r="C2337" s="15" t="s">
        <v>37</v>
      </c>
      <c r="D2337" s="15" t="s">
        <v>58</v>
      </c>
      <c r="E2337" s="15" t="s">
        <v>48</v>
      </c>
      <c r="F2337" s="15" t="s">
        <v>49</v>
      </c>
      <c r="G2337" s="15" t="s">
        <v>60</v>
      </c>
      <c r="H2337" s="15" t="s">
        <v>42</v>
      </c>
      <c r="I2337">
        <v>50</v>
      </c>
      <c r="J2337">
        <v>90</v>
      </c>
      <c r="K2337">
        <v>70</v>
      </c>
      <c r="L2337">
        <v>140</v>
      </c>
      <c r="M2337">
        <v>50</v>
      </c>
      <c r="N2337">
        <v>814</v>
      </c>
      <c r="O2337">
        <v>73</v>
      </c>
      <c r="P2337">
        <v>14</v>
      </c>
      <c r="Q2337">
        <v>71</v>
      </c>
      <c r="R2337">
        <v>131</v>
      </c>
      <c r="S2337">
        <v>0.93571428571428572</v>
      </c>
      <c r="T2337">
        <v>1.0142857142857142</v>
      </c>
      <c r="U2337">
        <v>1</v>
      </c>
    </row>
    <row r="2338" spans="1:21" x14ac:dyDescent="0.35">
      <c r="A2338">
        <v>636</v>
      </c>
      <c r="B2338" s="16">
        <v>40575</v>
      </c>
      <c r="C2338" s="15" t="s">
        <v>37</v>
      </c>
      <c r="D2338" s="15" t="s">
        <v>58</v>
      </c>
      <c r="E2338" s="15" t="s">
        <v>50</v>
      </c>
      <c r="F2338" s="15" t="s">
        <v>49</v>
      </c>
      <c r="G2338" s="15" t="s">
        <v>60</v>
      </c>
      <c r="H2338" s="15" t="s">
        <v>45</v>
      </c>
      <c r="I2338">
        <v>40</v>
      </c>
      <c r="J2338">
        <v>80</v>
      </c>
      <c r="K2338">
        <v>60</v>
      </c>
      <c r="L2338">
        <v>120</v>
      </c>
      <c r="M2338">
        <v>42</v>
      </c>
      <c r="N2338">
        <v>771</v>
      </c>
      <c r="O2338">
        <v>61</v>
      </c>
      <c r="P2338">
        <v>11</v>
      </c>
      <c r="Q2338">
        <v>56</v>
      </c>
      <c r="R2338">
        <v>110</v>
      </c>
      <c r="S2338">
        <v>0.91666666666666663</v>
      </c>
      <c r="T2338">
        <v>0.93333333333333335</v>
      </c>
      <c r="U2338">
        <v>1.05</v>
      </c>
    </row>
    <row r="2339" spans="1:21" x14ac:dyDescent="0.35">
      <c r="A2339">
        <v>573</v>
      </c>
      <c r="B2339" s="16">
        <v>40575</v>
      </c>
      <c r="C2339" s="15" t="s">
        <v>37</v>
      </c>
      <c r="D2339" s="15" t="s">
        <v>58</v>
      </c>
      <c r="E2339" s="15" t="s">
        <v>43</v>
      </c>
      <c r="F2339" s="15" t="s">
        <v>40</v>
      </c>
      <c r="G2339" s="15" t="s">
        <v>60</v>
      </c>
      <c r="H2339" s="15" t="s">
        <v>42</v>
      </c>
      <c r="I2339">
        <v>90</v>
      </c>
      <c r="J2339">
        <v>110</v>
      </c>
      <c r="K2339">
        <v>50</v>
      </c>
      <c r="L2339">
        <v>200</v>
      </c>
      <c r="M2339">
        <v>86</v>
      </c>
      <c r="N2339">
        <v>484</v>
      </c>
      <c r="O2339">
        <v>107</v>
      </c>
      <c r="P2339">
        <v>32</v>
      </c>
      <c r="Q2339">
        <v>62</v>
      </c>
      <c r="R2339">
        <v>206</v>
      </c>
      <c r="S2339">
        <v>1.03</v>
      </c>
      <c r="T2339">
        <v>1.24</v>
      </c>
      <c r="U2339">
        <v>0.9555555555555556</v>
      </c>
    </row>
    <row r="2340" spans="1:21" x14ac:dyDescent="0.35">
      <c r="A2340">
        <v>636</v>
      </c>
      <c r="B2340" s="16">
        <v>40575</v>
      </c>
      <c r="C2340" s="15" t="s">
        <v>37</v>
      </c>
      <c r="D2340" s="15" t="s">
        <v>58</v>
      </c>
      <c r="E2340" s="15" t="s">
        <v>44</v>
      </c>
      <c r="F2340" s="15" t="s">
        <v>40</v>
      </c>
      <c r="G2340" s="15" t="s">
        <v>60</v>
      </c>
      <c r="H2340" s="15" t="s">
        <v>45</v>
      </c>
      <c r="I2340">
        <v>70</v>
      </c>
      <c r="J2340">
        <v>100</v>
      </c>
      <c r="K2340">
        <v>60</v>
      </c>
      <c r="L2340">
        <v>170</v>
      </c>
      <c r="M2340">
        <v>75</v>
      </c>
      <c r="N2340">
        <v>956</v>
      </c>
      <c r="O2340">
        <v>90</v>
      </c>
      <c r="P2340">
        <v>23</v>
      </c>
      <c r="Q2340">
        <v>68</v>
      </c>
      <c r="R2340">
        <v>176</v>
      </c>
      <c r="S2340">
        <v>1.0352941176470589</v>
      </c>
      <c r="T2340">
        <v>1.1333333333333333</v>
      </c>
      <c r="U2340">
        <v>1.0714285714285714</v>
      </c>
    </row>
    <row r="2341" spans="1:21" x14ac:dyDescent="0.35">
      <c r="A2341">
        <v>419</v>
      </c>
      <c r="B2341" s="16">
        <v>40575</v>
      </c>
      <c r="C2341" s="15" t="s">
        <v>37</v>
      </c>
      <c r="D2341" s="15" t="s">
        <v>38</v>
      </c>
      <c r="E2341" s="15" t="s">
        <v>51</v>
      </c>
      <c r="F2341" s="15" t="s">
        <v>52</v>
      </c>
      <c r="G2341" s="15" t="s">
        <v>61</v>
      </c>
      <c r="H2341" s="15" t="s">
        <v>45</v>
      </c>
      <c r="I2341">
        <v>10</v>
      </c>
      <c r="J2341">
        <v>30</v>
      </c>
      <c r="K2341">
        <v>30</v>
      </c>
      <c r="L2341">
        <v>40</v>
      </c>
      <c r="M2341">
        <v>22</v>
      </c>
      <c r="N2341">
        <v>452</v>
      </c>
      <c r="O2341">
        <v>34</v>
      </c>
      <c r="P2341">
        <v>6</v>
      </c>
      <c r="Q2341">
        <v>25</v>
      </c>
      <c r="R2341">
        <v>60</v>
      </c>
      <c r="S2341">
        <v>1.5</v>
      </c>
      <c r="T2341">
        <v>0.83333333333333337</v>
      </c>
      <c r="U2341">
        <v>2.2000000000000002</v>
      </c>
    </row>
    <row r="2342" spans="1:21" x14ac:dyDescent="0.35">
      <c r="A2342">
        <v>513</v>
      </c>
      <c r="B2342" s="16">
        <v>40575</v>
      </c>
      <c r="C2342" s="15" t="s">
        <v>37</v>
      </c>
      <c r="D2342" s="15" t="s">
        <v>38</v>
      </c>
      <c r="E2342" s="15" t="s">
        <v>53</v>
      </c>
      <c r="F2342" s="15" t="s">
        <v>52</v>
      </c>
      <c r="G2342" s="15" t="s">
        <v>61</v>
      </c>
      <c r="H2342" s="15" t="s">
        <v>45</v>
      </c>
      <c r="I2342">
        <v>20</v>
      </c>
      <c r="J2342">
        <v>50</v>
      </c>
      <c r="K2342">
        <v>50</v>
      </c>
      <c r="L2342">
        <v>70</v>
      </c>
      <c r="M2342">
        <v>32</v>
      </c>
      <c r="N2342">
        <v>817</v>
      </c>
      <c r="O2342">
        <v>48</v>
      </c>
      <c r="P2342">
        <v>8</v>
      </c>
      <c r="Q2342">
        <v>42</v>
      </c>
      <c r="R2342">
        <v>85</v>
      </c>
      <c r="S2342">
        <v>1.2142857142857142</v>
      </c>
      <c r="T2342">
        <v>0.84</v>
      </c>
      <c r="U2342">
        <v>1.6</v>
      </c>
    </row>
    <row r="2343" spans="1:21" x14ac:dyDescent="0.35">
      <c r="A2343">
        <v>614</v>
      </c>
      <c r="B2343" s="16">
        <v>40575</v>
      </c>
      <c r="C2343" s="15" t="s">
        <v>37</v>
      </c>
      <c r="D2343" s="15" t="s">
        <v>38</v>
      </c>
      <c r="E2343" s="15" t="s">
        <v>55</v>
      </c>
      <c r="F2343" s="15" t="s">
        <v>47</v>
      </c>
      <c r="G2343" s="15" t="s">
        <v>61</v>
      </c>
      <c r="H2343" s="15" t="s">
        <v>42</v>
      </c>
      <c r="I2343">
        <v>60</v>
      </c>
      <c r="J2343">
        <v>110</v>
      </c>
      <c r="K2343">
        <v>60</v>
      </c>
      <c r="L2343">
        <v>170</v>
      </c>
      <c r="M2343">
        <v>80</v>
      </c>
      <c r="N2343">
        <v>640</v>
      </c>
      <c r="O2343">
        <v>120</v>
      </c>
      <c r="P2343">
        <v>26</v>
      </c>
      <c r="Q2343">
        <v>92</v>
      </c>
      <c r="R2343">
        <v>213</v>
      </c>
      <c r="S2343">
        <v>1.2529411764705882</v>
      </c>
      <c r="T2343">
        <v>1.5333333333333334</v>
      </c>
      <c r="U2343">
        <v>1.3333333333333333</v>
      </c>
    </row>
    <row r="2344" spans="1:21" x14ac:dyDescent="0.35">
      <c r="A2344">
        <v>740</v>
      </c>
      <c r="B2344" s="16">
        <v>40575</v>
      </c>
      <c r="C2344" s="15" t="s">
        <v>37</v>
      </c>
      <c r="D2344" s="15" t="s">
        <v>38</v>
      </c>
      <c r="E2344" s="15" t="s">
        <v>56</v>
      </c>
      <c r="F2344" s="15" t="s">
        <v>47</v>
      </c>
      <c r="G2344" s="15" t="s">
        <v>61</v>
      </c>
      <c r="H2344" s="15" t="s">
        <v>42</v>
      </c>
      <c r="I2344">
        <v>70</v>
      </c>
      <c r="J2344">
        <v>110</v>
      </c>
      <c r="K2344">
        <v>70</v>
      </c>
      <c r="L2344">
        <v>180</v>
      </c>
      <c r="M2344">
        <v>86</v>
      </c>
      <c r="N2344">
        <v>490</v>
      </c>
      <c r="O2344">
        <v>120</v>
      </c>
      <c r="P2344">
        <v>26</v>
      </c>
      <c r="Q2344">
        <v>105</v>
      </c>
      <c r="R2344">
        <v>220</v>
      </c>
      <c r="S2344">
        <v>1.2222222222222223</v>
      </c>
      <c r="T2344">
        <v>1.5</v>
      </c>
      <c r="U2344">
        <v>1.2285714285714286</v>
      </c>
    </row>
    <row r="2345" spans="1:21" x14ac:dyDescent="0.35">
      <c r="A2345">
        <v>513</v>
      </c>
      <c r="B2345" s="16">
        <v>40575</v>
      </c>
      <c r="C2345" s="15" t="s">
        <v>37</v>
      </c>
      <c r="D2345" s="15" t="s">
        <v>38</v>
      </c>
      <c r="E2345" s="15" t="s">
        <v>48</v>
      </c>
      <c r="F2345" s="15" t="s">
        <v>49</v>
      </c>
      <c r="G2345" s="15" t="s">
        <v>61</v>
      </c>
      <c r="H2345" s="15" t="s">
        <v>42</v>
      </c>
      <c r="I2345">
        <v>190</v>
      </c>
      <c r="J2345">
        <v>210</v>
      </c>
      <c r="K2345">
        <v>140</v>
      </c>
      <c r="L2345">
        <v>400</v>
      </c>
      <c r="M2345">
        <v>170</v>
      </c>
      <c r="N2345">
        <v>1073</v>
      </c>
      <c r="O2345">
        <v>170</v>
      </c>
      <c r="P2345">
        <v>47</v>
      </c>
      <c r="Q2345">
        <v>145</v>
      </c>
      <c r="R2345">
        <v>362</v>
      </c>
      <c r="S2345">
        <v>0.90500000000000003</v>
      </c>
      <c r="T2345">
        <v>1.0357142857142858</v>
      </c>
      <c r="U2345">
        <v>0.89473684210526316</v>
      </c>
    </row>
    <row r="2346" spans="1:21" x14ac:dyDescent="0.35">
      <c r="A2346">
        <v>513</v>
      </c>
      <c r="B2346" s="16">
        <v>40575</v>
      </c>
      <c r="C2346" s="15" t="s">
        <v>37</v>
      </c>
      <c r="D2346" s="15" t="s">
        <v>38</v>
      </c>
      <c r="E2346" s="15" t="s">
        <v>50</v>
      </c>
      <c r="F2346" s="15" t="s">
        <v>49</v>
      </c>
      <c r="G2346" s="15" t="s">
        <v>61</v>
      </c>
      <c r="H2346" s="15" t="s">
        <v>45</v>
      </c>
      <c r="I2346">
        <v>60</v>
      </c>
      <c r="J2346">
        <v>90</v>
      </c>
      <c r="K2346">
        <v>40</v>
      </c>
      <c r="L2346">
        <v>150</v>
      </c>
      <c r="M2346">
        <v>59</v>
      </c>
      <c r="N2346">
        <v>331</v>
      </c>
      <c r="O2346">
        <v>73</v>
      </c>
      <c r="P2346">
        <v>22</v>
      </c>
      <c r="Q2346">
        <v>27</v>
      </c>
      <c r="R2346">
        <v>141</v>
      </c>
      <c r="S2346">
        <v>0.94</v>
      </c>
      <c r="T2346">
        <v>0.67500000000000004</v>
      </c>
      <c r="U2346">
        <v>0.98333333333333328</v>
      </c>
    </row>
    <row r="2347" spans="1:21" x14ac:dyDescent="0.35">
      <c r="A2347">
        <v>330</v>
      </c>
      <c r="B2347" s="16">
        <v>40575</v>
      </c>
      <c r="C2347" s="15" t="s">
        <v>37</v>
      </c>
      <c r="D2347" s="15" t="s">
        <v>38</v>
      </c>
      <c r="E2347" s="15" t="s">
        <v>39</v>
      </c>
      <c r="F2347" s="15" t="s">
        <v>40</v>
      </c>
      <c r="G2347" s="15" t="s">
        <v>61</v>
      </c>
      <c r="H2347" s="15" t="s">
        <v>42</v>
      </c>
      <c r="I2347">
        <v>60</v>
      </c>
      <c r="J2347">
        <v>80</v>
      </c>
      <c r="K2347">
        <v>50</v>
      </c>
      <c r="L2347">
        <v>140</v>
      </c>
      <c r="M2347">
        <v>60</v>
      </c>
      <c r="N2347">
        <v>329</v>
      </c>
      <c r="O2347">
        <v>80</v>
      </c>
      <c r="P2347">
        <v>19</v>
      </c>
      <c r="Q2347">
        <v>49</v>
      </c>
      <c r="R2347">
        <v>149</v>
      </c>
      <c r="S2347">
        <v>1.0642857142857143</v>
      </c>
      <c r="T2347">
        <v>0.98</v>
      </c>
      <c r="U2347">
        <v>1</v>
      </c>
    </row>
    <row r="2348" spans="1:21" x14ac:dyDescent="0.35">
      <c r="A2348">
        <v>330</v>
      </c>
      <c r="B2348" s="16">
        <v>40575</v>
      </c>
      <c r="C2348" s="15" t="s">
        <v>37</v>
      </c>
      <c r="D2348" s="15" t="s">
        <v>38</v>
      </c>
      <c r="E2348" s="15" t="s">
        <v>43</v>
      </c>
      <c r="F2348" s="15" t="s">
        <v>40</v>
      </c>
      <c r="G2348" s="15" t="s">
        <v>61</v>
      </c>
      <c r="H2348" s="15" t="s">
        <v>42</v>
      </c>
      <c r="I2348">
        <v>50</v>
      </c>
      <c r="J2348">
        <v>80</v>
      </c>
      <c r="K2348">
        <v>50</v>
      </c>
      <c r="L2348">
        <v>130</v>
      </c>
      <c r="M2348">
        <v>52</v>
      </c>
      <c r="N2348">
        <v>357</v>
      </c>
      <c r="O2348">
        <v>76</v>
      </c>
      <c r="P2348">
        <v>16</v>
      </c>
      <c r="Q2348">
        <v>56</v>
      </c>
      <c r="R2348">
        <v>136</v>
      </c>
      <c r="S2348">
        <v>1.0461538461538462</v>
      </c>
      <c r="T2348">
        <v>1.1200000000000001</v>
      </c>
      <c r="U2348">
        <v>1.04</v>
      </c>
    </row>
    <row r="2349" spans="1:21" x14ac:dyDescent="0.35">
      <c r="A2349">
        <v>513</v>
      </c>
      <c r="B2349" s="16">
        <v>40575</v>
      </c>
      <c r="C2349" s="15" t="s">
        <v>37</v>
      </c>
      <c r="D2349" s="15" t="s">
        <v>38</v>
      </c>
      <c r="E2349" s="15" t="s">
        <v>44</v>
      </c>
      <c r="F2349" s="15" t="s">
        <v>40</v>
      </c>
      <c r="G2349" s="15" t="s">
        <v>61</v>
      </c>
      <c r="H2349" s="15" t="s">
        <v>45</v>
      </c>
      <c r="I2349">
        <v>50</v>
      </c>
      <c r="J2349">
        <v>80</v>
      </c>
      <c r="K2349">
        <v>20</v>
      </c>
      <c r="L2349">
        <v>130</v>
      </c>
      <c r="M2349">
        <v>54</v>
      </c>
      <c r="N2349">
        <v>427</v>
      </c>
      <c r="O2349">
        <v>75</v>
      </c>
      <c r="P2349">
        <v>49</v>
      </c>
      <c r="Q2349">
        <v>-4</v>
      </c>
      <c r="R2349">
        <v>137</v>
      </c>
      <c r="S2349">
        <v>1.0538461538461539</v>
      </c>
      <c r="T2349">
        <v>-0.2</v>
      </c>
      <c r="U2349">
        <v>1.08</v>
      </c>
    </row>
    <row r="2350" spans="1:21" x14ac:dyDescent="0.35">
      <c r="A2350">
        <v>715</v>
      </c>
      <c r="B2350" s="16">
        <v>40575</v>
      </c>
      <c r="C2350" s="15" t="s">
        <v>37</v>
      </c>
      <c r="D2350" s="15" t="s">
        <v>58</v>
      </c>
      <c r="E2350" s="15" t="s">
        <v>51</v>
      </c>
      <c r="F2350" s="15" t="s">
        <v>52</v>
      </c>
      <c r="G2350" s="15" t="s">
        <v>62</v>
      </c>
      <c r="H2350" s="15" t="s">
        <v>45</v>
      </c>
      <c r="I2350">
        <v>50</v>
      </c>
      <c r="J2350">
        <v>100</v>
      </c>
      <c r="K2350">
        <v>80</v>
      </c>
      <c r="L2350">
        <v>150</v>
      </c>
      <c r="M2350">
        <v>65</v>
      </c>
      <c r="N2350">
        <v>372</v>
      </c>
      <c r="O2350">
        <v>109</v>
      </c>
      <c r="P2350">
        <v>20</v>
      </c>
      <c r="Q2350">
        <v>98</v>
      </c>
      <c r="R2350">
        <v>185</v>
      </c>
      <c r="S2350">
        <v>1.2333333333333334</v>
      </c>
      <c r="T2350">
        <v>1.2250000000000001</v>
      </c>
      <c r="U2350">
        <v>1.3</v>
      </c>
    </row>
    <row r="2351" spans="1:21" x14ac:dyDescent="0.35">
      <c r="A2351">
        <v>920</v>
      </c>
      <c r="B2351" s="16">
        <v>40575</v>
      </c>
      <c r="C2351" s="15" t="s">
        <v>37</v>
      </c>
      <c r="D2351" s="15" t="s">
        <v>58</v>
      </c>
      <c r="E2351" s="15" t="s">
        <v>53</v>
      </c>
      <c r="F2351" s="15" t="s">
        <v>52</v>
      </c>
      <c r="G2351" s="15" t="s">
        <v>62</v>
      </c>
      <c r="H2351" s="15" t="s">
        <v>45</v>
      </c>
      <c r="I2351">
        <v>40</v>
      </c>
      <c r="J2351">
        <v>60</v>
      </c>
      <c r="K2351">
        <v>50</v>
      </c>
      <c r="L2351">
        <v>100</v>
      </c>
      <c r="M2351">
        <v>47</v>
      </c>
      <c r="N2351">
        <v>772</v>
      </c>
      <c r="O2351">
        <v>68</v>
      </c>
      <c r="P2351">
        <v>13</v>
      </c>
      <c r="Q2351">
        <v>64</v>
      </c>
      <c r="R2351">
        <v>123</v>
      </c>
      <c r="S2351">
        <v>1.23</v>
      </c>
      <c r="T2351">
        <v>1.28</v>
      </c>
      <c r="U2351">
        <v>1.175</v>
      </c>
    </row>
    <row r="2352" spans="1:21" x14ac:dyDescent="0.35">
      <c r="A2352">
        <v>715</v>
      </c>
      <c r="B2352" s="16">
        <v>40575</v>
      </c>
      <c r="C2352" s="15" t="s">
        <v>37</v>
      </c>
      <c r="D2352" s="15" t="s">
        <v>58</v>
      </c>
      <c r="E2352" s="15" t="s">
        <v>55</v>
      </c>
      <c r="F2352" s="15" t="s">
        <v>47</v>
      </c>
      <c r="G2352" s="15" t="s">
        <v>62</v>
      </c>
      <c r="H2352" s="15" t="s">
        <v>42</v>
      </c>
      <c r="I2352">
        <v>40</v>
      </c>
      <c r="J2352">
        <v>80</v>
      </c>
      <c r="K2352">
        <v>50</v>
      </c>
      <c r="L2352">
        <v>120</v>
      </c>
      <c r="M2352">
        <v>56</v>
      </c>
      <c r="N2352">
        <v>382</v>
      </c>
      <c r="O2352">
        <v>81</v>
      </c>
      <c r="P2352">
        <v>17</v>
      </c>
      <c r="Q2352">
        <v>61</v>
      </c>
      <c r="R2352">
        <v>146</v>
      </c>
      <c r="S2352">
        <v>1.2166666666666666</v>
      </c>
      <c r="T2352">
        <v>1.22</v>
      </c>
      <c r="U2352">
        <v>1.4</v>
      </c>
    </row>
    <row r="2353" spans="1:21" x14ac:dyDescent="0.35">
      <c r="A2353">
        <v>920</v>
      </c>
      <c r="B2353" s="16">
        <v>40575</v>
      </c>
      <c r="C2353" s="15" t="s">
        <v>37</v>
      </c>
      <c r="D2353" s="15" t="s">
        <v>58</v>
      </c>
      <c r="E2353" s="15" t="s">
        <v>56</v>
      </c>
      <c r="F2353" s="15" t="s">
        <v>47</v>
      </c>
      <c r="G2353" s="15" t="s">
        <v>62</v>
      </c>
      <c r="H2353" s="15" t="s">
        <v>42</v>
      </c>
      <c r="I2353">
        <v>50</v>
      </c>
      <c r="J2353">
        <v>80</v>
      </c>
      <c r="K2353">
        <v>10</v>
      </c>
      <c r="L2353">
        <v>130</v>
      </c>
      <c r="M2353">
        <v>65</v>
      </c>
      <c r="N2353">
        <v>513</v>
      </c>
      <c r="O2353">
        <v>90</v>
      </c>
      <c r="P2353">
        <v>58</v>
      </c>
      <c r="Q2353">
        <v>4</v>
      </c>
      <c r="R2353">
        <v>165</v>
      </c>
      <c r="S2353">
        <v>1.2692307692307692</v>
      </c>
      <c r="T2353">
        <v>0.4</v>
      </c>
      <c r="U2353">
        <v>1.3</v>
      </c>
    </row>
    <row r="2354" spans="1:21" x14ac:dyDescent="0.35">
      <c r="A2354">
        <v>262</v>
      </c>
      <c r="B2354" s="16">
        <v>40575</v>
      </c>
      <c r="C2354" s="15" t="s">
        <v>37</v>
      </c>
      <c r="D2354" s="15" t="s">
        <v>58</v>
      </c>
      <c r="E2354" s="15" t="s">
        <v>48</v>
      </c>
      <c r="F2354" s="15" t="s">
        <v>49</v>
      </c>
      <c r="G2354" s="15" t="s">
        <v>62</v>
      </c>
      <c r="H2354" s="15" t="s">
        <v>42</v>
      </c>
      <c r="I2354">
        <v>80</v>
      </c>
      <c r="J2354">
        <v>100</v>
      </c>
      <c r="K2354">
        <v>60</v>
      </c>
      <c r="L2354">
        <v>180</v>
      </c>
      <c r="M2354">
        <v>70</v>
      </c>
      <c r="N2354">
        <v>957</v>
      </c>
      <c r="O2354">
        <v>84</v>
      </c>
      <c r="P2354">
        <v>21</v>
      </c>
      <c r="Q2354">
        <v>62</v>
      </c>
      <c r="R2354">
        <v>164</v>
      </c>
      <c r="S2354">
        <v>0.91111111111111109</v>
      </c>
      <c r="T2354">
        <v>1.0333333333333334</v>
      </c>
      <c r="U2354">
        <v>0.875</v>
      </c>
    </row>
    <row r="2355" spans="1:21" x14ac:dyDescent="0.35">
      <c r="A2355">
        <v>715</v>
      </c>
      <c r="B2355" s="16">
        <v>40575</v>
      </c>
      <c r="C2355" s="15" t="s">
        <v>37</v>
      </c>
      <c r="D2355" s="15" t="s">
        <v>58</v>
      </c>
      <c r="E2355" s="15" t="s">
        <v>50</v>
      </c>
      <c r="F2355" s="15" t="s">
        <v>49</v>
      </c>
      <c r="G2355" s="15" t="s">
        <v>62</v>
      </c>
      <c r="H2355" s="15" t="s">
        <v>45</v>
      </c>
      <c r="I2355">
        <v>50</v>
      </c>
      <c r="J2355">
        <v>70</v>
      </c>
      <c r="K2355">
        <v>50</v>
      </c>
      <c r="L2355">
        <v>120</v>
      </c>
      <c r="M2355">
        <v>48</v>
      </c>
      <c r="N2355">
        <v>617</v>
      </c>
      <c r="O2355">
        <v>62</v>
      </c>
      <c r="P2355">
        <v>15</v>
      </c>
      <c r="Q2355">
        <v>52</v>
      </c>
      <c r="R2355">
        <v>117</v>
      </c>
      <c r="S2355">
        <v>0.97499999999999998</v>
      </c>
      <c r="T2355">
        <v>1.04</v>
      </c>
      <c r="U2355">
        <v>0.96</v>
      </c>
    </row>
    <row r="2356" spans="1:21" x14ac:dyDescent="0.35">
      <c r="A2356">
        <v>715</v>
      </c>
      <c r="B2356" s="16">
        <v>40575</v>
      </c>
      <c r="C2356" s="15" t="s">
        <v>37</v>
      </c>
      <c r="D2356" s="15" t="s">
        <v>58</v>
      </c>
      <c r="E2356" s="15" t="s">
        <v>39</v>
      </c>
      <c r="F2356" s="15" t="s">
        <v>40</v>
      </c>
      <c r="G2356" s="15" t="s">
        <v>62</v>
      </c>
      <c r="H2356" s="15" t="s">
        <v>42</v>
      </c>
      <c r="I2356">
        <v>50</v>
      </c>
      <c r="J2356">
        <v>70</v>
      </c>
      <c r="K2356">
        <v>30</v>
      </c>
      <c r="L2356">
        <v>120</v>
      </c>
      <c r="M2356">
        <v>53</v>
      </c>
      <c r="N2356">
        <v>306</v>
      </c>
      <c r="O2356">
        <v>65</v>
      </c>
      <c r="P2356">
        <v>20</v>
      </c>
      <c r="Q2356">
        <v>18</v>
      </c>
      <c r="R2356">
        <v>126</v>
      </c>
      <c r="S2356">
        <v>1.05</v>
      </c>
      <c r="T2356">
        <v>0.6</v>
      </c>
      <c r="U2356">
        <v>1.06</v>
      </c>
    </row>
    <row r="2357" spans="1:21" x14ac:dyDescent="0.35">
      <c r="A2357">
        <v>715</v>
      </c>
      <c r="B2357" s="16">
        <v>40575</v>
      </c>
      <c r="C2357" s="15" t="s">
        <v>37</v>
      </c>
      <c r="D2357" s="15" t="s">
        <v>58</v>
      </c>
      <c r="E2357" s="15" t="s">
        <v>43</v>
      </c>
      <c r="F2357" s="15" t="s">
        <v>40</v>
      </c>
      <c r="G2357" s="15" t="s">
        <v>62</v>
      </c>
      <c r="H2357" s="15" t="s">
        <v>42</v>
      </c>
      <c r="I2357">
        <v>90</v>
      </c>
      <c r="J2357">
        <v>140</v>
      </c>
      <c r="K2357">
        <v>40</v>
      </c>
      <c r="L2357">
        <v>230</v>
      </c>
      <c r="M2357">
        <v>92</v>
      </c>
      <c r="N2357">
        <v>541</v>
      </c>
      <c r="O2357">
        <v>128</v>
      </c>
      <c r="P2357">
        <v>83</v>
      </c>
      <c r="Q2357">
        <v>22</v>
      </c>
      <c r="R2357">
        <v>234</v>
      </c>
      <c r="S2357">
        <v>1.017391304347826</v>
      </c>
      <c r="T2357">
        <v>0.55000000000000004</v>
      </c>
      <c r="U2357">
        <v>1.0222222222222221</v>
      </c>
    </row>
    <row r="2358" spans="1:21" x14ac:dyDescent="0.35">
      <c r="A2358">
        <v>262</v>
      </c>
      <c r="B2358" s="16">
        <v>40575</v>
      </c>
      <c r="C2358" s="15" t="s">
        <v>37</v>
      </c>
      <c r="D2358" s="15" t="s">
        <v>58</v>
      </c>
      <c r="E2358" s="15" t="s">
        <v>44</v>
      </c>
      <c r="F2358" s="15" t="s">
        <v>40</v>
      </c>
      <c r="G2358" s="15" t="s">
        <v>62</v>
      </c>
      <c r="H2358" s="15" t="s">
        <v>45</v>
      </c>
      <c r="I2358">
        <v>80</v>
      </c>
      <c r="J2358">
        <v>100</v>
      </c>
      <c r="K2358">
        <v>60</v>
      </c>
      <c r="L2358">
        <v>180</v>
      </c>
      <c r="M2358">
        <v>77</v>
      </c>
      <c r="N2358">
        <v>423</v>
      </c>
      <c r="O2358">
        <v>103</v>
      </c>
      <c r="P2358">
        <v>25</v>
      </c>
      <c r="Q2358">
        <v>74</v>
      </c>
      <c r="R2358">
        <v>192</v>
      </c>
      <c r="S2358">
        <v>1.0666666666666667</v>
      </c>
      <c r="T2358">
        <v>1.2333333333333334</v>
      </c>
      <c r="U2358">
        <v>0.96250000000000002</v>
      </c>
    </row>
    <row r="2359" spans="1:21" x14ac:dyDescent="0.35">
      <c r="A2359">
        <v>475</v>
      </c>
      <c r="B2359" s="16">
        <v>40575</v>
      </c>
      <c r="C2359" s="15" t="s">
        <v>63</v>
      </c>
      <c r="D2359" s="15" t="s">
        <v>58</v>
      </c>
      <c r="E2359" s="15" t="s">
        <v>53</v>
      </c>
      <c r="F2359" s="15" t="s">
        <v>52</v>
      </c>
      <c r="G2359" s="15" t="s">
        <v>64</v>
      </c>
      <c r="H2359" s="15" t="s">
        <v>45</v>
      </c>
      <c r="I2359">
        <v>60</v>
      </c>
      <c r="J2359">
        <v>90</v>
      </c>
      <c r="K2359">
        <v>50</v>
      </c>
      <c r="L2359">
        <v>150</v>
      </c>
      <c r="M2359">
        <v>86</v>
      </c>
      <c r="N2359">
        <v>484</v>
      </c>
      <c r="O2359">
        <v>107</v>
      </c>
      <c r="P2359">
        <v>32</v>
      </c>
      <c r="Q2359">
        <v>61</v>
      </c>
      <c r="R2359">
        <v>206</v>
      </c>
      <c r="S2359">
        <v>1.3733333333333333</v>
      </c>
      <c r="T2359">
        <v>1.22</v>
      </c>
      <c r="U2359">
        <v>1.4333333333333333</v>
      </c>
    </row>
    <row r="2360" spans="1:21" x14ac:dyDescent="0.35">
      <c r="A2360">
        <v>203</v>
      </c>
      <c r="B2360" s="16">
        <v>40575</v>
      </c>
      <c r="C2360" s="15" t="s">
        <v>63</v>
      </c>
      <c r="D2360" s="15" t="s">
        <v>58</v>
      </c>
      <c r="E2360" s="15" t="s">
        <v>54</v>
      </c>
      <c r="F2360" s="15" t="s">
        <v>52</v>
      </c>
      <c r="G2360" s="15" t="s">
        <v>64</v>
      </c>
      <c r="H2360" s="15" t="s">
        <v>45</v>
      </c>
      <c r="I2360">
        <v>50</v>
      </c>
      <c r="J2360">
        <v>70</v>
      </c>
      <c r="K2360">
        <v>50</v>
      </c>
      <c r="L2360">
        <v>120</v>
      </c>
      <c r="M2360">
        <v>75</v>
      </c>
      <c r="N2360">
        <v>956</v>
      </c>
      <c r="O2360">
        <v>90</v>
      </c>
      <c r="P2360">
        <v>23</v>
      </c>
      <c r="Q2360">
        <v>68</v>
      </c>
      <c r="R2360">
        <v>176</v>
      </c>
      <c r="S2360">
        <v>1.4666666666666666</v>
      </c>
      <c r="T2360">
        <v>1.36</v>
      </c>
      <c r="U2360">
        <v>1.5</v>
      </c>
    </row>
    <row r="2361" spans="1:21" x14ac:dyDescent="0.35">
      <c r="A2361">
        <v>475</v>
      </c>
      <c r="B2361" s="16">
        <v>40575</v>
      </c>
      <c r="C2361" s="15" t="s">
        <v>63</v>
      </c>
      <c r="D2361" s="15" t="s">
        <v>58</v>
      </c>
      <c r="E2361" s="15" t="s">
        <v>55</v>
      </c>
      <c r="F2361" s="15" t="s">
        <v>47</v>
      </c>
      <c r="G2361" s="15" t="s">
        <v>64</v>
      </c>
      <c r="H2361" s="15" t="s">
        <v>42</v>
      </c>
      <c r="I2361">
        <v>50</v>
      </c>
      <c r="J2361">
        <v>80</v>
      </c>
      <c r="K2361">
        <v>60</v>
      </c>
      <c r="L2361">
        <v>130</v>
      </c>
      <c r="M2361">
        <v>50</v>
      </c>
      <c r="N2361">
        <v>814</v>
      </c>
      <c r="O2361">
        <v>73</v>
      </c>
      <c r="P2361">
        <v>14</v>
      </c>
      <c r="Q2361">
        <v>71</v>
      </c>
      <c r="R2361">
        <v>131</v>
      </c>
      <c r="S2361">
        <v>1.0076923076923077</v>
      </c>
      <c r="T2361">
        <v>1.1833333333333333</v>
      </c>
      <c r="U2361">
        <v>1</v>
      </c>
    </row>
    <row r="2362" spans="1:21" x14ac:dyDescent="0.35">
      <c r="A2362">
        <v>959</v>
      </c>
      <c r="B2362" s="16">
        <v>40575</v>
      </c>
      <c r="C2362" s="15" t="s">
        <v>63</v>
      </c>
      <c r="D2362" s="15" t="s">
        <v>58</v>
      </c>
      <c r="E2362" s="15" t="s">
        <v>46</v>
      </c>
      <c r="F2362" s="15" t="s">
        <v>47</v>
      </c>
      <c r="G2362" s="15" t="s">
        <v>64</v>
      </c>
      <c r="H2362" s="15" t="s">
        <v>42</v>
      </c>
      <c r="I2362">
        <v>20</v>
      </c>
      <c r="J2362">
        <v>50</v>
      </c>
      <c r="K2362">
        <v>40</v>
      </c>
      <c r="L2362">
        <v>70</v>
      </c>
      <c r="M2362">
        <v>27</v>
      </c>
      <c r="N2362">
        <v>772</v>
      </c>
      <c r="O2362">
        <v>39</v>
      </c>
      <c r="P2362">
        <v>7</v>
      </c>
      <c r="Q2362">
        <v>31</v>
      </c>
      <c r="R2362">
        <v>70</v>
      </c>
      <c r="S2362">
        <v>1</v>
      </c>
      <c r="T2362">
        <v>0.77500000000000002</v>
      </c>
      <c r="U2362">
        <v>1.35</v>
      </c>
    </row>
    <row r="2363" spans="1:21" x14ac:dyDescent="0.35">
      <c r="A2363">
        <v>203</v>
      </c>
      <c r="B2363" s="16">
        <v>40575</v>
      </c>
      <c r="C2363" s="15" t="s">
        <v>63</v>
      </c>
      <c r="D2363" s="15" t="s">
        <v>58</v>
      </c>
      <c r="E2363" s="15" t="s">
        <v>48</v>
      </c>
      <c r="F2363" s="15" t="s">
        <v>49</v>
      </c>
      <c r="G2363" s="15" t="s">
        <v>64</v>
      </c>
      <c r="H2363" s="15" t="s">
        <v>42</v>
      </c>
      <c r="I2363">
        <v>60</v>
      </c>
      <c r="J2363">
        <v>90</v>
      </c>
      <c r="K2363">
        <v>20</v>
      </c>
      <c r="L2363">
        <v>150</v>
      </c>
      <c r="M2363">
        <v>65</v>
      </c>
      <c r="N2363">
        <v>513</v>
      </c>
      <c r="O2363">
        <v>90</v>
      </c>
      <c r="P2363">
        <v>58</v>
      </c>
      <c r="Q2363">
        <v>4</v>
      </c>
      <c r="R2363">
        <v>165</v>
      </c>
      <c r="S2363">
        <v>1.1000000000000001</v>
      </c>
      <c r="T2363">
        <v>0.2</v>
      </c>
      <c r="U2363">
        <v>1.0833333333333333</v>
      </c>
    </row>
    <row r="2364" spans="1:21" x14ac:dyDescent="0.35">
      <c r="A2364">
        <v>959</v>
      </c>
      <c r="B2364" s="16">
        <v>40575</v>
      </c>
      <c r="C2364" s="15" t="s">
        <v>63</v>
      </c>
      <c r="D2364" s="15" t="s">
        <v>58</v>
      </c>
      <c r="E2364" s="15" t="s">
        <v>50</v>
      </c>
      <c r="F2364" s="15" t="s">
        <v>49</v>
      </c>
      <c r="G2364" s="15" t="s">
        <v>64</v>
      </c>
      <c r="H2364" s="15" t="s">
        <v>45</v>
      </c>
      <c r="I2364">
        <v>50</v>
      </c>
      <c r="J2364">
        <v>70</v>
      </c>
      <c r="K2364">
        <v>40</v>
      </c>
      <c r="L2364">
        <v>120</v>
      </c>
      <c r="M2364">
        <v>55</v>
      </c>
      <c r="N2364">
        <v>305</v>
      </c>
      <c r="O2364">
        <v>75</v>
      </c>
      <c r="P2364">
        <v>18</v>
      </c>
      <c r="Q2364">
        <v>43</v>
      </c>
      <c r="R2364">
        <v>139</v>
      </c>
      <c r="S2364">
        <v>1.1583333333333334</v>
      </c>
      <c r="T2364">
        <v>1.075</v>
      </c>
      <c r="U2364">
        <v>1.1000000000000001</v>
      </c>
    </row>
    <row r="2365" spans="1:21" x14ac:dyDescent="0.35">
      <c r="A2365">
        <v>860</v>
      </c>
      <c r="B2365" s="16">
        <v>40575</v>
      </c>
      <c r="C2365" s="15" t="s">
        <v>63</v>
      </c>
      <c r="D2365" s="15" t="s">
        <v>58</v>
      </c>
      <c r="E2365" s="15" t="s">
        <v>43</v>
      </c>
      <c r="F2365" s="15" t="s">
        <v>40</v>
      </c>
      <c r="G2365" s="15" t="s">
        <v>64</v>
      </c>
      <c r="H2365" s="15" t="s">
        <v>42</v>
      </c>
      <c r="I2365">
        <v>120</v>
      </c>
      <c r="J2365">
        <v>180</v>
      </c>
      <c r="K2365">
        <v>130</v>
      </c>
      <c r="L2365">
        <v>300</v>
      </c>
      <c r="M2365">
        <v>130</v>
      </c>
      <c r="N2365">
        <v>945</v>
      </c>
      <c r="O2365">
        <v>195</v>
      </c>
      <c r="P2365">
        <v>42</v>
      </c>
      <c r="Q2365">
        <v>180</v>
      </c>
      <c r="R2365">
        <v>346</v>
      </c>
      <c r="S2365">
        <v>1.1533333333333333</v>
      </c>
      <c r="T2365">
        <v>1.3846153846153846</v>
      </c>
      <c r="U2365">
        <v>1.0833333333333333</v>
      </c>
    </row>
    <row r="2366" spans="1:21" x14ac:dyDescent="0.35">
      <c r="A2366">
        <v>754</v>
      </c>
      <c r="B2366" s="16">
        <v>40575</v>
      </c>
      <c r="C2366" s="15" t="s">
        <v>63</v>
      </c>
      <c r="D2366" s="15" t="s">
        <v>38</v>
      </c>
      <c r="E2366" s="15" t="s">
        <v>51</v>
      </c>
      <c r="F2366" s="15" t="s">
        <v>52</v>
      </c>
      <c r="G2366" s="15" t="s">
        <v>65</v>
      </c>
      <c r="H2366" s="15" t="s">
        <v>45</v>
      </c>
      <c r="I2366">
        <v>30</v>
      </c>
      <c r="J2366">
        <v>50</v>
      </c>
      <c r="K2366">
        <v>30</v>
      </c>
      <c r="L2366">
        <v>80</v>
      </c>
      <c r="M2366">
        <v>48</v>
      </c>
      <c r="N2366">
        <v>617</v>
      </c>
      <c r="O2366">
        <v>62</v>
      </c>
      <c r="P2366">
        <v>15</v>
      </c>
      <c r="Q2366">
        <v>50</v>
      </c>
      <c r="R2366">
        <v>117</v>
      </c>
      <c r="S2366">
        <v>1.4624999999999999</v>
      </c>
      <c r="T2366">
        <v>1.6666666666666667</v>
      </c>
      <c r="U2366">
        <v>1.6</v>
      </c>
    </row>
    <row r="2367" spans="1:21" x14ac:dyDescent="0.35">
      <c r="A2367">
        <v>904</v>
      </c>
      <c r="B2367" s="16">
        <v>40575</v>
      </c>
      <c r="C2367" s="15" t="s">
        <v>63</v>
      </c>
      <c r="D2367" s="15" t="s">
        <v>38</v>
      </c>
      <c r="E2367" s="15" t="s">
        <v>53</v>
      </c>
      <c r="F2367" s="15" t="s">
        <v>52</v>
      </c>
      <c r="G2367" s="15" t="s">
        <v>65</v>
      </c>
      <c r="H2367" s="15" t="s">
        <v>45</v>
      </c>
      <c r="I2367">
        <v>40</v>
      </c>
      <c r="J2367">
        <v>50</v>
      </c>
      <c r="K2367">
        <v>20</v>
      </c>
      <c r="L2367">
        <v>90</v>
      </c>
      <c r="M2367">
        <v>53</v>
      </c>
      <c r="N2367">
        <v>306</v>
      </c>
      <c r="O2367">
        <v>65</v>
      </c>
      <c r="P2367">
        <v>20</v>
      </c>
      <c r="Q2367">
        <v>18</v>
      </c>
      <c r="R2367">
        <v>126</v>
      </c>
      <c r="S2367">
        <v>1.4</v>
      </c>
      <c r="T2367">
        <v>0.9</v>
      </c>
      <c r="U2367">
        <v>1.325</v>
      </c>
    </row>
    <row r="2368" spans="1:21" x14ac:dyDescent="0.35">
      <c r="A2368">
        <v>352</v>
      </c>
      <c r="B2368" s="16">
        <v>40575</v>
      </c>
      <c r="C2368" s="15" t="s">
        <v>63</v>
      </c>
      <c r="D2368" s="15" t="s">
        <v>38</v>
      </c>
      <c r="E2368" s="15" t="s">
        <v>54</v>
      </c>
      <c r="F2368" s="15" t="s">
        <v>52</v>
      </c>
      <c r="G2368" s="15" t="s">
        <v>65</v>
      </c>
      <c r="H2368" s="15" t="s">
        <v>45</v>
      </c>
      <c r="I2368">
        <v>50</v>
      </c>
      <c r="J2368">
        <v>70</v>
      </c>
      <c r="K2368">
        <v>50</v>
      </c>
      <c r="L2368">
        <v>120</v>
      </c>
      <c r="M2368">
        <v>70</v>
      </c>
      <c r="N2368">
        <v>957</v>
      </c>
      <c r="O2368">
        <v>84</v>
      </c>
      <c r="P2368">
        <v>21</v>
      </c>
      <c r="Q2368">
        <v>62</v>
      </c>
      <c r="R2368">
        <v>164</v>
      </c>
      <c r="S2368">
        <v>1.3666666666666667</v>
      </c>
      <c r="T2368">
        <v>1.24</v>
      </c>
      <c r="U2368">
        <v>1.4</v>
      </c>
    </row>
    <row r="2369" spans="1:21" x14ac:dyDescent="0.35">
      <c r="A2369">
        <v>850</v>
      </c>
      <c r="B2369" s="16">
        <v>40575</v>
      </c>
      <c r="C2369" s="15" t="s">
        <v>63</v>
      </c>
      <c r="D2369" s="15" t="s">
        <v>38</v>
      </c>
      <c r="E2369" s="15" t="s">
        <v>55</v>
      </c>
      <c r="F2369" s="15" t="s">
        <v>47</v>
      </c>
      <c r="G2369" s="15" t="s">
        <v>65</v>
      </c>
      <c r="H2369" s="15" t="s">
        <v>42</v>
      </c>
      <c r="I2369">
        <v>30</v>
      </c>
      <c r="J2369">
        <v>50</v>
      </c>
      <c r="K2369">
        <v>40</v>
      </c>
      <c r="L2369">
        <v>80</v>
      </c>
      <c r="M2369">
        <v>32</v>
      </c>
      <c r="N2369">
        <v>817</v>
      </c>
      <c r="O2369">
        <v>48</v>
      </c>
      <c r="P2369">
        <v>8</v>
      </c>
      <c r="Q2369">
        <v>42</v>
      </c>
      <c r="R2369">
        <v>85</v>
      </c>
      <c r="S2369">
        <v>1.0625</v>
      </c>
      <c r="T2369">
        <v>1.05</v>
      </c>
      <c r="U2369">
        <v>1.0666666666666667</v>
      </c>
    </row>
    <row r="2370" spans="1:21" x14ac:dyDescent="0.35">
      <c r="A2370">
        <v>850</v>
      </c>
      <c r="B2370" s="16">
        <v>40575</v>
      </c>
      <c r="C2370" s="15" t="s">
        <v>63</v>
      </c>
      <c r="D2370" s="15" t="s">
        <v>38</v>
      </c>
      <c r="E2370" s="15" t="s">
        <v>46</v>
      </c>
      <c r="F2370" s="15" t="s">
        <v>47</v>
      </c>
      <c r="G2370" s="15" t="s">
        <v>65</v>
      </c>
      <c r="H2370" s="15" t="s">
        <v>42</v>
      </c>
      <c r="I2370">
        <v>40</v>
      </c>
      <c r="J2370">
        <v>80</v>
      </c>
      <c r="K2370">
        <v>60</v>
      </c>
      <c r="L2370">
        <v>120</v>
      </c>
      <c r="M2370">
        <v>47</v>
      </c>
      <c r="N2370">
        <v>772</v>
      </c>
      <c r="O2370">
        <v>68</v>
      </c>
      <c r="P2370">
        <v>13</v>
      </c>
      <c r="Q2370">
        <v>65</v>
      </c>
      <c r="R2370">
        <v>123</v>
      </c>
      <c r="S2370">
        <v>1.0249999999999999</v>
      </c>
      <c r="T2370">
        <v>1.0833333333333333</v>
      </c>
      <c r="U2370">
        <v>1.175</v>
      </c>
    </row>
    <row r="2371" spans="1:21" x14ac:dyDescent="0.35">
      <c r="A2371">
        <v>850</v>
      </c>
      <c r="B2371" s="16">
        <v>40575</v>
      </c>
      <c r="C2371" s="15" t="s">
        <v>63</v>
      </c>
      <c r="D2371" s="15" t="s">
        <v>38</v>
      </c>
      <c r="E2371" s="15" t="s">
        <v>48</v>
      </c>
      <c r="F2371" s="15" t="s">
        <v>49</v>
      </c>
      <c r="G2371" s="15" t="s">
        <v>65</v>
      </c>
      <c r="H2371" s="15" t="s">
        <v>42</v>
      </c>
      <c r="I2371">
        <v>80</v>
      </c>
      <c r="J2371">
        <v>130</v>
      </c>
      <c r="K2371">
        <v>40</v>
      </c>
      <c r="L2371">
        <v>210</v>
      </c>
      <c r="M2371">
        <v>92</v>
      </c>
      <c r="N2371">
        <v>541</v>
      </c>
      <c r="O2371">
        <v>128</v>
      </c>
      <c r="P2371">
        <v>83</v>
      </c>
      <c r="Q2371">
        <v>24</v>
      </c>
      <c r="R2371">
        <v>234</v>
      </c>
      <c r="S2371">
        <v>1.1142857142857143</v>
      </c>
      <c r="T2371">
        <v>0.6</v>
      </c>
      <c r="U2371">
        <v>1.1499999999999999</v>
      </c>
    </row>
    <row r="2372" spans="1:21" x14ac:dyDescent="0.35">
      <c r="A2372">
        <v>352</v>
      </c>
      <c r="B2372" s="16">
        <v>40575</v>
      </c>
      <c r="C2372" s="15" t="s">
        <v>63</v>
      </c>
      <c r="D2372" s="15" t="s">
        <v>38</v>
      </c>
      <c r="E2372" s="15" t="s">
        <v>50</v>
      </c>
      <c r="F2372" s="15" t="s">
        <v>49</v>
      </c>
      <c r="G2372" s="15" t="s">
        <v>65</v>
      </c>
      <c r="H2372" s="15" t="s">
        <v>45</v>
      </c>
      <c r="I2372">
        <v>70</v>
      </c>
      <c r="J2372">
        <v>100</v>
      </c>
      <c r="K2372">
        <v>60</v>
      </c>
      <c r="L2372">
        <v>170</v>
      </c>
      <c r="M2372">
        <v>77</v>
      </c>
      <c r="N2372">
        <v>423</v>
      </c>
      <c r="O2372">
        <v>103</v>
      </c>
      <c r="P2372">
        <v>25</v>
      </c>
      <c r="Q2372">
        <v>76</v>
      </c>
      <c r="R2372">
        <v>192</v>
      </c>
      <c r="S2372">
        <v>1.1294117647058823</v>
      </c>
      <c r="T2372">
        <v>1.2666666666666666</v>
      </c>
      <c r="U2372">
        <v>1.1000000000000001</v>
      </c>
    </row>
    <row r="2373" spans="1:21" x14ac:dyDescent="0.35">
      <c r="A2373">
        <v>561</v>
      </c>
      <c r="B2373" s="16">
        <v>40575</v>
      </c>
      <c r="C2373" s="15" t="s">
        <v>63</v>
      </c>
      <c r="D2373" s="15" t="s">
        <v>38</v>
      </c>
      <c r="E2373" s="15" t="s">
        <v>43</v>
      </c>
      <c r="F2373" s="15" t="s">
        <v>40</v>
      </c>
      <c r="G2373" s="15" t="s">
        <v>65</v>
      </c>
      <c r="H2373" s="15" t="s">
        <v>42</v>
      </c>
      <c r="I2373">
        <v>70</v>
      </c>
      <c r="J2373">
        <v>120</v>
      </c>
      <c r="K2373">
        <v>80</v>
      </c>
      <c r="L2373">
        <v>190</v>
      </c>
      <c r="M2373">
        <v>80</v>
      </c>
      <c r="N2373">
        <v>640</v>
      </c>
      <c r="O2373">
        <v>120</v>
      </c>
      <c r="P2373">
        <v>26</v>
      </c>
      <c r="Q2373">
        <v>93</v>
      </c>
      <c r="R2373">
        <v>213</v>
      </c>
      <c r="S2373">
        <v>1.1210526315789473</v>
      </c>
      <c r="T2373">
        <v>1.1625000000000001</v>
      </c>
      <c r="U2373">
        <v>1.1428571428571428</v>
      </c>
    </row>
    <row r="2374" spans="1:21" x14ac:dyDescent="0.35">
      <c r="A2374">
        <v>352</v>
      </c>
      <c r="B2374" s="16">
        <v>40575</v>
      </c>
      <c r="C2374" s="15" t="s">
        <v>63</v>
      </c>
      <c r="D2374" s="15" t="s">
        <v>38</v>
      </c>
      <c r="E2374" s="15" t="s">
        <v>44</v>
      </c>
      <c r="F2374" s="15" t="s">
        <v>40</v>
      </c>
      <c r="G2374" s="15" t="s">
        <v>65</v>
      </c>
      <c r="H2374" s="15" t="s">
        <v>45</v>
      </c>
      <c r="I2374">
        <v>80</v>
      </c>
      <c r="J2374">
        <v>110</v>
      </c>
      <c r="K2374">
        <v>70</v>
      </c>
      <c r="L2374">
        <v>190</v>
      </c>
      <c r="M2374">
        <v>86</v>
      </c>
      <c r="N2374">
        <v>490</v>
      </c>
      <c r="O2374">
        <v>120</v>
      </c>
      <c r="P2374">
        <v>26</v>
      </c>
      <c r="Q2374">
        <v>105</v>
      </c>
      <c r="R2374">
        <v>220</v>
      </c>
      <c r="S2374">
        <v>1.1578947368421053</v>
      </c>
      <c r="T2374">
        <v>1.5</v>
      </c>
      <c r="U2374">
        <v>1.075</v>
      </c>
    </row>
    <row r="2375" spans="1:21" x14ac:dyDescent="0.35">
      <c r="A2375">
        <v>508</v>
      </c>
      <c r="B2375" s="16">
        <v>40575</v>
      </c>
      <c r="C2375" s="15" t="s">
        <v>63</v>
      </c>
      <c r="D2375" s="15" t="s">
        <v>38</v>
      </c>
      <c r="E2375" s="15" t="s">
        <v>53</v>
      </c>
      <c r="F2375" s="15" t="s">
        <v>52</v>
      </c>
      <c r="G2375" s="15" t="s">
        <v>66</v>
      </c>
      <c r="H2375" s="15" t="s">
        <v>45</v>
      </c>
      <c r="I2375">
        <v>40</v>
      </c>
      <c r="J2375">
        <v>60</v>
      </c>
      <c r="K2375">
        <v>30</v>
      </c>
      <c r="L2375">
        <v>100</v>
      </c>
      <c r="M2375">
        <v>59</v>
      </c>
      <c r="N2375">
        <v>331</v>
      </c>
      <c r="O2375">
        <v>73</v>
      </c>
      <c r="P2375">
        <v>22</v>
      </c>
      <c r="Q2375">
        <v>27</v>
      </c>
      <c r="R2375">
        <v>141</v>
      </c>
      <c r="S2375">
        <v>1.41</v>
      </c>
      <c r="T2375">
        <v>0.9</v>
      </c>
      <c r="U2375">
        <v>1.4750000000000001</v>
      </c>
    </row>
    <row r="2376" spans="1:21" x14ac:dyDescent="0.35">
      <c r="A2376">
        <v>508</v>
      </c>
      <c r="B2376" s="16">
        <v>40575</v>
      </c>
      <c r="C2376" s="15" t="s">
        <v>63</v>
      </c>
      <c r="D2376" s="15" t="s">
        <v>38</v>
      </c>
      <c r="E2376" s="15" t="s">
        <v>55</v>
      </c>
      <c r="F2376" s="15" t="s">
        <v>47</v>
      </c>
      <c r="G2376" s="15" t="s">
        <v>66</v>
      </c>
      <c r="H2376" s="15" t="s">
        <v>42</v>
      </c>
      <c r="I2376">
        <v>30</v>
      </c>
      <c r="J2376">
        <v>50</v>
      </c>
      <c r="K2376">
        <v>40</v>
      </c>
      <c r="L2376">
        <v>80</v>
      </c>
      <c r="M2376">
        <v>32</v>
      </c>
      <c r="N2376">
        <v>817</v>
      </c>
      <c r="O2376">
        <v>48</v>
      </c>
      <c r="P2376">
        <v>8</v>
      </c>
      <c r="Q2376">
        <v>42</v>
      </c>
      <c r="R2376">
        <v>85</v>
      </c>
      <c r="S2376">
        <v>1.0625</v>
      </c>
      <c r="T2376">
        <v>1.05</v>
      </c>
      <c r="U2376">
        <v>1.0666666666666667</v>
      </c>
    </row>
    <row r="2377" spans="1:21" x14ac:dyDescent="0.35">
      <c r="A2377">
        <v>978</v>
      </c>
      <c r="B2377" s="16">
        <v>40575</v>
      </c>
      <c r="C2377" s="15" t="s">
        <v>63</v>
      </c>
      <c r="D2377" s="15" t="s">
        <v>38</v>
      </c>
      <c r="E2377" s="15" t="s">
        <v>46</v>
      </c>
      <c r="F2377" s="15" t="s">
        <v>47</v>
      </c>
      <c r="G2377" s="15" t="s">
        <v>66</v>
      </c>
      <c r="H2377" s="15" t="s">
        <v>42</v>
      </c>
      <c r="I2377">
        <v>20</v>
      </c>
      <c r="J2377">
        <v>40</v>
      </c>
      <c r="K2377">
        <v>30</v>
      </c>
      <c r="L2377">
        <v>60</v>
      </c>
      <c r="M2377">
        <v>22</v>
      </c>
      <c r="N2377">
        <v>452</v>
      </c>
      <c r="O2377">
        <v>34</v>
      </c>
      <c r="P2377">
        <v>6</v>
      </c>
      <c r="Q2377">
        <v>25</v>
      </c>
      <c r="R2377">
        <v>60</v>
      </c>
      <c r="S2377">
        <v>1</v>
      </c>
      <c r="T2377">
        <v>0.83333333333333337</v>
      </c>
      <c r="U2377">
        <v>1.1000000000000001</v>
      </c>
    </row>
    <row r="2378" spans="1:21" x14ac:dyDescent="0.35">
      <c r="A2378">
        <v>774</v>
      </c>
      <c r="B2378" s="16">
        <v>40575</v>
      </c>
      <c r="C2378" s="15" t="s">
        <v>63</v>
      </c>
      <c r="D2378" s="15" t="s">
        <v>38</v>
      </c>
      <c r="E2378" s="15" t="s">
        <v>48</v>
      </c>
      <c r="F2378" s="15" t="s">
        <v>49</v>
      </c>
      <c r="G2378" s="15" t="s">
        <v>66</v>
      </c>
      <c r="H2378" s="15" t="s">
        <v>42</v>
      </c>
      <c r="I2378">
        <v>50</v>
      </c>
      <c r="J2378">
        <v>70</v>
      </c>
      <c r="K2378">
        <v>10</v>
      </c>
      <c r="L2378">
        <v>120</v>
      </c>
      <c r="M2378">
        <v>54</v>
      </c>
      <c r="N2378">
        <v>451</v>
      </c>
      <c r="O2378">
        <v>74</v>
      </c>
      <c r="P2378">
        <v>49</v>
      </c>
      <c r="Q2378">
        <v>-6</v>
      </c>
      <c r="R2378">
        <v>136</v>
      </c>
      <c r="S2378">
        <v>1.1333333333333333</v>
      </c>
      <c r="T2378">
        <v>-0.6</v>
      </c>
      <c r="U2378">
        <v>1.08</v>
      </c>
    </row>
    <row r="2379" spans="1:21" x14ac:dyDescent="0.35">
      <c r="A2379">
        <v>774</v>
      </c>
      <c r="B2379" s="16">
        <v>40575</v>
      </c>
      <c r="C2379" s="15" t="s">
        <v>63</v>
      </c>
      <c r="D2379" s="15" t="s">
        <v>38</v>
      </c>
      <c r="E2379" s="15" t="s">
        <v>67</v>
      </c>
      <c r="F2379" s="15" t="s">
        <v>49</v>
      </c>
      <c r="G2379" s="15" t="s">
        <v>66</v>
      </c>
      <c r="H2379" s="15" t="s">
        <v>42</v>
      </c>
      <c r="I2379">
        <v>160</v>
      </c>
      <c r="J2379">
        <v>170</v>
      </c>
      <c r="K2379">
        <v>110</v>
      </c>
      <c r="L2379">
        <v>330</v>
      </c>
      <c r="M2379">
        <v>170</v>
      </c>
      <c r="N2379">
        <v>1073</v>
      </c>
      <c r="O2379">
        <v>170</v>
      </c>
      <c r="P2379">
        <v>47</v>
      </c>
      <c r="Q2379">
        <v>147</v>
      </c>
      <c r="R2379">
        <v>362</v>
      </c>
      <c r="S2379">
        <v>1.0969696969696969</v>
      </c>
      <c r="T2379">
        <v>1.3363636363636364</v>
      </c>
      <c r="U2379">
        <v>1.0625</v>
      </c>
    </row>
    <row r="2380" spans="1:21" x14ac:dyDescent="0.35">
      <c r="A2380">
        <v>857</v>
      </c>
      <c r="B2380" s="16">
        <v>40575</v>
      </c>
      <c r="C2380" s="15" t="s">
        <v>63</v>
      </c>
      <c r="D2380" s="15" t="s">
        <v>38</v>
      </c>
      <c r="E2380" s="15" t="s">
        <v>43</v>
      </c>
      <c r="F2380" s="15" t="s">
        <v>40</v>
      </c>
      <c r="G2380" s="15" t="s">
        <v>66</v>
      </c>
      <c r="H2380" s="15" t="s">
        <v>42</v>
      </c>
      <c r="I2380">
        <v>70</v>
      </c>
      <c r="J2380">
        <v>370</v>
      </c>
      <c r="K2380">
        <v>330</v>
      </c>
      <c r="L2380">
        <v>440</v>
      </c>
      <c r="M2380">
        <v>75</v>
      </c>
      <c r="N2380">
        <v>235</v>
      </c>
      <c r="O2380">
        <v>395</v>
      </c>
      <c r="P2380">
        <v>24</v>
      </c>
      <c r="Q2380">
        <v>505</v>
      </c>
      <c r="R2380">
        <v>501</v>
      </c>
      <c r="S2380">
        <v>1.1386363636363637</v>
      </c>
      <c r="T2380">
        <v>1.5303030303030303</v>
      </c>
      <c r="U2380">
        <v>1.0714285714285714</v>
      </c>
    </row>
    <row r="2381" spans="1:21" x14ac:dyDescent="0.35">
      <c r="A2381">
        <v>603</v>
      </c>
      <c r="B2381" s="16">
        <v>40575</v>
      </c>
      <c r="C2381" s="15" t="s">
        <v>63</v>
      </c>
      <c r="D2381" s="15" t="s">
        <v>58</v>
      </c>
      <c r="E2381" s="15" t="s">
        <v>53</v>
      </c>
      <c r="F2381" s="15" t="s">
        <v>52</v>
      </c>
      <c r="G2381" s="15" t="s">
        <v>68</v>
      </c>
      <c r="H2381" s="15" t="s">
        <v>45</v>
      </c>
      <c r="I2381">
        <v>20</v>
      </c>
      <c r="J2381">
        <v>30</v>
      </c>
      <c r="K2381">
        <v>0</v>
      </c>
      <c r="L2381">
        <v>50</v>
      </c>
      <c r="M2381">
        <v>33</v>
      </c>
      <c r="N2381">
        <v>193</v>
      </c>
      <c r="O2381">
        <v>41</v>
      </c>
      <c r="P2381">
        <v>12</v>
      </c>
      <c r="Q2381">
        <v>-6</v>
      </c>
      <c r="R2381">
        <v>79</v>
      </c>
      <c r="S2381">
        <v>1.58</v>
      </c>
      <c r="U2381">
        <v>1.65</v>
      </c>
    </row>
    <row r="2382" spans="1:21" x14ac:dyDescent="0.35">
      <c r="A2382">
        <v>603</v>
      </c>
      <c r="B2382" s="16">
        <v>40575</v>
      </c>
      <c r="C2382" s="15" t="s">
        <v>63</v>
      </c>
      <c r="D2382" s="15" t="s">
        <v>58</v>
      </c>
      <c r="E2382" s="15" t="s">
        <v>55</v>
      </c>
      <c r="F2382" s="15" t="s">
        <v>47</v>
      </c>
      <c r="G2382" s="15" t="s">
        <v>68</v>
      </c>
      <c r="H2382" s="15" t="s">
        <v>42</v>
      </c>
      <c r="I2382">
        <v>10</v>
      </c>
      <c r="J2382">
        <v>30</v>
      </c>
      <c r="K2382">
        <v>20</v>
      </c>
      <c r="L2382">
        <v>40</v>
      </c>
      <c r="M2382">
        <v>18</v>
      </c>
      <c r="N2382">
        <v>818</v>
      </c>
      <c r="O2382">
        <v>27</v>
      </c>
      <c r="P2382">
        <v>5</v>
      </c>
      <c r="Q2382">
        <v>16</v>
      </c>
      <c r="R2382">
        <v>48</v>
      </c>
      <c r="S2382">
        <v>1.2</v>
      </c>
      <c r="T2382">
        <v>0.8</v>
      </c>
      <c r="U2382">
        <v>1.8</v>
      </c>
    </row>
    <row r="2383" spans="1:21" x14ac:dyDescent="0.35">
      <c r="A2383">
        <v>603</v>
      </c>
      <c r="B2383" s="16">
        <v>40575</v>
      </c>
      <c r="C2383" s="15" t="s">
        <v>63</v>
      </c>
      <c r="D2383" s="15" t="s">
        <v>58</v>
      </c>
      <c r="E2383" s="15" t="s">
        <v>46</v>
      </c>
      <c r="F2383" s="15" t="s">
        <v>47</v>
      </c>
      <c r="G2383" s="15" t="s">
        <v>68</v>
      </c>
      <c r="H2383" s="15" t="s">
        <v>42</v>
      </c>
      <c r="I2383">
        <v>0</v>
      </c>
      <c r="J2383">
        <v>40</v>
      </c>
      <c r="K2383">
        <v>30</v>
      </c>
      <c r="L2383">
        <v>40</v>
      </c>
      <c r="M2383">
        <v>0</v>
      </c>
      <c r="N2383">
        <v>774</v>
      </c>
      <c r="O2383">
        <v>43</v>
      </c>
      <c r="P2383">
        <v>0</v>
      </c>
      <c r="Q2383">
        <v>47</v>
      </c>
      <c r="R2383">
        <v>46</v>
      </c>
      <c r="S2383">
        <v>1.1499999999999999</v>
      </c>
      <c r="T2383">
        <v>1.5666666666666667</v>
      </c>
    </row>
    <row r="2384" spans="1:21" x14ac:dyDescent="0.35">
      <c r="A2384">
        <v>603</v>
      </c>
      <c r="B2384" s="16">
        <v>40575</v>
      </c>
      <c r="C2384" s="15" t="s">
        <v>63</v>
      </c>
      <c r="D2384" s="15" t="s">
        <v>58</v>
      </c>
      <c r="E2384" s="15" t="s">
        <v>48</v>
      </c>
      <c r="F2384" s="15" t="s">
        <v>49</v>
      </c>
      <c r="G2384" s="15" t="s">
        <v>68</v>
      </c>
      <c r="H2384" s="15" t="s">
        <v>42</v>
      </c>
      <c r="I2384">
        <v>40</v>
      </c>
      <c r="J2384">
        <v>60</v>
      </c>
      <c r="K2384">
        <v>10</v>
      </c>
      <c r="L2384">
        <v>100</v>
      </c>
      <c r="M2384">
        <v>43</v>
      </c>
      <c r="N2384">
        <v>256</v>
      </c>
      <c r="O2384">
        <v>61</v>
      </c>
      <c r="P2384">
        <v>39</v>
      </c>
      <c r="Q2384">
        <v>-10</v>
      </c>
      <c r="R2384">
        <v>111</v>
      </c>
      <c r="S2384">
        <v>1.1100000000000001</v>
      </c>
      <c r="T2384">
        <v>-1</v>
      </c>
      <c r="U2384">
        <v>1.075</v>
      </c>
    </row>
    <row r="2385" spans="1:21" x14ac:dyDescent="0.35">
      <c r="A2385">
        <v>603</v>
      </c>
      <c r="B2385" s="16">
        <v>40575</v>
      </c>
      <c r="C2385" s="15" t="s">
        <v>63</v>
      </c>
      <c r="D2385" s="15" t="s">
        <v>58</v>
      </c>
      <c r="E2385" s="15" t="s">
        <v>67</v>
      </c>
      <c r="F2385" s="15" t="s">
        <v>49</v>
      </c>
      <c r="G2385" s="15" t="s">
        <v>68</v>
      </c>
      <c r="H2385" s="15" t="s">
        <v>42</v>
      </c>
      <c r="I2385">
        <v>20</v>
      </c>
      <c r="J2385">
        <v>40</v>
      </c>
      <c r="K2385">
        <v>0</v>
      </c>
      <c r="L2385">
        <v>60</v>
      </c>
      <c r="M2385">
        <v>30</v>
      </c>
      <c r="N2385">
        <v>165</v>
      </c>
      <c r="O2385">
        <v>38</v>
      </c>
      <c r="P2385">
        <v>11</v>
      </c>
      <c r="Q2385">
        <v>-9</v>
      </c>
      <c r="R2385">
        <v>72</v>
      </c>
      <c r="S2385">
        <v>1.2</v>
      </c>
      <c r="U2385">
        <v>1.5</v>
      </c>
    </row>
    <row r="2386" spans="1:21" x14ac:dyDescent="0.35">
      <c r="A2386">
        <v>603</v>
      </c>
      <c r="B2386" s="16">
        <v>40575</v>
      </c>
      <c r="C2386" s="15" t="s">
        <v>63</v>
      </c>
      <c r="D2386" s="15" t="s">
        <v>58</v>
      </c>
      <c r="E2386" s="15" t="s">
        <v>39</v>
      </c>
      <c r="F2386" s="15" t="s">
        <v>40</v>
      </c>
      <c r="G2386" s="15" t="s">
        <v>68</v>
      </c>
      <c r="H2386" s="15" t="s">
        <v>42</v>
      </c>
      <c r="I2386">
        <v>30</v>
      </c>
      <c r="J2386">
        <v>60</v>
      </c>
      <c r="K2386">
        <v>40</v>
      </c>
      <c r="L2386">
        <v>90</v>
      </c>
      <c r="M2386">
        <v>41</v>
      </c>
      <c r="N2386">
        <v>236</v>
      </c>
      <c r="O2386">
        <v>60</v>
      </c>
      <c r="P2386">
        <v>13</v>
      </c>
      <c r="Q2386">
        <v>37</v>
      </c>
      <c r="R2386">
        <v>108</v>
      </c>
      <c r="S2386">
        <v>1.2</v>
      </c>
      <c r="T2386">
        <v>0.92500000000000004</v>
      </c>
      <c r="U2386">
        <v>1.3666666666666667</v>
      </c>
    </row>
    <row r="2387" spans="1:21" x14ac:dyDescent="0.35">
      <c r="A2387">
        <v>603</v>
      </c>
      <c r="B2387" s="16">
        <v>40575</v>
      </c>
      <c r="C2387" s="15" t="s">
        <v>63</v>
      </c>
      <c r="D2387" s="15" t="s">
        <v>58</v>
      </c>
      <c r="E2387" s="15" t="s">
        <v>43</v>
      </c>
      <c r="F2387" s="15" t="s">
        <v>40</v>
      </c>
      <c r="G2387" s="15" t="s">
        <v>68</v>
      </c>
      <c r="H2387" s="15" t="s">
        <v>42</v>
      </c>
      <c r="I2387">
        <v>40</v>
      </c>
      <c r="J2387">
        <v>60</v>
      </c>
      <c r="K2387">
        <v>30</v>
      </c>
      <c r="L2387">
        <v>100</v>
      </c>
      <c r="M2387">
        <v>45</v>
      </c>
      <c r="N2387">
        <v>366</v>
      </c>
      <c r="O2387">
        <v>69</v>
      </c>
      <c r="P2387">
        <v>14</v>
      </c>
      <c r="Q2387">
        <v>34</v>
      </c>
      <c r="R2387">
        <v>121</v>
      </c>
      <c r="S2387">
        <v>1.21</v>
      </c>
      <c r="T2387">
        <v>1.1333333333333333</v>
      </c>
      <c r="U2387">
        <v>1.125</v>
      </c>
    </row>
    <row r="2388" spans="1:21" x14ac:dyDescent="0.35">
      <c r="A2388">
        <v>518</v>
      </c>
      <c r="B2388" s="16">
        <v>40575</v>
      </c>
      <c r="C2388" s="15" t="s">
        <v>63</v>
      </c>
      <c r="D2388" s="15" t="s">
        <v>38</v>
      </c>
      <c r="E2388" s="15" t="s">
        <v>53</v>
      </c>
      <c r="F2388" s="15" t="s">
        <v>52</v>
      </c>
      <c r="G2388" s="15" t="s">
        <v>69</v>
      </c>
      <c r="H2388" s="15" t="s">
        <v>45</v>
      </c>
      <c r="I2388">
        <v>180</v>
      </c>
      <c r="J2388">
        <v>200</v>
      </c>
      <c r="K2388">
        <v>110</v>
      </c>
      <c r="L2388">
        <v>380</v>
      </c>
      <c r="M2388">
        <v>240</v>
      </c>
      <c r="N2388">
        <v>1454</v>
      </c>
      <c r="O2388">
        <v>255</v>
      </c>
      <c r="P2388">
        <v>91</v>
      </c>
      <c r="Q2388">
        <v>194</v>
      </c>
      <c r="R2388">
        <v>528</v>
      </c>
      <c r="S2388">
        <v>1.3894736842105264</v>
      </c>
      <c r="T2388">
        <v>1.7636363636363637</v>
      </c>
      <c r="U2388">
        <v>1.3333333333333333</v>
      </c>
    </row>
    <row r="2389" spans="1:21" x14ac:dyDescent="0.35">
      <c r="A2389">
        <v>845</v>
      </c>
      <c r="B2389" s="16">
        <v>40575</v>
      </c>
      <c r="C2389" s="15" t="s">
        <v>63</v>
      </c>
      <c r="D2389" s="15" t="s">
        <v>38</v>
      </c>
      <c r="E2389" s="15" t="s">
        <v>54</v>
      </c>
      <c r="F2389" s="15" t="s">
        <v>52</v>
      </c>
      <c r="G2389" s="15" t="s">
        <v>69</v>
      </c>
      <c r="H2389" s="15" t="s">
        <v>45</v>
      </c>
      <c r="I2389">
        <v>160</v>
      </c>
      <c r="J2389">
        <v>-20</v>
      </c>
      <c r="K2389">
        <v>-80</v>
      </c>
      <c r="L2389">
        <v>140</v>
      </c>
      <c r="M2389">
        <v>213</v>
      </c>
      <c r="N2389">
        <v>1214</v>
      </c>
      <c r="O2389">
        <v>-33</v>
      </c>
      <c r="P2389">
        <v>66</v>
      </c>
      <c r="Q2389">
        <v>-178</v>
      </c>
      <c r="R2389">
        <v>192</v>
      </c>
      <c r="S2389">
        <v>1.3714285714285714</v>
      </c>
      <c r="T2389">
        <v>2.2250000000000001</v>
      </c>
      <c r="U2389">
        <v>1.33125</v>
      </c>
    </row>
    <row r="2390" spans="1:21" x14ac:dyDescent="0.35">
      <c r="A2390">
        <v>347</v>
      </c>
      <c r="B2390" s="16">
        <v>40575</v>
      </c>
      <c r="C2390" s="15" t="s">
        <v>63</v>
      </c>
      <c r="D2390" s="15" t="s">
        <v>38</v>
      </c>
      <c r="E2390" s="15" t="s">
        <v>55</v>
      </c>
      <c r="F2390" s="15" t="s">
        <v>47</v>
      </c>
      <c r="G2390" s="15" t="s">
        <v>69</v>
      </c>
      <c r="H2390" s="15" t="s">
        <v>42</v>
      </c>
      <c r="I2390">
        <v>100</v>
      </c>
      <c r="J2390">
        <v>150</v>
      </c>
      <c r="K2390">
        <v>120</v>
      </c>
      <c r="L2390">
        <v>250</v>
      </c>
      <c r="M2390">
        <v>95</v>
      </c>
      <c r="N2390">
        <v>809</v>
      </c>
      <c r="O2390">
        <v>137</v>
      </c>
      <c r="P2390">
        <v>26</v>
      </c>
      <c r="Q2390">
        <v>148</v>
      </c>
      <c r="R2390">
        <v>247</v>
      </c>
      <c r="S2390">
        <v>0.98799999999999999</v>
      </c>
      <c r="T2390">
        <v>1.2333333333333334</v>
      </c>
      <c r="U2390">
        <v>0.95</v>
      </c>
    </row>
    <row r="2391" spans="1:21" x14ac:dyDescent="0.35">
      <c r="A2391">
        <v>631</v>
      </c>
      <c r="B2391" s="16">
        <v>40575</v>
      </c>
      <c r="C2391" s="15" t="s">
        <v>63</v>
      </c>
      <c r="D2391" s="15" t="s">
        <v>38</v>
      </c>
      <c r="E2391" s="15" t="s">
        <v>56</v>
      </c>
      <c r="F2391" s="15" t="s">
        <v>47</v>
      </c>
      <c r="G2391" s="15" t="s">
        <v>69</v>
      </c>
      <c r="H2391" s="15" t="s">
        <v>42</v>
      </c>
      <c r="I2391">
        <v>100</v>
      </c>
      <c r="J2391">
        <v>160</v>
      </c>
      <c r="K2391">
        <v>130</v>
      </c>
      <c r="L2391">
        <v>260</v>
      </c>
      <c r="M2391">
        <v>99</v>
      </c>
      <c r="N2391">
        <v>766</v>
      </c>
      <c r="O2391">
        <v>144</v>
      </c>
      <c r="P2391">
        <v>27</v>
      </c>
      <c r="Q2391">
        <v>156</v>
      </c>
      <c r="R2391">
        <v>259</v>
      </c>
      <c r="S2391">
        <v>0.99615384615384617</v>
      </c>
      <c r="T2391">
        <v>1.2</v>
      </c>
      <c r="U2391">
        <v>0.99</v>
      </c>
    </row>
    <row r="2392" spans="1:21" x14ac:dyDescent="0.35">
      <c r="A2392">
        <v>347</v>
      </c>
      <c r="B2392" s="16">
        <v>40575</v>
      </c>
      <c r="C2392" s="15" t="s">
        <v>63</v>
      </c>
      <c r="D2392" s="15" t="s">
        <v>38</v>
      </c>
      <c r="E2392" s="15" t="s">
        <v>46</v>
      </c>
      <c r="F2392" s="15" t="s">
        <v>47</v>
      </c>
      <c r="G2392" s="15" t="s">
        <v>69</v>
      </c>
      <c r="H2392" s="15" t="s">
        <v>42</v>
      </c>
      <c r="I2392">
        <v>80</v>
      </c>
      <c r="J2392">
        <v>120</v>
      </c>
      <c r="K2392">
        <v>90</v>
      </c>
      <c r="L2392">
        <v>200</v>
      </c>
      <c r="M2392">
        <v>77</v>
      </c>
      <c r="N2392">
        <v>449</v>
      </c>
      <c r="O2392">
        <v>112</v>
      </c>
      <c r="P2392">
        <v>21</v>
      </c>
      <c r="Q2392">
        <v>117</v>
      </c>
      <c r="R2392">
        <v>201</v>
      </c>
      <c r="S2392">
        <v>1.0049999999999999</v>
      </c>
      <c r="T2392">
        <v>1.3</v>
      </c>
      <c r="U2392">
        <v>0.96250000000000002</v>
      </c>
    </row>
    <row r="2393" spans="1:21" x14ac:dyDescent="0.35">
      <c r="A2393">
        <v>585</v>
      </c>
      <c r="B2393" s="16">
        <v>40575</v>
      </c>
      <c r="C2393" s="15" t="s">
        <v>63</v>
      </c>
      <c r="D2393" s="15" t="s">
        <v>38</v>
      </c>
      <c r="E2393" s="15" t="s">
        <v>48</v>
      </c>
      <c r="F2393" s="15" t="s">
        <v>49</v>
      </c>
      <c r="G2393" s="15" t="s">
        <v>69</v>
      </c>
      <c r="H2393" s="15" t="s">
        <v>42</v>
      </c>
      <c r="I2393">
        <v>110</v>
      </c>
      <c r="J2393">
        <v>-60</v>
      </c>
      <c r="K2393">
        <v>-190</v>
      </c>
      <c r="L2393">
        <v>50</v>
      </c>
      <c r="M2393">
        <v>121</v>
      </c>
      <c r="N2393">
        <v>901</v>
      </c>
      <c r="O2393">
        <v>-60</v>
      </c>
      <c r="P2393">
        <v>110</v>
      </c>
      <c r="Q2393">
        <v>-301</v>
      </c>
      <c r="R2393">
        <v>65</v>
      </c>
      <c r="S2393">
        <v>1.3</v>
      </c>
      <c r="T2393">
        <v>1.5842105263157895</v>
      </c>
      <c r="U2393">
        <v>1.1000000000000001</v>
      </c>
    </row>
    <row r="2394" spans="1:21" x14ac:dyDescent="0.35">
      <c r="A2394">
        <v>917</v>
      </c>
      <c r="B2394" s="16">
        <v>40575</v>
      </c>
      <c r="C2394" s="15" t="s">
        <v>63</v>
      </c>
      <c r="D2394" s="15" t="s">
        <v>38</v>
      </c>
      <c r="E2394" s="15" t="s">
        <v>67</v>
      </c>
      <c r="F2394" s="15" t="s">
        <v>49</v>
      </c>
      <c r="G2394" s="15" t="s">
        <v>69</v>
      </c>
      <c r="H2394" s="15" t="s">
        <v>42</v>
      </c>
      <c r="I2394">
        <v>210</v>
      </c>
      <c r="J2394">
        <v>350</v>
      </c>
      <c r="K2394">
        <v>280</v>
      </c>
      <c r="L2394">
        <v>560</v>
      </c>
      <c r="M2394">
        <v>228</v>
      </c>
      <c r="N2394">
        <v>1402</v>
      </c>
      <c r="O2394">
        <v>352</v>
      </c>
      <c r="P2394">
        <v>63</v>
      </c>
      <c r="Q2394">
        <v>392</v>
      </c>
      <c r="R2394">
        <v>618</v>
      </c>
      <c r="S2394">
        <v>1.1035714285714286</v>
      </c>
      <c r="T2394">
        <v>1.4</v>
      </c>
      <c r="U2394">
        <v>1.0857142857142856</v>
      </c>
    </row>
    <row r="2395" spans="1:21" x14ac:dyDescent="0.35">
      <c r="A2395">
        <v>718</v>
      </c>
      <c r="B2395" s="16">
        <v>40575</v>
      </c>
      <c r="C2395" s="15" t="s">
        <v>63</v>
      </c>
      <c r="D2395" s="15" t="s">
        <v>38</v>
      </c>
      <c r="E2395" s="15" t="s">
        <v>43</v>
      </c>
      <c r="F2395" s="15" t="s">
        <v>40</v>
      </c>
      <c r="G2395" s="15" t="s">
        <v>69</v>
      </c>
      <c r="H2395" s="15" t="s">
        <v>42</v>
      </c>
      <c r="I2395">
        <v>240</v>
      </c>
      <c r="J2395">
        <v>370</v>
      </c>
      <c r="K2395">
        <v>250</v>
      </c>
      <c r="L2395">
        <v>610</v>
      </c>
      <c r="M2395">
        <v>258</v>
      </c>
      <c r="N2395">
        <v>2067</v>
      </c>
      <c r="O2395">
        <v>387</v>
      </c>
      <c r="P2395">
        <v>90</v>
      </c>
      <c r="Q2395">
        <v>364</v>
      </c>
      <c r="R2395">
        <v>687</v>
      </c>
      <c r="S2395">
        <v>1.1262295081967213</v>
      </c>
      <c r="T2395">
        <v>1.456</v>
      </c>
      <c r="U2395">
        <v>1.075</v>
      </c>
    </row>
    <row r="2396" spans="1:21" x14ac:dyDescent="0.35">
      <c r="A2396">
        <v>318</v>
      </c>
      <c r="B2396" s="16">
        <v>40575</v>
      </c>
      <c r="C2396" s="15" t="s">
        <v>70</v>
      </c>
      <c r="D2396" s="15" t="s">
        <v>58</v>
      </c>
      <c r="E2396" s="15" t="s">
        <v>51</v>
      </c>
      <c r="F2396" s="15" t="s">
        <v>52</v>
      </c>
      <c r="G2396" s="15" t="s">
        <v>71</v>
      </c>
      <c r="H2396" s="15" t="s">
        <v>45</v>
      </c>
      <c r="I2396">
        <v>40</v>
      </c>
      <c r="J2396">
        <v>60</v>
      </c>
      <c r="K2396">
        <v>40</v>
      </c>
      <c r="L2396">
        <v>100</v>
      </c>
      <c r="M2396">
        <v>49</v>
      </c>
      <c r="N2396">
        <v>617</v>
      </c>
      <c r="O2396">
        <v>63</v>
      </c>
      <c r="P2396">
        <v>16</v>
      </c>
      <c r="Q2396">
        <v>52</v>
      </c>
      <c r="R2396">
        <v>119</v>
      </c>
      <c r="S2396">
        <v>1.19</v>
      </c>
      <c r="T2396">
        <v>1.3</v>
      </c>
      <c r="U2396">
        <v>1.2250000000000001</v>
      </c>
    </row>
    <row r="2397" spans="1:21" x14ac:dyDescent="0.35">
      <c r="A2397">
        <v>985</v>
      </c>
      <c r="B2397" s="16">
        <v>40575</v>
      </c>
      <c r="C2397" s="15" t="s">
        <v>70</v>
      </c>
      <c r="D2397" s="15" t="s">
        <v>58</v>
      </c>
      <c r="E2397" s="15" t="s">
        <v>53</v>
      </c>
      <c r="F2397" s="15" t="s">
        <v>52</v>
      </c>
      <c r="G2397" s="15" t="s">
        <v>71</v>
      </c>
      <c r="H2397" s="15" t="s">
        <v>45</v>
      </c>
      <c r="I2397">
        <v>80</v>
      </c>
      <c r="J2397">
        <v>100</v>
      </c>
      <c r="K2397">
        <v>40</v>
      </c>
      <c r="L2397">
        <v>180</v>
      </c>
      <c r="M2397">
        <v>86</v>
      </c>
      <c r="N2397">
        <v>484</v>
      </c>
      <c r="O2397">
        <v>107</v>
      </c>
      <c r="P2397">
        <v>32</v>
      </c>
      <c r="Q2397">
        <v>62</v>
      </c>
      <c r="R2397">
        <v>206</v>
      </c>
      <c r="S2397">
        <v>1.1444444444444444</v>
      </c>
      <c r="T2397">
        <v>1.55</v>
      </c>
      <c r="U2397">
        <v>1.075</v>
      </c>
    </row>
    <row r="2398" spans="1:21" x14ac:dyDescent="0.35">
      <c r="A2398">
        <v>504</v>
      </c>
      <c r="B2398" s="16">
        <v>40575</v>
      </c>
      <c r="C2398" s="15" t="s">
        <v>70</v>
      </c>
      <c r="D2398" s="15" t="s">
        <v>58</v>
      </c>
      <c r="E2398" s="15" t="s">
        <v>43</v>
      </c>
      <c r="F2398" s="15" t="s">
        <v>40</v>
      </c>
      <c r="G2398" s="15" t="s">
        <v>71</v>
      </c>
      <c r="H2398" s="15" t="s">
        <v>42</v>
      </c>
      <c r="I2398">
        <v>40</v>
      </c>
      <c r="J2398">
        <v>70</v>
      </c>
      <c r="K2398">
        <v>60</v>
      </c>
      <c r="L2398">
        <v>110</v>
      </c>
      <c r="M2398">
        <v>38</v>
      </c>
      <c r="N2398">
        <v>772</v>
      </c>
      <c r="O2398">
        <v>56</v>
      </c>
      <c r="P2398">
        <v>10</v>
      </c>
      <c r="Q2398">
        <v>50</v>
      </c>
      <c r="R2398">
        <v>100</v>
      </c>
      <c r="S2398">
        <v>0.90909090909090906</v>
      </c>
      <c r="T2398">
        <v>0.83333333333333337</v>
      </c>
      <c r="U2398">
        <v>0.95</v>
      </c>
    </row>
    <row r="2399" spans="1:21" x14ac:dyDescent="0.35">
      <c r="A2399">
        <v>504</v>
      </c>
      <c r="B2399" s="16">
        <v>40575</v>
      </c>
      <c r="C2399" s="15" t="s">
        <v>70</v>
      </c>
      <c r="D2399" s="15" t="s">
        <v>58</v>
      </c>
      <c r="E2399" s="15" t="s">
        <v>44</v>
      </c>
      <c r="F2399" s="15" t="s">
        <v>40</v>
      </c>
      <c r="G2399" s="15" t="s">
        <v>71</v>
      </c>
      <c r="H2399" s="15" t="s">
        <v>45</v>
      </c>
      <c r="I2399">
        <v>50</v>
      </c>
      <c r="J2399">
        <v>90</v>
      </c>
      <c r="K2399">
        <v>70</v>
      </c>
      <c r="L2399">
        <v>140</v>
      </c>
      <c r="M2399">
        <v>47</v>
      </c>
      <c r="N2399">
        <v>772</v>
      </c>
      <c r="O2399">
        <v>68</v>
      </c>
      <c r="P2399">
        <v>13</v>
      </c>
      <c r="Q2399">
        <v>65</v>
      </c>
      <c r="R2399">
        <v>123</v>
      </c>
      <c r="S2399">
        <v>0.87857142857142856</v>
      </c>
      <c r="T2399">
        <v>0.9285714285714286</v>
      </c>
      <c r="U2399">
        <v>0.94</v>
      </c>
    </row>
    <row r="2400" spans="1:21" x14ac:dyDescent="0.35">
      <c r="A2400">
        <v>318</v>
      </c>
      <c r="B2400" s="16">
        <v>40575</v>
      </c>
      <c r="C2400" s="15" t="s">
        <v>70</v>
      </c>
      <c r="D2400" s="15" t="s">
        <v>58</v>
      </c>
      <c r="E2400" s="15" t="s">
        <v>72</v>
      </c>
      <c r="F2400" s="15" t="s">
        <v>49</v>
      </c>
      <c r="G2400" s="15" t="s">
        <v>71</v>
      </c>
      <c r="H2400" s="15" t="s">
        <v>42</v>
      </c>
      <c r="I2400">
        <v>50</v>
      </c>
      <c r="J2400">
        <v>80</v>
      </c>
      <c r="K2400">
        <v>10</v>
      </c>
      <c r="L2400">
        <v>130</v>
      </c>
      <c r="M2400">
        <v>65</v>
      </c>
      <c r="N2400">
        <v>342</v>
      </c>
      <c r="O2400">
        <v>90</v>
      </c>
      <c r="P2400">
        <v>58</v>
      </c>
      <c r="Q2400">
        <v>3</v>
      </c>
      <c r="R2400">
        <v>165</v>
      </c>
      <c r="S2400">
        <v>1.2692307692307692</v>
      </c>
      <c r="T2400">
        <v>0.3</v>
      </c>
      <c r="U2400">
        <v>1.3</v>
      </c>
    </row>
    <row r="2401" spans="1:21" x14ac:dyDescent="0.35">
      <c r="A2401">
        <v>225</v>
      </c>
      <c r="B2401" s="16">
        <v>40575</v>
      </c>
      <c r="C2401" s="15" t="s">
        <v>70</v>
      </c>
      <c r="D2401" s="15" t="s">
        <v>58</v>
      </c>
      <c r="E2401" s="15" t="s">
        <v>48</v>
      </c>
      <c r="F2401" s="15" t="s">
        <v>49</v>
      </c>
      <c r="G2401" s="15" t="s">
        <v>71</v>
      </c>
      <c r="H2401" s="15" t="s">
        <v>42</v>
      </c>
      <c r="I2401">
        <v>50</v>
      </c>
      <c r="J2401">
        <v>90</v>
      </c>
      <c r="K2401">
        <v>70</v>
      </c>
      <c r="L2401">
        <v>140</v>
      </c>
      <c r="M2401">
        <v>65</v>
      </c>
      <c r="N2401">
        <v>372</v>
      </c>
      <c r="O2401">
        <v>109</v>
      </c>
      <c r="P2401">
        <v>20</v>
      </c>
      <c r="Q2401">
        <v>96</v>
      </c>
      <c r="R2401">
        <v>185</v>
      </c>
      <c r="S2401">
        <v>1.3214285714285714</v>
      </c>
      <c r="T2401">
        <v>1.3714285714285714</v>
      </c>
      <c r="U2401">
        <v>1.3</v>
      </c>
    </row>
    <row r="2402" spans="1:21" x14ac:dyDescent="0.35">
      <c r="A2402">
        <v>985</v>
      </c>
      <c r="B2402" s="16">
        <v>40575</v>
      </c>
      <c r="C2402" s="15" t="s">
        <v>70</v>
      </c>
      <c r="D2402" s="15" t="s">
        <v>58</v>
      </c>
      <c r="E2402" s="15" t="s">
        <v>50</v>
      </c>
      <c r="F2402" s="15" t="s">
        <v>49</v>
      </c>
      <c r="G2402" s="15" t="s">
        <v>71</v>
      </c>
      <c r="H2402" s="15" t="s">
        <v>45</v>
      </c>
      <c r="I2402">
        <v>40</v>
      </c>
      <c r="J2402">
        <v>70</v>
      </c>
      <c r="K2402">
        <v>50</v>
      </c>
      <c r="L2402">
        <v>110</v>
      </c>
      <c r="M2402">
        <v>56</v>
      </c>
      <c r="N2402">
        <v>382</v>
      </c>
      <c r="O2402">
        <v>81</v>
      </c>
      <c r="P2402">
        <v>17</v>
      </c>
      <c r="Q2402">
        <v>61</v>
      </c>
      <c r="R2402">
        <v>146</v>
      </c>
      <c r="S2402">
        <v>1.3272727272727274</v>
      </c>
      <c r="T2402">
        <v>1.22</v>
      </c>
      <c r="U2402">
        <v>1.4</v>
      </c>
    </row>
    <row r="2403" spans="1:21" x14ac:dyDescent="0.35">
      <c r="A2403">
        <v>505</v>
      </c>
      <c r="B2403" s="16">
        <v>40575</v>
      </c>
      <c r="C2403" s="15" t="s">
        <v>70</v>
      </c>
      <c r="D2403" s="15" t="s">
        <v>58</v>
      </c>
      <c r="E2403" s="15" t="s">
        <v>51</v>
      </c>
      <c r="F2403" s="15" t="s">
        <v>52</v>
      </c>
      <c r="G2403" s="15" t="s">
        <v>73</v>
      </c>
      <c r="H2403" s="15" t="s">
        <v>45</v>
      </c>
      <c r="I2403">
        <v>10</v>
      </c>
      <c r="J2403">
        <v>30</v>
      </c>
      <c r="K2403">
        <v>20</v>
      </c>
      <c r="L2403">
        <v>40</v>
      </c>
      <c r="M2403">
        <v>18</v>
      </c>
      <c r="N2403">
        <v>818</v>
      </c>
      <c r="O2403">
        <v>27</v>
      </c>
      <c r="P2403">
        <v>5</v>
      </c>
      <c r="Q2403">
        <v>15</v>
      </c>
      <c r="R2403">
        <v>48</v>
      </c>
      <c r="S2403">
        <v>1.2</v>
      </c>
      <c r="T2403">
        <v>0.75</v>
      </c>
      <c r="U2403">
        <v>1.8</v>
      </c>
    </row>
    <row r="2404" spans="1:21" x14ac:dyDescent="0.35">
      <c r="A2404">
        <v>505</v>
      </c>
      <c r="B2404" s="16">
        <v>40575</v>
      </c>
      <c r="C2404" s="15" t="s">
        <v>70</v>
      </c>
      <c r="D2404" s="15" t="s">
        <v>58</v>
      </c>
      <c r="E2404" s="15" t="s">
        <v>53</v>
      </c>
      <c r="F2404" s="15" t="s">
        <v>52</v>
      </c>
      <c r="G2404" s="15" t="s">
        <v>73</v>
      </c>
      <c r="H2404" s="15" t="s">
        <v>45</v>
      </c>
      <c r="I2404">
        <v>20</v>
      </c>
      <c r="J2404">
        <v>40</v>
      </c>
      <c r="K2404">
        <v>20</v>
      </c>
      <c r="L2404">
        <v>60</v>
      </c>
      <c r="M2404">
        <v>28</v>
      </c>
      <c r="N2404">
        <v>961</v>
      </c>
      <c r="O2404">
        <v>35</v>
      </c>
      <c r="P2404">
        <v>8</v>
      </c>
      <c r="Q2404">
        <v>7</v>
      </c>
      <c r="R2404">
        <v>67</v>
      </c>
      <c r="S2404">
        <v>1.1166666666666667</v>
      </c>
      <c r="T2404">
        <v>0.35</v>
      </c>
      <c r="U2404">
        <v>1.4</v>
      </c>
    </row>
    <row r="2405" spans="1:21" x14ac:dyDescent="0.35">
      <c r="A2405">
        <v>505</v>
      </c>
      <c r="B2405" s="16">
        <v>40575</v>
      </c>
      <c r="C2405" s="15" t="s">
        <v>70</v>
      </c>
      <c r="D2405" s="15" t="s">
        <v>58</v>
      </c>
      <c r="E2405" s="15" t="s">
        <v>43</v>
      </c>
      <c r="F2405" s="15" t="s">
        <v>40</v>
      </c>
      <c r="G2405" s="15" t="s">
        <v>73</v>
      </c>
      <c r="H2405" s="15" t="s">
        <v>42</v>
      </c>
      <c r="I2405">
        <v>50</v>
      </c>
      <c r="J2405">
        <v>90</v>
      </c>
      <c r="K2405">
        <v>50</v>
      </c>
      <c r="L2405">
        <v>140</v>
      </c>
      <c r="M2405">
        <v>45</v>
      </c>
      <c r="N2405">
        <v>366</v>
      </c>
      <c r="O2405">
        <v>69</v>
      </c>
      <c r="P2405">
        <v>14</v>
      </c>
      <c r="Q2405">
        <v>36</v>
      </c>
      <c r="R2405">
        <v>121</v>
      </c>
      <c r="S2405">
        <v>0.86428571428571432</v>
      </c>
      <c r="T2405">
        <v>0.72</v>
      </c>
      <c r="U2405">
        <v>0.9</v>
      </c>
    </row>
    <row r="2406" spans="1:21" x14ac:dyDescent="0.35">
      <c r="A2406">
        <v>505</v>
      </c>
      <c r="B2406" s="16">
        <v>40575</v>
      </c>
      <c r="C2406" s="15" t="s">
        <v>70</v>
      </c>
      <c r="D2406" s="15" t="s">
        <v>58</v>
      </c>
      <c r="E2406" s="15" t="s">
        <v>44</v>
      </c>
      <c r="F2406" s="15" t="s">
        <v>40</v>
      </c>
      <c r="G2406" s="15" t="s">
        <v>73</v>
      </c>
      <c r="H2406" s="15" t="s">
        <v>45</v>
      </c>
      <c r="I2406">
        <v>100</v>
      </c>
      <c r="J2406">
        <v>20</v>
      </c>
      <c r="K2406">
        <v>-20</v>
      </c>
      <c r="L2406">
        <v>120</v>
      </c>
      <c r="M2406">
        <v>84</v>
      </c>
      <c r="N2406">
        <v>625</v>
      </c>
      <c r="O2406">
        <v>18</v>
      </c>
      <c r="P2406">
        <v>26</v>
      </c>
      <c r="Q2406">
        <v>-46</v>
      </c>
      <c r="R2406">
        <v>109</v>
      </c>
      <c r="S2406">
        <v>0.90833333333333333</v>
      </c>
      <c r="T2406">
        <v>2.2999999999999998</v>
      </c>
      <c r="U2406">
        <v>0.84</v>
      </c>
    </row>
    <row r="2407" spans="1:21" x14ac:dyDescent="0.35">
      <c r="A2407">
        <v>505</v>
      </c>
      <c r="B2407" s="16">
        <v>40575</v>
      </c>
      <c r="C2407" s="15" t="s">
        <v>70</v>
      </c>
      <c r="D2407" s="15" t="s">
        <v>58</v>
      </c>
      <c r="E2407" s="15" t="s">
        <v>72</v>
      </c>
      <c r="F2407" s="15" t="s">
        <v>49</v>
      </c>
      <c r="G2407" s="15" t="s">
        <v>73</v>
      </c>
      <c r="H2407" s="15" t="s">
        <v>42</v>
      </c>
      <c r="I2407">
        <v>20</v>
      </c>
      <c r="J2407">
        <v>30</v>
      </c>
      <c r="K2407">
        <v>0</v>
      </c>
      <c r="L2407">
        <v>50</v>
      </c>
      <c r="M2407">
        <v>30</v>
      </c>
      <c r="N2407">
        <v>104</v>
      </c>
      <c r="O2407">
        <v>38</v>
      </c>
      <c r="P2407">
        <v>11</v>
      </c>
      <c r="Q2407">
        <v>-10</v>
      </c>
      <c r="R2407">
        <v>72</v>
      </c>
      <c r="S2407">
        <v>1.44</v>
      </c>
      <c r="U2407">
        <v>1.5</v>
      </c>
    </row>
    <row r="2408" spans="1:21" x14ac:dyDescent="0.35">
      <c r="A2408">
        <v>505</v>
      </c>
      <c r="B2408" s="16">
        <v>40575</v>
      </c>
      <c r="C2408" s="15" t="s">
        <v>70</v>
      </c>
      <c r="D2408" s="15" t="s">
        <v>58</v>
      </c>
      <c r="E2408" s="15" t="s">
        <v>48</v>
      </c>
      <c r="F2408" s="15" t="s">
        <v>49</v>
      </c>
      <c r="G2408" s="15" t="s">
        <v>73</v>
      </c>
      <c r="H2408" s="15" t="s">
        <v>42</v>
      </c>
      <c r="I2408">
        <v>30</v>
      </c>
      <c r="J2408">
        <v>50</v>
      </c>
      <c r="K2408">
        <v>0</v>
      </c>
      <c r="L2408">
        <v>80</v>
      </c>
      <c r="M2408">
        <v>43</v>
      </c>
      <c r="N2408">
        <v>256</v>
      </c>
      <c r="O2408">
        <v>61</v>
      </c>
      <c r="P2408">
        <v>39</v>
      </c>
      <c r="Q2408">
        <v>-10</v>
      </c>
      <c r="R2408">
        <v>111</v>
      </c>
      <c r="S2408">
        <v>1.3875</v>
      </c>
      <c r="U2408">
        <v>1.4333333333333333</v>
      </c>
    </row>
    <row r="2409" spans="1:21" x14ac:dyDescent="0.35">
      <c r="A2409">
        <v>505</v>
      </c>
      <c r="B2409" s="16">
        <v>40575</v>
      </c>
      <c r="C2409" s="15" t="s">
        <v>70</v>
      </c>
      <c r="D2409" s="15" t="s">
        <v>58</v>
      </c>
      <c r="E2409" s="15" t="s">
        <v>50</v>
      </c>
      <c r="F2409" s="15" t="s">
        <v>49</v>
      </c>
      <c r="G2409" s="15" t="s">
        <v>73</v>
      </c>
      <c r="H2409" s="15" t="s">
        <v>45</v>
      </c>
      <c r="I2409">
        <v>30</v>
      </c>
      <c r="J2409">
        <v>40</v>
      </c>
      <c r="K2409">
        <v>10</v>
      </c>
      <c r="L2409">
        <v>70</v>
      </c>
      <c r="M2409">
        <v>35</v>
      </c>
      <c r="N2409">
        <v>191</v>
      </c>
      <c r="O2409">
        <v>47</v>
      </c>
      <c r="P2409">
        <v>11</v>
      </c>
      <c r="Q2409">
        <v>12</v>
      </c>
      <c r="R2409">
        <v>87</v>
      </c>
      <c r="S2409">
        <v>1.2428571428571429</v>
      </c>
      <c r="T2409">
        <v>1.2</v>
      </c>
      <c r="U2409">
        <v>1.1666666666666667</v>
      </c>
    </row>
    <row r="2410" spans="1:21" x14ac:dyDescent="0.35">
      <c r="A2410">
        <v>580</v>
      </c>
      <c r="B2410" s="16">
        <v>40575</v>
      </c>
      <c r="C2410" s="15" t="s">
        <v>70</v>
      </c>
      <c r="D2410" s="15" t="s">
        <v>58</v>
      </c>
      <c r="E2410" s="15" t="s">
        <v>51</v>
      </c>
      <c r="F2410" s="15" t="s">
        <v>52</v>
      </c>
      <c r="G2410" s="15" t="s">
        <v>74</v>
      </c>
      <c r="H2410" s="15" t="s">
        <v>45</v>
      </c>
      <c r="I2410">
        <v>50</v>
      </c>
      <c r="J2410">
        <v>60</v>
      </c>
      <c r="K2410">
        <v>20</v>
      </c>
      <c r="L2410">
        <v>110</v>
      </c>
      <c r="M2410">
        <v>53</v>
      </c>
      <c r="N2410">
        <v>306</v>
      </c>
      <c r="O2410">
        <v>65</v>
      </c>
      <c r="P2410">
        <v>20</v>
      </c>
      <c r="Q2410">
        <v>16</v>
      </c>
      <c r="R2410">
        <v>126</v>
      </c>
      <c r="S2410">
        <v>1.1454545454545455</v>
      </c>
      <c r="T2410">
        <v>0.8</v>
      </c>
      <c r="U2410">
        <v>1.06</v>
      </c>
    </row>
    <row r="2411" spans="1:21" x14ac:dyDescent="0.35">
      <c r="A2411">
        <v>405</v>
      </c>
      <c r="B2411" s="16">
        <v>40575</v>
      </c>
      <c r="C2411" s="15" t="s">
        <v>70</v>
      </c>
      <c r="D2411" s="15" t="s">
        <v>58</v>
      </c>
      <c r="E2411" s="15" t="s">
        <v>53</v>
      </c>
      <c r="F2411" s="15" t="s">
        <v>52</v>
      </c>
      <c r="G2411" s="15" t="s">
        <v>74</v>
      </c>
      <c r="H2411" s="15" t="s">
        <v>45</v>
      </c>
      <c r="I2411">
        <v>80</v>
      </c>
      <c r="J2411">
        <v>130</v>
      </c>
      <c r="K2411">
        <v>40</v>
      </c>
      <c r="L2411">
        <v>210</v>
      </c>
      <c r="M2411">
        <v>92</v>
      </c>
      <c r="N2411">
        <v>541</v>
      </c>
      <c r="O2411">
        <v>128</v>
      </c>
      <c r="P2411">
        <v>83</v>
      </c>
      <c r="Q2411">
        <v>22</v>
      </c>
      <c r="R2411">
        <v>234</v>
      </c>
      <c r="S2411">
        <v>1.1142857142857143</v>
      </c>
      <c r="T2411">
        <v>0.55000000000000004</v>
      </c>
      <c r="U2411">
        <v>1.1499999999999999</v>
      </c>
    </row>
    <row r="2412" spans="1:21" x14ac:dyDescent="0.35">
      <c r="A2412">
        <v>405</v>
      </c>
      <c r="B2412" s="16">
        <v>40575</v>
      </c>
      <c r="C2412" s="15" t="s">
        <v>70</v>
      </c>
      <c r="D2412" s="15" t="s">
        <v>58</v>
      </c>
      <c r="E2412" s="15" t="s">
        <v>43</v>
      </c>
      <c r="F2412" s="15" t="s">
        <v>40</v>
      </c>
      <c r="G2412" s="15" t="s">
        <v>74</v>
      </c>
      <c r="H2412" s="15" t="s">
        <v>42</v>
      </c>
      <c r="I2412">
        <v>50</v>
      </c>
      <c r="J2412">
        <v>70</v>
      </c>
      <c r="K2412">
        <v>50</v>
      </c>
      <c r="L2412">
        <v>120</v>
      </c>
      <c r="M2412">
        <v>44</v>
      </c>
      <c r="N2412">
        <v>618</v>
      </c>
      <c r="O2412">
        <v>56</v>
      </c>
      <c r="P2412">
        <v>14</v>
      </c>
      <c r="Q2412">
        <v>43</v>
      </c>
      <c r="R2412">
        <v>107</v>
      </c>
      <c r="S2412">
        <v>0.89166666666666672</v>
      </c>
      <c r="T2412">
        <v>0.86</v>
      </c>
      <c r="U2412">
        <v>0.88</v>
      </c>
    </row>
    <row r="2413" spans="1:21" x14ac:dyDescent="0.35">
      <c r="A2413">
        <v>580</v>
      </c>
      <c r="B2413" s="16">
        <v>40575</v>
      </c>
      <c r="C2413" s="15" t="s">
        <v>70</v>
      </c>
      <c r="D2413" s="15" t="s">
        <v>58</v>
      </c>
      <c r="E2413" s="15" t="s">
        <v>44</v>
      </c>
      <c r="F2413" s="15" t="s">
        <v>40</v>
      </c>
      <c r="G2413" s="15" t="s">
        <v>74</v>
      </c>
      <c r="H2413" s="15" t="s">
        <v>45</v>
      </c>
      <c r="I2413">
        <v>40</v>
      </c>
      <c r="J2413">
        <v>60</v>
      </c>
      <c r="K2413">
        <v>50</v>
      </c>
      <c r="L2413">
        <v>100</v>
      </c>
      <c r="M2413">
        <v>32</v>
      </c>
      <c r="N2413">
        <v>817</v>
      </c>
      <c r="O2413">
        <v>48</v>
      </c>
      <c r="P2413">
        <v>8</v>
      </c>
      <c r="Q2413">
        <v>43</v>
      </c>
      <c r="R2413">
        <v>85</v>
      </c>
      <c r="S2413">
        <v>0.85</v>
      </c>
      <c r="T2413">
        <v>0.86</v>
      </c>
      <c r="U2413">
        <v>0.8</v>
      </c>
    </row>
    <row r="2414" spans="1:21" x14ac:dyDescent="0.35">
      <c r="A2414">
        <v>580</v>
      </c>
      <c r="B2414" s="16">
        <v>40575</v>
      </c>
      <c r="C2414" s="15" t="s">
        <v>70</v>
      </c>
      <c r="D2414" s="15" t="s">
        <v>58</v>
      </c>
      <c r="E2414" s="15" t="s">
        <v>72</v>
      </c>
      <c r="F2414" s="15" t="s">
        <v>49</v>
      </c>
      <c r="G2414" s="15" t="s">
        <v>74</v>
      </c>
      <c r="H2414" s="15" t="s">
        <v>42</v>
      </c>
      <c r="I2414">
        <v>70</v>
      </c>
      <c r="J2414">
        <v>100</v>
      </c>
      <c r="K2414">
        <v>70</v>
      </c>
      <c r="L2414">
        <v>170</v>
      </c>
      <c r="M2414">
        <v>86</v>
      </c>
      <c r="N2414">
        <v>300</v>
      </c>
      <c r="O2414">
        <v>120</v>
      </c>
      <c r="P2414">
        <v>26</v>
      </c>
      <c r="Q2414">
        <v>104</v>
      </c>
      <c r="R2414">
        <v>220</v>
      </c>
      <c r="S2414">
        <v>1.2941176470588236</v>
      </c>
      <c r="T2414">
        <v>1.4857142857142858</v>
      </c>
      <c r="U2414">
        <v>1.2285714285714286</v>
      </c>
    </row>
    <row r="2415" spans="1:21" x14ac:dyDescent="0.35">
      <c r="A2415">
        <v>580</v>
      </c>
      <c r="B2415" s="16">
        <v>40575</v>
      </c>
      <c r="C2415" s="15" t="s">
        <v>70</v>
      </c>
      <c r="D2415" s="15" t="s">
        <v>58</v>
      </c>
      <c r="E2415" s="15" t="s">
        <v>48</v>
      </c>
      <c r="F2415" s="15" t="s">
        <v>49</v>
      </c>
      <c r="G2415" s="15" t="s">
        <v>74</v>
      </c>
      <c r="H2415" s="15" t="s">
        <v>42</v>
      </c>
      <c r="I2415">
        <v>10</v>
      </c>
      <c r="J2415">
        <v>30</v>
      </c>
      <c r="K2415">
        <v>30</v>
      </c>
      <c r="L2415">
        <v>40</v>
      </c>
      <c r="M2415">
        <v>22</v>
      </c>
      <c r="N2415">
        <v>452</v>
      </c>
      <c r="O2415">
        <v>34</v>
      </c>
      <c r="P2415">
        <v>6</v>
      </c>
      <c r="Q2415">
        <v>25</v>
      </c>
      <c r="R2415">
        <v>60</v>
      </c>
      <c r="S2415">
        <v>1.5</v>
      </c>
      <c r="T2415">
        <v>0.83333333333333337</v>
      </c>
      <c r="U2415">
        <v>2.2000000000000002</v>
      </c>
    </row>
    <row r="2416" spans="1:21" x14ac:dyDescent="0.35">
      <c r="A2416">
        <v>405</v>
      </c>
      <c r="B2416" s="16">
        <v>40575</v>
      </c>
      <c r="C2416" s="15" t="s">
        <v>70</v>
      </c>
      <c r="D2416" s="15" t="s">
        <v>58</v>
      </c>
      <c r="E2416" s="15" t="s">
        <v>50</v>
      </c>
      <c r="F2416" s="15" t="s">
        <v>49</v>
      </c>
      <c r="G2416" s="15" t="s">
        <v>74</v>
      </c>
      <c r="H2416" s="15" t="s">
        <v>45</v>
      </c>
      <c r="I2416">
        <v>60</v>
      </c>
      <c r="J2416">
        <v>110</v>
      </c>
      <c r="K2416">
        <v>70</v>
      </c>
      <c r="L2416">
        <v>170</v>
      </c>
      <c r="M2416">
        <v>80</v>
      </c>
      <c r="N2416">
        <v>640</v>
      </c>
      <c r="O2416">
        <v>120</v>
      </c>
      <c r="P2416">
        <v>26</v>
      </c>
      <c r="Q2416">
        <v>93</v>
      </c>
      <c r="R2416">
        <v>213</v>
      </c>
      <c r="S2416">
        <v>1.2529411764705882</v>
      </c>
      <c r="T2416">
        <v>1.3285714285714285</v>
      </c>
      <c r="U2416">
        <v>1.3333333333333333</v>
      </c>
    </row>
    <row r="2417" spans="1:21" x14ac:dyDescent="0.35">
      <c r="A2417">
        <v>915</v>
      </c>
      <c r="B2417" s="16">
        <v>40575</v>
      </c>
      <c r="C2417" s="15" t="s">
        <v>70</v>
      </c>
      <c r="D2417" s="15" t="s">
        <v>38</v>
      </c>
      <c r="E2417" s="15" t="s">
        <v>51</v>
      </c>
      <c r="F2417" s="15" t="s">
        <v>52</v>
      </c>
      <c r="G2417" s="15" t="s">
        <v>75</v>
      </c>
      <c r="H2417" s="15" t="s">
        <v>45</v>
      </c>
      <c r="I2417">
        <v>50</v>
      </c>
      <c r="J2417">
        <v>80</v>
      </c>
      <c r="K2417">
        <v>50</v>
      </c>
      <c r="L2417">
        <v>130</v>
      </c>
      <c r="M2417">
        <v>60</v>
      </c>
      <c r="N2417">
        <v>329</v>
      </c>
      <c r="O2417">
        <v>80</v>
      </c>
      <c r="P2417">
        <v>19</v>
      </c>
      <c r="Q2417">
        <v>49</v>
      </c>
      <c r="R2417">
        <v>149</v>
      </c>
      <c r="S2417">
        <v>1.1461538461538461</v>
      </c>
      <c r="T2417">
        <v>0.98</v>
      </c>
      <c r="U2417">
        <v>1.2</v>
      </c>
    </row>
    <row r="2418" spans="1:21" x14ac:dyDescent="0.35">
      <c r="A2418">
        <v>325</v>
      </c>
      <c r="B2418" s="16">
        <v>40575</v>
      </c>
      <c r="C2418" s="15" t="s">
        <v>70</v>
      </c>
      <c r="D2418" s="15" t="s">
        <v>38</v>
      </c>
      <c r="E2418" s="15" t="s">
        <v>53</v>
      </c>
      <c r="F2418" s="15" t="s">
        <v>52</v>
      </c>
      <c r="G2418" s="15" t="s">
        <v>75</v>
      </c>
      <c r="H2418" s="15" t="s">
        <v>45</v>
      </c>
      <c r="I2418">
        <v>40</v>
      </c>
      <c r="J2418">
        <v>80</v>
      </c>
      <c r="K2418">
        <v>50</v>
      </c>
      <c r="L2418">
        <v>120</v>
      </c>
      <c r="M2418">
        <v>52</v>
      </c>
      <c r="N2418">
        <v>357</v>
      </c>
      <c r="O2418">
        <v>76</v>
      </c>
      <c r="P2418">
        <v>16</v>
      </c>
      <c r="Q2418">
        <v>56</v>
      </c>
      <c r="R2418">
        <v>136</v>
      </c>
      <c r="S2418">
        <v>1.1333333333333333</v>
      </c>
      <c r="T2418">
        <v>1.1200000000000001</v>
      </c>
      <c r="U2418">
        <v>1.3</v>
      </c>
    </row>
    <row r="2419" spans="1:21" x14ac:dyDescent="0.35">
      <c r="A2419">
        <v>430</v>
      </c>
      <c r="B2419" s="16">
        <v>40575</v>
      </c>
      <c r="C2419" s="15" t="s">
        <v>70</v>
      </c>
      <c r="D2419" s="15" t="s">
        <v>38</v>
      </c>
      <c r="E2419" s="15" t="s">
        <v>43</v>
      </c>
      <c r="F2419" s="15" t="s">
        <v>40</v>
      </c>
      <c r="G2419" s="15" t="s">
        <v>75</v>
      </c>
      <c r="H2419" s="15" t="s">
        <v>42</v>
      </c>
      <c r="I2419">
        <v>260</v>
      </c>
      <c r="J2419">
        <v>320</v>
      </c>
      <c r="K2419">
        <v>240</v>
      </c>
      <c r="L2419">
        <v>580</v>
      </c>
      <c r="M2419">
        <v>213</v>
      </c>
      <c r="N2419">
        <v>942</v>
      </c>
      <c r="O2419">
        <v>252</v>
      </c>
      <c r="P2419">
        <v>66</v>
      </c>
      <c r="Q2419">
        <v>243</v>
      </c>
      <c r="R2419">
        <v>496</v>
      </c>
      <c r="S2419">
        <v>0.85517241379310349</v>
      </c>
      <c r="T2419">
        <v>1.0125</v>
      </c>
      <c r="U2419">
        <v>0.81923076923076921</v>
      </c>
    </row>
    <row r="2420" spans="1:21" x14ac:dyDescent="0.35">
      <c r="A2420">
        <v>430</v>
      </c>
      <c r="B2420" s="16">
        <v>40575</v>
      </c>
      <c r="C2420" s="15" t="s">
        <v>70</v>
      </c>
      <c r="D2420" s="15" t="s">
        <v>38</v>
      </c>
      <c r="E2420" s="15" t="s">
        <v>44</v>
      </c>
      <c r="F2420" s="15" t="s">
        <v>40</v>
      </c>
      <c r="G2420" s="15" t="s">
        <v>75</v>
      </c>
      <c r="H2420" s="15" t="s">
        <v>45</v>
      </c>
      <c r="I2420">
        <v>100</v>
      </c>
      <c r="J2420">
        <v>130</v>
      </c>
      <c r="K2420">
        <v>100</v>
      </c>
      <c r="L2420">
        <v>230</v>
      </c>
      <c r="M2420">
        <v>83</v>
      </c>
      <c r="N2420">
        <v>613</v>
      </c>
      <c r="O2420">
        <v>107</v>
      </c>
      <c r="P2420">
        <v>27</v>
      </c>
      <c r="Q2420">
        <v>101</v>
      </c>
      <c r="R2420">
        <v>202</v>
      </c>
      <c r="S2420">
        <v>0.87826086956521743</v>
      </c>
      <c r="T2420">
        <v>1.01</v>
      </c>
      <c r="U2420">
        <v>0.83</v>
      </c>
    </row>
    <row r="2421" spans="1:21" x14ac:dyDescent="0.35">
      <c r="A2421">
        <v>956</v>
      </c>
      <c r="B2421" s="16">
        <v>40575</v>
      </c>
      <c r="C2421" s="15" t="s">
        <v>70</v>
      </c>
      <c r="D2421" s="15" t="s">
        <v>38</v>
      </c>
      <c r="E2421" s="15" t="s">
        <v>72</v>
      </c>
      <c r="F2421" s="15" t="s">
        <v>49</v>
      </c>
      <c r="G2421" s="15" t="s">
        <v>75</v>
      </c>
      <c r="H2421" s="15" t="s">
        <v>42</v>
      </c>
      <c r="I2421">
        <v>60</v>
      </c>
      <c r="J2421">
        <v>100</v>
      </c>
      <c r="K2421">
        <v>60</v>
      </c>
      <c r="L2421">
        <v>160</v>
      </c>
      <c r="M2421">
        <v>75</v>
      </c>
      <c r="N2421">
        <v>378</v>
      </c>
      <c r="O2421">
        <v>114</v>
      </c>
      <c r="P2421">
        <v>24</v>
      </c>
      <c r="Q2421">
        <v>86</v>
      </c>
      <c r="R2421">
        <v>201</v>
      </c>
      <c r="S2421">
        <v>1.2562500000000001</v>
      </c>
      <c r="T2421">
        <v>1.4333333333333333</v>
      </c>
      <c r="U2421">
        <v>1.25</v>
      </c>
    </row>
    <row r="2422" spans="1:21" x14ac:dyDescent="0.35">
      <c r="A2422">
        <v>409</v>
      </c>
      <c r="B2422" s="16">
        <v>40575</v>
      </c>
      <c r="C2422" s="15" t="s">
        <v>70</v>
      </c>
      <c r="D2422" s="15" t="s">
        <v>38</v>
      </c>
      <c r="E2422" s="15" t="s">
        <v>48</v>
      </c>
      <c r="F2422" s="15" t="s">
        <v>49</v>
      </c>
      <c r="G2422" s="15" t="s">
        <v>75</v>
      </c>
      <c r="H2422" s="15" t="s">
        <v>42</v>
      </c>
      <c r="I2422">
        <v>80</v>
      </c>
      <c r="J2422">
        <v>120</v>
      </c>
      <c r="K2422">
        <v>100</v>
      </c>
      <c r="L2422">
        <v>200</v>
      </c>
      <c r="M2422">
        <v>99</v>
      </c>
      <c r="N2422">
        <v>766</v>
      </c>
      <c r="O2422">
        <v>144</v>
      </c>
      <c r="P2422">
        <v>27</v>
      </c>
      <c r="Q2422">
        <v>157</v>
      </c>
      <c r="R2422">
        <v>259</v>
      </c>
      <c r="S2422">
        <v>1.2949999999999999</v>
      </c>
      <c r="T2422">
        <v>1.57</v>
      </c>
      <c r="U2422">
        <v>1.2375</v>
      </c>
    </row>
    <row r="2423" spans="1:21" x14ac:dyDescent="0.35">
      <c r="A2423">
        <v>214</v>
      </c>
      <c r="B2423" s="16">
        <v>40575</v>
      </c>
      <c r="C2423" s="15" t="s">
        <v>70</v>
      </c>
      <c r="D2423" s="15" t="s">
        <v>38</v>
      </c>
      <c r="E2423" s="15" t="s">
        <v>50</v>
      </c>
      <c r="F2423" s="15" t="s">
        <v>49</v>
      </c>
      <c r="G2423" s="15" t="s">
        <v>75</v>
      </c>
      <c r="H2423" s="15" t="s">
        <v>45</v>
      </c>
      <c r="I2423">
        <v>60</v>
      </c>
      <c r="J2423">
        <v>100</v>
      </c>
      <c r="K2423">
        <v>90</v>
      </c>
      <c r="L2423">
        <v>160</v>
      </c>
      <c r="M2423">
        <v>77</v>
      </c>
      <c r="N2423">
        <v>449</v>
      </c>
      <c r="O2423">
        <v>112</v>
      </c>
      <c r="P2423">
        <v>21</v>
      </c>
      <c r="Q2423">
        <v>119</v>
      </c>
      <c r="R2423">
        <v>201</v>
      </c>
      <c r="S2423">
        <v>1.2562500000000001</v>
      </c>
      <c r="T2423">
        <v>1.3222222222222222</v>
      </c>
      <c r="U2423">
        <v>1.2833333333333334</v>
      </c>
    </row>
    <row r="2424" spans="1:21" x14ac:dyDescent="0.35">
      <c r="A2424">
        <v>435</v>
      </c>
      <c r="B2424" s="16">
        <v>40575</v>
      </c>
      <c r="C2424" s="15" t="s">
        <v>76</v>
      </c>
      <c r="D2424" s="15" t="s">
        <v>58</v>
      </c>
      <c r="E2424" s="15" t="s">
        <v>51</v>
      </c>
      <c r="F2424" s="15" t="s">
        <v>52</v>
      </c>
      <c r="G2424" s="15" t="s">
        <v>77</v>
      </c>
      <c r="H2424" s="15" t="s">
        <v>45</v>
      </c>
      <c r="I2424">
        <v>30</v>
      </c>
      <c r="J2424">
        <v>50</v>
      </c>
      <c r="K2424">
        <v>30</v>
      </c>
      <c r="L2424">
        <v>80</v>
      </c>
      <c r="M2424">
        <v>41</v>
      </c>
      <c r="N2424">
        <v>236</v>
      </c>
      <c r="O2424">
        <v>60</v>
      </c>
      <c r="P2424">
        <v>13</v>
      </c>
      <c r="Q2424">
        <v>36</v>
      </c>
      <c r="R2424">
        <v>108</v>
      </c>
      <c r="S2424">
        <v>1.35</v>
      </c>
      <c r="T2424">
        <v>1.2</v>
      </c>
      <c r="U2424">
        <v>1.3666666666666667</v>
      </c>
    </row>
    <row r="2425" spans="1:21" x14ac:dyDescent="0.35">
      <c r="A2425">
        <v>435</v>
      </c>
      <c r="B2425" s="16">
        <v>40575</v>
      </c>
      <c r="C2425" s="15" t="s">
        <v>76</v>
      </c>
      <c r="D2425" s="15" t="s">
        <v>58</v>
      </c>
      <c r="E2425" s="15" t="s">
        <v>53</v>
      </c>
      <c r="F2425" s="15" t="s">
        <v>52</v>
      </c>
      <c r="G2425" s="15" t="s">
        <v>77</v>
      </c>
      <c r="H2425" s="15" t="s">
        <v>45</v>
      </c>
      <c r="I2425">
        <v>30</v>
      </c>
      <c r="J2425">
        <v>70</v>
      </c>
      <c r="K2425">
        <v>40</v>
      </c>
      <c r="L2425">
        <v>100</v>
      </c>
      <c r="M2425">
        <v>45</v>
      </c>
      <c r="N2425">
        <v>366</v>
      </c>
      <c r="O2425">
        <v>69</v>
      </c>
      <c r="P2425">
        <v>14</v>
      </c>
      <c r="Q2425">
        <v>36</v>
      </c>
      <c r="R2425">
        <v>121</v>
      </c>
      <c r="S2425">
        <v>1.21</v>
      </c>
      <c r="T2425">
        <v>0.9</v>
      </c>
      <c r="U2425">
        <v>1.5</v>
      </c>
    </row>
    <row r="2426" spans="1:21" x14ac:dyDescent="0.35">
      <c r="A2426">
        <v>435</v>
      </c>
      <c r="B2426" s="16">
        <v>40575</v>
      </c>
      <c r="C2426" s="15" t="s">
        <v>76</v>
      </c>
      <c r="D2426" s="15" t="s">
        <v>58</v>
      </c>
      <c r="E2426" s="15" t="s">
        <v>54</v>
      </c>
      <c r="F2426" s="15" t="s">
        <v>52</v>
      </c>
      <c r="G2426" s="15" t="s">
        <v>77</v>
      </c>
      <c r="H2426" s="15" t="s">
        <v>45</v>
      </c>
      <c r="I2426">
        <v>70</v>
      </c>
      <c r="J2426">
        <v>10</v>
      </c>
      <c r="K2426">
        <v>-30</v>
      </c>
      <c r="L2426">
        <v>80</v>
      </c>
      <c r="M2426">
        <v>84</v>
      </c>
      <c r="N2426">
        <v>625</v>
      </c>
      <c r="O2426">
        <v>18</v>
      </c>
      <c r="P2426">
        <v>26</v>
      </c>
      <c r="Q2426">
        <v>-46</v>
      </c>
      <c r="R2426">
        <v>109</v>
      </c>
      <c r="S2426">
        <v>1.3625</v>
      </c>
      <c r="T2426">
        <v>1.5333333333333334</v>
      </c>
      <c r="U2426">
        <v>1.2</v>
      </c>
    </row>
    <row r="2427" spans="1:21" x14ac:dyDescent="0.35">
      <c r="A2427">
        <v>801</v>
      </c>
      <c r="B2427" s="16">
        <v>40575</v>
      </c>
      <c r="C2427" s="15" t="s">
        <v>76</v>
      </c>
      <c r="D2427" s="15" t="s">
        <v>58</v>
      </c>
      <c r="E2427" s="15" t="s">
        <v>55</v>
      </c>
      <c r="F2427" s="15" t="s">
        <v>47</v>
      </c>
      <c r="G2427" s="15" t="s">
        <v>77</v>
      </c>
      <c r="H2427" s="15" t="s">
        <v>42</v>
      </c>
      <c r="I2427">
        <v>20</v>
      </c>
      <c r="J2427">
        <v>50</v>
      </c>
      <c r="K2427">
        <v>10</v>
      </c>
      <c r="L2427">
        <v>70</v>
      </c>
      <c r="M2427">
        <v>43</v>
      </c>
      <c r="N2427">
        <v>256</v>
      </c>
      <c r="O2427">
        <v>61</v>
      </c>
      <c r="P2427">
        <v>39</v>
      </c>
      <c r="Q2427">
        <v>-10</v>
      </c>
      <c r="R2427">
        <v>111</v>
      </c>
      <c r="S2427">
        <v>1.5857142857142856</v>
      </c>
      <c r="T2427">
        <v>-1</v>
      </c>
      <c r="U2427">
        <v>2.15</v>
      </c>
    </row>
    <row r="2428" spans="1:21" x14ac:dyDescent="0.35">
      <c r="A2428">
        <v>801</v>
      </c>
      <c r="B2428" s="16">
        <v>40575</v>
      </c>
      <c r="C2428" s="15" t="s">
        <v>76</v>
      </c>
      <c r="D2428" s="15" t="s">
        <v>58</v>
      </c>
      <c r="E2428" s="15" t="s">
        <v>56</v>
      </c>
      <c r="F2428" s="15" t="s">
        <v>47</v>
      </c>
      <c r="G2428" s="15" t="s">
        <v>77</v>
      </c>
      <c r="H2428" s="15" t="s">
        <v>42</v>
      </c>
      <c r="I2428">
        <v>20</v>
      </c>
      <c r="J2428">
        <v>30</v>
      </c>
      <c r="K2428">
        <v>10</v>
      </c>
      <c r="L2428">
        <v>50</v>
      </c>
      <c r="M2428">
        <v>35</v>
      </c>
      <c r="N2428">
        <v>191</v>
      </c>
      <c r="O2428">
        <v>47</v>
      </c>
      <c r="P2428">
        <v>11</v>
      </c>
      <c r="Q2428">
        <v>13</v>
      </c>
      <c r="R2428">
        <v>87</v>
      </c>
      <c r="S2428">
        <v>1.74</v>
      </c>
      <c r="T2428">
        <v>1.3</v>
      </c>
      <c r="U2428">
        <v>1.75</v>
      </c>
    </row>
    <row r="2429" spans="1:21" x14ac:dyDescent="0.35">
      <c r="A2429">
        <v>435</v>
      </c>
      <c r="B2429" s="16">
        <v>40575</v>
      </c>
      <c r="C2429" s="15" t="s">
        <v>76</v>
      </c>
      <c r="D2429" s="15" t="s">
        <v>58</v>
      </c>
      <c r="E2429" s="15" t="s">
        <v>46</v>
      </c>
      <c r="F2429" s="15" t="s">
        <v>47</v>
      </c>
      <c r="G2429" s="15" t="s">
        <v>77</v>
      </c>
      <c r="H2429" s="15" t="s">
        <v>42</v>
      </c>
      <c r="I2429">
        <v>10</v>
      </c>
      <c r="J2429">
        <v>30</v>
      </c>
      <c r="K2429">
        <v>10</v>
      </c>
      <c r="L2429">
        <v>40</v>
      </c>
      <c r="M2429">
        <v>30</v>
      </c>
      <c r="N2429">
        <v>165</v>
      </c>
      <c r="O2429">
        <v>38</v>
      </c>
      <c r="P2429">
        <v>11</v>
      </c>
      <c r="Q2429">
        <v>-9</v>
      </c>
      <c r="R2429">
        <v>72</v>
      </c>
      <c r="S2429">
        <v>1.8</v>
      </c>
      <c r="T2429">
        <v>-0.9</v>
      </c>
      <c r="U2429">
        <v>3</v>
      </c>
    </row>
    <row r="2430" spans="1:21" x14ac:dyDescent="0.35">
      <c r="A2430">
        <v>435</v>
      </c>
      <c r="B2430" s="16">
        <v>40575</v>
      </c>
      <c r="C2430" s="15" t="s">
        <v>76</v>
      </c>
      <c r="D2430" s="15" t="s">
        <v>58</v>
      </c>
      <c r="E2430" s="15" t="s">
        <v>50</v>
      </c>
      <c r="F2430" s="15" t="s">
        <v>49</v>
      </c>
      <c r="G2430" s="15" t="s">
        <v>77</v>
      </c>
      <c r="H2430" s="15" t="s">
        <v>45</v>
      </c>
      <c r="I2430">
        <v>40</v>
      </c>
      <c r="J2430">
        <v>70</v>
      </c>
      <c r="K2430">
        <v>50</v>
      </c>
      <c r="L2430">
        <v>110</v>
      </c>
      <c r="M2430">
        <v>50</v>
      </c>
      <c r="N2430">
        <v>814</v>
      </c>
      <c r="O2430">
        <v>73</v>
      </c>
      <c r="P2430">
        <v>14</v>
      </c>
      <c r="Q2430">
        <v>71</v>
      </c>
      <c r="R2430">
        <v>131</v>
      </c>
      <c r="S2430">
        <v>1.1909090909090909</v>
      </c>
      <c r="T2430">
        <v>1.42</v>
      </c>
      <c r="U2430">
        <v>1.25</v>
      </c>
    </row>
    <row r="2431" spans="1:21" x14ac:dyDescent="0.35">
      <c r="A2431">
        <v>801</v>
      </c>
      <c r="B2431" s="16">
        <v>40575</v>
      </c>
      <c r="C2431" s="15" t="s">
        <v>76</v>
      </c>
      <c r="D2431" s="15" t="s">
        <v>58</v>
      </c>
      <c r="E2431" s="15" t="s">
        <v>39</v>
      </c>
      <c r="F2431" s="15" t="s">
        <v>40</v>
      </c>
      <c r="G2431" s="15" t="s">
        <v>77</v>
      </c>
      <c r="H2431" s="15" t="s">
        <v>42</v>
      </c>
      <c r="I2431">
        <v>90</v>
      </c>
      <c r="J2431">
        <v>110</v>
      </c>
      <c r="K2431">
        <v>70</v>
      </c>
      <c r="L2431">
        <v>200</v>
      </c>
      <c r="M2431">
        <v>75</v>
      </c>
      <c r="N2431">
        <v>956</v>
      </c>
      <c r="O2431">
        <v>90</v>
      </c>
      <c r="P2431">
        <v>23</v>
      </c>
      <c r="Q2431">
        <v>68</v>
      </c>
      <c r="R2431">
        <v>176</v>
      </c>
      <c r="S2431">
        <v>0.88</v>
      </c>
      <c r="T2431">
        <v>0.97142857142857142</v>
      </c>
      <c r="U2431">
        <v>0.83333333333333337</v>
      </c>
    </row>
    <row r="2432" spans="1:21" x14ac:dyDescent="0.35">
      <c r="A2432">
        <v>435</v>
      </c>
      <c r="B2432" s="16">
        <v>40575</v>
      </c>
      <c r="C2432" s="15" t="s">
        <v>76</v>
      </c>
      <c r="D2432" s="15" t="s">
        <v>58</v>
      </c>
      <c r="E2432" s="15" t="s">
        <v>43</v>
      </c>
      <c r="F2432" s="15" t="s">
        <v>40</v>
      </c>
      <c r="G2432" s="15" t="s">
        <v>77</v>
      </c>
      <c r="H2432" s="15" t="s">
        <v>42</v>
      </c>
      <c r="I2432">
        <v>60</v>
      </c>
      <c r="J2432">
        <v>100</v>
      </c>
      <c r="K2432">
        <v>70</v>
      </c>
      <c r="L2432">
        <v>160</v>
      </c>
      <c r="M2432">
        <v>55</v>
      </c>
      <c r="N2432">
        <v>305</v>
      </c>
      <c r="O2432">
        <v>75</v>
      </c>
      <c r="P2432">
        <v>18</v>
      </c>
      <c r="Q2432">
        <v>45</v>
      </c>
      <c r="R2432">
        <v>139</v>
      </c>
      <c r="S2432">
        <v>0.86875000000000002</v>
      </c>
      <c r="T2432">
        <v>0.6428571428571429</v>
      </c>
      <c r="U2432">
        <v>0.91666666666666663</v>
      </c>
    </row>
    <row r="2433" spans="1:21" x14ac:dyDescent="0.35">
      <c r="A2433">
        <v>435</v>
      </c>
      <c r="B2433" s="16">
        <v>40575</v>
      </c>
      <c r="C2433" s="15" t="s">
        <v>76</v>
      </c>
      <c r="D2433" s="15" t="s">
        <v>58</v>
      </c>
      <c r="E2433" s="15" t="s">
        <v>44</v>
      </c>
      <c r="F2433" s="15" t="s">
        <v>40</v>
      </c>
      <c r="G2433" s="15" t="s">
        <v>77</v>
      </c>
      <c r="H2433" s="15" t="s">
        <v>45</v>
      </c>
      <c r="I2433">
        <v>100</v>
      </c>
      <c r="J2433">
        <v>140</v>
      </c>
      <c r="K2433">
        <v>80</v>
      </c>
      <c r="L2433">
        <v>240</v>
      </c>
      <c r="M2433">
        <v>86</v>
      </c>
      <c r="N2433">
        <v>484</v>
      </c>
      <c r="O2433">
        <v>107</v>
      </c>
      <c r="P2433">
        <v>32</v>
      </c>
      <c r="Q2433">
        <v>61</v>
      </c>
      <c r="R2433">
        <v>206</v>
      </c>
      <c r="S2433">
        <v>0.85833333333333328</v>
      </c>
      <c r="T2433">
        <v>0.76249999999999996</v>
      </c>
      <c r="U2433">
        <v>0.86</v>
      </c>
    </row>
    <row r="2434" spans="1:21" x14ac:dyDescent="0.35">
      <c r="A2434">
        <v>435</v>
      </c>
      <c r="B2434" s="16">
        <v>40575</v>
      </c>
      <c r="C2434" s="15" t="s">
        <v>76</v>
      </c>
      <c r="D2434" s="15" t="s">
        <v>58</v>
      </c>
      <c r="E2434" s="15" t="s">
        <v>72</v>
      </c>
      <c r="F2434" s="15" t="s">
        <v>49</v>
      </c>
      <c r="G2434" s="15" t="s">
        <v>77</v>
      </c>
      <c r="H2434" s="15" t="s">
        <v>42</v>
      </c>
      <c r="I2434">
        <v>40</v>
      </c>
      <c r="J2434">
        <v>50</v>
      </c>
      <c r="K2434">
        <v>30</v>
      </c>
      <c r="L2434">
        <v>90</v>
      </c>
      <c r="M2434">
        <v>42</v>
      </c>
      <c r="N2434">
        <v>771</v>
      </c>
      <c r="O2434">
        <v>61</v>
      </c>
      <c r="P2434">
        <v>11</v>
      </c>
      <c r="Q2434">
        <v>56</v>
      </c>
      <c r="R2434">
        <v>110</v>
      </c>
      <c r="S2434">
        <v>1.2222222222222223</v>
      </c>
      <c r="T2434">
        <v>1.8666666666666667</v>
      </c>
      <c r="U2434">
        <v>1.05</v>
      </c>
    </row>
    <row r="2435" spans="1:21" x14ac:dyDescent="0.35">
      <c r="A2435">
        <v>435</v>
      </c>
      <c r="B2435" s="16">
        <v>40575</v>
      </c>
      <c r="C2435" s="15" t="s">
        <v>76</v>
      </c>
      <c r="D2435" s="15" t="s">
        <v>58</v>
      </c>
      <c r="E2435" s="15" t="s">
        <v>48</v>
      </c>
      <c r="F2435" s="15" t="s">
        <v>49</v>
      </c>
      <c r="G2435" s="15" t="s">
        <v>77</v>
      </c>
      <c r="H2435" s="15" t="s">
        <v>42</v>
      </c>
      <c r="I2435">
        <v>40</v>
      </c>
      <c r="J2435">
        <v>60</v>
      </c>
      <c r="K2435">
        <v>40</v>
      </c>
      <c r="L2435">
        <v>100</v>
      </c>
      <c r="M2435">
        <v>49</v>
      </c>
      <c r="N2435">
        <v>617</v>
      </c>
      <c r="O2435">
        <v>63</v>
      </c>
      <c r="P2435">
        <v>16</v>
      </c>
      <c r="Q2435">
        <v>52</v>
      </c>
      <c r="R2435">
        <v>119</v>
      </c>
      <c r="S2435">
        <v>1.19</v>
      </c>
      <c r="T2435">
        <v>1.3</v>
      </c>
      <c r="U2435">
        <v>1.2250000000000001</v>
      </c>
    </row>
    <row r="2436" spans="1:21" x14ac:dyDescent="0.35">
      <c r="A2436">
        <v>209</v>
      </c>
      <c r="B2436" s="16">
        <v>40575</v>
      </c>
      <c r="C2436" s="15" t="s">
        <v>76</v>
      </c>
      <c r="D2436" s="15" t="s">
        <v>38</v>
      </c>
      <c r="E2436" s="15" t="s">
        <v>51</v>
      </c>
      <c r="F2436" s="15" t="s">
        <v>52</v>
      </c>
      <c r="G2436" s="15" t="s">
        <v>78</v>
      </c>
      <c r="H2436" s="15" t="s">
        <v>45</v>
      </c>
      <c r="I2436">
        <v>80</v>
      </c>
      <c r="J2436">
        <v>120</v>
      </c>
      <c r="K2436">
        <v>100</v>
      </c>
      <c r="L2436">
        <v>200</v>
      </c>
      <c r="M2436">
        <v>95</v>
      </c>
      <c r="N2436">
        <v>809</v>
      </c>
      <c r="O2436">
        <v>137</v>
      </c>
      <c r="P2436">
        <v>26</v>
      </c>
      <c r="Q2436">
        <v>148</v>
      </c>
      <c r="R2436">
        <v>247</v>
      </c>
      <c r="S2436">
        <v>1.2350000000000001</v>
      </c>
      <c r="T2436">
        <v>1.48</v>
      </c>
      <c r="U2436">
        <v>1.1875</v>
      </c>
    </row>
    <row r="2437" spans="1:21" x14ac:dyDescent="0.35">
      <c r="A2437">
        <v>559</v>
      </c>
      <c r="B2437" s="16">
        <v>40575</v>
      </c>
      <c r="C2437" s="15" t="s">
        <v>76</v>
      </c>
      <c r="D2437" s="15" t="s">
        <v>38</v>
      </c>
      <c r="E2437" s="15" t="s">
        <v>53</v>
      </c>
      <c r="F2437" s="15" t="s">
        <v>52</v>
      </c>
      <c r="G2437" s="15" t="s">
        <v>78</v>
      </c>
      <c r="H2437" s="15" t="s">
        <v>45</v>
      </c>
      <c r="I2437">
        <v>180</v>
      </c>
      <c r="J2437">
        <v>220</v>
      </c>
      <c r="K2437">
        <v>160</v>
      </c>
      <c r="L2437">
        <v>400</v>
      </c>
      <c r="M2437">
        <v>213</v>
      </c>
      <c r="N2437">
        <v>942</v>
      </c>
      <c r="O2437">
        <v>252</v>
      </c>
      <c r="P2437">
        <v>66</v>
      </c>
      <c r="Q2437">
        <v>243</v>
      </c>
      <c r="R2437">
        <v>496</v>
      </c>
      <c r="S2437">
        <v>1.24</v>
      </c>
      <c r="T2437">
        <v>1.51875</v>
      </c>
      <c r="U2437">
        <v>1.1833333333333333</v>
      </c>
    </row>
    <row r="2438" spans="1:21" x14ac:dyDescent="0.35">
      <c r="A2438">
        <v>408</v>
      </c>
      <c r="B2438" s="16">
        <v>40575</v>
      </c>
      <c r="C2438" s="15" t="s">
        <v>76</v>
      </c>
      <c r="D2438" s="15" t="s">
        <v>38</v>
      </c>
      <c r="E2438" s="15" t="s">
        <v>54</v>
      </c>
      <c r="F2438" s="15" t="s">
        <v>52</v>
      </c>
      <c r="G2438" s="15" t="s">
        <v>78</v>
      </c>
      <c r="H2438" s="15" t="s">
        <v>45</v>
      </c>
      <c r="I2438">
        <v>70</v>
      </c>
      <c r="J2438">
        <v>90</v>
      </c>
      <c r="K2438">
        <v>60</v>
      </c>
      <c r="L2438">
        <v>160</v>
      </c>
      <c r="M2438">
        <v>83</v>
      </c>
      <c r="N2438">
        <v>613</v>
      </c>
      <c r="O2438">
        <v>107</v>
      </c>
      <c r="P2438">
        <v>27</v>
      </c>
      <c r="Q2438">
        <v>101</v>
      </c>
      <c r="R2438">
        <v>202</v>
      </c>
      <c r="S2438">
        <v>1.2625</v>
      </c>
      <c r="T2438">
        <v>1.6833333333333333</v>
      </c>
      <c r="U2438">
        <v>1.1857142857142857</v>
      </c>
    </row>
    <row r="2439" spans="1:21" x14ac:dyDescent="0.35">
      <c r="A2439">
        <v>805</v>
      </c>
      <c r="B2439" s="16">
        <v>40575</v>
      </c>
      <c r="C2439" s="15" t="s">
        <v>76</v>
      </c>
      <c r="D2439" s="15" t="s">
        <v>38</v>
      </c>
      <c r="E2439" s="15" t="s">
        <v>55</v>
      </c>
      <c r="F2439" s="15" t="s">
        <v>47</v>
      </c>
      <c r="G2439" s="15" t="s">
        <v>78</v>
      </c>
      <c r="H2439" s="15" t="s">
        <v>42</v>
      </c>
      <c r="I2439">
        <v>60</v>
      </c>
      <c r="J2439">
        <v>100</v>
      </c>
      <c r="K2439">
        <v>90</v>
      </c>
      <c r="L2439">
        <v>160</v>
      </c>
      <c r="M2439">
        <v>99</v>
      </c>
      <c r="N2439">
        <v>766</v>
      </c>
      <c r="O2439">
        <v>144</v>
      </c>
      <c r="P2439">
        <v>27</v>
      </c>
      <c r="Q2439">
        <v>157</v>
      </c>
      <c r="R2439">
        <v>259</v>
      </c>
      <c r="S2439">
        <v>1.6187499999999999</v>
      </c>
      <c r="T2439">
        <v>1.7444444444444445</v>
      </c>
      <c r="U2439">
        <v>1.65</v>
      </c>
    </row>
    <row r="2440" spans="1:21" x14ac:dyDescent="0.35">
      <c r="A2440">
        <v>707</v>
      </c>
      <c r="B2440" s="16">
        <v>40575</v>
      </c>
      <c r="C2440" s="15" t="s">
        <v>76</v>
      </c>
      <c r="D2440" s="15" t="s">
        <v>38</v>
      </c>
      <c r="E2440" s="15" t="s">
        <v>56</v>
      </c>
      <c r="F2440" s="15" t="s">
        <v>47</v>
      </c>
      <c r="G2440" s="15" t="s">
        <v>78</v>
      </c>
      <c r="H2440" s="15" t="s">
        <v>42</v>
      </c>
      <c r="I2440">
        <v>50</v>
      </c>
      <c r="J2440">
        <v>70</v>
      </c>
      <c r="K2440">
        <v>60</v>
      </c>
      <c r="L2440">
        <v>120</v>
      </c>
      <c r="M2440">
        <v>77</v>
      </c>
      <c r="N2440">
        <v>449</v>
      </c>
      <c r="O2440">
        <v>112</v>
      </c>
      <c r="P2440">
        <v>21</v>
      </c>
      <c r="Q2440">
        <v>119</v>
      </c>
      <c r="R2440">
        <v>201</v>
      </c>
      <c r="S2440">
        <v>1.675</v>
      </c>
      <c r="T2440">
        <v>1.9833333333333334</v>
      </c>
      <c r="U2440">
        <v>1.54</v>
      </c>
    </row>
    <row r="2441" spans="1:21" x14ac:dyDescent="0.35">
      <c r="A2441">
        <v>530</v>
      </c>
      <c r="B2441" s="16">
        <v>40575</v>
      </c>
      <c r="C2441" s="15" t="s">
        <v>76</v>
      </c>
      <c r="D2441" s="15" t="s">
        <v>38</v>
      </c>
      <c r="E2441" s="15" t="s">
        <v>46</v>
      </c>
      <c r="F2441" s="15" t="s">
        <v>47</v>
      </c>
      <c r="G2441" s="15" t="s">
        <v>78</v>
      </c>
      <c r="H2441" s="15" t="s">
        <v>42</v>
      </c>
      <c r="I2441">
        <v>40</v>
      </c>
      <c r="J2441">
        <v>80</v>
      </c>
      <c r="K2441">
        <v>50</v>
      </c>
      <c r="L2441">
        <v>120</v>
      </c>
      <c r="M2441">
        <v>75</v>
      </c>
      <c r="N2441">
        <v>549</v>
      </c>
      <c r="O2441">
        <v>114</v>
      </c>
      <c r="P2441">
        <v>24</v>
      </c>
      <c r="Q2441">
        <v>86</v>
      </c>
      <c r="R2441">
        <v>201</v>
      </c>
      <c r="S2441">
        <v>1.675</v>
      </c>
      <c r="T2441">
        <v>1.72</v>
      </c>
      <c r="U2441">
        <v>1.875</v>
      </c>
    </row>
    <row r="2442" spans="1:21" x14ac:dyDescent="0.35">
      <c r="A2442">
        <v>707</v>
      </c>
      <c r="B2442" s="16">
        <v>40575</v>
      </c>
      <c r="C2442" s="15" t="s">
        <v>76</v>
      </c>
      <c r="D2442" s="15" t="s">
        <v>38</v>
      </c>
      <c r="E2442" s="15" t="s">
        <v>50</v>
      </c>
      <c r="F2442" s="15" t="s">
        <v>49</v>
      </c>
      <c r="G2442" s="15" t="s">
        <v>78</v>
      </c>
      <c r="H2442" s="15" t="s">
        <v>45</v>
      </c>
      <c r="I2442">
        <v>220</v>
      </c>
      <c r="J2442">
        <v>300</v>
      </c>
      <c r="K2442">
        <v>200</v>
      </c>
      <c r="L2442">
        <v>520</v>
      </c>
      <c r="M2442">
        <v>234</v>
      </c>
      <c r="N2442">
        <v>1282</v>
      </c>
      <c r="O2442">
        <v>311</v>
      </c>
      <c r="P2442">
        <v>77</v>
      </c>
      <c r="Q2442">
        <v>300</v>
      </c>
      <c r="R2442">
        <v>581</v>
      </c>
      <c r="S2442">
        <v>1.1173076923076923</v>
      </c>
      <c r="T2442">
        <v>1.5</v>
      </c>
      <c r="U2442">
        <v>1.0636363636363637</v>
      </c>
    </row>
    <row r="2443" spans="1:21" x14ac:dyDescent="0.35">
      <c r="A2443">
        <v>626</v>
      </c>
      <c r="B2443" s="16">
        <v>40575</v>
      </c>
      <c r="C2443" s="15" t="s">
        <v>76</v>
      </c>
      <c r="D2443" s="15" t="s">
        <v>38</v>
      </c>
      <c r="E2443" s="15" t="s">
        <v>39</v>
      </c>
      <c r="F2443" s="15" t="s">
        <v>40</v>
      </c>
      <c r="G2443" s="15" t="s">
        <v>78</v>
      </c>
      <c r="H2443" s="15" t="s">
        <v>42</v>
      </c>
      <c r="I2443">
        <v>130</v>
      </c>
      <c r="J2443">
        <v>30</v>
      </c>
      <c r="K2443">
        <v>-20</v>
      </c>
      <c r="L2443">
        <v>160</v>
      </c>
      <c r="M2443">
        <v>104</v>
      </c>
      <c r="N2443">
        <v>685</v>
      </c>
      <c r="O2443">
        <v>28</v>
      </c>
      <c r="P2443">
        <v>33</v>
      </c>
      <c r="Q2443">
        <v>-40</v>
      </c>
      <c r="R2443">
        <v>141</v>
      </c>
      <c r="S2443">
        <v>0.88124999999999998</v>
      </c>
      <c r="T2443">
        <v>2</v>
      </c>
      <c r="U2443">
        <v>0.8</v>
      </c>
    </row>
    <row r="2444" spans="1:21" x14ac:dyDescent="0.35">
      <c r="A2444">
        <v>213</v>
      </c>
      <c r="B2444" s="16">
        <v>40575</v>
      </c>
      <c r="C2444" s="15" t="s">
        <v>76</v>
      </c>
      <c r="D2444" s="15" t="s">
        <v>38</v>
      </c>
      <c r="E2444" s="15" t="s">
        <v>43</v>
      </c>
      <c r="F2444" s="15" t="s">
        <v>40</v>
      </c>
      <c r="G2444" s="15" t="s">
        <v>78</v>
      </c>
      <c r="H2444" s="15" t="s">
        <v>42</v>
      </c>
      <c r="I2444">
        <v>320</v>
      </c>
      <c r="J2444">
        <v>480</v>
      </c>
      <c r="K2444">
        <v>360</v>
      </c>
      <c r="L2444">
        <v>800</v>
      </c>
      <c r="M2444">
        <v>258</v>
      </c>
      <c r="N2444">
        <v>2067</v>
      </c>
      <c r="O2444">
        <v>387</v>
      </c>
      <c r="P2444">
        <v>90</v>
      </c>
      <c r="Q2444">
        <v>364</v>
      </c>
      <c r="R2444">
        <v>687</v>
      </c>
      <c r="S2444">
        <v>0.85875000000000001</v>
      </c>
      <c r="T2444">
        <v>1.0111111111111111</v>
      </c>
      <c r="U2444">
        <v>0.80625000000000002</v>
      </c>
    </row>
    <row r="2445" spans="1:21" x14ac:dyDescent="0.35">
      <c r="A2445">
        <v>925</v>
      </c>
      <c r="B2445" s="16">
        <v>40575</v>
      </c>
      <c r="C2445" s="15" t="s">
        <v>76</v>
      </c>
      <c r="D2445" s="15" t="s">
        <v>38</v>
      </c>
      <c r="E2445" s="15" t="s">
        <v>44</v>
      </c>
      <c r="F2445" s="15" t="s">
        <v>40</v>
      </c>
      <c r="G2445" s="15" t="s">
        <v>78</v>
      </c>
      <c r="H2445" s="15" t="s">
        <v>45</v>
      </c>
      <c r="I2445">
        <v>180</v>
      </c>
      <c r="J2445">
        <v>-30</v>
      </c>
      <c r="K2445">
        <v>-110</v>
      </c>
      <c r="L2445">
        <v>150</v>
      </c>
      <c r="M2445">
        <v>148</v>
      </c>
      <c r="N2445">
        <v>1071</v>
      </c>
      <c r="O2445">
        <v>-26</v>
      </c>
      <c r="P2445">
        <v>48</v>
      </c>
      <c r="Q2445">
        <v>-174</v>
      </c>
      <c r="R2445">
        <v>130</v>
      </c>
      <c r="S2445">
        <v>0.8666666666666667</v>
      </c>
      <c r="T2445">
        <v>1.5818181818181818</v>
      </c>
      <c r="U2445">
        <v>0.82222222222222219</v>
      </c>
    </row>
    <row r="2446" spans="1:21" x14ac:dyDescent="0.35">
      <c r="A2446">
        <v>619</v>
      </c>
      <c r="B2446" s="16">
        <v>40575</v>
      </c>
      <c r="C2446" s="15" t="s">
        <v>76</v>
      </c>
      <c r="D2446" s="15" t="s">
        <v>38</v>
      </c>
      <c r="E2446" s="15" t="s">
        <v>72</v>
      </c>
      <c r="F2446" s="15" t="s">
        <v>49</v>
      </c>
      <c r="G2446" s="15" t="s">
        <v>78</v>
      </c>
      <c r="H2446" s="15" t="s">
        <v>42</v>
      </c>
      <c r="I2446">
        <v>210</v>
      </c>
      <c r="J2446">
        <v>220</v>
      </c>
      <c r="K2446">
        <v>150</v>
      </c>
      <c r="L2446">
        <v>430</v>
      </c>
      <c r="M2446">
        <v>228</v>
      </c>
      <c r="N2446">
        <v>1436</v>
      </c>
      <c r="O2446">
        <v>229</v>
      </c>
      <c r="P2446">
        <v>63</v>
      </c>
      <c r="Q2446">
        <v>211</v>
      </c>
      <c r="R2446">
        <v>487</v>
      </c>
      <c r="S2446">
        <v>1.1325581395348838</v>
      </c>
      <c r="T2446">
        <v>1.4066666666666667</v>
      </c>
      <c r="U2446">
        <v>1.0857142857142856</v>
      </c>
    </row>
    <row r="2447" spans="1:21" x14ac:dyDescent="0.35">
      <c r="A2447">
        <v>916</v>
      </c>
      <c r="B2447" s="16">
        <v>40575</v>
      </c>
      <c r="C2447" s="15" t="s">
        <v>76</v>
      </c>
      <c r="D2447" s="15" t="s">
        <v>38</v>
      </c>
      <c r="E2447" s="15" t="s">
        <v>48</v>
      </c>
      <c r="F2447" s="15" t="s">
        <v>49</v>
      </c>
      <c r="G2447" s="15" t="s">
        <v>78</v>
      </c>
      <c r="H2447" s="15" t="s">
        <v>42</v>
      </c>
      <c r="I2447">
        <v>110</v>
      </c>
      <c r="J2447">
        <v>160</v>
      </c>
      <c r="K2447">
        <v>30</v>
      </c>
      <c r="L2447">
        <v>270</v>
      </c>
      <c r="M2447">
        <v>121</v>
      </c>
      <c r="N2447">
        <v>712</v>
      </c>
      <c r="O2447">
        <v>169</v>
      </c>
      <c r="P2447">
        <v>110</v>
      </c>
      <c r="Q2447">
        <v>39</v>
      </c>
      <c r="R2447">
        <v>309</v>
      </c>
      <c r="S2447">
        <v>1.1444444444444444</v>
      </c>
      <c r="T2447">
        <v>1.3</v>
      </c>
      <c r="U2447">
        <v>1.1000000000000001</v>
      </c>
    </row>
    <row r="2448" spans="1:21" x14ac:dyDescent="0.35">
      <c r="A2448">
        <v>702</v>
      </c>
      <c r="B2448" s="16">
        <v>40575</v>
      </c>
      <c r="C2448" s="15" t="s">
        <v>76</v>
      </c>
      <c r="D2448" s="15" t="s">
        <v>58</v>
      </c>
      <c r="E2448" s="15" t="s">
        <v>51</v>
      </c>
      <c r="F2448" s="15" t="s">
        <v>52</v>
      </c>
      <c r="G2448" s="15" t="s">
        <v>79</v>
      </c>
      <c r="H2448" s="15" t="s">
        <v>45</v>
      </c>
      <c r="I2448">
        <v>100</v>
      </c>
      <c r="J2448">
        <v>150</v>
      </c>
      <c r="K2448">
        <v>40</v>
      </c>
      <c r="L2448">
        <v>250</v>
      </c>
      <c r="M2448">
        <v>121</v>
      </c>
      <c r="N2448">
        <v>712</v>
      </c>
      <c r="O2448">
        <v>169</v>
      </c>
      <c r="P2448">
        <v>110</v>
      </c>
      <c r="Q2448">
        <v>39</v>
      </c>
      <c r="R2448">
        <v>309</v>
      </c>
      <c r="S2448">
        <v>1.236</v>
      </c>
      <c r="T2448">
        <v>0.97499999999999998</v>
      </c>
      <c r="U2448">
        <v>1.21</v>
      </c>
    </row>
    <row r="2449" spans="1:21" x14ac:dyDescent="0.35">
      <c r="A2449">
        <v>775</v>
      </c>
      <c r="B2449" s="16">
        <v>40575</v>
      </c>
      <c r="C2449" s="15" t="s">
        <v>76</v>
      </c>
      <c r="D2449" s="15" t="s">
        <v>58</v>
      </c>
      <c r="E2449" s="15" t="s">
        <v>53</v>
      </c>
      <c r="F2449" s="15" t="s">
        <v>52</v>
      </c>
      <c r="G2449" s="15" t="s">
        <v>79</v>
      </c>
      <c r="H2449" s="15" t="s">
        <v>45</v>
      </c>
      <c r="I2449">
        <v>120</v>
      </c>
      <c r="J2449">
        <v>190</v>
      </c>
      <c r="K2449">
        <v>120</v>
      </c>
      <c r="L2449">
        <v>310</v>
      </c>
      <c r="M2449">
        <v>148</v>
      </c>
      <c r="N2449">
        <v>844</v>
      </c>
      <c r="O2449">
        <v>206</v>
      </c>
      <c r="P2449">
        <v>48</v>
      </c>
      <c r="Q2449">
        <v>171</v>
      </c>
      <c r="R2449">
        <v>377</v>
      </c>
      <c r="S2449">
        <v>1.2161290322580645</v>
      </c>
      <c r="T2449">
        <v>1.425</v>
      </c>
      <c r="U2449">
        <v>1.2333333333333334</v>
      </c>
    </row>
    <row r="2450" spans="1:21" x14ac:dyDescent="0.35">
      <c r="A2450">
        <v>775</v>
      </c>
      <c r="B2450" s="16">
        <v>40575</v>
      </c>
      <c r="C2450" s="15" t="s">
        <v>76</v>
      </c>
      <c r="D2450" s="15" t="s">
        <v>58</v>
      </c>
      <c r="E2450" s="15" t="s">
        <v>54</v>
      </c>
      <c r="F2450" s="15" t="s">
        <v>52</v>
      </c>
      <c r="G2450" s="15" t="s">
        <v>79</v>
      </c>
      <c r="H2450" s="15" t="s">
        <v>45</v>
      </c>
      <c r="I2450">
        <v>80</v>
      </c>
      <c r="J2450">
        <v>140</v>
      </c>
      <c r="K2450">
        <v>110</v>
      </c>
      <c r="L2450">
        <v>220</v>
      </c>
      <c r="M2450">
        <v>104</v>
      </c>
      <c r="N2450">
        <v>596</v>
      </c>
      <c r="O2450">
        <v>150</v>
      </c>
      <c r="P2450">
        <v>33</v>
      </c>
      <c r="Q2450">
        <v>140</v>
      </c>
      <c r="R2450">
        <v>271</v>
      </c>
      <c r="S2450">
        <v>1.2318181818181819</v>
      </c>
      <c r="T2450">
        <v>1.2727272727272727</v>
      </c>
      <c r="U2450">
        <v>1.3</v>
      </c>
    </row>
    <row r="2451" spans="1:21" x14ac:dyDescent="0.35">
      <c r="A2451">
        <v>702</v>
      </c>
      <c r="B2451" s="16">
        <v>40575</v>
      </c>
      <c r="C2451" s="15" t="s">
        <v>76</v>
      </c>
      <c r="D2451" s="15" t="s">
        <v>58</v>
      </c>
      <c r="E2451" s="15" t="s">
        <v>55</v>
      </c>
      <c r="F2451" s="15" t="s">
        <v>47</v>
      </c>
      <c r="G2451" s="15" t="s">
        <v>79</v>
      </c>
      <c r="H2451" s="15" t="s">
        <v>42</v>
      </c>
      <c r="I2451">
        <v>150</v>
      </c>
      <c r="J2451">
        <v>220</v>
      </c>
      <c r="K2451">
        <v>150</v>
      </c>
      <c r="L2451">
        <v>370</v>
      </c>
      <c r="M2451">
        <v>234</v>
      </c>
      <c r="N2451">
        <v>1282</v>
      </c>
      <c r="O2451">
        <v>311</v>
      </c>
      <c r="P2451">
        <v>77</v>
      </c>
      <c r="Q2451">
        <v>300</v>
      </c>
      <c r="R2451">
        <v>581</v>
      </c>
      <c r="S2451">
        <v>1.5702702702702702</v>
      </c>
      <c r="T2451">
        <v>2</v>
      </c>
      <c r="U2451">
        <v>1.56</v>
      </c>
    </row>
    <row r="2452" spans="1:21" x14ac:dyDescent="0.35">
      <c r="A2452">
        <v>775</v>
      </c>
      <c r="B2452" s="16">
        <v>40575</v>
      </c>
      <c r="C2452" s="15" t="s">
        <v>76</v>
      </c>
      <c r="D2452" s="15" t="s">
        <v>58</v>
      </c>
      <c r="E2452" s="15" t="s">
        <v>56</v>
      </c>
      <c r="F2452" s="15" t="s">
        <v>47</v>
      </c>
      <c r="G2452" s="15" t="s">
        <v>79</v>
      </c>
      <c r="H2452" s="15" t="s">
        <v>42</v>
      </c>
      <c r="I2452">
        <v>150</v>
      </c>
      <c r="J2452">
        <v>160</v>
      </c>
      <c r="K2452">
        <v>100</v>
      </c>
      <c r="L2452">
        <v>310</v>
      </c>
      <c r="M2452">
        <v>228</v>
      </c>
      <c r="N2452">
        <v>1436</v>
      </c>
      <c r="O2452">
        <v>229</v>
      </c>
      <c r="P2452">
        <v>63</v>
      </c>
      <c r="Q2452">
        <v>211</v>
      </c>
      <c r="R2452">
        <v>487</v>
      </c>
      <c r="S2452">
        <v>1.5709677419354839</v>
      </c>
      <c r="T2452">
        <v>2.11</v>
      </c>
      <c r="U2452">
        <v>1.52</v>
      </c>
    </row>
    <row r="2453" spans="1:21" x14ac:dyDescent="0.35">
      <c r="A2453">
        <v>775</v>
      </c>
      <c r="B2453" s="16">
        <v>40575</v>
      </c>
      <c r="C2453" s="15" t="s">
        <v>76</v>
      </c>
      <c r="D2453" s="15" t="s">
        <v>58</v>
      </c>
      <c r="E2453" s="15" t="s">
        <v>46</v>
      </c>
      <c r="F2453" s="15" t="s">
        <v>47</v>
      </c>
      <c r="G2453" s="15" t="s">
        <v>79</v>
      </c>
      <c r="H2453" s="15" t="s">
        <v>42</v>
      </c>
      <c r="I2453">
        <v>150</v>
      </c>
      <c r="J2453">
        <v>-150</v>
      </c>
      <c r="K2453">
        <v>-220</v>
      </c>
      <c r="L2453">
        <v>0</v>
      </c>
      <c r="M2453">
        <v>240</v>
      </c>
      <c r="N2453">
        <v>1937</v>
      </c>
      <c r="O2453">
        <v>-240</v>
      </c>
      <c r="P2453">
        <v>91</v>
      </c>
      <c r="Q2453">
        <v>-508</v>
      </c>
      <c r="R2453">
        <v>25</v>
      </c>
      <c r="T2453">
        <v>2.3090909090909091</v>
      </c>
      <c r="U2453">
        <v>1.6</v>
      </c>
    </row>
    <row r="2454" spans="1:21" x14ac:dyDescent="0.35">
      <c r="A2454">
        <v>702</v>
      </c>
      <c r="B2454" s="16">
        <v>40575</v>
      </c>
      <c r="C2454" s="15" t="s">
        <v>76</v>
      </c>
      <c r="D2454" s="15" t="s">
        <v>58</v>
      </c>
      <c r="E2454" s="15" t="s">
        <v>50</v>
      </c>
      <c r="F2454" s="15" t="s">
        <v>49</v>
      </c>
      <c r="G2454" s="15" t="s">
        <v>79</v>
      </c>
      <c r="H2454" s="15" t="s">
        <v>45</v>
      </c>
      <c r="I2454">
        <v>10</v>
      </c>
      <c r="J2454">
        <v>30</v>
      </c>
      <c r="K2454">
        <v>20</v>
      </c>
      <c r="L2454">
        <v>40</v>
      </c>
      <c r="M2454">
        <v>19</v>
      </c>
      <c r="N2454">
        <v>774</v>
      </c>
      <c r="O2454">
        <v>28</v>
      </c>
      <c r="P2454">
        <v>5</v>
      </c>
      <c r="Q2454">
        <v>16</v>
      </c>
      <c r="R2454">
        <v>50</v>
      </c>
      <c r="S2454">
        <v>1.25</v>
      </c>
      <c r="T2454">
        <v>0.8</v>
      </c>
      <c r="U2454">
        <v>1.9</v>
      </c>
    </row>
    <row r="2455" spans="1:21" x14ac:dyDescent="0.35">
      <c r="A2455">
        <v>702</v>
      </c>
      <c r="B2455" s="16">
        <v>40575</v>
      </c>
      <c r="C2455" s="15" t="s">
        <v>76</v>
      </c>
      <c r="D2455" s="15" t="s">
        <v>58</v>
      </c>
      <c r="E2455" s="15" t="s">
        <v>43</v>
      </c>
      <c r="F2455" s="15" t="s">
        <v>40</v>
      </c>
      <c r="G2455" s="15" t="s">
        <v>79</v>
      </c>
      <c r="H2455" s="15" t="s">
        <v>42</v>
      </c>
      <c r="I2455">
        <v>40</v>
      </c>
      <c r="J2455">
        <v>50</v>
      </c>
      <c r="K2455">
        <v>10</v>
      </c>
      <c r="L2455">
        <v>90</v>
      </c>
      <c r="M2455">
        <v>33</v>
      </c>
      <c r="N2455">
        <v>193</v>
      </c>
      <c r="O2455">
        <v>41</v>
      </c>
      <c r="P2455">
        <v>12</v>
      </c>
      <c r="Q2455">
        <v>-7</v>
      </c>
      <c r="R2455">
        <v>79</v>
      </c>
      <c r="S2455">
        <v>0.87777777777777777</v>
      </c>
      <c r="T2455">
        <v>-0.7</v>
      </c>
      <c r="U2455">
        <v>0.82499999999999996</v>
      </c>
    </row>
    <row r="2456" spans="1:21" x14ac:dyDescent="0.35">
      <c r="A2456">
        <v>775</v>
      </c>
      <c r="B2456" s="16">
        <v>40575</v>
      </c>
      <c r="C2456" s="15" t="s">
        <v>76</v>
      </c>
      <c r="D2456" s="15" t="s">
        <v>58</v>
      </c>
      <c r="E2456" s="15" t="s">
        <v>44</v>
      </c>
      <c r="F2456" s="15" t="s">
        <v>40</v>
      </c>
      <c r="G2456" s="15" t="s">
        <v>79</v>
      </c>
      <c r="H2456" s="15" t="s">
        <v>45</v>
      </c>
      <c r="I2456">
        <v>30</v>
      </c>
      <c r="J2456">
        <v>40</v>
      </c>
      <c r="K2456">
        <v>20</v>
      </c>
      <c r="L2456">
        <v>70</v>
      </c>
      <c r="M2456">
        <v>28</v>
      </c>
      <c r="N2456">
        <v>961</v>
      </c>
      <c r="O2456">
        <v>35</v>
      </c>
      <c r="P2456">
        <v>8</v>
      </c>
      <c r="Q2456">
        <v>9</v>
      </c>
      <c r="R2456">
        <v>67</v>
      </c>
      <c r="S2456">
        <v>0.95714285714285718</v>
      </c>
      <c r="T2456">
        <v>0.45</v>
      </c>
      <c r="U2456">
        <v>0.93333333333333335</v>
      </c>
    </row>
    <row r="2457" spans="1:21" x14ac:dyDescent="0.35">
      <c r="A2457">
        <v>775</v>
      </c>
      <c r="B2457" s="16">
        <v>40575</v>
      </c>
      <c r="C2457" s="15" t="s">
        <v>76</v>
      </c>
      <c r="D2457" s="15" t="s">
        <v>58</v>
      </c>
      <c r="E2457" s="15" t="s">
        <v>72</v>
      </c>
      <c r="F2457" s="15" t="s">
        <v>49</v>
      </c>
      <c r="G2457" s="15" t="s">
        <v>79</v>
      </c>
      <c r="H2457" s="15" t="s">
        <v>42</v>
      </c>
      <c r="I2457">
        <v>0</v>
      </c>
      <c r="J2457">
        <v>40</v>
      </c>
      <c r="K2457">
        <v>30</v>
      </c>
      <c r="L2457">
        <v>40</v>
      </c>
      <c r="M2457">
        <v>0</v>
      </c>
      <c r="N2457">
        <v>774</v>
      </c>
      <c r="O2457">
        <v>43</v>
      </c>
      <c r="P2457">
        <v>0</v>
      </c>
      <c r="Q2457">
        <v>46</v>
      </c>
      <c r="R2457">
        <v>46</v>
      </c>
      <c r="S2457">
        <v>1.1499999999999999</v>
      </c>
      <c r="T2457">
        <v>1.5333333333333334</v>
      </c>
    </row>
    <row r="2458" spans="1:21" x14ac:dyDescent="0.35">
      <c r="A2458">
        <v>775</v>
      </c>
      <c r="B2458" s="16">
        <v>40575</v>
      </c>
      <c r="C2458" s="15" t="s">
        <v>76</v>
      </c>
      <c r="D2458" s="15" t="s">
        <v>58</v>
      </c>
      <c r="E2458" s="15" t="s">
        <v>48</v>
      </c>
      <c r="F2458" s="15" t="s">
        <v>49</v>
      </c>
      <c r="G2458" s="15" t="s">
        <v>79</v>
      </c>
      <c r="H2458" s="15" t="s">
        <v>42</v>
      </c>
      <c r="I2458">
        <v>10</v>
      </c>
      <c r="J2458">
        <v>30</v>
      </c>
      <c r="K2458">
        <v>20</v>
      </c>
      <c r="L2458">
        <v>40</v>
      </c>
      <c r="M2458">
        <v>18</v>
      </c>
      <c r="N2458">
        <v>818</v>
      </c>
      <c r="O2458">
        <v>27</v>
      </c>
      <c r="P2458">
        <v>5</v>
      </c>
      <c r="Q2458">
        <v>15</v>
      </c>
      <c r="R2458">
        <v>48</v>
      </c>
      <c r="S2458">
        <v>1.2</v>
      </c>
      <c r="T2458">
        <v>0.75</v>
      </c>
      <c r="U2458">
        <v>1.8</v>
      </c>
    </row>
    <row r="2459" spans="1:21" x14ac:dyDescent="0.35">
      <c r="A2459">
        <v>503</v>
      </c>
      <c r="B2459" s="16">
        <v>40575</v>
      </c>
      <c r="C2459" s="15" t="s">
        <v>76</v>
      </c>
      <c r="D2459" s="15" t="s">
        <v>58</v>
      </c>
      <c r="E2459" s="15" t="s">
        <v>51</v>
      </c>
      <c r="F2459" s="15" t="s">
        <v>52</v>
      </c>
      <c r="G2459" s="15" t="s">
        <v>80</v>
      </c>
      <c r="H2459" s="15" t="s">
        <v>45</v>
      </c>
      <c r="I2459">
        <v>20</v>
      </c>
      <c r="J2459">
        <v>50</v>
      </c>
      <c r="K2459">
        <v>50</v>
      </c>
      <c r="L2459">
        <v>70</v>
      </c>
      <c r="M2459">
        <v>33</v>
      </c>
      <c r="N2459">
        <v>772</v>
      </c>
      <c r="O2459">
        <v>48</v>
      </c>
      <c r="P2459">
        <v>9</v>
      </c>
      <c r="Q2459">
        <v>42</v>
      </c>
      <c r="R2459">
        <v>86</v>
      </c>
      <c r="S2459">
        <v>1.2285714285714286</v>
      </c>
      <c r="T2459">
        <v>0.84</v>
      </c>
      <c r="U2459">
        <v>1.65</v>
      </c>
    </row>
    <row r="2460" spans="1:21" x14ac:dyDescent="0.35">
      <c r="A2460">
        <v>503</v>
      </c>
      <c r="B2460" s="16">
        <v>40575</v>
      </c>
      <c r="C2460" s="15" t="s">
        <v>76</v>
      </c>
      <c r="D2460" s="15" t="s">
        <v>58</v>
      </c>
      <c r="E2460" s="15" t="s">
        <v>53</v>
      </c>
      <c r="F2460" s="15" t="s">
        <v>52</v>
      </c>
      <c r="G2460" s="15" t="s">
        <v>80</v>
      </c>
      <c r="H2460" s="15" t="s">
        <v>45</v>
      </c>
      <c r="I2460">
        <v>30</v>
      </c>
      <c r="J2460">
        <v>50</v>
      </c>
      <c r="K2460">
        <v>30</v>
      </c>
      <c r="L2460">
        <v>80</v>
      </c>
      <c r="M2460">
        <v>44</v>
      </c>
      <c r="N2460">
        <v>618</v>
      </c>
      <c r="O2460">
        <v>56</v>
      </c>
      <c r="P2460">
        <v>14</v>
      </c>
      <c r="Q2460">
        <v>45</v>
      </c>
      <c r="R2460">
        <v>107</v>
      </c>
      <c r="S2460">
        <v>1.3374999999999999</v>
      </c>
      <c r="T2460">
        <v>1.5</v>
      </c>
      <c r="U2460">
        <v>1.4666666666666666</v>
      </c>
    </row>
    <row r="2461" spans="1:21" x14ac:dyDescent="0.35">
      <c r="A2461">
        <v>503</v>
      </c>
      <c r="B2461" s="16">
        <v>40575</v>
      </c>
      <c r="C2461" s="15" t="s">
        <v>76</v>
      </c>
      <c r="D2461" s="15" t="s">
        <v>58</v>
      </c>
      <c r="E2461" s="15" t="s">
        <v>55</v>
      </c>
      <c r="F2461" s="15" t="s">
        <v>47</v>
      </c>
      <c r="G2461" s="15" t="s">
        <v>80</v>
      </c>
      <c r="H2461" s="15" t="s">
        <v>42</v>
      </c>
      <c r="I2461">
        <v>10</v>
      </c>
      <c r="J2461">
        <v>20</v>
      </c>
      <c r="K2461">
        <v>20</v>
      </c>
      <c r="L2461">
        <v>30</v>
      </c>
      <c r="M2461">
        <v>22</v>
      </c>
      <c r="N2461">
        <v>452</v>
      </c>
      <c r="O2461">
        <v>34</v>
      </c>
      <c r="P2461">
        <v>6</v>
      </c>
      <c r="Q2461">
        <v>25</v>
      </c>
      <c r="R2461">
        <v>60</v>
      </c>
      <c r="S2461">
        <v>2</v>
      </c>
      <c r="T2461">
        <v>1.25</v>
      </c>
      <c r="U2461">
        <v>2.2000000000000002</v>
      </c>
    </row>
    <row r="2462" spans="1:21" x14ac:dyDescent="0.35">
      <c r="A2462">
        <v>503</v>
      </c>
      <c r="B2462" s="16">
        <v>40575</v>
      </c>
      <c r="C2462" s="15" t="s">
        <v>76</v>
      </c>
      <c r="D2462" s="15" t="s">
        <v>58</v>
      </c>
      <c r="E2462" s="15" t="s">
        <v>56</v>
      </c>
      <c r="F2462" s="15" t="s">
        <v>47</v>
      </c>
      <c r="G2462" s="15" t="s">
        <v>80</v>
      </c>
      <c r="H2462" s="15" t="s">
        <v>42</v>
      </c>
      <c r="I2462">
        <v>50</v>
      </c>
      <c r="J2462">
        <v>80</v>
      </c>
      <c r="K2462">
        <v>50</v>
      </c>
      <c r="L2462">
        <v>130</v>
      </c>
      <c r="M2462">
        <v>80</v>
      </c>
      <c r="N2462">
        <v>640</v>
      </c>
      <c r="O2462">
        <v>120</v>
      </c>
      <c r="P2462">
        <v>26</v>
      </c>
      <c r="Q2462">
        <v>92</v>
      </c>
      <c r="R2462">
        <v>213</v>
      </c>
      <c r="S2462">
        <v>1.6384615384615384</v>
      </c>
      <c r="T2462">
        <v>1.84</v>
      </c>
      <c r="U2462">
        <v>1.6</v>
      </c>
    </row>
    <row r="2463" spans="1:21" x14ac:dyDescent="0.35">
      <c r="A2463">
        <v>971</v>
      </c>
      <c r="B2463" s="16">
        <v>40575</v>
      </c>
      <c r="C2463" s="15" t="s">
        <v>76</v>
      </c>
      <c r="D2463" s="15" t="s">
        <v>58</v>
      </c>
      <c r="E2463" s="15" t="s">
        <v>46</v>
      </c>
      <c r="F2463" s="15" t="s">
        <v>47</v>
      </c>
      <c r="G2463" s="15" t="s">
        <v>80</v>
      </c>
      <c r="H2463" s="15" t="s">
        <v>42</v>
      </c>
      <c r="I2463">
        <v>50</v>
      </c>
      <c r="J2463">
        <v>90</v>
      </c>
      <c r="K2463">
        <v>60</v>
      </c>
      <c r="L2463">
        <v>140</v>
      </c>
      <c r="M2463">
        <v>86</v>
      </c>
      <c r="N2463">
        <v>490</v>
      </c>
      <c r="O2463">
        <v>120</v>
      </c>
      <c r="P2463">
        <v>26</v>
      </c>
      <c r="Q2463">
        <v>105</v>
      </c>
      <c r="R2463">
        <v>220</v>
      </c>
      <c r="S2463">
        <v>1.5714285714285714</v>
      </c>
      <c r="T2463">
        <v>1.75</v>
      </c>
      <c r="U2463">
        <v>1.72</v>
      </c>
    </row>
    <row r="2464" spans="1:21" x14ac:dyDescent="0.35">
      <c r="A2464">
        <v>503</v>
      </c>
      <c r="B2464" s="16">
        <v>40575</v>
      </c>
      <c r="C2464" s="15" t="s">
        <v>76</v>
      </c>
      <c r="D2464" s="15" t="s">
        <v>58</v>
      </c>
      <c r="E2464" s="15" t="s">
        <v>50</v>
      </c>
      <c r="F2464" s="15" t="s">
        <v>49</v>
      </c>
      <c r="G2464" s="15" t="s">
        <v>80</v>
      </c>
      <c r="H2464" s="15" t="s">
        <v>45</v>
      </c>
      <c r="I2464">
        <v>160</v>
      </c>
      <c r="J2464">
        <v>160</v>
      </c>
      <c r="K2464">
        <v>100</v>
      </c>
      <c r="L2464">
        <v>320</v>
      </c>
      <c r="M2464">
        <v>170</v>
      </c>
      <c r="N2464">
        <v>1073</v>
      </c>
      <c r="O2464">
        <v>170</v>
      </c>
      <c r="P2464">
        <v>47</v>
      </c>
      <c r="Q2464">
        <v>147</v>
      </c>
      <c r="R2464">
        <v>362</v>
      </c>
      <c r="S2464">
        <v>1.1312500000000001</v>
      </c>
      <c r="T2464">
        <v>1.47</v>
      </c>
      <c r="U2464">
        <v>1.0625</v>
      </c>
    </row>
    <row r="2465" spans="1:21" x14ac:dyDescent="0.35">
      <c r="A2465">
        <v>541</v>
      </c>
      <c r="B2465" s="16">
        <v>40575</v>
      </c>
      <c r="C2465" s="15" t="s">
        <v>76</v>
      </c>
      <c r="D2465" s="15" t="s">
        <v>58</v>
      </c>
      <c r="E2465" s="15" t="s">
        <v>39</v>
      </c>
      <c r="F2465" s="15" t="s">
        <v>40</v>
      </c>
      <c r="G2465" s="15" t="s">
        <v>80</v>
      </c>
      <c r="H2465" s="15" t="s">
        <v>42</v>
      </c>
      <c r="I2465">
        <v>60</v>
      </c>
      <c r="J2465">
        <v>100</v>
      </c>
      <c r="K2465">
        <v>40</v>
      </c>
      <c r="L2465">
        <v>160</v>
      </c>
      <c r="M2465">
        <v>54</v>
      </c>
      <c r="N2465">
        <v>427</v>
      </c>
      <c r="O2465">
        <v>75</v>
      </c>
      <c r="P2465">
        <v>49</v>
      </c>
      <c r="Q2465">
        <v>-6</v>
      </c>
      <c r="R2465">
        <v>137</v>
      </c>
      <c r="S2465">
        <v>0.85624999999999996</v>
      </c>
      <c r="T2465">
        <v>-0.15</v>
      </c>
      <c r="U2465">
        <v>0.9</v>
      </c>
    </row>
    <row r="2466" spans="1:21" x14ac:dyDescent="0.35">
      <c r="A2466">
        <v>503</v>
      </c>
      <c r="B2466" s="16">
        <v>40575</v>
      </c>
      <c r="C2466" s="15" t="s">
        <v>76</v>
      </c>
      <c r="D2466" s="15" t="s">
        <v>58</v>
      </c>
      <c r="E2466" s="15" t="s">
        <v>43</v>
      </c>
      <c r="F2466" s="15" t="s">
        <v>40</v>
      </c>
      <c r="G2466" s="15" t="s">
        <v>80</v>
      </c>
      <c r="H2466" s="15" t="s">
        <v>42</v>
      </c>
      <c r="I2466">
        <v>80</v>
      </c>
      <c r="J2466">
        <v>110</v>
      </c>
      <c r="K2466">
        <v>50</v>
      </c>
      <c r="L2466">
        <v>190</v>
      </c>
      <c r="M2466">
        <v>65</v>
      </c>
      <c r="N2466">
        <v>392</v>
      </c>
      <c r="O2466">
        <v>90</v>
      </c>
      <c r="P2466">
        <v>21</v>
      </c>
      <c r="Q2466">
        <v>37</v>
      </c>
      <c r="R2466">
        <v>165</v>
      </c>
      <c r="S2466">
        <v>0.86842105263157898</v>
      </c>
      <c r="T2466">
        <v>0.74</v>
      </c>
      <c r="U2466">
        <v>0.8125</v>
      </c>
    </row>
    <row r="2467" spans="1:21" x14ac:dyDescent="0.35">
      <c r="A2467">
        <v>971</v>
      </c>
      <c r="B2467" s="16">
        <v>40575</v>
      </c>
      <c r="C2467" s="15" t="s">
        <v>76</v>
      </c>
      <c r="D2467" s="15" t="s">
        <v>58</v>
      </c>
      <c r="E2467" s="15" t="s">
        <v>44</v>
      </c>
      <c r="F2467" s="15" t="s">
        <v>40</v>
      </c>
      <c r="G2467" s="15" t="s">
        <v>80</v>
      </c>
      <c r="H2467" s="15" t="s">
        <v>45</v>
      </c>
      <c r="I2467">
        <v>60</v>
      </c>
      <c r="J2467">
        <v>100</v>
      </c>
      <c r="K2467">
        <v>70</v>
      </c>
      <c r="L2467">
        <v>160</v>
      </c>
      <c r="M2467">
        <v>52</v>
      </c>
      <c r="N2467">
        <v>357</v>
      </c>
      <c r="O2467">
        <v>76</v>
      </c>
      <c r="P2467">
        <v>16</v>
      </c>
      <c r="Q2467">
        <v>56</v>
      </c>
      <c r="R2467">
        <v>136</v>
      </c>
      <c r="S2467">
        <v>0.85</v>
      </c>
      <c r="T2467">
        <v>0.8</v>
      </c>
      <c r="U2467">
        <v>0.8666666666666667</v>
      </c>
    </row>
    <row r="2468" spans="1:21" x14ac:dyDescent="0.35">
      <c r="A2468">
        <v>541</v>
      </c>
      <c r="B2468" s="16">
        <v>40575</v>
      </c>
      <c r="C2468" s="15" t="s">
        <v>76</v>
      </c>
      <c r="D2468" s="15" t="s">
        <v>58</v>
      </c>
      <c r="E2468" s="15" t="s">
        <v>72</v>
      </c>
      <c r="F2468" s="15" t="s">
        <v>49</v>
      </c>
      <c r="G2468" s="15" t="s">
        <v>80</v>
      </c>
      <c r="H2468" s="15" t="s">
        <v>42</v>
      </c>
      <c r="I2468">
        <v>50</v>
      </c>
      <c r="J2468">
        <v>70</v>
      </c>
      <c r="K2468">
        <v>20</v>
      </c>
      <c r="L2468">
        <v>120</v>
      </c>
      <c r="M2468">
        <v>59</v>
      </c>
      <c r="N2468">
        <v>331</v>
      </c>
      <c r="O2468">
        <v>73</v>
      </c>
      <c r="P2468">
        <v>22</v>
      </c>
      <c r="Q2468">
        <v>27</v>
      </c>
      <c r="R2468">
        <v>141</v>
      </c>
      <c r="S2468">
        <v>1.175</v>
      </c>
      <c r="T2468">
        <v>1.35</v>
      </c>
      <c r="U2468">
        <v>1.18</v>
      </c>
    </row>
    <row r="2469" spans="1:21" x14ac:dyDescent="0.35">
      <c r="A2469">
        <v>541</v>
      </c>
      <c r="B2469" s="16">
        <v>40575</v>
      </c>
      <c r="C2469" s="15" t="s">
        <v>76</v>
      </c>
      <c r="D2469" s="15" t="s">
        <v>58</v>
      </c>
      <c r="E2469" s="15" t="s">
        <v>48</v>
      </c>
      <c r="F2469" s="15" t="s">
        <v>49</v>
      </c>
      <c r="G2469" s="15" t="s">
        <v>80</v>
      </c>
      <c r="H2469" s="15" t="s">
        <v>42</v>
      </c>
      <c r="I2469">
        <v>50</v>
      </c>
      <c r="J2469">
        <v>80</v>
      </c>
      <c r="K2469">
        <v>50</v>
      </c>
      <c r="L2469">
        <v>130</v>
      </c>
      <c r="M2469">
        <v>60</v>
      </c>
      <c r="N2469">
        <v>329</v>
      </c>
      <c r="O2469">
        <v>80</v>
      </c>
      <c r="P2469">
        <v>19</v>
      </c>
      <c r="Q2469">
        <v>49</v>
      </c>
      <c r="R2469">
        <v>149</v>
      </c>
      <c r="S2469">
        <v>1.1461538461538461</v>
      </c>
      <c r="T2469">
        <v>0.98</v>
      </c>
      <c r="U2469">
        <v>1.2</v>
      </c>
    </row>
    <row r="2470" spans="1:21" x14ac:dyDescent="0.35">
      <c r="A2470">
        <v>206</v>
      </c>
      <c r="B2470" s="16">
        <v>40575</v>
      </c>
      <c r="C2470" s="15" t="s">
        <v>76</v>
      </c>
      <c r="D2470" s="15" t="s">
        <v>58</v>
      </c>
      <c r="E2470" s="15" t="s">
        <v>51</v>
      </c>
      <c r="F2470" s="15" t="s">
        <v>52</v>
      </c>
      <c r="G2470" s="15" t="s">
        <v>81</v>
      </c>
      <c r="H2470" s="15" t="s">
        <v>45</v>
      </c>
      <c r="I2470">
        <v>110</v>
      </c>
      <c r="J2470">
        <v>170</v>
      </c>
      <c r="K2470">
        <v>120</v>
      </c>
      <c r="L2470">
        <v>280</v>
      </c>
      <c r="M2470">
        <v>130</v>
      </c>
      <c r="N2470">
        <v>945</v>
      </c>
      <c r="O2470">
        <v>195</v>
      </c>
      <c r="P2470">
        <v>42</v>
      </c>
      <c r="Q2470">
        <v>180</v>
      </c>
      <c r="R2470">
        <v>346</v>
      </c>
      <c r="S2470">
        <v>1.2357142857142858</v>
      </c>
      <c r="T2470">
        <v>1.5</v>
      </c>
      <c r="U2470">
        <v>1.1818181818181819</v>
      </c>
    </row>
    <row r="2471" spans="1:21" x14ac:dyDescent="0.35">
      <c r="A2471">
        <v>509</v>
      </c>
      <c r="B2471" s="16">
        <v>40575</v>
      </c>
      <c r="C2471" s="15" t="s">
        <v>76</v>
      </c>
      <c r="D2471" s="15" t="s">
        <v>58</v>
      </c>
      <c r="E2471" s="15" t="s">
        <v>53</v>
      </c>
      <c r="F2471" s="15" t="s">
        <v>52</v>
      </c>
      <c r="G2471" s="15" t="s">
        <v>81</v>
      </c>
      <c r="H2471" s="15" t="s">
        <v>45</v>
      </c>
      <c r="I2471">
        <v>30</v>
      </c>
      <c r="J2471">
        <v>50</v>
      </c>
      <c r="K2471">
        <v>50</v>
      </c>
      <c r="L2471">
        <v>80</v>
      </c>
      <c r="M2471">
        <v>38</v>
      </c>
      <c r="N2471">
        <v>772</v>
      </c>
      <c r="O2471">
        <v>56</v>
      </c>
      <c r="P2471">
        <v>10</v>
      </c>
      <c r="Q2471">
        <v>50</v>
      </c>
      <c r="R2471">
        <v>100</v>
      </c>
      <c r="S2471">
        <v>1.25</v>
      </c>
      <c r="T2471">
        <v>1</v>
      </c>
      <c r="U2471">
        <v>1.2666666666666666</v>
      </c>
    </row>
    <row r="2472" spans="1:21" x14ac:dyDescent="0.35">
      <c r="A2472">
        <v>206</v>
      </c>
      <c r="B2472" s="16">
        <v>40575</v>
      </c>
      <c r="C2472" s="15" t="s">
        <v>76</v>
      </c>
      <c r="D2472" s="15" t="s">
        <v>58</v>
      </c>
      <c r="E2472" s="15" t="s">
        <v>55</v>
      </c>
      <c r="F2472" s="15" t="s">
        <v>47</v>
      </c>
      <c r="G2472" s="15" t="s">
        <v>81</v>
      </c>
      <c r="H2472" s="15" t="s">
        <v>42</v>
      </c>
      <c r="I2472">
        <v>40</v>
      </c>
      <c r="J2472">
        <v>70</v>
      </c>
      <c r="K2472">
        <v>40</v>
      </c>
      <c r="L2472">
        <v>110</v>
      </c>
      <c r="M2472">
        <v>65</v>
      </c>
      <c r="N2472">
        <v>372</v>
      </c>
      <c r="O2472">
        <v>109</v>
      </c>
      <c r="P2472">
        <v>20</v>
      </c>
      <c r="Q2472">
        <v>98</v>
      </c>
      <c r="R2472">
        <v>185</v>
      </c>
      <c r="S2472">
        <v>1.6818181818181819</v>
      </c>
      <c r="T2472">
        <v>2.4500000000000002</v>
      </c>
      <c r="U2472">
        <v>1.625</v>
      </c>
    </row>
    <row r="2473" spans="1:21" x14ac:dyDescent="0.35">
      <c r="A2473">
        <v>425</v>
      </c>
      <c r="B2473" s="16">
        <v>40575</v>
      </c>
      <c r="C2473" s="15" t="s">
        <v>76</v>
      </c>
      <c r="D2473" s="15" t="s">
        <v>58</v>
      </c>
      <c r="E2473" s="15" t="s">
        <v>56</v>
      </c>
      <c r="F2473" s="15" t="s">
        <v>47</v>
      </c>
      <c r="G2473" s="15" t="s">
        <v>81</v>
      </c>
      <c r="H2473" s="15" t="s">
        <v>42</v>
      </c>
      <c r="I2473">
        <v>30</v>
      </c>
      <c r="J2473">
        <v>60</v>
      </c>
      <c r="K2473">
        <v>40</v>
      </c>
      <c r="L2473">
        <v>90</v>
      </c>
      <c r="M2473">
        <v>56</v>
      </c>
      <c r="N2473">
        <v>382</v>
      </c>
      <c r="O2473">
        <v>81</v>
      </c>
      <c r="P2473">
        <v>17</v>
      </c>
      <c r="Q2473">
        <v>61</v>
      </c>
      <c r="R2473">
        <v>146</v>
      </c>
      <c r="S2473">
        <v>1.6222222222222222</v>
      </c>
      <c r="T2473">
        <v>1.5249999999999999</v>
      </c>
      <c r="U2473">
        <v>1.8666666666666667</v>
      </c>
    </row>
    <row r="2474" spans="1:21" x14ac:dyDescent="0.35">
      <c r="A2474">
        <v>425</v>
      </c>
      <c r="B2474" s="16">
        <v>40575</v>
      </c>
      <c r="C2474" s="15" t="s">
        <v>76</v>
      </c>
      <c r="D2474" s="15" t="s">
        <v>58</v>
      </c>
      <c r="E2474" s="15" t="s">
        <v>46</v>
      </c>
      <c r="F2474" s="15" t="s">
        <v>47</v>
      </c>
      <c r="G2474" s="15" t="s">
        <v>81</v>
      </c>
      <c r="H2474" s="15" t="s">
        <v>42</v>
      </c>
      <c r="I2474">
        <v>40</v>
      </c>
      <c r="J2474">
        <v>60</v>
      </c>
      <c r="K2474">
        <v>10</v>
      </c>
      <c r="L2474">
        <v>100</v>
      </c>
      <c r="M2474">
        <v>65</v>
      </c>
      <c r="N2474">
        <v>513</v>
      </c>
      <c r="O2474">
        <v>90</v>
      </c>
      <c r="P2474">
        <v>58</v>
      </c>
      <c r="Q2474">
        <v>4</v>
      </c>
      <c r="R2474">
        <v>165</v>
      </c>
      <c r="S2474">
        <v>1.65</v>
      </c>
      <c r="T2474">
        <v>0.4</v>
      </c>
      <c r="U2474">
        <v>1.625</v>
      </c>
    </row>
    <row r="2475" spans="1:21" x14ac:dyDescent="0.35">
      <c r="A2475">
        <v>253</v>
      </c>
      <c r="B2475" s="16">
        <v>40575</v>
      </c>
      <c r="C2475" s="15" t="s">
        <v>76</v>
      </c>
      <c r="D2475" s="15" t="s">
        <v>58</v>
      </c>
      <c r="E2475" s="15" t="s">
        <v>72</v>
      </c>
      <c r="F2475" s="15" t="s">
        <v>49</v>
      </c>
      <c r="G2475" s="15" t="s">
        <v>81</v>
      </c>
      <c r="H2475" s="15" t="s">
        <v>42</v>
      </c>
      <c r="I2475">
        <v>40</v>
      </c>
      <c r="J2475">
        <v>60</v>
      </c>
      <c r="K2475">
        <v>40</v>
      </c>
      <c r="L2475">
        <v>100</v>
      </c>
      <c r="M2475">
        <v>48</v>
      </c>
      <c r="N2475">
        <v>617</v>
      </c>
      <c r="O2475">
        <v>62</v>
      </c>
      <c r="P2475">
        <v>15</v>
      </c>
      <c r="Q2475">
        <v>52</v>
      </c>
      <c r="R2475">
        <v>117</v>
      </c>
      <c r="S2475">
        <v>1.17</v>
      </c>
      <c r="T2475">
        <v>1.3</v>
      </c>
      <c r="U2475">
        <v>1.2</v>
      </c>
    </row>
    <row r="2476" spans="1:21" x14ac:dyDescent="0.35">
      <c r="A2476">
        <v>206</v>
      </c>
      <c r="B2476" s="16">
        <v>40575</v>
      </c>
      <c r="C2476" s="15" t="s">
        <v>76</v>
      </c>
      <c r="D2476" s="15" t="s">
        <v>58</v>
      </c>
      <c r="E2476" s="15" t="s">
        <v>48</v>
      </c>
      <c r="F2476" s="15" t="s">
        <v>49</v>
      </c>
      <c r="G2476" s="15" t="s">
        <v>81</v>
      </c>
      <c r="H2476" s="15" t="s">
        <v>42</v>
      </c>
      <c r="I2476">
        <v>50</v>
      </c>
      <c r="J2476">
        <v>60</v>
      </c>
      <c r="K2476">
        <v>20</v>
      </c>
      <c r="L2476">
        <v>110</v>
      </c>
      <c r="M2476">
        <v>53</v>
      </c>
      <c r="N2476">
        <v>306</v>
      </c>
      <c r="O2476">
        <v>65</v>
      </c>
      <c r="P2476">
        <v>20</v>
      </c>
      <c r="Q2476">
        <v>18</v>
      </c>
      <c r="R2476">
        <v>126</v>
      </c>
      <c r="S2476">
        <v>1.1454545454545455</v>
      </c>
      <c r="T2476">
        <v>0.9</v>
      </c>
      <c r="U2476">
        <v>1.06</v>
      </c>
    </row>
    <row r="2477" spans="1:21" x14ac:dyDescent="0.35">
      <c r="A2477">
        <v>425</v>
      </c>
      <c r="B2477" s="16">
        <v>40575</v>
      </c>
      <c r="C2477" s="15" t="s">
        <v>76</v>
      </c>
      <c r="D2477" s="15" t="s">
        <v>58</v>
      </c>
      <c r="E2477" s="15" t="s">
        <v>50</v>
      </c>
      <c r="F2477" s="15" t="s">
        <v>49</v>
      </c>
      <c r="G2477" s="15" t="s">
        <v>81</v>
      </c>
      <c r="H2477" s="15" t="s">
        <v>45</v>
      </c>
      <c r="I2477">
        <v>60</v>
      </c>
      <c r="J2477">
        <v>80</v>
      </c>
      <c r="K2477">
        <v>60</v>
      </c>
      <c r="L2477">
        <v>140</v>
      </c>
      <c r="M2477">
        <v>70</v>
      </c>
      <c r="N2477">
        <v>957</v>
      </c>
      <c r="O2477">
        <v>84</v>
      </c>
      <c r="P2477">
        <v>21</v>
      </c>
      <c r="Q2477">
        <v>61</v>
      </c>
      <c r="R2477">
        <v>164</v>
      </c>
      <c r="S2477">
        <v>1.1714285714285715</v>
      </c>
      <c r="T2477">
        <v>1.0166666666666666</v>
      </c>
      <c r="U2477">
        <v>1.1666666666666667</v>
      </c>
    </row>
    <row r="2478" spans="1:21" x14ac:dyDescent="0.35">
      <c r="A2478">
        <v>360</v>
      </c>
      <c r="B2478" s="16">
        <v>40575</v>
      </c>
      <c r="C2478" s="15" t="s">
        <v>76</v>
      </c>
      <c r="D2478" s="15" t="s">
        <v>58</v>
      </c>
      <c r="E2478" s="15" t="s">
        <v>43</v>
      </c>
      <c r="F2478" s="15" t="s">
        <v>40</v>
      </c>
      <c r="G2478" s="15" t="s">
        <v>81</v>
      </c>
      <c r="H2478" s="15" t="s">
        <v>42</v>
      </c>
      <c r="I2478">
        <v>70</v>
      </c>
      <c r="J2478">
        <v>100</v>
      </c>
      <c r="K2478">
        <v>70</v>
      </c>
      <c r="L2478">
        <v>170</v>
      </c>
      <c r="M2478">
        <v>58</v>
      </c>
      <c r="N2478">
        <v>331</v>
      </c>
      <c r="O2478">
        <v>84</v>
      </c>
      <c r="P2478">
        <v>18</v>
      </c>
      <c r="Q2478">
        <v>65</v>
      </c>
      <c r="R2478">
        <v>151</v>
      </c>
      <c r="S2478">
        <v>0.88823529411764701</v>
      </c>
      <c r="T2478">
        <v>0.9285714285714286</v>
      </c>
      <c r="U2478">
        <v>0.82857142857142863</v>
      </c>
    </row>
    <row r="2479" spans="1:21" x14ac:dyDescent="0.35">
      <c r="A2479">
        <v>253</v>
      </c>
      <c r="B2479" s="16">
        <v>40575</v>
      </c>
      <c r="C2479" s="15" t="s">
        <v>76</v>
      </c>
      <c r="D2479" s="15" t="s">
        <v>58</v>
      </c>
      <c r="E2479" s="15" t="s">
        <v>44</v>
      </c>
      <c r="F2479" s="15" t="s">
        <v>40</v>
      </c>
      <c r="G2479" s="15" t="s">
        <v>81</v>
      </c>
      <c r="H2479" s="15" t="s">
        <v>45</v>
      </c>
      <c r="I2479">
        <v>110</v>
      </c>
      <c r="J2479">
        <v>160</v>
      </c>
      <c r="K2479">
        <v>60</v>
      </c>
      <c r="L2479">
        <v>270</v>
      </c>
      <c r="M2479">
        <v>92</v>
      </c>
      <c r="N2479">
        <v>541</v>
      </c>
      <c r="O2479">
        <v>128</v>
      </c>
      <c r="P2479">
        <v>83</v>
      </c>
      <c r="Q2479">
        <v>22</v>
      </c>
      <c r="R2479">
        <v>234</v>
      </c>
      <c r="S2479">
        <v>0.8666666666666667</v>
      </c>
      <c r="T2479">
        <v>0.36666666666666664</v>
      </c>
      <c r="U2479">
        <v>0.83636363636363631</v>
      </c>
    </row>
    <row r="2480" spans="1:21" x14ac:dyDescent="0.35">
      <c r="A2480">
        <v>970</v>
      </c>
      <c r="B2480" s="16">
        <v>40603</v>
      </c>
      <c r="C2480" s="15" t="s">
        <v>37</v>
      </c>
      <c r="D2480" s="15" t="s">
        <v>38</v>
      </c>
      <c r="E2480" s="15" t="s">
        <v>51</v>
      </c>
      <c r="F2480" s="15" t="s">
        <v>52</v>
      </c>
      <c r="G2480" s="15" t="s">
        <v>41</v>
      </c>
      <c r="H2480" s="15" t="s">
        <v>45</v>
      </c>
      <c r="I2480">
        <v>130</v>
      </c>
      <c r="J2480">
        <v>150</v>
      </c>
      <c r="K2480">
        <v>100</v>
      </c>
      <c r="L2480">
        <v>280</v>
      </c>
      <c r="M2480">
        <v>162</v>
      </c>
      <c r="N2480">
        <v>1059</v>
      </c>
      <c r="O2480">
        <v>163</v>
      </c>
      <c r="P2480">
        <v>45</v>
      </c>
      <c r="Q2480">
        <v>140</v>
      </c>
      <c r="R2480">
        <v>346</v>
      </c>
      <c r="S2480">
        <v>1.2357142857142858</v>
      </c>
      <c r="T2480">
        <v>1.4</v>
      </c>
      <c r="U2480">
        <v>1.2461538461538462</v>
      </c>
    </row>
    <row r="2481" spans="1:21" x14ac:dyDescent="0.35">
      <c r="A2481">
        <v>303</v>
      </c>
      <c r="B2481" s="16">
        <v>40603</v>
      </c>
      <c r="C2481" s="15" t="s">
        <v>37</v>
      </c>
      <c r="D2481" s="15" t="s">
        <v>38</v>
      </c>
      <c r="E2481" s="15" t="s">
        <v>53</v>
      </c>
      <c r="F2481" s="15" t="s">
        <v>52</v>
      </c>
      <c r="G2481" s="15" t="s">
        <v>41</v>
      </c>
      <c r="H2481" s="15" t="s">
        <v>45</v>
      </c>
      <c r="I2481">
        <v>40</v>
      </c>
      <c r="J2481">
        <v>70</v>
      </c>
      <c r="K2481">
        <v>20</v>
      </c>
      <c r="L2481">
        <v>110</v>
      </c>
      <c r="M2481">
        <v>52</v>
      </c>
      <c r="N2481">
        <v>421</v>
      </c>
      <c r="O2481">
        <v>73</v>
      </c>
      <c r="P2481">
        <v>47</v>
      </c>
      <c r="Q2481">
        <v>-6</v>
      </c>
      <c r="R2481">
        <v>133</v>
      </c>
      <c r="S2481">
        <v>1.209090909090909</v>
      </c>
      <c r="T2481">
        <v>-0.3</v>
      </c>
      <c r="U2481">
        <v>1.3</v>
      </c>
    </row>
    <row r="2482" spans="1:21" x14ac:dyDescent="0.35">
      <c r="A2482">
        <v>970</v>
      </c>
      <c r="B2482" s="16">
        <v>40603</v>
      </c>
      <c r="C2482" s="15" t="s">
        <v>37</v>
      </c>
      <c r="D2482" s="15" t="s">
        <v>38</v>
      </c>
      <c r="E2482" s="15" t="s">
        <v>54</v>
      </c>
      <c r="F2482" s="15" t="s">
        <v>52</v>
      </c>
      <c r="G2482" s="15" t="s">
        <v>41</v>
      </c>
      <c r="H2482" s="15" t="s">
        <v>45</v>
      </c>
      <c r="I2482">
        <v>40</v>
      </c>
      <c r="J2482">
        <v>70</v>
      </c>
      <c r="K2482">
        <v>40</v>
      </c>
      <c r="L2482">
        <v>110</v>
      </c>
      <c r="M2482">
        <v>57</v>
      </c>
      <c r="N2482">
        <v>323</v>
      </c>
      <c r="O2482">
        <v>77</v>
      </c>
      <c r="P2482">
        <v>18</v>
      </c>
      <c r="Q2482">
        <v>46</v>
      </c>
      <c r="R2482">
        <v>143</v>
      </c>
      <c r="S2482">
        <v>1.3</v>
      </c>
      <c r="T2482">
        <v>1.1499999999999999</v>
      </c>
      <c r="U2482">
        <v>1.425</v>
      </c>
    </row>
    <row r="2483" spans="1:21" x14ac:dyDescent="0.35">
      <c r="A2483">
        <v>970</v>
      </c>
      <c r="B2483" s="16">
        <v>40603</v>
      </c>
      <c r="C2483" s="15" t="s">
        <v>37</v>
      </c>
      <c r="D2483" s="15" t="s">
        <v>38</v>
      </c>
      <c r="E2483" s="15" t="s">
        <v>55</v>
      </c>
      <c r="F2483" s="15" t="s">
        <v>47</v>
      </c>
      <c r="G2483" s="15" t="s">
        <v>41</v>
      </c>
      <c r="H2483" s="15" t="s">
        <v>42</v>
      </c>
      <c r="I2483">
        <v>40</v>
      </c>
      <c r="J2483">
        <v>70</v>
      </c>
      <c r="K2483">
        <v>20</v>
      </c>
      <c r="L2483">
        <v>110</v>
      </c>
      <c r="M2483">
        <v>58</v>
      </c>
      <c r="N2483">
        <v>325</v>
      </c>
      <c r="O2483">
        <v>71</v>
      </c>
      <c r="P2483">
        <v>22</v>
      </c>
      <c r="Q2483">
        <v>24</v>
      </c>
      <c r="R2483">
        <v>137</v>
      </c>
      <c r="S2483">
        <v>1.2454545454545454</v>
      </c>
      <c r="T2483">
        <v>1.2</v>
      </c>
      <c r="U2483">
        <v>1.45</v>
      </c>
    </row>
    <row r="2484" spans="1:21" x14ac:dyDescent="0.35">
      <c r="A2484">
        <v>970</v>
      </c>
      <c r="B2484" s="16">
        <v>40603</v>
      </c>
      <c r="C2484" s="15" t="s">
        <v>37</v>
      </c>
      <c r="D2484" s="15" t="s">
        <v>38</v>
      </c>
      <c r="E2484" s="15" t="s">
        <v>56</v>
      </c>
      <c r="F2484" s="15" t="s">
        <v>47</v>
      </c>
      <c r="G2484" s="15" t="s">
        <v>41</v>
      </c>
      <c r="H2484" s="15" t="s">
        <v>42</v>
      </c>
      <c r="I2484">
        <v>50</v>
      </c>
      <c r="J2484">
        <v>60</v>
      </c>
      <c r="K2484">
        <v>30</v>
      </c>
      <c r="L2484">
        <v>110</v>
      </c>
      <c r="M2484">
        <v>62</v>
      </c>
      <c r="N2484">
        <v>952</v>
      </c>
      <c r="O2484">
        <v>73</v>
      </c>
      <c r="P2484">
        <v>19</v>
      </c>
      <c r="Q2484">
        <v>47</v>
      </c>
      <c r="R2484">
        <v>144</v>
      </c>
      <c r="S2484">
        <v>1.3090909090909091</v>
      </c>
      <c r="T2484">
        <v>1.5666666666666667</v>
      </c>
      <c r="U2484">
        <v>1.24</v>
      </c>
    </row>
    <row r="2485" spans="1:21" x14ac:dyDescent="0.35">
      <c r="A2485">
        <v>719</v>
      </c>
      <c r="B2485" s="16">
        <v>40603</v>
      </c>
      <c r="C2485" s="15" t="s">
        <v>37</v>
      </c>
      <c r="D2485" s="15" t="s">
        <v>38</v>
      </c>
      <c r="E2485" s="15" t="s">
        <v>46</v>
      </c>
      <c r="F2485" s="15" t="s">
        <v>47</v>
      </c>
      <c r="G2485" s="15" t="s">
        <v>41</v>
      </c>
      <c r="H2485" s="15" t="s">
        <v>42</v>
      </c>
      <c r="I2485">
        <v>30</v>
      </c>
      <c r="J2485">
        <v>50</v>
      </c>
      <c r="K2485">
        <v>30</v>
      </c>
      <c r="L2485">
        <v>80</v>
      </c>
      <c r="M2485">
        <v>43</v>
      </c>
      <c r="N2485">
        <v>613</v>
      </c>
      <c r="O2485">
        <v>55</v>
      </c>
      <c r="P2485">
        <v>14</v>
      </c>
      <c r="Q2485">
        <v>43</v>
      </c>
      <c r="R2485">
        <v>104</v>
      </c>
      <c r="S2485">
        <v>1.3</v>
      </c>
      <c r="T2485">
        <v>1.4333333333333333</v>
      </c>
      <c r="U2485">
        <v>1.4333333333333333</v>
      </c>
    </row>
    <row r="2486" spans="1:21" x14ac:dyDescent="0.35">
      <c r="A2486">
        <v>720</v>
      </c>
      <c r="B2486" s="16">
        <v>40603</v>
      </c>
      <c r="C2486" s="15" t="s">
        <v>37</v>
      </c>
      <c r="D2486" s="15" t="s">
        <v>38</v>
      </c>
      <c r="E2486" s="15" t="s">
        <v>48</v>
      </c>
      <c r="F2486" s="15" t="s">
        <v>49</v>
      </c>
      <c r="G2486" s="15" t="s">
        <v>41</v>
      </c>
      <c r="H2486" s="15" t="s">
        <v>42</v>
      </c>
      <c r="I2486">
        <v>90</v>
      </c>
      <c r="J2486">
        <v>140</v>
      </c>
      <c r="K2486">
        <v>110</v>
      </c>
      <c r="L2486">
        <v>230</v>
      </c>
      <c r="M2486">
        <v>81</v>
      </c>
      <c r="N2486">
        <v>441</v>
      </c>
      <c r="O2486">
        <v>117</v>
      </c>
      <c r="P2486">
        <v>22</v>
      </c>
      <c r="Q2486">
        <v>125</v>
      </c>
      <c r="R2486">
        <v>211</v>
      </c>
      <c r="S2486">
        <v>0.91739130434782612</v>
      </c>
      <c r="T2486">
        <v>1.1363636363636365</v>
      </c>
      <c r="U2486">
        <v>0.9</v>
      </c>
    </row>
    <row r="2487" spans="1:21" x14ac:dyDescent="0.35">
      <c r="A2487">
        <v>970</v>
      </c>
      <c r="B2487" s="16">
        <v>40603</v>
      </c>
      <c r="C2487" s="15" t="s">
        <v>37</v>
      </c>
      <c r="D2487" s="15" t="s">
        <v>38</v>
      </c>
      <c r="E2487" s="15" t="s">
        <v>50</v>
      </c>
      <c r="F2487" s="15" t="s">
        <v>49</v>
      </c>
      <c r="G2487" s="15" t="s">
        <v>41</v>
      </c>
      <c r="H2487" s="15" t="s">
        <v>45</v>
      </c>
      <c r="I2487">
        <v>80</v>
      </c>
      <c r="J2487">
        <v>130</v>
      </c>
      <c r="K2487">
        <v>80</v>
      </c>
      <c r="L2487">
        <v>210</v>
      </c>
      <c r="M2487">
        <v>72</v>
      </c>
      <c r="N2487">
        <v>541</v>
      </c>
      <c r="O2487">
        <v>108</v>
      </c>
      <c r="P2487">
        <v>23</v>
      </c>
      <c r="Q2487">
        <v>80</v>
      </c>
      <c r="R2487">
        <v>192</v>
      </c>
      <c r="S2487">
        <v>0.91428571428571426</v>
      </c>
      <c r="T2487">
        <v>1</v>
      </c>
      <c r="U2487">
        <v>0.9</v>
      </c>
    </row>
    <row r="2488" spans="1:21" x14ac:dyDescent="0.35">
      <c r="A2488">
        <v>303</v>
      </c>
      <c r="B2488" s="16">
        <v>40603</v>
      </c>
      <c r="C2488" s="15" t="s">
        <v>37</v>
      </c>
      <c r="D2488" s="15" t="s">
        <v>38</v>
      </c>
      <c r="E2488" s="15" t="s">
        <v>39</v>
      </c>
      <c r="F2488" s="15" t="s">
        <v>40</v>
      </c>
      <c r="G2488" s="15" t="s">
        <v>41</v>
      </c>
      <c r="H2488" s="15" t="s">
        <v>42</v>
      </c>
      <c r="I2488">
        <v>90</v>
      </c>
      <c r="J2488">
        <v>130</v>
      </c>
      <c r="K2488">
        <v>100</v>
      </c>
      <c r="L2488">
        <v>220</v>
      </c>
      <c r="M2488">
        <v>87</v>
      </c>
      <c r="N2488">
        <v>756</v>
      </c>
      <c r="O2488">
        <v>126</v>
      </c>
      <c r="P2488">
        <v>24</v>
      </c>
      <c r="Q2488">
        <v>134</v>
      </c>
      <c r="R2488">
        <v>227</v>
      </c>
      <c r="S2488">
        <v>1.0318181818181817</v>
      </c>
      <c r="T2488">
        <v>1.34</v>
      </c>
      <c r="U2488">
        <v>0.96666666666666667</v>
      </c>
    </row>
    <row r="2489" spans="1:21" x14ac:dyDescent="0.35">
      <c r="A2489">
        <v>970</v>
      </c>
      <c r="B2489" s="16">
        <v>40603</v>
      </c>
      <c r="C2489" s="15" t="s">
        <v>37</v>
      </c>
      <c r="D2489" s="15" t="s">
        <v>38</v>
      </c>
      <c r="E2489" s="15" t="s">
        <v>43</v>
      </c>
      <c r="F2489" s="15" t="s">
        <v>40</v>
      </c>
      <c r="G2489" s="15" t="s">
        <v>41</v>
      </c>
      <c r="H2489" s="15" t="s">
        <v>42</v>
      </c>
      <c r="I2489">
        <v>80</v>
      </c>
      <c r="J2489">
        <v>120</v>
      </c>
      <c r="K2489">
        <v>90</v>
      </c>
      <c r="L2489">
        <v>200</v>
      </c>
      <c r="M2489">
        <v>84</v>
      </c>
      <c r="N2489">
        <v>603</v>
      </c>
      <c r="O2489">
        <v>109</v>
      </c>
      <c r="P2489">
        <v>27</v>
      </c>
      <c r="Q2489">
        <v>102</v>
      </c>
      <c r="R2489">
        <v>206</v>
      </c>
      <c r="S2489">
        <v>1.03</v>
      </c>
      <c r="T2489">
        <v>1.1333333333333333</v>
      </c>
      <c r="U2489">
        <v>1.05</v>
      </c>
    </row>
    <row r="2490" spans="1:21" x14ac:dyDescent="0.35">
      <c r="A2490">
        <v>303</v>
      </c>
      <c r="B2490" s="16">
        <v>40603</v>
      </c>
      <c r="C2490" s="15" t="s">
        <v>37</v>
      </c>
      <c r="D2490" s="15" t="s">
        <v>38</v>
      </c>
      <c r="E2490" s="15" t="s">
        <v>44</v>
      </c>
      <c r="F2490" s="15" t="s">
        <v>40</v>
      </c>
      <c r="G2490" s="15" t="s">
        <v>41</v>
      </c>
      <c r="H2490" s="15" t="s">
        <v>45</v>
      </c>
      <c r="I2490">
        <v>100</v>
      </c>
      <c r="J2490">
        <v>140</v>
      </c>
      <c r="K2490">
        <v>110</v>
      </c>
      <c r="L2490">
        <v>240</v>
      </c>
      <c r="M2490">
        <v>95</v>
      </c>
      <c r="N2490">
        <v>799</v>
      </c>
      <c r="O2490">
        <v>139</v>
      </c>
      <c r="P2490">
        <v>26</v>
      </c>
      <c r="Q2490">
        <v>150</v>
      </c>
      <c r="R2490">
        <v>249</v>
      </c>
      <c r="S2490">
        <v>1.0375000000000001</v>
      </c>
      <c r="T2490">
        <v>1.3636363636363635</v>
      </c>
      <c r="U2490">
        <v>0.95</v>
      </c>
    </row>
    <row r="2491" spans="1:21" x14ac:dyDescent="0.35">
      <c r="A2491">
        <v>312</v>
      </c>
      <c r="B2491" s="16">
        <v>40603</v>
      </c>
      <c r="C2491" s="15" t="s">
        <v>37</v>
      </c>
      <c r="D2491" s="15" t="s">
        <v>38</v>
      </c>
      <c r="E2491" s="15" t="s">
        <v>51</v>
      </c>
      <c r="F2491" s="15" t="s">
        <v>52</v>
      </c>
      <c r="G2491" s="15" t="s">
        <v>57</v>
      </c>
      <c r="H2491" s="15" t="s">
        <v>45</v>
      </c>
      <c r="I2491">
        <v>70</v>
      </c>
      <c r="J2491">
        <v>110</v>
      </c>
      <c r="K2491">
        <v>90</v>
      </c>
      <c r="L2491">
        <v>180</v>
      </c>
      <c r="M2491">
        <v>87</v>
      </c>
      <c r="N2491">
        <v>756</v>
      </c>
      <c r="O2491">
        <v>126</v>
      </c>
      <c r="P2491">
        <v>24</v>
      </c>
      <c r="Q2491">
        <v>135</v>
      </c>
      <c r="R2491">
        <v>227</v>
      </c>
      <c r="S2491">
        <v>1.2611111111111111</v>
      </c>
      <c r="T2491">
        <v>1.5</v>
      </c>
      <c r="U2491">
        <v>1.2428571428571429</v>
      </c>
    </row>
    <row r="2492" spans="1:21" x14ac:dyDescent="0.35">
      <c r="A2492">
        <v>630</v>
      </c>
      <c r="B2492" s="16">
        <v>40603</v>
      </c>
      <c r="C2492" s="15" t="s">
        <v>37</v>
      </c>
      <c r="D2492" s="15" t="s">
        <v>38</v>
      </c>
      <c r="E2492" s="15" t="s">
        <v>53</v>
      </c>
      <c r="F2492" s="15" t="s">
        <v>52</v>
      </c>
      <c r="G2492" s="15" t="s">
        <v>57</v>
      </c>
      <c r="H2492" s="15" t="s">
        <v>45</v>
      </c>
      <c r="I2492">
        <v>70</v>
      </c>
      <c r="J2492">
        <v>90</v>
      </c>
      <c r="K2492">
        <v>60</v>
      </c>
      <c r="L2492">
        <v>160</v>
      </c>
      <c r="M2492">
        <v>84</v>
      </c>
      <c r="N2492">
        <v>603</v>
      </c>
      <c r="O2492">
        <v>109</v>
      </c>
      <c r="P2492">
        <v>27</v>
      </c>
      <c r="Q2492">
        <v>104</v>
      </c>
      <c r="R2492">
        <v>206</v>
      </c>
      <c r="S2492">
        <v>1.2875000000000001</v>
      </c>
      <c r="T2492">
        <v>1.7333333333333334</v>
      </c>
      <c r="U2492">
        <v>1.2</v>
      </c>
    </row>
    <row r="2493" spans="1:21" x14ac:dyDescent="0.35">
      <c r="A2493">
        <v>309</v>
      </c>
      <c r="B2493" s="16">
        <v>40603</v>
      </c>
      <c r="C2493" s="15" t="s">
        <v>37</v>
      </c>
      <c r="D2493" s="15" t="s">
        <v>38</v>
      </c>
      <c r="E2493" s="15" t="s">
        <v>54</v>
      </c>
      <c r="F2493" s="15" t="s">
        <v>52</v>
      </c>
      <c r="G2493" s="15" t="s">
        <v>57</v>
      </c>
      <c r="H2493" s="15" t="s">
        <v>45</v>
      </c>
      <c r="I2493">
        <v>80</v>
      </c>
      <c r="J2493">
        <v>120</v>
      </c>
      <c r="K2493">
        <v>100</v>
      </c>
      <c r="L2493">
        <v>200</v>
      </c>
      <c r="M2493">
        <v>95</v>
      </c>
      <c r="N2493">
        <v>799</v>
      </c>
      <c r="O2493">
        <v>139</v>
      </c>
      <c r="P2493">
        <v>26</v>
      </c>
      <c r="Q2493">
        <v>151</v>
      </c>
      <c r="R2493">
        <v>249</v>
      </c>
      <c r="S2493">
        <v>1.2450000000000001</v>
      </c>
      <c r="T2493">
        <v>1.51</v>
      </c>
      <c r="U2493">
        <v>1.1875</v>
      </c>
    </row>
    <row r="2494" spans="1:21" x14ac:dyDescent="0.35">
      <c r="A2494">
        <v>708</v>
      </c>
      <c r="B2494" s="16">
        <v>40603</v>
      </c>
      <c r="C2494" s="15" t="s">
        <v>37</v>
      </c>
      <c r="D2494" s="15" t="s">
        <v>38</v>
      </c>
      <c r="E2494" s="15" t="s">
        <v>55</v>
      </c>
      <c r="F2494" s="15" t="s">
        <v>47</v>
      </c>
      <c r="G2494" s="15" t="s">
        <v>57</v>
      </c>
      <c r="H2494" s="15" t="s">
        <v>42</v>
      </c>
      <c r="I2494">
        <v>60</v>
      </c>
      <c r="J2494">
        <v>110</v>
      </c>
      <c r="K2494">
        <v>80</v>
      </c>
      <c r="L2494">
        <v>170</v>
      </c>
      <c r="M2494">
        <v>81</v>
      </c>
      <c r="N2494">
        <v>441</v>
      </c>
      <c r="O2494">
        <v>117</v>
      </c>
      <c r="P2494">
        <v>22</v>
      </c>
      <c r="Q2494">
        <v>125</v>
      </c>
      <c r="R2494">
        <v>211</v>
      </c>
      <c r="S2494">
        <v>1.2411764705882353</v>
      </c>
      <c r="T2494">
        <v>1.5625</v>
      </c>
      <c r="U2494">
        <v>1.35</v>
      </c>
    </row>
    <row r="2495" spans="1:21" x14ac:dyDescent="0.35">
      <c r="A2495">
        <v>815</v>
      </c>
      <c r="B2495" s="16">
        <v>40603</v>
      </c>
      <c r="C2495" s="15" t="s">
        <v>37</v>
      </c>
      <c r="D2495" s="15" t="s">
        <v>38</v>
      </c>
      <c r="E2495" s="15" t="s">
        <v>56</v>
      </c>
      <c r="F2495" s="15" t="s">
        <v>47</v>
      </c>
      <c r="G2495" s="15" t="s">
        <v>57</v>
      </c>
      <c r="H2495" s="15" t="s">
        <v>42</v>
      </c>
      <c r="I2495">
        <v>60</v>
      </c>
      <c r="J2495">
        <v>90</v>
      </c>
      <c r="K2495">
        <v>40</v>
      </c>
      <c r="L2495">
        <v>150</v>
      </c>
      <c r="M2495">
        <v>72</v>
      </c>
      <c r="N2495">
        <v>541</v>
      </c>
      <c r="O2495">
        <v>108</v>
      </c>
      <c r="P2495">
        <v>23</v>
      </c>
      <c r="Q2495">
        <v>79</v>
      </c>
      <c r="R2495">
        <v>192</v>
      </c>
      <c r="S2495">
        <v>1.28</v>
      </c>
      <c r="T2495">
        <v>1.9750000000000001</v>
      </c>
      <c r="U2495">
        <v>1.2</v>
      </c>
    </row>
    <row r="2496" spans="1:21" x14ac:dyDescent="0.35">
      <c r="A2496">
        <v>217</v>
      </c>
      <c r="B2496" s="16">
        <v>40603</v>
      </c>
      <c r="C2496" s="15" t="s">
        <v>37</v>
      </c>
      <c r="D2496" s="15" t="s">
        <v>38</v>
      </c>
      <c r="E2496" s="15" t="s">
        <v>48</v>
      </c>
      <c r="F2496" s="15" t="s">
        <v>49</v>
      </c>
      <c r="G2496" s="15" t="s">
        <v>57</v>
      </c>
      <c r="H2496" s="15" t="s">
        <v>42</v>
      </c>
      <c r="I2496">
        <v>280</v>
      </c>
      <c r="J2496">
        <v>380</v>
      </c>
      <c r="K2496">
        <v>260</v>
      </c>
      <c r="L2496">
        <v>660</v>
      </c>
      <c r="M2496">
        <v>243</v>
      </c>
      <c r="N2496">
        <v>1260</v>
      </c>
      <c r="O2496">
        <v>324</v>
      </c>
      <c r="P2496">
        <v>80</v>
      </c>
      <c r="Q2496">
        <v>313</v>
      </c>
      <c r="R2496">
        <v>604</v>
      </c>
      <c r="S2496">
        <v>0.91515151515151516</v>
      </c>
      <c r="T2496">
        <v>1.2038461538461538</v>
      </c>
      <c r="U2496">
        <v>0.86785714285714288</v>
      </c>
    </row>
    <row r="2497" spans="1:21" x14ac:dyDescent="0.35">
      <c r="A2497">
        <v>630</v>
      </c>
      <c r="B2497" s="16">
        <v>40603</v>
      </c>
      <c r="C2497" s="15" t="s">
        <v>37</v>
      </c>
      <c r="D2497" s="15" t="s">
        <v>38</v>
      </c>
      <c r="E2497" s="15" t="s">
        <v>50</v>
      </c>
      <c r="F2497" s="15" t="s">
        <v>49</v>
      </c>
      <c r="G2497" s="15" t="s">
        <v>57</v>
      </c>
      <c r="H2497" s="15" t="s">
        <v>45</v>
      </c>
      <c r="I2497">
        <v>270</v>
      </c>
      <c r="J2497">
        <v>290</v>
      </c>
      <c r="K2497">
        <v>200</v>
      </c>
      <c r="L2497">
        <v>560</v>
      </c>
      <c r="M2497">
        <v>239</v>
      </c>
      <c r="N2497">
        <v>1417</v>
      </c>
      <c r="O2497">
        <v>239</v>
      </c>
      <c r="P2497">
        <v>66</v>
      </c>
      <c r="Q2497">
        <v>220</v>
      </c>
      <c r="R2497">
        <v>509</v>
      </c>
      <c r="S2497">
        <v>0.90892857142857142</v>
      </c>
      <c r="T2497">
        <v>1.1000000000000001</v>
      </c>
      <c r="U2497">
        <v>0.88518518518518519</v>
      </c>
    </row>
    <row r="2498" spans="1:21" x14ac:dyDescent="0.35">
      <c r="A2498">
        <v>773</v>
      </c>
      <c r="B2498" s="16">
        <v>40603</v>
      </c>
      <c r="C2498" s="15" t="s">
        <v>37</v>
      </c>
      <c r="D2498" s="15" t="s">
        <v>38</v>
      </c>
      <c r="E2498" s="15" t="s">
        <v>43</v>
      </c>
      <c r="F2498" s="15" t="s">
        <v>40</v>
      </c>
      <c r="G2498" s="15" t="s">
        <v>57</v>
      </c>
      <c r="H2498" s="15" t="s">
        <v>42</v>
      </c>
      <c r="I2498">
        <v>160</v>
      </c>
      <c r="J2498">
        <v>220</v>
      </c>
      <c r="K2498">
        <v>140</v>
      </c>
      <c r="L2498">
        <v>380</v>
      </c>
      <c r="M2498">
        <v>154</v>
      </c>
      <c r="N2498">
        <v>829</v>
      </c>
      <c r="O2498">
        <v>213</v>
      </c>
      <c r="P2498">
        <v>50</v>
      </c>
      <c r="Q2498">
        <v>177</v>
      </c>
      <c r="R2498">
        <v>391</v>
      </c>
      <c r="S2498">
        <v>1.0289473684210526</v>
      </c>
      <c r="T2498">
        <v>1.2642857142857142</v>
      </c>
      <c r="U2498">
        <v>0.96250000000000002</v>
      </c>
    </row>
    <row r="2499" spans="1:21" x14ac:dyDescent="0.35">
      <c r="A2499">
        <v>815</v>
      </c>
      <c r="B2499" s="16">
        <v>40603</v>
      </c>
      <c r="C2499" s="15" t="s">
        <v>37</v>
      </c>
      <c r="D2499" s="15" t="s">
        <v>38</v>
      </c>
      <c r="E2499" s="15" t="s">
        <v>44</v>
      </c>
      <c r="F2499" s="15" t="s">
        <v>40</v>
      </c>
      <c r="G2499" s="15" t="s">
        <v>57</v>
      </c>
      <c r="H2499" s="15" t="s">
        <v>45</v>
      </c>
      <c r="I2499">
        <v>110</v>
      </c>
      <c r="J2499">
        <v>170</v>
      </c>
      <c r="K2499">
        <v>120</v>
      </c>
      <c r="L2499">
        <v>280</v>
      </c>
      <c r="M2499">
        <v>109</v>
      </c>
      <c r="N2499">
        <v>585</v>
      </c>
      <c r="O2499">
        <v>158</v>
      </c>
      <c r="P2499">
        <v>34</v>
      </c>
      <c r="Q2499">
        <v>151</v>
      </c>
      <c r="R2499">
        <v>285</v>
      </c>
      <c r="S2499">
        <v>1.0178571428571428</v>
      </c>
      <c r="T2499">
        <v>1.2583333333333333</v>
      </c>
      <c r="U2499">
        <v>0.99090909090909096</v>
      </c>
    </row>
    <row r="2500" spans="1:21" x14ac:dyDescent="0.35">
      <c r="A2500">
        <v>563</v>
      </c>
      <c r="B2500" s="16">
        <v>40603</v>
      </c>
      <c r="C2500" s="15" t="s">
        <v>37</v>
      </c>
      <c r="D2500" s="15" t="s">
        <v>58</v>
      </c>
      <c r="E2500" s="15" t="s">
        <v>51</v>
      </c>
      <c r="F2500" s="15" t="s">
        <v>52</v>
      </c>
      <c r="G2500" s="15" t="s">
        <v>59</v>
      </c>
      <c r="H2500" s="15" t="s">
        <v>45</v>
      </c>
      <c r="I2500">
        <v>200</v>
      </c>
      <c r="J2500">
        <v>290</v>
      </c>
      <c r="K2500">
        <v>210</v>
      </c>
      <c r="L2500">
        <v>490</v>
      </c>
      <c r="M2500">
        <v>243</v>
      </c>
      <c r="N2500">
        <v>1260</v>
      </c>
      <c r="O2500">
        <v>324</v>
      </c>
      <c r="P2500">
        <v>80</v>
      </c>
      <c r="Q2500">
        <v>315</v>
      </c>
      <c r="R2500">
        <v>604</v>
      </c>
      <c r="S2500">
        <v>1.2326530612244897</v>
      </c>
      <c r="T2500">
        <v>1.5</v>
      </c>
      <c r="U2500">
        <v>1.2150000000000001</v>
      </c>
    </row>
    <row r="2501" spans="1:21" x14ac:dyDescent="0.35">
      <c r="A2501">
        <v>641</v>
      </c>
      <c r="B2501" s="16">
        <v>40603</v>
      </c>
      <c r="C2501" s="15" t="s">
        <v>37</v>
      </c>
      <c r="D2501" s="15" t="s">
        <v>58</v>
      </c>
      <c r="E2501" s="15" t="s">
        <v>53</v>
      </c>
      <c r="F2501" s="15" t="s">
        <v>52</v>
      </c>
      <c r="G2501" s="15" t="s">
        <v>59</v>
      </c>
      <c r="H2501" s="15" t="s">
        <v>45</v>
      </c>
      <c r="I2501">
        <v>90</v>
      </c>
      <c r="J2501">
        <v>140</v>
      </c>
      <c r="K2501">
        <v>110</v>
      </c>
      <c r="L2501">
        <v>230</v>
      </c>
      <c r="M2501">
        <v>109</v>
      </c>
      <c r="N2501">
        <v>585</v>
      </c>
      <c r="O2501">
        <v>158</v>
      </c>
      <c r="P2501">
        <v>34</v>
      </c>
      <c r="Q2501">
        <v>151</v>
      </c>
      <c r="R2501">
        <v>285</v>
      </c>
      <c r="S2501">
        <v>1.2391304347826086</v>
      </c>
      <c r="T2501">
        <v>1.3727272727272728</v>
      </c>
      <c r="U2501">
        <v>1.211111111111111</v>
      </c>
    </row>
    <row r="2502" spans="1:21" x14ac:dyDescent="0.35">
      <c r="A2502">
        <v>712</v>
      </c>
      <c r="B2502" s="16">
        <v>40603</v>
      </c>
      <c r="C2502" s="15" t="s">
        <v>37</v>
      </c>
      <c r="D2502" s="15" t="s">
        <v>58</v>
      </c>
      <c r="E2502" s="15" t="s">
        <v>55</v>
      </c>
      <c r="F2502" s="15" t="s">
        <v>47</v>
      </c>
      <c r="G2502" s="15" t="s">
        <v>59</v>
      </c>
      <c r="H2502" s="15" t="s">
        <v>42</v>
      </c>
      <c r="I2502">
        <v>200</v>
      </c>
      <c r="J2502">
        <v>220</v>
      </c>
      <c r="K2502">
        <v>140</v>
      </c>
      <c r="L2502">
        <v>420</v>
      </c>
      <c r="M2502">
        <v>239</v>
      </c>
      <c r="N2502">
        <v>1417</v>
      </c>
      <c r="O2502">
        <v>239</v>
      </c>
      <c r="P2502">
        <v>66</v>
      </c>
      <c r="Q2502">
        <v>220</v>
      </c>
      <c r="R2502">
        <v>509</v>
      </c>
      <c r="S2502">
        <v>1.2119047619047618</v>
      </c>
      <c r="T2502">
        <v>1.5714285714285714</v>
      </c>
      <c r="U2502">
        <v>1.1950000000000001</v>
      </c>
    </row>
    <row r="2503" spans="1:21" x14ac:dyDescent="0.35">
      <c r="A2503">
        <v>563</v>
      </c>
      <c r="B2503" s="16">
        <v>40603</v>
      </c>
      <c r="C2503" s="15" t="s">
        <v>37</v>
      </c>
      <c r="D2503" s="15" t="s">
        <v>58</v>
      </c>
      <c r="E2503" s="15" t="s">
        <v>56</v>
      </c>
      <c r="F2503" s="15" t="s">
        <v>47</v>
      </c>
      <c r="G2503" s="15" t="s">
        <v>59</v>
      </c>
      <c r="H2503" s="15" t="s">
        <v>42</v>
      </c>
      <c r="I2503">
        <v>210</v>
      </c>
      <c r="J2503">
        <v>270</v>
      </c>
      <c r="K2503">
        <v>160</v>
      </c>
      <c r="L2503">
        <v>480</v>
      </c>
      <c r="M2503">
        <v>245</v>
      </c>
      <c r="N2503">
        <v>1369</v>
      </c>
      <c r="O2503">
        <v>301</v>
      </c>
      <c r="P2503">
        <v>93</v>
      </c>
      <c r="Q2503">
        <v>260</v>
      </c>
      <c r="R2503">
        <v>582</v>
      </c>
      <c r="S2503">
        <v>1.2124999999999999</v>
      </c>
      <c r="T2503">
        <v>1.625</v>
      </c>
      <c r="U2503">
        <v>1.1666666666666667</v>
      </c>
    </row>
    <row r="2504" spans="1:21" x14ac:dyDescent="0.35">
      <c r="A2504">
        <v>515</v>
      </c>
      <c r="B2504" s="16">
        <v>40603</v>
      </c>
      <c r="C2504" s="15" t="s">
        <v>37</v>
      </c>
      <c r="D2504" s="15" t="s">
        <v>58</v>
      </c>
      <c r="E2504" s="15" t="s">
        <v>48</v>
      </c>
      <c r="F2504" s="15" t="s">
        <v>49</v>
      </c>
      <c r="G2504" s="15" t="s">
        <v>59</v>
      </c>
      <c r="H2504" s="15" t="s">
        <v>42</v>
      </c>
      <c r="I2504">
        <v>10</v>
      </c>
      <c r="J2504">
        <v>30</v>
      </c>
      <c r="K2504">
        <v>20</v>
      </c>
      <c r="L2504">
        <v>40</v>
      </c>
      <c r="M2504">
        <v>16</v>
      </c>
      <c r="N2504">
        <v>772</v>
      </c>
      <c r="O2504">
        <v>25</v>
      </c>
      <c r="P2504">
        <v>4</v>
      </c>
      <c r="Q2504">
        <v>13</v>
      </c>
      <c r="R2504">
        <v>44</v>
      </c>
      <c r="S2504">
        <v>1.1000000000000001</v>
      </c>
      <c r="T2504">
        <v>0.65</v>
      </c>
      <c r="U2504">
        <v>1.6</v>
      </c>
    </row>
    <row r="2505" spans="1:21" x14ac:dyDescent="0.35">
      <c r="A2505">
        <v>712</v>
      </c>
      <c r="B2505" s="16">
        <v>40603</v>
      </c>
      <c r="C2505" s="15" t="s">
        <v>37</v>
      </c>
      <c r="D2505" s="15" t="s">
        <v>58</v>
      </c>
      <c r="E2505" s="15" t="s">
        <v>50</v>
      </c>
      <c r="F2505" s="15" t="s">
        <v>49</v>
      </c>
      <c r="G2505" s="15" t="s">
        <v>59</v>
      </c>
      <c r="H2505" s="15" t="s">
        <v>45</v>
      </c>
      <c r="I2505">
        <v>0</v>
      </c>
      <c r="J2505">
        <v>50</v>
      </c>
      <c r="K2505">
        <v>40</v>
      </c>
      <c r="L2505">
        <v>50</v>
      </c>
      <c r="M2505">
        <v>0</v>
      </c>
      <c r="N2505">
        <v>731</v>
      </c>
      <c r="O2505">
        <v>43</v>
      </c>
      <c r="P2505">
        <v>0</v>
      </c>
      <c r="Q2505">
        <v>47</v>
      </c>
      <c r="R2505">
        <v>46</v>
      </c>
      <c r="S2505">
        <v>0.92</v>
      </c>
      <c r="T2505">
        <v>1.175</v>
      </c>
    </row>
    <row r="2506" spans="1:21" x14ac:dyDescent="0.35">
      <c r="A2506">
        <v>712</v>
      </c>
      <c r="B2506" s="16">
        <v>40603</v>
      </c>
      <c r="C2506" s="15" t="s">
        <v>37</v>
      </c>
      <c r="D2506" s="15" t="s">
        <v>58</v>
      </c>
      <c r="E2506" s="15" t="s">
        <v>39</v>
      </c>
      <c r="F2506" s="15" t="s">
        <v>40</v>
      </c>
      <c r="G2506" s="15" t="s">
        <v>59</v>
      </c>
      <c r="H2506" s="15" t="s">
        <v>42</v>
      </c>
      <c r="I2506">
        <v>10</v>
      </c>
      <c r="J2506">
        <v>30</v>
      </c>
      <c r="K2506">
        <v>20</v>
      </c>
      <c r="L2506">
        <v>40</v>
      </c>
      <c r="M2506">
        <v>18</v>
      </c>
      <c r="N2506">
        <v>816</v>
      </c>
      <c r="O2506">
        <v>27</v>
      </c>
      <c r="P2506">
        <v>5</v>
      </c>
      <c r="Q2506">
        <v>15</v>
      </c>
      <c r="R2506">
        <v>48</v>
      </c>
      <c r="S2506">
        <v>1.2</v>
      </c>
      <c r="T2506">
        <v>0.75</v>
      </c>
      <c r="U2506">
        <v>1.8</v>
      </c>
    </row>
    <row r="2507" spans="1:21" x14ac:dyDescent="0.35">
      <c r="A2507">
        <v>515</v>
      </c>
      <c r="B2507" s="16">
        <v>40603</v>
      </c>
      <c r="C2507" s="15" t="s">
        <v>37</v>
      </c>
      <c r="D2507" s="15" t="s">
        <v>58</v>
      </c>
      <c r="E2507" s="15" t="s">
        <v>43</v>
      </c>
      <c r="F2507" s="15" t="s">
        <v>40</v>
      </c>
      <c r="G2507" s="15" t="s">
        <v>59</v>
      </c>
      <c r="H2507" s="15" t="s">
        <v>42</v>
      </c>
      <c r="I2507">
        <v>20</v>
      </c>
      <c r="J2507">
        <v>40</v>
      </c>
      <c r="K2507">
        <v>20</v>
      </c>
      <c r="L2507">
        <v>60</v>
      </c>
      <c r="M2507">
        <v>28</v>
      </c>
      <c r="N2507">
        <v>958</v>
      </c>
      <c r="O2507">
        <v>35</v>
      </c>
      <c r="P2507">
        <v>8</v>
      </c>
      <c r="Q2507">
        <v>9</v>
      </c>
      <c r="R2507">
        <v>67</v>
      </c>
      <c r="S2507">
        <v>1.1166666666666667</v>
      </c>
      <c r="T2507">
        <v>0.45</v>
      </c>
      <c r="U2507">
        <v>1.4</v>
      </c>
    </row>
    <row r="2508" spans="1:21" x14ac:dyDescent="0.35">
      <c r="A2508">
        <v>319</v>
      </c>
      <c r="B2508" s="16">
        <v>40603</v>
      </c>
      <c r="C2508" s="15" t="s">
        <v>37</v>
      </c>
      <c r="D2508" s="15" t="s">
        <v>58</v>
      </c>
      <c r="E2508" s="15" t="s">
        <v>44</v>
      </c>
      <c r="F2508" s="15" t="s">
        <v>40</v>
      </c>
      <c r="G2508" s="15" t="s">
        <v>59</v>
      </c>
      <c r="H2508" s="15" t="s">
        <v>45</v>
      </c>
      <c r="I2508">
        <v>20</v>
      </c>
      <c r="J2508">
        <v>30</v>
      </c>
      <c r="K2508">
        <v>20</v>
      </c>
      <c r="L2508">
        <v>50</v>
      </c>
      <c r="M2508">
        <v>23</v>
      </c>
      <c r="N2508">
        <v>617</v>
      </c>
      <c r="O2508">
        <v>31</v>
      </c>
      <c r="P2508">
        <v>7</v>
      </c>
      <c r="Q2508">
        <v>18</v>
      </c>
      <c r="R2508">
        <v>58</v>
      </c>
      <c r="S2508">
        <v>1.1599999999999999</v>
      </c>
      <c r="T2508">
        <v>0.9</v>
      </c>
      <c r="U2508">
        <v>1.1499999999999999</v>
      </c>
    </row>
    <row r="2509" spans="1:21" x14ac:dyDescent="0.35">
      <c r="A2509">
        <v>417</v>
      </c>
      <c r="B2509" s="16">
        <v>40603</v>
      </c>
      <c r="C2509" s="15" t="s">
        <v>37</v>
      </c>
      <c r="D2509" s="15" t="s">
        <v>58</v>
      </c>
      <c r="E2509" s="15" t="s">
        <v>51</v>
      </c>
      <c r="F2509" s="15" t="s">
        <v>52</v>
      </c>
      <c r="G2509" s="15" t="s">
        <v>60</v>
      </c>
      <c r="H2509" s="15" t="s">
        <v>45</v>
      </c>
      <c r="I2509">
        <v>30</v>
      </c>
      <c r="J2509">
        <v>60</v>
      </c>
      <c r="K2509">
        <v>10</v>
      </c>
      <c r="L2509">
        <v>90</v>
      </c>
      <c r="M2509">
        <v>44</v>
      </c>
      <c r="N2509">
        <v>251</v>
      </c>
      <c r="O2509">
        <v>63</v>
      </c>
      <c r="P2509">
        <v>40</v>
      </c>
      <c r="Q2509">
        <v>-9</v>
      </c>
      <c r="R2509">
        <v>114</v>
      </c>
      <c r="S2509">
        <v>1.2666666666666666</v>
      </c>
      <c r="T2509">
        <v>-0.9</v>
      </c>
      <c r="U2509">
        <v>1.4666666666666666</v>
      </c>
    </row>
    <row r="2510" spans="1:21" x14ac:dyDescent="0.35">
      <c r="A2510">
        <v>816</v>
      </c>
      <c r="B2510" s="16">
        <v>40603</v>
      </c>
      <c r="C2510" s="15" t="s">
        <v>37</v>
      </c>
      <c r="D2510" s="15" t="s">
        <v>58</v>
      </c>
      <c r="E2510" s="15" t="s">
        <v>53</v>
      </c>
      <c r="F2510" s="15" t="s">
        <v>52</v>
      </c>
      <c r="G2510" s="15" t="s">
        <v>60</v>
      </c>
      <c r="H2510" s="15" t="s">
        <v>45</v>
      </c>
      <c r="I2510">
        <v>70</v>
      </c>
      <c r="J2510">
        <v>20</v>
      </c>
      <c r="K2510">
        <v>-10</v>
      </c>
      <c r="L2510">
        <v>90</v>
      </c>
      <c r="M2510">
        <v>88</v>
      </c>
      <c r="N2510">
        <v>715</v>
      </c>
      <c r="O2510">
        <v>18</v>
      </c>
      <c r="P2510">
        <v>27</v>
      </c>
      <c r="Q2510">
        <v>-47</v>
      </c>
      <c r="R2510">
        <v>113</v>
      </c>
      <c r="S2510">
        <v>1.2555555555555555</v>
      </c>
      <c r="T2510">
        <v>4.7</v>
      </c>
      <c r="U2510">
        <v>1.2571428571428571</v>
      </c>
    </row>
    <row r="2511" spans="1:21" x14ac:dyDescent="0.35">
      <c r="A2511">
        <v>314</v>
      </c>
      <c r="B2511" s="16">
        <v>40603</v>
      </c>
      <c r="C2511" s="15" t="s">
        <v>37</v>
      </c>
      <c r="D2511" s="15" t="s">
        <v>58</v>
      </c>
      <c r="E2511" s="15" t="s">
        <v>55</v>
      </c>
      <c r="F2511" s="15" t="s">
        <v>47</v>
      </c>
      <c r="G2511" s="15" t="s">
        <v>60</v>
      </c>
      <c r="H2511" s="15" t="s">
        <v>42</v>
      </c>
      <c r="I2511">
        <v>30</v>
      </c>
      <c r="J2511">
        <v>40</v>
      </c>
      <c r="K2511">
        <v>10</v>
      </c>
      <c r="L2511">
        <v>70</v>
      </c>
      <c r="M2511">
        <v>36</v>
      </c>
      <c r="N2511">
        <v>187</v>
      </c>
      <c r="O2511">
        <v>49</v>
      </c>
      <c r="P2511">
        <v>11</v>
      </c>
      <c r="Q2511">
        <v>16</v>
      </c>
      <c r="R2511">
        <v>91</v>
      </c>
      <c r="S2511">
        <v>1.3</v>
      </c>
      <c r="T2511">
        <v>1.6</v>
      </c>
      <c r="U2511">
        <v>1.2</v>
      </c>
    </row>
    <row r="2512" spans="1:21" x14ac:dyDescent="0.35">
      <c r="A2512">
        <v>660</v>
      </c>
      <c r="B2512" s="16">
        <v>40603</v>
      </c>
      <c r="C2512" s="15" t="s">
        <v>37</v>
      </c>
      <c r="D2512" s="15" t="s">
        <v>58</v>
      </c>
      <c r="E2512" s="15" t="s">
        <v>56</v>
      </c>
      <c r="F2512" s="15" t="s">
        <v>47</v>
      </c>
      <c r="G2512" s="15" t="s">
        <v>60</v>
      </c>
      <c r="H2512" s="15" t="s">
        <v>42</v>
      </c>
      <c r="I2512">
        <v>20</v>
      </c>
      <c r="J2512">
        <v>40</v>
      </c>
      <c r="K2512">
        <v>0</v>
      </c>
      <c r="L2512">
        <v>60</v>
      </c>
      <c r="M2512">
        <v>33</v>
      </c>
      <c r="N2512">
        <v>162</v>
      </c>
      <c r="O2512">
        <v>42</v>
      </c>
      <c r="P2512">
        <v>12</v>
      </c>
      <c r="Q2512">
        <v>-4</v>
      </c>
      <c r="R2512">
        <v>80</v>
      </c>
      <c r="S2512">
        <v>1.3333333333333333</v>
      </c>
      <c r="U2512">
        <v>1.65</v>
      </c>
    </row>
    <row r="2513" spans="1:21" x14ac:dyDescent="0.35">
      <c r="A2513">
        <v>636</v>
      </c>
      <c r="B2513" s="16">
        <v>40603</v>
      </c>
      <c r="C2513" s="15" t="s">
        <v>37</v>
      </c>
      <c r="D2513" s="15" t="s">
        <v>58</v>
      </c>
      <c r="E2513" s="15" t="s">
        <v>46</v>
      </c>
      <c r="F2513" s="15" t="s">
        <v>47</v>
      </c>
      <c r="G2513" s="15" t="s">
        <v>60</v>
      </c>
      <c r="H2513" s="15" t="s">
        <v>42</v>
      </c>
      <c r="I2513">
        <v>20</v>
      </c>
      <c r="J2513">
        <v>40</v>
      </c>
      <c r="K2513">
        <v>0</v>
      </c>
      <c r="L2513">
        <v>60</v>
      </c>
      <c r="M2513">
        <v>33</v>
      </c>
      <c r="N2513">
        <v>190</v>
      </c>
      <c r="O2513">
        <v>42</v>
      </c>
      <c r="P2513">
        <v>12</v>
      </c>
      <c r="Q2513">
        <v>-6</v>
      </c>
      <c r="R2513">
        <v>80</v>
      </c>
      <c r="S2513">
        <v>1.3333333333333333</v>
      </c>
      <c r="U2513">
        <v>1.65</v>
      </c>
    </row>
    <row r="2514" spans="1:21" x14ac:dyDescent="0.35">
      <c r="A2514">
        <v>573</v>
      </c>
      <c r="B2514" s="16">
        <v>40603</v>
      </c>
      <c r="C2514" s="15" t="s">
        <v>37</v>
      </c>
      <c r="D2514" s="15" t="s">
        <v>58</v>
      </c>
      <c r="E2514" s="15" t="s">
        <v>48</v>
      </c>
      <c r="F2514" s="15" t="s">
        <v>49</v>
      </c>
      <c r="G2514" s="15" t="s">
        <v>60</v>
      </c>
      <c r="H2514" s="15" t="s">
        <v>42</v>
      </c>
      <c r="I2514">
        <v>50</v>
      </c>
      <c r="J2514">
        <v>90</v>
      </c>
      <c r="K2514">
        <v>70</v>
      </c>
      <c r="L2514">
        <v>140</v>
      </c>
      <c r="M2514">
        <v>49</v>
      </c>
      <c r="N2514">
        <v>809</v>
      </c>
      <c r="O2514">
        <v>72</v>
      </c>
      <c r="P2514">
        <v>13</v>
      </c>
      <c r="Q2514">
        <v>70</v>
      </c>
      <c r="R2514">
        <v>129</v>
      </c>
      <c r="S2514">
        <v>0.92142857142857137</v>
      </c>
      <c r="T2514">
        <v>1</v>
      </c>
      <c r="U2514">
        <v>0.98</v>
      </c>
    </row>
    <row r="2515" spans="1:21" x14ac:dyDescent="0.35">
      <c r="A2515">
        <v>573</v>
      </c>
      <c r="B2515" s="16">
        <v>40603</v>
      </c>
      <c r="C2515" s="15" t="s">
        <v>37</v>
      </c>
      <c r="D2515" s="15" t="s">
        <v>58</v>
      </c>
      <c r="E2515" s="15" t="s">
        <v>50</v>
      </c>
      <c r="F2515" s="15" t="s">
        <v>49</v>
      </c>
      <c r="G2515" s="15" t="s">
        <v>60</v>
      </c>
      <c r="H2515" s="15" t="s">
        <v>45</v>
      </c>
      <c r="I2515">
        <v>50</v>
      </c>
      <c r="J2515">
        <v>80</v>
      </c>
      <c r="K2515">
        <v>60</v>
      </c>
      <c r="L2515">
        <v>130</v>
      </c>
      <c r="M2515">
        <v>48</v>
      </c>
      <c r="N2515">
        <v>766</v>
      </c>
      <c r="O2515">
        <v>70</v>
      </c>
      <c r="P2515">
        <v>13</v>
      </c>
      <c r="Q2515">
        <v>67</v>
      </c>
      <c r="R2515">
        <v>126</v>
      </c>
      <c r="S2515">
        <v>0.96923076923076923</v>
      </c>
      <c r="T2515">
        <v>1.1166666666666667</v>
      </c>
      <c r="U2515">
        <v>0.96</v>
      </c>
    </row>
    <row r="2516" spans="1:21" x14ac:dyDescent="0.35">
      <c r="A2516">
        <v>314</v>
      </c>
      <c r="B2516" s="16">
        <v>40603</v>
      </c>
      <c r="C2516" s="15" t="s">
        <v>37</v>
      </c>
      <c r="D2516" s="15" t="s">
        <v>58</v>
      </c>
      <c r="E2516" s="15" t="s">
        <v>43</v>
      </c>
      <c r="F2516" s="15" t="s">
        <v>40</v>
      </c>
      <c r="G2516" s="15" t="s">
        <v>60</v>
      </c>
      <c r="H2516" s="15" t="s">
        <v>42</v>
      </c>
      <c r="I2516">
        <v>90</v>
      </c>
      <c r="J2516">
        <v>100</v>
      </c>
      <c r="K2516">
        <v>40</v>
      </c>
      <c r="L2516">
        <v>190</v>
      </c>
      <c r="M2516">
        <v>85</v>
      </c>
      <c r="N2516">
        <v>476</v>
      </c>
      <c r="O2516">
        <v>104</v>
      </c>
      <c r="P2516">
        <v>32</v>
      </c>
      <c r="Q2516">
        <v>58</v>
      </c>
      <c r="R2516">
        <v>201</v>
      </c>
      <c r="S2516">
        <v>1.0578947368421052</v>
      </c>
      <c r="T2516">
        <v>1.45</v>
      </c>
      <c r="U2516">
        <v>0.94444444444444442</v>
      </c>
    </row>
    <row r="2517" spans="1:21" x14ac:dyDescent="0.35">
      <c r="A2517">
        <v>314</v>
      </c>
      <c r="B2517" s="16">
        <v>40603</v>
      </c>
      <c r="C2517" s="15" t="s">
        <v>37</v>
      </c>
      <c r="D2517" s="15" t="s">
        <v>58</v>
      </c>
      <c r="E2517" s="15" t="s">
        <v>44</v>
      </c>
      <c r="F2517" s="15" t="s">
        <v>40</v>
      </c>
      <c r="G2517" s="15" t="s">
        <v>60</v>
      </c>
      <c r="H2517" s="15" t="s">
        <v>45</v>
      </c>
      <c r="I2517">
        <v>70</v>
      </c>
      <c r="J2517">
        <v>100</v>
      </c>
      <c r="K2517">
        <v>60</v>
      </c>
      <c r="L2517">
        <v>170</v>
      </c>
      <c r="M2517">
        <v>74</v>
      </c>
      <c r="N2517">
        <v>949</v>
      </c>
      <c r="O2517">
        <v>89</v>
      </c>
      <c r="P2517">
        <v>22</v>
      </c>
      <c r="Q2517">
        <v>67</v>
      </c>
      <c r="R2517">
        <v>174</v>
      </c>
      <c r="S2517">
        <v>1.0235294117647058</v>
      </c>
      <c r="T2517">
        <v>1.1166666666666667</v>
      </c>
      <c r="U2517">
        <v>1.0571428571428572</v>
      </c>
    </row>
    <row r="2518" spans="1:21" x14ac:dyDescent="0.35">
      <c r="A2518">
        <v>234</v>
      </c>
      <c r="B2518" s="16">
        <v>40603</v>
      </c>
      <c r="C2518" s="15" t="s">
        <v>37</v>
      </c>
      <c r="D2518" s="15" t="s">
        <v>38</v>
      </c>
      <c r="E2518" s="15" t="s">
        <v>51</v>
      </c>
      <c r="F2518" s="15" t="s">
        <v>52</v>
      </c>
      <c r="G2518" s="15" t="s">
        <v>61</v>
      </c>
      <c r="H2518" s="15" t="s">
        <v>45</v>
      </c>
      <c r="I2518">
        <v>10</v>
      </c>
      <c r="J2518">
        <v>30</v>
      </c>
      <c r="K2518">
        <v>30</v>
      </c>
      <c r="L2518">
        <v>40</v>
      </c>
      <c r="M2518">
        <v>21</v>
      </c>
      <c r="N2518">
        <v>449</v>
      </c>
      <c r="O2518">
        <v>32</v>
      </c>
      <c r="P2518">
        <v>5</v>
      </c>
      <c r="Q2518">
        <v>22</v>
      </c>
      <c r="R2518">
        <v>56</v>
      </c>
      <c r="S2518">
        <v>1.4</v>
      </c>
      <c r="T2518">
        <v>0.73333333333333328</v>
      </c>
      <c r="U2518">
        <v>2.1</v>
      </c>
    </row>
    <row r="2519" spans="1:21" x14ac:dyDescent="0.35">
      <c r="A2519">
        <v>513</v>
      </c>
      <c r="B2519" s="16">
        <v>40603</v>
      </c>
      <c r="C2519" s="15" t="s">
        <v>37</v>
      </c>
      <c r="D2519" s="15" t="s">
        <v>38</v>
      </c>
      <c r="E2519" s="15" t="s">
        <v>53</v>
      </c>
      <c r="F2519" s="15" t="s">
        <v>52</v>
      </c>
      <c r="G2519" s="15" t="s">
        <v>61</v>
      </c>
      <c r="H2519" s="15" t="s">
        <v>45</v>
      </c>
      <c r="I2519">
        <v>20</v>
      </c>
      <c r="J2519">
        <v>40</v>
      </c>
      <c r="K2519">
        <v>40</v>
      </c>
      <c r="L2519">
        <v>60</v>
      </c>
      <c r="M2519">
        <v>32</v>
      </c>
      <c r="N2519">
        <v>813</v>
      </c>
      <c r="O2519">
        <v>47</v>
      </c>
      <c r="P2519">
        <v>8</v>
      </c>
      <c r="Q2519">
        <v>42</v>
      </c>
      <c r="R2519">
        <v>84</v>
      </c>
      <c r="S2519">
        <v>1.4</v>
      </c>
      <c r="T2519">
        <v>1.05</v>
      </c>
      <c r="U2519">
        <v>1.6</v>
      </c>
    </row>
    <row r="2520" spans="1:21" x14ac:dyDescent="0.35">
      <c r="A2520">
        <v>513</v>
      </c>
      <c r="B2520" s="16">
        <v>40603</v>
      </c>
      <c r="C2520" s="15" t="s">
        <v>37</v>
      </c>
      <c r="D2520" s="15" t="s">
        <v>38</v>
      </c>
      <c r="E2520" s="15" t="s">
        <v>55</v>
      </c>
      <c r="F2520" s="15" t="s">
        <v>47</v>
      </c>
      <c r="G2520" s="15" t="s">
        <v>61</v>
      </c>
      <c r="H2520" s="15" t="s">
        <v>42</v>
      </c>
      <c r="I2520">
        <v>70</v>
      </c>
      <c r="J2520">
        <v>110</v>
      </c>
      <c r="K2520">
        <v>60</v>
      </c>
      <c r="L2520">
        <v>180</v>
      </c>
      <c r="M2520">
        <v>84</v>
      </c>
      <c r="N2520">
        <v>632</v>
      </c>
      <c r="O2520">
        <v>126</v>
      </c>
      <c r="P2520">
        <v>27</v>
      </c>
      <c r="Q2520">
        <v>101</v>
      </c>
      <c r="R2520">
        <v>224</v>
      </c>
      <c r="S2520">
        <v>1.2444444444444445</v>
      </c>
      <c r="T2520">
        <v>1.6833333333333333</v>
      </c>
      <c r="U2520">
        <v>1.2</v>
      </c>
    </row>
    <row r="2521" spans="1:21" x14ac:dyDescent="0.35">
      <c r="A2521">
        <v>419</v>
      </c>
      <c r="B2521" s="16">
        <v>40603</v>
      </c>
      <c r="C2521" s="15" t="s">
        <v>37</v>
      </c>
      <c r="D2521" s="15" t="s">
        <v>38</v>
      </c>
      <c r="E2521" s="15" t="s">
        <v>56</v>
      </c>
      <c r="F2521" s="15" t="s">
        <v>47</v>
      </c>
      <c r="G2521" s="15" t="s">
        <v>61</v>
      </c>
      <c r="H2521" s="15" t="s">
        <v>42</v>
      </c>
      <c r="I2521">
        <v>70</v>
      </c>
      <c r="J2521">
        <v>110</v>
      </c>
      <c r="K2521">
        <v>70</v>
      </c>
      <c r="L2521">
        <v>180</v>
      </c>
      <c r="M2521">
        <v>89</v>
      </c>
      <c r="N2521">
        <v>481</v>
      </c>
      <c r="O2521">
        <v>125</v>
      </c>
      <c r="P2521">
        <v>27</v>
      </c>
      <c r="Q2521">
        <v>110</v>
      </c>
      <c r="R2521">
        <v>228</v>
      </c>
      <c r="S2521">
        <v>1.2666666666666666</v>
      </c>
      <c r="T2521">
        <v>1.5714285714285714</v>
      </c>
      <c r="U2521">
        <v>1.2714285714285714</v>
      </c>
    </row>
    <row r="2522" spans="1:21" x14ac:dyDescent="0.35">
      <c r="A2522">
        <v>614</v>
      </c>
      <c r="B2522" s="16">
        <v>40603</v>
      </c>
      <c r="C2522" s="15" t="s">
        <v>37</v>
      </c>
      <c r="D2522" s="15" t="s">
        <v>38</v>
      </c>
      <c r="E2522" s="15" t="s">
        <v>48</v>
      </c>
      <c r="F2522" s="15" t="s">
        <v>49</v>
      </c>
      <c r="G2522" s="15" t="s">
        <v>61</v>
      </c>
      <c r="H2522" s="15" t="s">
        <v>42</v>
      </c>
      <c r="I2522">
        <v>180</v>
      </c>
      <c r="J2522">
        <v>200</v>
      </c>
      <c r="K2522">
        <v>130</v>
      </c>
      <c r="L2522">
        <v>380</v>
      </c>
      <c r="M2522">
        <v>162</v>
      </c>
      <c r="N2522">
        <v>1059</v>
      </c>
      <c r="O2522">
        <v>163</v>
      </c>
      <c r="P2522">
        <v>45</v>
      </c>
      <c r="Q2522">
        <v>140</v>
      </c>
      <c r="R2522">
        <v>346</v>
      </c>
      <c r="S2522">
        <v>0.91052631578947374</v>
      </c>
      <c r="T2522">
        <v>1.0769230769230769</v>
      </c>
      <c r="U2522">
        <v>0.9</v>
      </c>
    </row>
    <row r="2523" spans="1:21" x14ac:dyDescent="0.35">
      <c r="A2523">
        <v>330</v>
      </c>
      <c r="B2523" s="16">
        <v>40603</v>
      </c>
      <c r="C2523" s="15" t="s">
        <v>37</v>
      </c>
      <c r="D2523" s="15" t="s">
        <v>38</v>
      </c>
      <c r="E2523" s="15" t="s">
        <v>50</v>
      </c>
      <c r="F2523" s="15" t="s">
        <v>49</v>
      </c>
      <c r="G2523" s="15" t="s">
        <v>61</v>
      </c>
      <c r="H2523" s="15" t="s">
        <v>45</v>
      </c>
      <c r="I2523">
        <v>60</v>
      </c>
      <c r="J2523">
        <v>90</v>
      </c>
      <c r="K2523">
        <v>40</v>
      </c>
      <c r="L2523">
        <v>150</v>
      </c>
      <c r="M2523">
        <v>58</v>
      </c>
      <c r="N2523">
        <v>325</v>
      </c>
      <c r="O2523">
        <v>71</v>
      </c>
      <c r="P2523">
        <v>22</v>
      </c>
      <c r="Q2523">
        <v>22</v>
      </c>
      <c r="R2523">
        <v>137</v>
      </c>
      <c r="S2523">
        <v>0.91333333333333333</v>
      </c>
      <c r="T2523">
        <v>0.55000000000000004</v>
      </c>
      <c r="U2523">
        <v>0.96666666666666667</v>
      </c>
    </row>
    <row r="2524" spans="1:21" x14ac:dyDescent="0.35">
      <c r="A2524">
        <v>614</v>
      </c>
      <c r="B2524" s="16">
        <v>40603</v>
      </c>
      <c r="C2524" s="15" t="s">
        <v>37</v>
      </c>
      <c r="D2524" s="15" t="s">
        <v>38</v>
      </c>
      <c r="E2524" s="15" t="s">
        <v>39</v>
      </c>
      <c r="F2524" s="15" t="s">
        <v>40</v>
      </c>
      <c r="G2524" s="15" t="s">
        <v>61</v>
      </c>
      <c r="H2524" s="15" t="s">
        <v>42</v>
      </c>
      <c r="I2524">
        <v>60</v>
      </c>
      <c r="J2524">
        <v>80</v>
      </c>
      <c r="K2524">
        <v>50</v>
      </c>
      <c r="L2524">
        <v>140</v>
      </c>
      <c r="M2524">
        <v>57</v>
      </c>
      <c r="N2524">
        <v>323</v>
      </c>
      <c r="O2524">
        <v>77</v>
      </c>
      <c r="P2524">
        <v>18</v>
      </c>
      <c r="Q2524">
        <v>47</v>
      </c>
      <c r="R2524">
        <v>143</v>
      </c>
      <c r="S2524">
        <v>1.0214285714285714</v>
      </c>
      <c r="T2524">
        <v>0.94</v>
      </c>
      <c r="U2524">
        <v>0.95</v>
      </c>
    </row>
    <row r="2525" spans="1:21" x14ac:dyDescent="0.35">
      <c r="A2525">
        <v>330</v>
      </c>
      <c r="B2525" s="16">
        <v>40603</v>
      </c>
      <c r="C2525" s="15" t="s">
        <v>37</v>
      </c>
      <c r="D2525" s="15" t="s">
        <v>38</v>
      </c>
      <c r="E2525" s="15" t="s">
        <v>43</v>
      </c>
      <c r="F2525" s="15" t="s">
        <v>40</v>
      </c>
      <c r="G2525" s="15" t="s">
        <v>61</v>
      </c>
      <c r="H2525" s="15" t="s">
        <v>42</v>
      </c>
      <c r="I2525">
        <v>50</v>
      </c>
      <c r="J2525">
        <v>70</v>
      </c>
      <c r="K2525">
        <v>40</v>
      </c>
      <c r="L2525">
        <v>120</v>
      </c>
      <c r="M2525">
        <v>49</v>
      </c>
      <c r="N2525">
        <v>351</v>
      </c>
      <c r="O2525">
        <v>72</v>
      </c>
      <c r="P2525">
        <v>15</v>
      </c>
      <c r="Q2525">
        <v>52</v>
      </c>
      <c r="R2525">
        <v>129</v>
      </c>
      <c r="S2525">
        <v>1.075</v>
      </c>
      <c r="T2525">
        <v>1.3</v>
      </c>
      <c r="U2525">
        <v>0.98</v>
      </c>
    </row>
    <row r="2526" spans="1:21" x14ac:dyDescent="0.35">
      <c r="A2526">
        <v>440</v>
      </c>
      <c r="B2526" s="16">
        <v>40603</v>
      </c>
      <c r="C2526" s="15" t="s">
        <v>37</v>
      </c>
      <c r="D2526" s="15" t="s">
        <v>38</v>
      </c>
      <c r="E2526" s="15" t="s">
        <v>44</v>
      </c>
      <c r="F2526" s="15" t="s">
        <v>40</v>
      </c>
      <c r="G2526" s="15" t="s">
        <v>61</v>
      </c>
      <c r="H2526" s="15" t="s">
        <v>45</v>
      </c>
      <c r="I2526">
        <v>50</v>
      </c>
      <c r="J2526">
        <v>80</v>
      </c>
      <c r="K2526">
        <v>20</v>
      </c>
      <c r="L2526">
        <v>130</v>
      </c>
      <c r="M2526">
        <v>52</v>
      </c>
      <c r="N2526">
        <v>421</v>
      </c>
      <c r="O2526">
        <v>73</v>
      </c>
      <c r="P2526">
        <v>47</v>
      </c>
      <c r="Q2526">
        <v>-6</v>
      </c>
      <c r="R2526">
        <v>133</v>
      </c>
      <c r="S2526">
        <v>1.023076923076923</v>
      </c>
      <c r="T2526">
        <v>-0.3</v>
      </c>
      <c r="U2526">
        <v>1.04</v>
      </c>
    </row>
    <row r="2527" spans="1:21" x14ac:dyDescent="0.35">
      <c r="A2527">
        <v>920</v>
      </c>
      <c r="B2527" s="16">
        <v>40603</v>
      </c>
      <c r="C2527" s="15" t="s">
        <v>37</v>
      </c>
      <c r="D2527" s="15" t="s">
        <v>58</v>
      </c>
      <c r="E2527" s="15" t="s">
        <v>51</v>
      </c>
      <c r="F2527" s="15" t="s">
        <v>52</v>
      </c>
      <c r="G2527" s="15" t="s">
        <v>62</v>
      </c>
      <c r="H2527" s="15" t="s">
        <v>45</v>
      </c>
      <c r="I2527">
        <v>50</v>
      </c>
      <c r="J2527">
        <v>90</v>
      </c>
      <c r="K2527">
        <v>70</v>
      </c>
      <c r="L2527">
        <v>140</v>
      </c>
      <c r="M2527">
        <v>62</v>
      </c>
      <c r="N2527">
        <v>346</v>
      </c>
      <c r="O2527">
        <v>105</v>
      </c>
      <c r="P2527">
        <v>19</v>
      </c>
      <c r="Q2527">
        <v>93</v>
      </c>
      <c r="R2527">
        <v>178</v>
      </c>
      <c r="S2527">
        <v>1.2714285714285714</v>
      </c>
      <c r="T2527">
        <v>1.3285714285714285</v>
      </c>
      <c r="U2527">
        <v>1.24</v>
      </c>
    </row>
    <row r="2528" spans="1:21" x14ac:dyDescent="0.35">
      <c r="A2528">
        <v>715</v>
      </c>
      <c r="B2528" s="16">
        <v>40603</v>
      </c>
      <c r="C2528" s="15" t="s">
        <v>37</v>
      </c>
      <c r="D2528" s="15" t="s">
        <v>58</v>
      </c>
      <c r="E2528" s="15" t="s">
        <v>53</v>
      </c>
      <c r="F2528" s="15" t="s">
        <v>52</v>
      </c>
      <c r="G2528" s="15" t="s">
        <v>62</v>
      </c>
      <c r="H2528" s="15" t="s">
        <v>45</v>
      </c>
      <c r="I2528">
        <v>40</v>
      </c>
      <c r="J2528">
        <v>60</v>
      </c>
      <c r="K2528">
        <v>50</v>
      </c>
      <c r="L2528">
        <v>100</v>
      </c>
      <c r="M2528">
        <v>49</v>
      </c>
      <c r="N2528">
        <v>767</v>
      </c>
      <c r="O2528">
        <v>72</v>
      </c>
      <c r="P2528">
        <v>13</v>
      </c>
      <c r="Q2528">
        <v>70</v>
      </c>
      <c r="R2528">
        <v>129</v>
      </c>
      <c r="S2528">
        <v>1.29</v>
      </c>
      <c r="T2528">
        <v>1.4</v>
      </c>
      <c r="U2528">
        <v>1.2250000000000001</v>
      </c>
    </row>
    <row r="2529" spans="1:21" x14ac:dyDescent="0.35">
      <c r="A2529">
        <v>608</v>
      </c>
      <c r="B2529" s="16">
        <v>40603</v>
      </c>
      <c r="C2529" s="15" t="s">
        <v>37</v>
      </c>
      <c r="D2529" s="15" t="s">
        <v>58</v>
      </c>
      <c r="E2529" s="15" t="s">
        <v>55</v>
      </c>
      <c r="F2529" s="15" t="s">
        <v>47</v>
      </c>
      <c r="G2529" s="15" t="s">
        <v>62</v>
      </c>
      <c r="H2529" s="15" t="s">
        <v>42</v>
      </c>
      <c r="I2529">
        <v>40</v>
      </c>
      <c r="J2529">
        <v>70</v>
      </c>
      <c r="K2529">
        <v>40</v>
      </c>
      <c r="L2529">
        <v>110</v>
      </c>
      <c r="M2529">
        <v>52</v>
      </c>
      <c r="N2529">
        <v>376</v>
      </c>
      <c r="O2529">
        <v>77</v>
      </c>
      <c r="P2529">
        <v>16</v>
      </c>
      <c r="Q2529">
        <v>56</v>
      </c>
      <c r="R2529">
        <v>137</v>
      </c>
      <c r="S2529">
        <v>1.2454545454545454</v>
      </c>
      <c r="T2529">
        <v>1.4</v>
      </c>
      <c r="U2529">
        <v>1.3</v>
      </c>
    </row>
    <row r="2530" spans="1:21" x14ac:dyDescent="0.35">
      <c r="A2530">
        <v>262</v>
      </c>
      <c r="B2530" s="16">
        <v>40603</v>
      </c>
      <c r="C2530" s="15" t="s">
        <v>37</v>
      </c>
      <c r="D2530" s="15" t="s">
        <v>58</v>
      </c>
      <c r="E2530" s="15" t="s">
        <v>56</v>
      </c>
      <c r="F2530" s="15" t="s">
        <v>47</v>
      </c>
      <c r="G2530" s="15" t="s">
        <v>62</v>
      </c>
      <c r="H2530" s="15" t="s">
        <v>42</v>
      </c>
      <c r="I2530">
        <v>50</v>
      </c>
      <c r="J2530">
        <v>80</v>
      </c>
      <c r="K2530">
        <v>10</v>
      </c>
      <c r="L2530">
        <v>130</v>
      </c>
      <c r="M2530">
        <v>63</v>
      </c>
      <c r="N2530">
        <v>506</v>
      </c>
      <c r="O2530">
        <v>87</v>
      </c>
      <c r="P2530">
        <v>57</v>
      </c>
      <c r="Q2530">
        <v>1</v>
      </c>
      <c r="R2530">
        <v>160</v>
      </c>
      <c r="S2530">
        <v>1.2307692307692308</v>
      </c>
      <c r="T2530">
        <v>0.1</v>
      </c>
      <c r="U2530">
        <v>1.26</v>
      </c>
    </row>
    <row r="2531" spans="1:21" x14ac:dyDescent="0.35">
      <c r="A2531">
        <v>414</v>
      </c>
      <c r="B2531" s="16">
        <v>40603</v>
      </c>
      <c r="C2531" s="15" t="s">
        <v>37</v>
      </c>
      <c r="D2531" s="15" t="s">
        <v>58</v>
      </c>
      <c r="E2531" s="15" t="s">
        <v>48</v>
      </c>
      <c r="F2531" s="15" t="s">
        <v>49</v>
      </c>
      <c r="G2531" s="15" t="s">
        <v>62</v>
      </c>
      <c r="H2531" s="15" t="s">
        <v>42</v>
      </c>
      <c r="I2531">
        <v>80</v>
      </c>
      <c r="J2531">
        <v>100</v>
      </c>
      <c r="K2531">
        <v>60</v>
      </c>
      <c r="L2531">
        <v>180</v>
      </c>
      <c r="M2531">
        <v>71</v>
      </c>
      <c r="N2531">
        <v>950</v>
      </c>
      <c r="O2531">
        <v>84</v>
      </c>
      <c r="P2531">
        <v>22</v>
      </c>
      <c r="Q2531">
        <v>61</v>
      </c>
      <c r="R2531">
        <v>165</v>
      </c>
      <c r="S2531">
        <v>0.91666666666666663</v>
      </c>
      <c r="T2531">
        <v>1.0166666666666666</v>
      </c>
      <c r="U2531">
        <v>0.88749999999999996</v>
      </c>
    </row>
    <row r="2532" spans="1:21" x14ac:dyDescent="0.35">
      <c r="A2532">
        <v>262</v>
      </c>
      <c r="B2532" s="16">
        <v>40603</v>
      </c>
      <c r="C2532" s="15" t="s">
        <v>37</v>
      </c>
      <c r="D2532" s="15" t="s">
        <v>58</v>
      </c>
      <c r="E2532" s="15" t="s">
        <v>50</v>
      </c>
      <c r="F2532" s="15" t="s">
        <v>49</v>
      </c>
      <c r="G2532" s="15" t="s">
        <v>62</v>
      </c>
      <c r="H2532" s="15" t="s">
        <v>45</v>
      </c>
      <c r="I2532">
        <v>50</v>
      </c>
      <c r="J2532">
        <v>80</v>
      </c>
      <c r="K2532">
        <v>60</v>
      </c>
      <c r="L2532">
        <v>130</v>
      </c>
      <c r="M2532">
        <v>49</v>
      </c>
      <c r="N2532">
        <v>611</v>
      </c>
      <c r="O2532">
        <v>63</v>
      </c>
      <c r="P2532">
        <v>16</v>
      </c>
      <c r="Q2532">
        <v>50</v>
      </c>
      <c r="R2532">
        <v>119</v>
      </c>
      <c r="S2532">
        <v>0.91538461538461535</v>
      </c>
      <c r="T2532">
        <v>0.83333333333333337</v>
      </c>
      <c r="U2532">
        <v>0.98</v>
      </c>
    </row>
    <row r="2533" spans="1:21" x14ac:dyDescent="0.35">
      <c r="A2533">
        <v>262</v>
      </c>
      <c r="B2533" s="16">
        <v>40603</v>
      </c>
      <c r="C2533" s="15" t="s">
        <v>37</v>
      </c>
      <c r="D2533" s="15" t="s">
        <v>58</v>
      </c>
      <c r="E2533" s="15" t="s">
        <v>39</v>
      </c>
      <c r="F2533" s="15" t="s">
        <v>40</v>
      </c>
      <c r="G2533" s="15" t="s">
        <v>62</v>
      </c>
      <c r="H2533" s="15" t="s">
        <v>42</v>
      </c>
      <c r="I2533">
        <v>50</v>
      </c>
      <c r="J2533">
        <v>70</v>
      </c>
      <c r="K2533">
        <v>30</v>
      </c>
      <c r="L2533">
        <v>120</v>
      </c>
      <c r="M2533">
        <v>54</v>
      </c>
      <c r="N2533">
        <v>301</v>
      </c>
      <c r="O2533">
        <v>66</v>
      </c>
      <c r="P2533">
        <v>20</v>
      </c>
      <c r="Q2533">
        <v>19</v>
      </c>
      <c r="R2533">
        <v>128</v>
      </c>
      <c r="S2533">
        <v>1.0666666666666667</v>
      </c>
      <c r="T2533">
        <v>0.6333333333333333</v>
      </c>
      <c r="U2533">
        <v>1.08</v>
      </c>
    </row>
    <row r="2534" spans="1:21" x14ac:dyDescent="0.35">
      <c r="A2534">
        <v>715</v>
      </c>
      <c r="B2534" s="16">
        <v>40603</v>
      </c>
      <c r="C2534" s="15" t="s">
        <v>37</v>
      </c>
      <c r="D2534" s="15" t="s">
        <v>58</v>
      </c>
      <c r="E2534" s="15" t="s">
        <v>43</v>
      </c>
      <c r="F2534" s="15" t="s">
        <v>40</v>
      </c>
      <c r="G2534" s="15" t="s">
        <v>62</v>
      </c>
      <c r="H2534" s="15" t="s">
        <v>42</v>
      </c>
      <c r="I2534">
        <v>100</v>
      </c>
      <c r="J2534">
        <v>130</v>
      </c>
      <c r="K2534">
        <v>30</v>
      </c>
      <c r="L2534">
        <v>230</v>
      </c>
      <c r="M2534">
        <v>95</v>
      </c>
      <c r="N2534">
        <v>532</v>
      </c>
      <c r="O2534">
        <v>132</v>
      </c>
      <c r="P2534">
        <v>86</v>
      </c>
      <c r="Q2534">
        <v>25</v>
      </c>
      <c r="R2534">
        <v>242</v>
      </c>
      <c r="S2534">
        <v>1.0521739130434782</v>
      </c>
      <c r="T2534">
        <v>0.83333333333333337</v>
      </c>
      <c r="U2534">
        <v>0.95</v>
      </c>
    </row>
    <row r="2535" spans="1:21" x14ac:dyDescent="0.35">
      <c r="A2535">
        <v>715</v>
      </c>
      <c r="B2535" s="16">
        <v>40603</v>
      </c>
      <c r="C2535" s="15" t="s">
        <v>37</v>
      </c>
      <c r="D2535" s="15" t="s">
        <v>58</v>
      </c>
      <c r="E2535" s="15" t="s">
        <v>44</v>
      </c>
      <c r="F2535" s="15" t="s">
        <v>40</v>
      </c>
      <c r="G2535" s="15" t="s">
        <v>62</v>
      </c>
      <c r="H2535" s="15" t="s">
        <v>45</v>
      </c>
      <c r="I2535">
        <v>80</v>
      </c>
      <c r="J2535">
        <v>110</v>
      </c>
      <c r="K2535">
        <v>70</v>
      </c>
      <c r="L2535">
        <v>190</v>
      </c>
      <c r="M2535">
        <v>80</v>
      </c>
      <c r="N2535">
        <v>415</v>
      </c>
      <c r="O2535">
        <v>108</v>
      </c>
      <c r="P2535">
        <v>26</v>
      </c>
      <c r="Q2535">
        <v>82</v>
      </c>
      <c r="R2535">
        <v>200</v>
      </c>
      <c r="S2535">
        <v>1.0526315789473684</v>
      </c>
      <c r="T2535">
        <v>1.1714285714285715</v>
      </c>
      <c r="U2535">
        <v>1</v>
      </c>
    </row>
    <row r="2536" spans="1:21" x14ac:dyDescent="0.35">
      <c r="A2536">
        <v>959</v>
      </c>
      <c r="B2536" s="16">
        <v>40603</v>
      </c>
      <c r="C2536" s="15" t="s">
        <v>63</v>
      </c>
      <c r="D2536" s="15" t="s">
        <v>58</v>
      </c>
      <c r="E2536" s="15" t="s">
        <v>53</v>
      </c>
      <c r="F2536" s="15" t="s">
        <v>52</v>
      </c>
      <c r="G2536" s="15" t="s">
        <v>64</v>
      </c>
      <c r="H2536" s="15" t="s">
        <v>45</v>
      </c>
      <c r="I2536">
        <v>60</v>
      </c>
      <c r="J2536">
        <v>80</v>
      </c>
      <c r="K2536">
        <v>40</v>
      </c>
      <c r="L2536">
        <v>140</v>
      </c>
      <c r="M2536">
        <v>85</v>
      </c>
      <c r="N2536">
        <v>476</v>
      </c>
      <c r="O2536">
        <v>104</v>
      </c>
      <c r="P2536">
        <v>32</v>
      </c>
      <c r="Q2536">
        <v>58</v>
      </c>
      <c r="R2536">
        <v>201</v>
      </c>
      <c r="S2536">
        <v>1.4357142857142857</v>
      </c>
      <c r="T2536">
        <v>1.45</v>
      </c>
      <c r="U2536">
        <v>1.4166666666666667</v>
      </c>
    </row>
    <row r="2537" spans="1:21" x14ac:dyDescent="0.35">
      <c r="A2537">
        <v>475</v>
      </c>
      <c r="B2537" s="16">
        <v>40603</v>
      </c>
      <c r="C2537" s="15" t="s">
        <v>63</v>
      </c>
      <c r="D2537" s="15" t="s">
        <v>58</v>
      </c>
      <c r="E2537" s="15" t="s">
        <v>54</v>
      </c>
      <c r="F2537" s="15" t="s">
        <v>52</v>
      </c>
      <c r="G2537" s="15" t="s">
        <v>64</v>
      </c>
      <c r="H2537" s="15" t="s">
        <v>45</v>
      </c>
      <c r="I2537">
        <v>50</v>
      </c>
      <c r="J2537">
        <v>70</v>
      </c>
      <c r="K2537">
        <v>50</v>
      </c>
      <c r="L2537">
        <v>120</v>
      </c>
      <c r="M2537">
        <v>74</v>
      </c>
      <c r="N2537">
        <v>949</v>
      </c>
      <c r="O2537">
        <v>89</v>
      </c>
      <c r="P2537">
        <v>22</v>
      </c>
      <c r="Q2537">
        <v>68</v>
      </c>
      <c r="R2537">
        <v>174</v>
      </c>
      <c r="S2537">
        <v>1.45</v>
      </c>
      <c r="T2537">
        <v>1.36</v>
      </c>
      <c r="U2537">
        <v>1.48</v>
      </c>
    </row>
    <row r="2538" spans="1:21" x14ac:dyDescent="0.35">
      <c r="A2538">
        <v>860</v>
      </c>
      <c r="B2538" s="16">
        <v>40603</v>
      </c>
      <c r="C2538" s="15" t="s">
        <v>63</v>
      </c>
      <c r="D2538" s="15" t="s">
        <v>58</v>
      </c>
      <c r="E2538" s="15" t="s">
        <v>55</v>
      </c>
      <c r="F2538" s="15" t="s">
        <v>47</v>
      </c>
      <c r="G2538" s="15" t="s">
        <v>64</v>
      </c>
      <c r="H2538" s="15" t="s">
        <v>42</v>
      </c>
      <c r="I2538">
        <v>50</v>
      </c>
      <c r="J2538">
        <v>80</v>
      </c>
      <c r="K2538">
        <v>60</v>
      </c>
      <c r="L2538">
        <v>130</v>
      </c>
      <c r="M2538">
        <v>49</v>
      </c>
      <c r="N2538">
        <v>809</v>
      </c>
      <c r="O2538">
        <v>72</v>
      </c>
      <c r="P2538">
        <v>13</v>
      </c>
      <c r="Q2538">
        <v>70</v>
      </c>
      <c r="R2538">
        <v>129</v>
      </c>
      <c r="S2538">
        <v>0.99230769230769234</v>
      </c>
      <c r="T2538">
        <v>1.1666666666666667</v>
      </c>
      <c r="U2538">
        <v>0.98</v>
      </c>
    </row>
    <row r="2539" spans="1:21" x14ac:dyDescent="0.35">
      <c r="A2539">
        <v>475</v>
      </c>
      <c r="B2539" s="16">
        <v>40603</v>
      </c>
      <c r="C2539" s="15" t="s">
        <v>63</v>
      </c>
      <c r="D2539" s="15" t="s">
        <v>58</v>
      </c>
      <c r="E2539" s="15" t="s">
        <v>46</v>
      </c>
      <c r="F2539" s="15" t="s">
        <v>47</v>
      </c>
      <c r="G2539" s="15" t="s">
        <v>64</v>
      </c>
      <c r="H2539" s="15" t="s">
        <v>42</v>
      </c>
      <c r="I2539">
        <v>20</v>
      </c>
      <c r="J2539">
        <v>40</v>
      </c>
      <c r="K2539">
        <v>30</v>
      </c>
      <c r="L2539">
        <v>60</v>
      </c>
      <c r="M2539">
        <v>25</v>
      </c>
      <c r="N2539">
        <v>769</v>
      </c>
      <c r="O2539">
        <v>37</v>
      </c>
      <c r="P2539">
        <v>7</v>
      </c>
      <c r="Q2539">
        <v>27</v>
      </c>
      <c r="R2539">
        <v>66</v>
      </c>
      <c r="S2539">
        <v>1.1000000000000001</v>
      </c>
      <c r="T2539">
        <v>0.9</v>
      </c>
      <c r="U2539">
        <v>1.25</v>
      </c>
    </row>
    <row r="2540" spans="1:21" x14ac:dyDescent="0.35">
      <c r="A2540">
        <v>203</v>
      </c>
      <c r="B2540" s="16">
        <v>40603</v>
      </c>
      <c r="C2540" s="15" t="s">
        <v>63</v>
      </c>
      <c r="D2540" s="15" t="s">
        <v>58</v>
      </c>
      <c r="E2540" s="15" t="s">
        <v>48</v>
      </c>
      <c r="F2540" s="15" t="s">
        <v>49</v>
      </c>
      <c r="G2540" s="15" t="s">
        <v>64</v>
      </c>
      <c r="H2540" s="15" t="s">
        <v>42</v>
      </c>
      <c r="I2540">
        <v>60</v>
      </c>
      <c r="J2540">
        <v>80</v>
      </c>
      <c r="K2540">
        <v>10</v>
      </c>
      <c r="L2540">
        <v>140</v>
      </c>
      <c r="M2540">
        <v>63</v>
      </c>
      <c r="N2540">
        <v>506</v>
      </c>
      <c r="O2540">
        <v>87</v>
      </c>
      <c r="P2540">
        <v>57</v>
      </c>
      <c r="Q2540">
        <v>0</v>
      </c>
      <c r="R2540">
        <v>160</v>
      </c>
      <c r="S2540">
        <v>1.1428571428571428</v>
      </c>
      <c r="T2540">
        <v>0</v>
      </c>
      <c r="U2540">
        <v>1.05</v>
      </c>
    </row>
    <row r="2541" spans="1:21" x14ac:dyDescent="0.35">
      <c r="A2541">
        <v>203</v>
      </c>
      <c r="B2541" s="16">
        <v>40603</v>
      </c>
      <c r="C2541" s="15" t="s">
        <v>63</v>
      </c>
      <c r="D2541" s="15" t="s">
        <v>58</v>
      </c>
      <c r="E2541" s="15" t="s">
        <v>50</v>
      </c>
      <c r="F2541" s="15" t="s">
        <v>49</v>
      </c>
      <c r="G2541" s="15" t="s">
        <v>64</v>
      </c>
      <c r="H2541" s="15" t="s">
        <v>45</v>
      </c>
      <c r="I2541">
        <v>50</v>
      </c>
      <c r="J2541">
        <v>70</v>
      </c>
      <c r="K2541">
        <v>40</v>
      </c>
      <c r="L2541">
        <v>120</v>
      </c>
      <c r="M2541">
        <v>53</v>
      </c>
      <c r="N2541">
        <v>299</v>
      </c>
      <c r="O2541">
        <v>71</v>
      </c>
      <c r="P2541">
        <v>17</v>
      </c>
      <c r="Q2541">
        <v>39</v>
      </c>
      <c r="R2541">
        <v>132</v>
      </c>
      <c r="S2541">
        <v>1.1000000000000001</v>
      </c>
      <c r="T2541">
        <v>0.97499999999999998</v>
      </c>
      <c r="U2541">
        <v>1.06</v>
      </c>
    </row>
    <row r="2542" spans="1:21" x14ac:dyDescent="0.35">
      <c r="A2542">
        <v>860</v>
      </c>
      <c r="B2542" s="16">
        <v>40603</v>
      </c>
      <c r="C2542" s="15" t="s">
        <v>63</v>
      </c>
      <c r="D2542" s="15" t="s">
        <v>58</v>
      </c>
      <c r="E2542" s="15" t="s">
        <v>43</v>
      </c>
      <c r="F2542" s="15" t="s">
        <v>40</v>
      </c>
      <c r="G2542" s="15" t="s">
        <v>64</v>
      </c>
      <c r="H2542" s="15" t="s">
        <v>42</v>
      </c>
      <c r="I2542">
        <v>110</v>
      </c>
      <c r="J2542">
        <v>180</v>
      </c>
      <c r="K2542">
        <v>130</v>
      </c>
      <c r="L2542">
        <v>290</v>
      </c>
      <c r="M2542">
        <v>123</v>
      </c>
      <c r="N2542">
        <v>932</v>
      </c>
      <c r="O2542">
        <v>186</v>
      </c>
      <c r="P2542">
        <v>40</v>
      </c>
      <c r="Q2542">
        <v>169</v>
      </c>
      <c r="R2542">
        <v>329</v>
      </c>
      <c r="S2542">
        <v>1.1344827586206896</v>
      </c>
      <c r="T2542">
        <v>1.3</v>
      </c>
      <c r="U2542">
        <v>1.1181818181818182</v>
      </c>
    </row>
    <row r="2543" spans="1:21" x14ac:dyDescent="0.35">
      <c r="A2543">
        <v>352</v>
      </c>
      <c r="B2543" s="16">
        <v>40603</v>
      </c>
      <c r="C2543" s="15" t="s">
        <v>63</v>
      </c>
      <c r="D2543" s="15" t="s">
        <v>38</v>
      </c>
      <c r="E2543" s="15" t="s">
        <v>51</v>
      </c>
      <c r="F2543" s="15" t="s">
        <v>52</v>
      </c>
      <c r="G2543" s="15" t="s">
        <v>65</v>
      </c>
      <c r="H2543" s="15" t="s">
        <v>45</v>
      </c>
      <c r="I2543">
        <v>30</v>
      </c>
      <c r="J2543">
        <v>50</v>
      </c>
      <c r="K2543">
        <v>30</v>
      </c>
      <c r="L2543">
        <v>80</v>
      </c>
      <c r="M2543">
        <v>49</v>
      </c>
      <c r="N2543">
        <v>611</v>
      </c>
      <c r="O2543">
        <v>63</v>
      </c>
      <c r="P2543">
        <v>16</v>
      </c>
      <c r="Q2543">
        <v>52</v>
      </c>
      <c r="R2543">
        <v>119</v>
      </c>
      <c r="S2543">
        <v>1.4875</v>
      </c>
      <c r="T2543">
        <v>1.7333333333333334</v>
      </c>
      <c r="U2543">
        <v>1.6333333333333333</v>
      </c>
    </row>
    <row r="2544" spans="1:21" x14ac:dyDescent="0.35">
      <c r="A2544">
        <v>727</v>
      </c>
      <c r="B2544" s="16">
        <v>40603</v>
      </c>
      <c r="C2544" s="15" t="s">
        <v>63</v>
      </c>
      <c r="D2544" s="15" t="s">
        <v>38</v>
      </c>
      <c r="E2544" s="15" t="s">
        <v>53</v>
      </c>
      <c r="F2544" s="15" t="s">
        <v>52</v>
      </c>
      <c r="G2544" s="15" t="s">
        <v>65</v>
      </c>
      <c r="H2544" s="15" t="s">
        <v>45</v>
      </c>
      <c r="I2544">
        <v>40</v>
      </c>
      <c r="J2544">
        <v>50</v>
      </c>
      <c r="K2544">
        <v>20</v>
      </c>
      <c r="L2544">
        <v>90</v>
      </c>
      <c r="M2544">
        <v>54</v>
      </c>
      <c r="N2544">
        <v>301</v>
      </c>
      <c r="O2544">
        <v>66</v>
      </c>
      <c r="P2544">
        <v>20</v>
      </c>
      <c r="Q2544">
        <v>18</v>
      </c>
      <c r="R2544">
        <v>128</v>
      </c>
      <c r="S2544">
        <v>1.4222222222222223</v>
      </c>
      <c r="T2544">
        <v>0.9</v>
      </c>
      <c r="U2544">
        <v>1.35</v>
      </c>
    </row>
    <row r="2545" spans="1:21" x14ac:dyDescent="0.35">
      <c r="A2545">
        <v>813</v>
      </c>
      <c r="B2545" s="16">
        <v>40603</v>
      </c>
      <c r="C2545" s="15" t="s">
        <v>63</v>
      </c>
      <c r="D2545" s="15" t="s">
        <v>38</v>
      </c>
      <c r="E2545" s="15" t="s">
        <v>54</v>
      </c>
      <c r="F2545" s="15" t="s">
        <v>52</v>
      </c>
      <c r="G2545" s="15" t="s">
        <v>65</v>
      </c>
      <c r="H2545" s="15" t="s">
        <v>45</v>
      </c>
      <c r="I2545">
        <v>50</v>
      </c>
      <c r="J2545">
        <v>70</v>
      </c>
      <c r="K2545">
        <v>50</v>
      </c>
      <c r="L2545">
        <v>120</v>
      </c>
      <c r="M2545">
        <v>71</v>
      </c>
      <c r="N2545">
        <v>950</v>
      </c>
      <c r="O2545">
        <v>84</v>
      </c>
      <c r="P2545">
        <v>22</v>
      </c>
      <c r="Q2545">
        <v>59</v>
      </c>
      <c r="R2545">
        <v>165</v>
      </c>
      <c r="S2545">
        <v>1.375</v>
      </c>
      <c r="T2545">
        <v>1.18</v>
      </c>
      <c r="U2545">
        <v>1.42</v>
      </c>
    </row>
    <row r="2546" spans="1:21" x14ac:dyDescent="0.35">
      <c r="A2546">
        <v>863</v>
      </c>
      <c r="B2546" s="16">
        <v>40603</v>
      </c>
      <c r="C2546" s="15" t="s">
        <v>63</v>
      </c>
      <c r="D2546" s="15" t="s">
        <v>38</v>
      </c>
      <c r="E2546" s="15" t="s">
        <v>55</v>
      </c>
      <c r="F2546" s="15" t="s">
        <v>47</v>
      </c>
      <c r="G2546" s="15" t="s">
        <v>65</v>
      </c>
      <c r="H2546" s="15" t="s">
        <v>42</v>
      </c>
      <c r="I2546">
        <v>30</v>
      </c>
      <c r="J2546">
        <v>50</v>
      </c>
      <c r="K2546">
        <v>40</v>
      </c>
      <c r="L2546">
        <v>80</v>
      </c>
      <c r="M2546">
        <v>33</v>
      </c>
      <c r="N2546">
        <v>813</v>
      </c>
      <c r="O2546">
        <v>48</v>
      </c>
      <c r="P2546">
        <v>9</v>
      </c>
      <c r="Q2546">
        <v>40</v>
      </c>
      <c r="R2546">
        <v>86</v>
      </c>
      <c r="S2546">
        <v>1.075</v>
      </c>
      <c r="T2546">
        <v>1</v>
      </c>
      <c r="U2546">
        <v>1.1000000000000001</v>
      </c>
    </row>
    <row r="2547" spans="1:21" x14ac:dyDescent="0.35">
      <c r="A2547">
        <v>904</v>
      </c>
      <c r="B2547" s="16">
        <v>40603</v>
      </c>
      <c r="C2547" s="15" t="s">
        <v>63</v>
      </c>
      <c r="D2547" s="15" t="s">
        <v>38</v>
      </c>
      <c r="E2547" s="15" t="s">
        <v>46</v>
      </c>
      <c r="F2547" s="15" t="s">
        <v>47</v>
      </c>
      <c r="G2547" s="15" t="s">
        <v>65</v>
      </c>
      <c r="H2547" s="15" t="s">
        <v>42</v>
      </c>
      <c r="I2547">
        <v>50</v>
      </c>
      <c r="J2547">
        <v>80</v>
      </c>
      <c r="K2547">
        <v>60</v>
      </c>
      <c r="L2547">
        <v>130</v>
      </c>
      <c r="M2547">
        <v>49</v>
      </c>
      <c r="N2547">
        <v>767</v>
      </c>
      <c r="O2547">
        <v>72</v>
      </c>
      <c r="P2547">
        <v>13</v>
      </c>
      <c r="Q2547">
        <v>70</v>
      </c>
      <c r="R2547">
        <v>129</v>
      </c>
      <c r="S2547">
        <v>0.99230769230769234</v>
      </c>
      <c r="T2547">
        <v>1.1666666666666667</v>
      </c>
      <c r="U2547">
        <v>0.98</v>
      </c>
    </row>
    <row r="2548" spans="1:21" x14ac:dyDescent="0.35">
      <c r="A2548">
        <v>863</v>
      </c>
      <c r="B2548" s="16">
        <v>40603</v>
      </c>
      <c r="C2548" s="15" t="s">
        <v>63</v>
      </c>
      <c r="D2548" s="15" t="s">
        <v>38</v>
      </c>
      <c r="E2548" s="15" t="s">
        <v>44</v>
      </c>
      <c r="F2548" s="15" t="s">
        <v>40</v>
      </c>
      <c r="G2548" s="15" t="s">
        <v>65</v>
      </c>
      <c r="H2548" s="15" t="s">
        <v>45</v>
      </c>
      <c r="I2548">
        <v>80</v>
      </c>
      <c r="J2548">
        <v>120</v>
      </c>
      <c r="K2548">
        <v>80</v>
      </c>
      <c r="L2548">
        <v>200</v>
      </c>
      <c r="M2548">
        <v>89</v>
      </c>
      <c r="N2548">
        <v>481</v>
      </c>
      <c r="O2548">
        <v>125</v>
      </c>
      <c r="P2548">
        <v>27</v>
      </c>
      <c r="Q2548">
        <v>110</v>
      </c>
      <c r="R2548">
        <v>228</v>
      </c>
      <c r="S2548">
        <v>1.1399999999999999</v>
      </c>
      <c r="T2548">
        <v>1.375</v>
      </c>
      <c r="U2548">
        <v>1.1125</v>
      </c>
    </row>
    <row r="2549" spans="1:21" x14ac:dyDescent="0.35">
      <c r="A2549">
        <v>321</v>
      </c>
      <c r="B2549" s="16">
        <v>40603</v>
      </c>
      <c r="C2549" s="15" t="s">
        <v>63</v>
      </c>
      <c r="D2549" s="15" t="s">
        <v>38</v>
      </c>
      <c r="E2549" s="15" t="s">
        <v>48</v>
      </c>
      <c r="F2549" s="15" t="s">
        <v>49</v>
      </c>
      <c r="G2549" s="15" t="s">
        <v>65</v>
      </c>
      <c r="H2549" s="15" t="s">
        <v>42</v>
      </c>
      <c r="I2549">
        <v>90</v>
      </c>
      <c r="J2549">
        <v>130</v>
      </c>
      <c r="K2549">
        <v>30</v>
      </c>
      <c r="L2549">
        <v>220</v>
      </c>
      <c r="M2549">
        <v>95</v>
      </c>
      <c r="N2549">
        <v>532</v>
      </c>
      <c r="O2549">
        <v>132</v>
      </c>
      <c r="P2549">
        <v>86</v>
      </c>
      <c r="Q2549">
        <v>25</v>
      </c>
      <c r="R2549">
        <v>242</v>
      </c>
      <c r="S2549">
        <v>1.1000000000000001</v>
      </c>
      <c r="T2549">
        <v>0.83333333333333337</v>
      </c>
      <c r="U2549">
        <v>1.0555555555555556</v>
      </c>
    </row>
    <row r="2550" spans="1:21" x14ac:dyDescent="0.35">
      <c r="A2550">
        <v>813</v>
      </c>
      <c r="B2550" s="16">
        <v>40603</v>
      </c>
      <c r="C2550" s="15" t="s">
        <v>63</v>
      </c>
      <c r="D2550" s="15" t="s">
        <v>38</v>
      </c>
      <c r="E2550" s="15" t="s">
        <v>50</v>
      </c>
      <c r="F2550" s="15" t="s">
        <v>49</v>
      </c>
      <c r="G2550" s="15" t="s">
        <v>65</v>
      </c>
      <c r="H2550" s="15" t="s">
        <v>45</v>
      </c>
      <c r="I2550">
        <v>70</v>
      </c>
      <c r="J2550">
        <v>110</v>
      </c>
      <c r="K2550">
        <v>70</v>
      </c>
      <c r="L2550">
        <v>180</v>
      </c>
      <c r="M2550">
        <v>80</v>
      </c>
      <c r="N2550">
        <v>415</v>
      </c>
      <c r="O2550">
        <v>108</v>
      </c>
      <c r="P2550">
        <v>26</v>
      </c>
      <c r="Q2550">
        <v>80</v>
      </c>
      <c r="R2550">
        <v>200</v>
      </c>
      <c r="S2550">
        <v>1.1111111111111112</v>
      </c>
      <c r="T2550">
        <v>1.1428571428571428</v>
      </c>
      <c r="U2550">
        <v>1.1428571428571428</v>
      </c>
    </row>
    <row r="2551" spans="1:21" x14ac:dyDescent="0.35">
      <c r="A2551">
        <v>904</v>
      </c>
      <c r="B2551" s="16">
        <v>40603</v>
      </c>
      <c r="C2551" s="15" t="s">
        <v>63</v>
      </c>
      <c r="D2551" s="15" t="s">
        <v>38</v>
      </c>
      <c r="E2551" s="15" t="s">
        <v>43</v>
      </c>
      <c r="F2551" s="15" t="s">
        <v>40</v>
      </c>
      <c r="G2551" s="15" t="s">
        <v>65</v>
      </c>
      <c r="H2551" s="15" t="s">
        <v>42</v>
      </c>
      <c r="I2551">
        <v>80</v>
      </c>
      <c r="J2551">
        <v>110</v>
      </c>
      <c r="K2551">
        <v>70</v>
      </c>
      <c r="L2551">
        <v>190</v>
      </c>
      <c r="M2551">
        <v>84</v>
      </c>
      <c r="N2551">
        <v>632</v>
      </c>
      <c r="O2551">
        <v>126</v>
      </c>
      <c r="P2551">
        <v>27</v>
      </c>
      <c r="Q2551">
        <v>99</v>
      </c>
      <c r="R2551">
        <v>224</v>
      </c>
      <c r="S2551">
        <v>1.1789473684210525</v>
      </c>
      <c r="T2551">
        <v>1.4142857142857144</v>
      </c>
      <c r="U2551">
        <v>1.05</v>
      </c>
    </row>
    <row r="2552" spans="1:21" x14ac:dyDescent="0.35">
      <c r="A2552">
        <v>781</v>
      </c>
      <c r="B2552" s="16">
        <v>40603</v>
      </c>
      <c r="C2552" s="15" t="s">
        <v>63</v>
      </c>
      <c r="D2552" s="15" t="s">
        <v>38</v>
      </c>
      <c r="E2552" s="15" t="s">
        <v>53</v>
      </c>
      <c r="F2552" s="15" t="s">
        <v>52</v>
      </c>
      <c r="G2552" s="15" t="s">
        <v>66</v>
      </c>
      <c r="H2552" s="15" t="s">
        <v>45</v>
      </c>
      <c r="I2552">
        <v>40</v>
      </c>
      <c r="J2552">
        <v>60</v>
      </c>
      <c r="K2552">
        <v>30</v>
      </c>
      <c r="L2552">
        <v>100</v>
      </c>
      <c r="M2552">
        <v>58</v>
      </c>
      <c r="N2552">
        <v>325</v>
      </c>
      <c r="O2552">
        <v>71</v>
      </c>
      <c r="P2552">
        <v>22</v>
      </c>
      <c r="Q2552">
        <v>24</v>
      </c>
      <c r="R2552">
        <v>137</v>
      </c>
      <c r="S2552">
        <v>1.37</v>
      </c>
      <c r="T2552">
        <v>0.8</v>
      </c>
      <c r="U2552">
        <v>1.45</v>
      </c>
    </row>
    <row r="2553" spans="1:21" x14ac:dyDescent="0.35">
      <c r="A2553">
        <v>413</v>
      </c>
      <c r="B2553" s="16">
        <v>40603</v>
      </c>
      <c r="C2553" s="15" t="s">
        <v>63</v>
      </c>
      <c r="D2553" s="15" t="s">
        <v>38</v>
      </c>
      <c r="E2553" s="15" t="s">
        <v>55</v>
      </c>
      <c r="F2553" s="15" t="s">
        <v>47</v>
      </c>
      <c r="G2553" s="15" t="s">
        <v>66</v>
      </c>
      <c r="H2553" s="15" t="s">
        <v>42</v>
      </c>
      <c r="I2553">
        <v>30</v>
      </c>
      <c r="J2553">
        <v>50</v>
      </c>
      <c r="K2553">
        <v>40</v>
      </c>
      <c r="L2553">
        <v>80</v>
      </c>
      <c r="M2553">
        <v>32</v>
      </c>
      <c r="N2553">
        <v>813</v>
      </c>
      <c r="O2553">
        <v>47</v>
      </c>
      <c r="P2553">
        <v>8</v>
      </c>
      <c r="Q2553">
        <v>42</v>
      </c>
      <c r="R2553">
        <v>84</v>
      </c>
      <c r="S2553">
        <v>1.05</v>
      </c>
      <c r="T2553">
        <v>1.05</v>
      </c>
      <c r="U2553">
        <v>1.0666666666666667</v>
      </c>
    </row>
    <row r="2554" spans="1:21" x14ac:dyDescent="0.35">
      <c r="A2554">
        <v>781</v>
      </c>
      <c r="B2554" s="16">
        <v>40603</v>
      </c>
      <c r="C2554" s="15" t="s">
        <v>63</v>
      </c>
      <c r="D2554" s="15" t="s">
        <v>38</v>
      </c>
      <c r="E2554" s="15" t="s">
        <v>46</v>
      </c>
      <c r="F2554" s="15" t="s">
        <v>47</v>
      </c>
      <c r="G2554" s="15" t="s">
        <v>66</v>
      </c>
      <c r="H2554" s="15" t="s">
        <v>42</v>
      </c>
      <c r="I2554">
        <v>20</v>
      </c>
      <c r="J2554">
        <v>30</v>
      </c>
      <c r="K2554">
        <v>20</v>
      </c>
      <c r="L2554">
        <v>50</v>
      </c>
      <c r="M2554">
        <v>21</v>
      </c>
      <c r="N2554">
        <v>449</v>
      </c>
      <c r="O2554">
        <v>32</v>
      </c>
      <c r="P2554">
        <v>5</v>
      </c>
      <c r="Q2554">
        <v>22</v>
      </c>
      <c r="R2554">
        <v>56</v>
      </c>
      <c r="S2554">
        <v>1.1200000000000001</v>
      </c>
      <c r="T2554">
        <v>1.1000000000000001</v>
      </c>
      <c r="U2554">
        <v>1.05</v>
      </c>
    </row>
    <row r="2555" spans="1:21" x14ac:dyDescent="0.35">
      <c r="A2555">
        <v>774</v>
      </c>
      <c r="B2555" s="16">
        <v>40603</v>
      </c>
      <c r="C2555" s="15" t="s">
        <v>63</v>
      </c>
      <c r="D2555" s="15" t="s">
        <v>38</v>
      </c>
      <c r="E2555" s="15" t="s">
        <v>48</v>
      </c>
      <c r="F2555" s="15" t="s">
        <v>49</v>
      </c>
      <c r="G2555" s="15" t="s">
        <v>66</v>
      </c>
      <c r="H2555" s="15" t="s">
        <v>42</v>
      </c>
      <c r="I2555">
        <v>40</v>
      </c>
      <c r="J2555">
        <v>80</v>
      </c>
      <c r="K2555">
        <v>20</v>
      </c>
      <c r="L2555">
        <v>120</v>
      </c>
      <c r="M2555">
        <v>52</v>
      </c>
      <c r="N2555">
        <v>446</v>
      </c>
      <c r="O2555">
        <v>73</v>
      </c>
      <c r="P2555">
        <v>47</v>
      </c>
      <c r="Q2555">
        <v>-6</v>
      </c>
      <c r="R2555">
        <v>133</v>
      </c>
      <c r="S2555">
        <v>1.1083333333333334</v>
      </c>
      <c r="T2555">
        <v>-0.3</v>
      </c>
      <c r="U2555">
        <v>1.3</v>
      </c>
    </row>
    <row r="2556" spans="1:21" x14ac:dyDescent="0.35">
      <c r="A2556">
        <v>774</v>
      </c>
      <c r="B2556" s="16">
        <v>40603</v>
      </c>
      <c r="C2556" s="15" t="s">
        <v>63</v>
      </c>
      <c r="D2556" s="15" t="s">
        <v>38</v>
      </c>
      <c r="E2556" s="15" t="s">
        <v>67</v>
      </c>
      <c r="F2556" s="15" t="s">
        <v>49</v>
      </c>
      <c r="G2556" s="15" t="s">
        <v>66</v>
      </c>
      <c r="H2556" s="15" t="s">
        <v>42</v>
      </c>
      <c r="I2556">
        <v>150</v>
      </c>
      <c r="J2556">
        <v>160</v>
      </c>
      <c r="K2556">
        <v>100</v>
      </c>
      <c r="L2556">
        <v>310</v>
      </c>
      <c r="M2556">
        <v>162</v>
      </c>
      <c r="N2556">
        <v>1059</v>
      </c>
      <c r="O2556">
        <v>163</v>
      </c>
      <c r="P2556">
        <v>45</v>
      </c>
      <c r="Q2556">
        <v>140</v>
      </c>
      <c r="R2556">
        <v>346</v>
      </c>
      <c r="S2556">
        <v>1.1161290322580646</v>
      </c>
      <c r="T2556">
        <v>1.4</v>
      </c>
      <c r="U2556">
        <v>1.08</v>
      </c>
    </row>
    <row r="2557" spans="1:21" x14ac:dyDescent="0.35">
      <c r="A2557">
        <v>774</v>
      </c>
      <c r="B2557" s="16">
        <v>40603</v>
      </c>
      <c r="C2557" s="15" t="s">
        <v>63</v>
      </c>
      <c r="D2557" s="15" t="s">
        <v>38</v>
      </c>
      <c r="E2557" s="15" t="s">
        <v>43</v>
      </c>
      <c r="F2557" s="15" t="s">
        <v>40</v>
      </c>
      <c r="G2557" s="15" t="s">
        <v>66</v>
      </c>
      <c r="H2557" s="15" t="s">
        <v>42</v>
      </c>
      <c r="I2557">
        <v>60</v>
      </c>
      <c r="J2557">
        <v>400</v>
      </c>
      <c r="K2557">
        <v>360</v>
      </c>
      <c r="L2557">
        <v>460</v>
      </c>
      <c r="M2557">
        <v>72</v>
      </c>
      <c r="N2557">
        <v>-54</v>
      </c>
      <c r="O2557">
        <v>420</v>
      </c>
      <c r="P2557">
        <v>23</v>
      </c>
      <c r="Q2557">
        <v>543</v>
      </c>
      <c r="R2557">
        <v>524</v>
      </c>
      <c r="S2557">
        <v>1.1391304347826088</v>
      </c>
      <c r="T2557">
        <v>1.5083333333333333</v>
      </c>
      <c r="U2557">
        <v>1.2</v>
      </c>
    </row>
    <row r="2558" spans="1:21" x14ac:dyDescent="0.35">
      <c r="A2558">
        <v>603</v>
      </c>
      <c r="B2558" s="16">
        <v>40603</v>
      </c>
      <c r="C2558" s="15" t="s">
        <v>63</v>
      </c>
      <c r="D2558" s="15" t="s">
        <v>58</v>
      </c>
      <c r="E2558" s="15" t="s">
        <v>53</v>
      </c>
      <c r="F2558" s="15" t="s">
        <v>52</v>
      </c>
      <c r="G2558" s="15" t="s">
        <v>68</v>
      </c>
      <c r="H2558" s="15" t="s">
        <v>45</v>
      </c>
      <c r="I2558">
        <v>20</v>
      </c>
      <c r="J2558">
        <v>30</v>
      </c>
      <c r="K2558">
        <v>0</v>
      </c>
      <c r="L2558">
        <v>50</v>
      </c>
      <c r="M2558">
        <v>33</v>
      </c>
      <c r="N2558">
        <v>190</v>
      </c>
      <c r="O2558">
        <v>42</v>
      </c>
      <c r="P2558">
        <v>12</v>
      </c>
      <c r="Q2558">
        <v>-4</v>
      </c>
      <c r="R2558">
        <v>80</v>
      </c>
      <c r="S2558">
        <v>1.6</v>
      </c>
      <c r="U2558">
        <v>1.65</v>
      </c>
    </row>
    <row r="2559" spans="1:21" x14ac:dyDescent="0.35">
      <c r="A2559">
        <v>603</v>
      </c>
      <c r="B2559" s="16">
        <v>40603</v>
      </c>
      <c r="C2559" s="15" t="s">
        <v>63</v>
      </c>
      <c r="D2559" s="15" t="s">
        <v>58</v>
      </c>
      <c r="E2559" s="15" t="s">
        <v>55</v>
      </c>
      <c r="F2559" s="15" t="s">
        <v>47</v>
      </c>
      <c r="G2559" s="15" t="s">
        <v>68</v>
      </c>
      <c r="H2559" s="15" t="s">
        <v>42</v>
      </c>
      <c r="I2559">
        <v>10</v>
      </c>
      <c r="J2559">
        <v>30</v>
      </c>
      <c r="K2559">
        <v>20</v>
      </c>
      <c r="L2559">
        <v>40</v>
      </c>
      <c r="M2559">
        <v>18</v>
      </c>
      <c r="N2559">
        <v>816</v>
      </c>
      <c r="O2559">
        <v>27</v>
      </c>
      <c r="P2559">
        <v>5</v>
      </c>
      <c r="Q2559">
        <v>16</v>
      </c>
      <c r="R2559">
        <v>48</v>
      </c>
      <c r="S2559">
        <v>1.2</v>
      </c>
      <c r="T2559">
        <v>0.8</v>
      </c>
      <c r="U2559">
        <v>1.8</v>
      </c>
    </row>
    <row r="2560" spans="1:21" x14ac:dyDescent="0.35">
      <c r="A2560">
        <v>603</v>
      </c>
      <c r="B2560" s="16">
        <v>40603</v>
      </c>
      <c r="C2560" s="15" t="s">
        <v>63</v>
      </c>
      <c r="D2560" s="15" t="s">
        <v>58</v>
      </c>
      <c r="E2560" s="15" t="s">
        <v>46</v>
      </c>
      <c r="F2560" s="15" t="s">
        <v>47</v>
      </c>
      <c r="G2560" s="15" t="s">
        <v>68</v>
      </c>
      <c r="H2560" s="15" t="s">
        <v>42</v>
      </c>
      <c r="I2560">
        <v>0</v>
      </c>
      <c r="J2560">
        <v>40</v>
      </c>
      <c r="K2560">
        <v>30</v>
      </c>
      <c r="L2560">
        <v>40</v>
      </c>
      <c r="M2560">
        <v>0</v>
      </c>
      <c r="N2560">
        <v>731</v>
      </c>
      <c r="O2560">
        <v>43</v>
      </c>
      <c r="P2560">
        <v>0</v>
      </c>
      <c r="Q2560">
        <v>47</v>
      </c>
      <c r="R2560">
        <v>46</v>
      </c>
      <c r="S2560">
        <v>1.1499999999999999</v>
      </c>
      <c r="T2560">
        <v>1.5666666666666667</v>
      </c>
    </row>
    <row r="2561" spans="1:21" x14ac:dyDescent="0.35">
      <c r="A2561">
        <v>603</v>
      </c>
      <c r="B2561" s="16">
        <v>40603</v>
      </c>
      <c r="C2561" s="15" t="s">
        <v>63</v>
      </c>
      <c r="D2561" s="15" t="s">
        <v>58</v>
      </c>
      <c r="E2561" s="15" t="s">
        <v>48</v>
      </c>
      <c r="F2561" s="15" t="s">
        <v>49</v>
      </c>
      <c r="G2561" s="15" t="s">
        <v>68</v>
      </c>
      <c r="H2561" s="15" t="s">
        <v>42</v>
      </c>
      <c r="I2561">
        <v>40</v>
      </c>
      <c r="J2561">
        <v>60</v>
      </c>
      <c r="K2561">
        <v>10</v>
      </c>
      <c r="L2561">
        <v>100</v>
      </c>
      <c r="M2561">
        <v>44</v>
      </c>
      <c r="N2561">
        <v>251</v>
      </c>
      <c r="O2561">
        <v>63</v>
      </c>
      <c r="P2561">
        <v>40</v>
      </c>
      <c r="Q2561">
        <v>-10</v>
      </c>
      <c r="R2561">
        <v>114</v>
      </c>
      <c r="S2561">
        <v>1.1399999999999999</v>
      </c>
      <c r="T2561">
        <v>-1</v>
      </c>
      <c r="U2561">
        <v>1.1000000000000001</v>
      </c>
    </row>
    <row r="2562" spans="1:21" x14ac:dyDescent="0.35">
      <c r="A2562">
        <v>603</v>
      </c>
      <c r="B2562" s="16">
        <v>40603</v>
      </c>
      <c r="C2562" s="15" t="s">
        <v>63</v>
      </c>
      <c r="D2562" s="15" t="s">
        <v>58</v>
      </c>
      <c r="E2562" s="15" t="s">
        <v>67</v>
      </c>
      <c r="F2562" s="15" t="s">
        <v>49</v>
      </c>
      <c r="G2562" s="15" t="s">
        <v>68</v>
      </c>
      <c r="H2562" s="15" t="s">
        <v>42</v>
      </c>
      <c r="I2562">
        <v>30</v>
      </c>
      <c r="J2562">
        <v>40</v>
      </c>
      <c r="K2562">
        <v>0</v>
      </c>
      <c r="L2562">
        <v>70</v>
      </c>
      <c r="M2562">
        <v>33</v>
      </c>
      <c r="N2562">
        <v>162</v>
      </c>
      <c r="O2562">
        <v>42</v>
      </c>
      <c r="P2562">
        <v>12</v>
      </c>
      <c r="Q2562">
        <v>-6</v>
      </c>
      <c r="R2562">
        <v>80</v>
      </c>
      <c r="S2562">
        <v>1.1428571428571428</v>
      </c>
      <c r="U2562">
        <v>1.1000000000000001</v>
      </c>
    </row>
    <row r="2563" spans="1:21" x14ac:dyDescent="0.35">
      <c r="A2563">
        <v>603</v>
      </c>
      <c r="B2563" s="16">
        <v>40603</v>
      </c>
      <c r="C2563" s="15" t="s">
        <v>63</v>
      </c>
      <c r="D2563" s="15" t="s">
        <v>58</v>
      </c>
      <c r="E2563" s="15" t="s">
        <v>39</v>
      </c>
      <c r="F2563" s="15" t="s">
        <v>40</v>
      </c>
      <c r="G2563" s="15" t="s">
        <v>68</v>
      </c>
      <c r="H2563" s="15" t="s">
        <v>42</v>
      </c>
      <c r="I2563">
        <v>40</v>
      </c>
      <c r="J2563">
        <v>60</v>
      </c>
      <c r="K2563">
        <v>40</v>
      </c>
      <c r="L2563">
        <v>100</v>
      </c>
      <c r="M2563">
        <v>43</v>
      </c>
      <c r="N2563">
        <v>231</v>
      </c>
      <c r="O2563">
        <v>64</v>
      </c>
      <c r="P2563">
        <v>13</v>
      </c>
      <c r="Q2563">
        <v>43</v>
      </c>
      <c r="R2563">
        <v>114</v>
      </c>
      <c r="S2563">
        <v>1.1399999999999999</v>
      </c>
      <c r="T2563">
        <v>1.075</v>
      </c>
      <c r="U2563">
        <v>1.075</v>
      </c>
    </row>
    <row r="2564" spans="1:21" x14ac:dyDescent="0.35">
      <c r="A2564">
        <v>603</v>
      </c>
      <c r="B2564" s="16">
        <v>40603</v>
      </c>
      <c r="C2564" s="15" t="s">
        <v>63</v>
      </c>
      <c r="D2564" s="15" t="s">
        <v>58</v>
      </c>
      <c r="E2564" s="15" t="s">
        <v>43</v>
      </c>
      <c r="F2564" s="15" t="s">
        <v>40</v>
      </c>
      <c r="G2564" s="15" t="s">
        <v>68</v>
      </c>
      <c r="H2564" s="15" t="s">
        <v>42</v>
      </c>
      <c r="I2564">
        <v>40</v>
      </c>
      <c r="J2564">
        <v>70</v>
      </c>
      <c r="K2564">
        <v>40</v>
      </c>
      <c r="L2564">
        <v>110</v>
      </c>
      <c r="M2564">
        <v>47</v>
      </c>
      <c r="N2564">
        <v>361</v>
      </c>
      <c r="O2564">
        <v>72</v>
      </c>
      <c r="P2564">
        <v>15</v>
      </c>
      <c r="Q2564">
        <v>39</v>
      </c>
      <c r="R2564">
        <v>127</v>
      </c>
      <c r="S2564">
        <v>1.1545454545454545</v>
      </c>
      <c r="T2564">
        <v>0.97499999999999998</v>
      </c>
      <c r="U2564">
        <v>1.175</v>
      </c>
    </row>
    <row r="2565" spans="1:21" x14ac:dyDescent="0.35">
      <c r="A2565">
        <v>718</v>
      </c>
      <c r="B2565" s="16">
        <v>40603</v>
      </c>
      <c r="C2565" s="15" t="s">
        <v>63</v>
      </c>
      <c r="D2565" s="15" t="s">
        <v>38</v>
      </c>
      <c r="E2565" s="15" t="s">
        <v>53</v>
      </c>
      <c r="F2565" s="15" t="s">
        <v>52</v>
      </c>
      <c r="G2565" s="15" t="s">
        <v>69</v>
      </c>
      <c r="H2565" s="15" t="s">
        <v>45</v>
      </c>
      <c r="I2565">
        <v>180</v>
      </c>
      <c r="J2565">
        <v>220</v>
      </c>
      <c r="K2565">
        <v>130</v>
      </c>
      <c r="L2565">
        <v>400</v>
      </c>
      <c r="M2565">
        <v>245</v>
      </c>
      <c r="N2565">
        <v>1471</v>
      </c>
      <c r="O2565">
        <v>268</v>
      </c>
      <c r="P2565">
        <v>93</v>
      </c>
      <c r="Q2565">
        <v>209</v>
      </c>
      <c r="R2565">
        <v>547</v>
      </c>
      <c r="S2565">
        <v>1.3674999999999999</v>
      </c>
      <c r="T2565">
        <v>1.6076923076923078</v>
      </c>
      <c r="U2565">
        <v>1.3611111111111112</v>
      </c>
    </row>
    <row r="2566" spans="1:21" x14ac:dyDescent="0.35">
      <c r="A2566">
        <v>347</v>
      </c>
      <c r="B2566" s="16">
        <v>40603</v>
      </c>
      <c r="C2566" s="15" t="s">
        <v>63</v>
      </c>
      <c r="D2566" s="15" t="s">
        <v>38</v>
      </c>
      <c r="E2566" s="15" t="s">
        <v>54</v>
      </c>
      <c r="F2566" s="15" t="s">
        <v>52</v>
      </c>
      <c r="G2566" s="15" t="s">
        <v>69</v>
      </c>
      <c r="H2566" s="15" t="s">
        <v>45</v>
      </c>
      <c r="I2566">
        <v>160</v>
      </c>
      <c r="J2566">
        <v>-20</v>
      </c>
      <c r="K2566">
        <v>-80</v>
      </c>
      <c r="L2566">
        <v>140</v>
      </c>
      <c r="M2566">
        <v>214</v>
      </c>
      <c r="N2566">
        <v>1480</v>
      </c>
      <c r="O2566">
        <v>-32</v>
      </c>
      <c r="P2566">
        <v>66</v>
      </c>
      <c r="Q2566">
        <v>-177</v>
      </c>
      <c r="R2566">
        <v>194</v>
      </c>
      <c r="S2566">
        <v>1.3857142857142857</v>
      </c>
      <c r="T2566">
        <v>2.2124999999999999</v>
      </c>
      <c r="U2566">
        <v>1.3374999999999999</v>
      </c>
    </row>
    <row r="2567" spans="1:21" x14ac:dyDescent="0.35">
      <c r="A2567">
        <v>347</v>
      </c>
      <c r="B2567" s="16">
        <v>40603</v>
      </c>
      <c r="C2567" s="15" t="s">
        <v>63</v>
      </c>
      <c r="D2567" s="15" t="s">
        <v>38</v>
      </c>
      <c r="E2567" s="15" t="s">
        <v>55</v>
      </c>
      <c r="F2567" s="15" t="s">
        <v>47</v>
      </c>
      <c r="G2567" s="15" t="s">
        <v>69</v>
      </c>
      <c r="H2567" s="15" t="s">
        <v>42</v>
      </c>
      <c r="I2567">
        <v>100</v>
      </c>
      <c r="J2567">
        <v>150</v>
      </c>
      <c r="K2567">
        <v>120</v>
      </c>
      <c r="L2567">
        <v>250</v>
      </c>
      <c r="M2567">
        <v>95</v>
      </c>
      <c r="N2567">
        <v>799</v>
      </c>
      <c r="O2567">
        <v>139</v>
      </c>
      <c r="P2567">
        <v>26</v>
      </c>
      <c r="Q2567">
        <v>151</v>
      </c>
      <c r="R2567">
        <v>249</v>
      </c>
      <c r="S2567">
        <v>0.996</v>
      </c>
      <c r="T2567">
        <v>1.2583333333333333</v>
      </c>
      <c r="U2567">
        <v>0.95</v>
      </c>
    </row>
    <row r="2568" spans="1:21" x14ac:dyDescent="0.35">
      <c r="A2568">
        <v>585</v>
      </c>
      <c r="B2568" s="16">
        <v>40603</v>
      </c>
      <c r="C2568" s="15" t="s">
        <v>63</v>
      </c>
      <c r="D2568" s="15" t="s">
        <v>38</v>
      </c>
      <c r="E2568" s="15" t="s">
        <v>56</v>
      </c>
      <c r="F2568" s="15" t="s">
        <v>47</v>
      </c>
      <c r="G2568" s="15" t="s">
        <v>69</v>
      </c>
      <c r="H2568" s="15" t="s">
        <v>42</v>
      </c>
      <c r="I2568">
        <v>90</v>
      </c>
      <c r="J2568">
        <v>140</v>
      </c>
      <c r="K2568">
        <v>110</v>
      </c>
      <c r="L2568">
        <v>230</v>
      </c>
      <c r="M2568">
        <v>87</v>
      </c>
      <c r="N2568">
        <v>756</v>
      </c>
      <c r="O2568">
        <v>126</v>
      </c>
      <c r="P2568">
        <v>24</v>
      </c>
      <c r="Q2568">
        <v>135</v>
      </c>
      <c r="R2568">
        <v>227</v>
      </c>
      <c r="S2568">
        <v>0.9869565217391304</v>
      </c>
      <c r="T2568">
        <v>1.2272727272727273</v>
      </c>
      <c r="U2568">
        <v>0.96666666666666667</v>
      </c>
    </row>
    <row r="2569" spans="1:21" x14ac:dyDescent="0.35">
      <c r="A2569">
        <v>646</v>
      </c>
      <c r="B2569" s="16">
        <v>40603</v>
      </c>
      <c r="C2569" s="15" t="s">
        <v>63</v>
      </c>
      <c r="D2569" s="15" t="s">
        <v>38</v>
      </c>
      <c r="E2569" s="15" t="s">
        <v>46</v>
      </c>
      <c r="F2569" s="15" t="s">
        <v>47</v>
      </c>
      <c r="G2569" s="15" t="s">
        <v>69</v>
      </c>
      <c r="H2569" s="15" t="s">
        <v>42</v>
      </c>
      <c r="I2569">
        <v>80</v>
      </c>
      <c r="J2569">
        <v>130</v>
      </c>
      <c r="K2569">
        <v>100</v>
      </c>
      <c r="L2569">
        <v>210</v>
      </c>
      <c r="M2569">
        <v>81</v>
      </c>
      <c r="N2569">
        <v>441</v>
      </c>
      <c r="O2569">
        <v>117</v>
      </c>
      <c r="P2569">
        <v>22</v>
      </c>
      <c r="Q2569">
        <v>123</v>
      </c>
      <c r="R2569">
        <v>211</v>
      </c>
      <c r="S2569">
        <v>1.0047619047619047</v>
      </c>
      <c r="T2569">
        <v>1.23</v>
      </c>
      <c r="U2569">
        <v>1.0125</v>
      </c>
    </row>
    <row r="2570" spans="1:21" x14ac:dyDescent="0.35">
      <c r="A2570">
        <v>845</v>
      </c>
      <c r="B2570" s="16">
        <v>40603</v>
      </c>
      <c r="C2570" s="15" t="s">
        <v>63</v>
      </c>
      <c r="D2570" s="15" t="s">
        <v>38</v>
      </c>
      <c r="E2570" s="15" t="s">
        <v>48</v>
      </c>
      <c r="F2570" s="15" t="s">
        <v>49</v>
      </c>
      <c r="G2570" s="15" t="s">
        <v>69</v>
      </c>
      <c r="H2570" s="15" t="s">
        <v>42</v>
      </c>
      <c r="I2570">
        <v>120</v>
      </c>
      <c r="J2570">
        <v>-60</v>
      </c>
      <c r="K2570">
        <v>-190</v>
      </c>
      <c r="L2570">
        <v>60</v>
      </c>
      <c r="M2570">
        <v>125</v>
      </c>
      <c r="N2570">
        <v>1118</v>
      </c>
      <c r="O2570">
        <v>-62</v>
      </c>
      <c r="P2570">
        <v>113</v>
      </c>
      <c r="Q2570">
        <v>-309</v>
      </c>
      <c r="R2570">
        <v>67</v>
      </c>
      <c r="S2570">
        <v>1.1166666666666667</v>
      </c>
      <c r="T2570">
        <v>1.6263157894736842</v>
      </c>
      <c r="U2570">
        <v>1.0416666666666667</v>
      </c>
    </row>
    <row r="2571" spans="1:21" x14ac:dyDescent="0.35">
      <c r="A2571">
        <v>347</v>
      </c>
      <c r="B2571" s="16">
        <v>40603</v>
      </c>
      <c r="C2571" s="15" t="s">
        <v>63</v>
      </c>
      <c r="D2571" s="15" t="s">
        <v>38</v>
      </c>
      <c r="E2571" s="15" t="s">
        <v>67</v>
      </c>
      <c r="F2571" s="15" t="s">
        <v>49</v>
      </c>
      <c r="G2571" s="15" t="s">
        <v>69</v>
      </c>
      <c r="H2571" s="15" t="s">
        <v>42</v>
      </c>
      <c r="I2571">
        <v>220</v>
      </c>
      <c r="J2571">
        <v>290</v>
      </c>
      <c r="K2571">
        <v>210</v>
      </c>
      <c r="L2571">
        <v>510</v>
      </c>
      <c r="M2571">
        <v>239</v>
      </c>
      <c r="N2571">
        <v>1260</v>
      </c>
      <c r="O2571">
        <v>284</v>
      </c>
      <c r="P2571">
        <v>66</v>
      </c>
      <c r="Q2571">
        <v>288</v>
      </c>
      <c r="R2571">
        <v>557</v>
      </c>
      <c r="S2571">
        <v>1.0921568627450979</v>
      </c>
      <c r="T2571">
        <v>1.3714285714285714</v>
      </c>
      <c r="U2571">
        <v>1.0863636363636364</v>
      </c>
    </row>
    <row r="2572" spans="1:21" x14ac:dyDescent="0.35">
      <c r="A2572">
        <v>718</v>
      </c>
      <c r="B2572" s="16">
        <v>40603</v>
      </c>
      <c r="C2572" s="15" t="s">
        <v>63</v>
      </c>
      <c r="D2572" s="15" t="s">
        <v>38</v>
      </c>
      <c r="E2572" s="15" t="s">
        <v>43</v>
      </c>
      <c r="F2572" s="15" t="s">
        <v>40</v>
      </c>
      <c r="G2572" s="15" t="s">
        <v>69</v>
      </c>
      <c r="H2572" s="15" t="s">
        <v>42</v>
      </c>
      <c r="I2572">
        <v>250</v>
      </c>
      <c r="J2572">
        <v>390</v>
      </c>
      <c r="K2572">
        <v>270</v>
      </c>
      <c r="L2572">
        <v>640</v>
      </c>
      <c r="M2572">
        <v>270</v>
      </c>
      <c r="N2572">
        <v>2041</v>
      </c>
      <c r="O2572">
        <v>405</v>
      </c>
      <c r="P2572">
        <v>94</v>
      </c>
      <c r="Q2572">
        <v>384</v>
      </c>
      <c r="R2572">
        <v>719</v>
      </c>
      <c r="S2572">
        <v>1.1234375000000001</v>
      </c>
      <c r="T2572">
        <v>1.4222222222222223</v>
      </c>
      <c r="U2572">
        <v>1.08</v>
      </c>
    </row>
    <row r="2573" spans="1:21" x14ac:dyDescent="0.35">
      <c r="A2573">
        <v>318</v>
      </c>
      <c r="B2573" s="16">
        <v>40603</v>
      </c>
      <c r="C2573" s="15" t="s">
        <v>70</v>
      </c>
      <c r="D2573" s="15" t="s">
        <v>58</v>
      </c>
      <c r="E2573" s="15" t="s">
        <v>51</v>
      </c>
      <c r="F2573" s="15" t="s">
        <v>52</v>
      </c>
      <c r="G2573" s="15" t="s">
        <v>71</v>
      </c>
      <c r="H2573" s="15" t="s">
        <v>45</v>
      </c>
      <c r="I2573">
        <v>40</v>
      </c>
      <c r="J2573">
        <v>60</v>
      </c>
      <c r="K2573">
        <v>40</v>
      </c>
      <c r="L2573">
        <v>100</v>
      </c>
      <c r="M2573">
        <v>48</v>
      </c>
      <c r="N2573">
        <v>611</v>
      </c>
      <c r="O2573">
        <v>62</v>
      </c>
      <c r="P2573">
        <v>15</v>
      </c>
      <c r="Q2573">
        <v>50</v>
      </c>
      <c r="R2573">
        <v>117</v>
      </c>
      <c r="S2573">
        <v>1.17</v>
      </c>
      <c r="T2573">
        <v>1.25</v>
      </c>
      <c r="U2573">
        <v>1.2</v>
      </c>
    </row>
    <row r="2574" spans="1:21" x14ac:dyDescent="0.35">
      <c r="A2574">
        <v>504</v>
      </c>
      <c r="B2574" s="16">
        <v>40603</v>
      </c>
      <c r="C2574" s="15" t="s">
        <v>70</v>
      </c>
      <c r="D2574" s="15" t="s">
        <v>58</v>
      </c>
      <c r="E2574" s="15" t="s">
        <v>53</v>
      </c>
      <c r="F2574" s="15" t="s">
        <v>52</v>
      </c>
      <c r="G2574" s="15" t="s">
        <v>71</v>
      </c>
      <c r="H2574" s="15" t="s">
        <v>45</v>
      </c>
      <c r="I2574">
        <v>80</v>
      </c>
      <c r="J2574">
        <v>100</v>
      </c>
      <c r="K2574">
        <v>40</v>
      </c>
      <c r="L2574">
        <v>180</v>
      </c>
      <c r="M2574">
        <v>85</v>
      </c>
      <c r="N2574">
        <v>476</v>
      </c>
      <c r="O2574">
        <v>104</v>
      </c>
      <c r="P2574">
        <v>32</v>
      </c>
      <c r="Q2574">
        <v>58</v>
      </c>
      <c r="R2574">
        <v>201</v>
      </c>
      <c r="S2574">
        <v>1.1166666666666667</v>
      </c>
      <c r="T2574">
        <v>1.45</v>
      </c>
      <c r="U2574">
        <v>1.0625</v>
      </c>
    </row>
    <row r="2575" spans="1:21" x14ac:dyDescent="0.35">
      <c r="A2575">
        <v>337</v>
      </c>
      <c r="B2575" s="16">
        <v>40603</v>
      </c>
      <c r="C2575" s="15" t="s">
        <v>70</v>
      </c>
      <c r="D2575" s="15" t="s">
        <v>58</v>
      </c>
      <c r="E2575" s="15" t="s">
        <v>43</v>
      </c>
      <c r="F2575" s="15" t="s">
        <v>40</v>
      </c>
      <c r="G2575" s="15" t="s">
        <v>71</v>
      </c>
      <c r="H2575" s="15" t="s">
        <v>42</v>
      </c>
      <c r="I2575">
        <v>40</v>
      </c>
      <c r="J2575">
        <v>60</v>
      </c>
      <c r="K2575">
        <v>50</v>
      </c>
      <c r="L2575">
        <v>100</v>
      </c>
      <c r="M2575">
        <v>33</v>
      </c>
      <c r="N2575">
        <v>768</v>
      </c>
      <c r="O2575">
        <v>49</v>
      </c>
      <c r="P2575">
        <v>9</v>
      </c>
      <c r="Q2575">
        <v>43</v>
      </c>
      <c r="R2575">
        <v>87</v>
      </c>
      <c r="S2575">
        <v>0.87</v>
      </c>
      <c r="T2575">
        <v>0.86</v>
      </c>
      <c r="U2575">
        <v>0.82499999999999996</v>
      </c>
    </row>
    <row r="2576" spans="1:21" x14ac:dyDescent="0.35">
      <c r="A2576">
        <v>985</v>
      </c>
      <c r="B2576" s="16">
        <v>40603</v>
      </c>
      <c r="C2576" s="15" t="s">
        <v>70</v>
      </c>
      <c r="D2576" s="15" t="s">
        <v>58</v>
      </c>
      <c r="E2576" s="15" t="s">
        <v>44</v>
      </c>
      <c r="F2576" s="15" t="s">
        <v>40</v>
      </c>
      <c r="G2576" s="15" t="s">
        <v>71</v>
      </c>
      <c r="H2576" s="15" t="s">
        <v>45</v>
      </c>
      <c r="I2576">
        <v>60</v>
      </c>
      <c r="J2576">
        <v>90</v>
      </c>
      <c r="K2576">
        <v>70</v>
      </c>
      <c r="L2576">
        <v>150</v>
      </c>
      <c r="M2576">
        <v>49</v>
      </c>
      <c r="N2576">
        <v>767</v>
      </c>
      <c r="O2576">
        <v>72</v>
      </c>
      <c r="P2576">
        <v>13</v>
      </c>
      <c r="Q2576">
        <v>70</v>
      </c>
      <c r="R2576">
        <v>129</v>
      </c>
      <c r="S2576">
        <v>0.86</v>
      </c>
      <c r="T2576">
        <v>1</v>
      </c>
      <c r="U2576">
        <v>0.81666666666666665</v>
      </c>
    </row>
    <row r="2577" spans="1:21" x14ac:dyDescent="0.35">
      <c r="A2577">
        <v>225</v>
      </c>
      <c r="B2577" s="16">
        <v>40603</v>
      </c>
      <c r="C2577" s="15" t="s">
        <v>70</v>
      </c>
      <c r="D2577" s="15" t="s">
        <v>58</v>
      </c>
      <c r="E2577" s="15" t="s">
        <v>72</v>
      </c>
      <c r="F2577" s="15" t="s">
        <v>49</v>
      </c>
      <c r="G2577" s="15" t="s">
        <v>71</v>
      </c>
      <c r="H2577" s="15" t="s">
        <v>42</v>
      </c>
      <c r="I2577">
        <v>50</v>
      </c>
      <c r="J2577">
        <v>70</v>
      </c>
      <c r="K2577">
        <v>0</v>
      </c>
      <c r="L2577">
        <v>120</v>
      </c>
      <c r="M2577">
        <v>63</v>
      </c>
      <c r="N2577">
        <v>187</v>
      </c>
      <c r="O2577">
        <v>87</v>
      </c>
      <c r="P2577">
        <v>57</v>
      </c>
      <c r="Q2577">
        <v>1</v>
      </c>
      <c r="R2577">
        <v>160</v>
      </c>
      <c r="S2577">
        <v>1.3333333333333333</v>
      </c>
      <c r="U2577">
        <v>1.26</v>
      </c>
    </row>
    <row r="2578" spans="1:21" x14ac:dyDescent="0.35">
      <c r="A2578">
        <v>504</v>
      </c>
      <c r="B2578" s="16">
        <v>40603</v>
      </c>
      <c r="C2578" s="15" t="s">
        <v>70</v>
      </c>
      <c r="D2578" s="15" t="s">
        <v>58</v>
      </c>
      <c r="E2578" s="15" t="s">
        <v>48</v>
      </c>
      <c r="F2578" s="15" t="s">
        <v>49</v>
      </c>
      <c r="G2578" s="15" t="s">
        <v>71</v>
      </c>
      <c r="H2578" s="15" t="s">
        <v>42</v>
      </c>
      <c r="I2578">
        <v>50</v>
      </c>
      <c r="J2578">
        <v>90</v>
      </c>
      <c r="K2578">
        <v>70</v>
      </c>
      <c r="L2578">
        <v>140</v>
      </c>
      <c r="M2578">
        <v>62</v>
      </c>
      <c r="N2578">
        <v>346</v>
      </c>
      <c r="O2578">
        <v>105</v>
      </c>
      <c r="P2578">
        <v>19</v>
      </c>
      <c r="Q2578">
        <v>93</v>
      </c>
      <c r="R2578">
        <v>178</v>
      </c>
      <c r="S2578">
        <v>1.2714285714285714</v>
      </c>
      <c r="T2578">
        <v>1.3285714285714285</v>
      </c>
      <c r="U2578">
        <v>1.24</v>
      </c>
    </row>
    <row r="2579" spans="1:21" x14ac:dyDescent="0.35">
      <c r="A2579">
        <v>985</v>
      </c>
      <c r="B2579" s="16">
        <v>40603</v>
      </c>
      <c r="C2579" s="15" t="s">
        <v>70</v>
      </c>
      <c r="D2579" s="15" t="s">
        <v>58</v>
      </c>
      <c r="E2579" s="15" t="s">
        <v>50</v>
      </c>
      <c r="F2579" s="15" t="s">
        <v>49</v>
      </c>
      <c r="G2579" s="15" t="s">
        <v>71</v>
      </c>
      <c r="H2579" s="15" t="s">
        <v>45</v>
      </c>
      <c r="I2579">
        <v>40</v>
      </c>
      <c r="J2579">
        <v>70</v>
      </c>
      <c r="K2579">
        <v>50</v>
      </c>
      <c r="L2579">
        <v>110</v>
      </c>
      <c r="M2579">
        <v>52</v>
      </c>
      <c r="N2579">
        <v>376</v>
      </c>
      <c r="O2579">
        <v>77</v>
      </c>
      <c r="P2579">
        <v>16</v>
      </c>
      <c r="Q2579">
        <v>56</v>
      </c>
      <c r="R2579">
        <v>137</v>
      </c>
      <c r="S2579">
        <v>1.2454545454545454</v>
      </c>
      <c r="T2579">
        <v>1.1200000000000001</v>
      </c>
      <c r="U2579">
        <v>1.3</v>
      </c>
    </row>
    <row r="2580" spans="1:21" x14ac:dyDescent="0.35">
      <c r="A2580">
        <v>505</v>
      </c>
      <c r="B2580" s="16">
        <v>40603</v>
      </c>
      <c r="C2580" s="15" t="s">
        <v>70</v>
      </c>
      <c r="D2580" s="15" t="s">
        <v>58</v>
      </c>
      <c r="E2580" s="15" t="s">
        <v>51</v>
      </c>
      <c r="F2580" s="15" t="s">
        <v>52</v>
      </c>
      <c r="G2580" s="15" t="s">
        <v>73</v>
      </c>
      <c r="H2580" s="15" t="s">
        <v>45</v>
      </c>
      <c r="I2580">
        <v>10</v>
      </c>
      <c r="J2580">
        <v>30</v>
      </c>
      <c r="K2580">
        <v>20</v>
      </c>
      <c r="L2580">
        <v>40</v>
      </c>
      <c r="M2580">
        <v>18</v>
      </c>
      <c r="N2580">
        <v>816</v>
      </c>
      <c r="O2580">
        <v>27</v>
      </c>
      <c r="P2580">
        <v>5</v>
      </c>
      <c r="Q2580">
        <v>15</v>
      </c>
      <c r="R2580">
        <v>48</v>
      </c>
      <c r="S2580">
        <v>1.2</v>
      </c>
      <c r="T2580">
        <v>0.75</v>
      </c>
      <c r="U2580">
        <v>1.8</v>
      </c>
    </row>
    <row r="2581" spans="1:21" x14ac:dyDescent="0.35">
      <c r="A2581">
        <v>505</v>
      </c>
      <c r="B2581" s="16">
        <v>40603</v>
      </c>
      <c r="C2581" s="15" t="s">
        <v>70</v>
      </c>
      <c r="D2581" s="15" t="s">
        <v>58</v>
      </c>
      <c r="E2581" s="15" t="s">
        <v>53</v>
      </c>
      <c r="F2581" s="15" t="s">
        <v>52</v>
      </c>
      <c r="G2581" s="15" t="s">
        <v>73</v>
      </c>
      <c r="H2581" s="15" t="s">
        <v>45</v>
      </c>
      <c r="I2581">
        <v>20</v>
      </c>
      <c r="J2581">
        <v>40</v>
      </c>
      <c r="K2581">
        <v>20</v>
      </c>
      <c r="L2581">
        <v>60</v>
      </c>
      <c r="M2581">
        <v>28</v>
      </c>
      <c r="N2581">
        <v>958</v>
      </c>
      <c r="O2581">
        <v>35</v>
      </c>
      <c r="P2581">
        <v>8</v>
      </c>
      <c r="Q2581">
        <v>7</v>
      </c>
      <c r="R2581">
        <v>67</v>
      </c>
      <c r="S2581">
        <v>1.1166666666666667</v>
      </c>
      <c r="T2581">
        <v>0.35</v>
      </c>
      <c r="U2581">
        <v>1.4</v>
      </c>
    </row>
    <row r="2582" spans="1:21" x14ac:dyDescent="0.35">
      <c r="A2582">
        <v>505</v>
      </c>
      <c r="B2582" s="16">
        <v>40603</v>
      </c>
      <c r="C2582" s="15" t="s">
        <v>70</v>
      </c>
      <c r="D2582" s="15" t="s">
        <v>58</v>
      </c>
      <c r="E2582" s="15" t="s">
        <v>43</v>
      </c>
      <c r="F2582" s="15" t="s">
        <v>40</v>
      </c>
      <c r="G2582" s="15" t="s">
        <v>73</v>
      </c>
      <c r="H2582" s="15" t="s">
        <v>42</v>
      </c>
      <c r="I2582">
        <v>50</v>
      </c>
      <c r="J2582">
        <v>90</v>
      </c>
      <c r="K2582">
        <v>50</v>
      </c>
      <c r="L2582">
        <v>140</v>
      </c>
      <c r="M2582">
        <v>47</v>
      </c>
      <c r="N2582">
        <v>361</v>
      </c>
      <c r="O2582">
        <v>72</v>
      </c>
      <c r="P2582">
        <v>15</v>
      </c>
      <c r="Q2582">
        <v>39</v>
      </c>
      <c r="R2582">
        <v>127</v>
      </c>
      <c r="S2582">
        <v>0.90714285714285714</v>
      </c>
      <c r="T2582">
        <v>0.78</v>
      </c>
      <c r="U2582">
        <v>0.94</v>
      </c>
    </row>
    <row r="2583" spans="1:21" x14ac:dyDescent="0.35">
      <c r="A2583">
        <v>505</v>
      </c>
      <c r="B2583" s="16">
        <v>40603</v>
      </c>
      <c r="C2583" s="15" t="s">
        <v>70</v>
      </c>
      <c r="D2583" s="15" t="s">
        <v>58</v>
      </c>
      <c r="E2583" s="15" t="s">
        <v>44</v>
      </c>
      <c r="F2583" s="15" t="s">
        <v>40</v>
      </c>
      <c r="G2583" s="15" t="s">
        <v>73</v>
      </c>
      <c r="H2583" s="15" t="s">
        <v>45</v>
      </c>
      <c r="I2583">
        <v>110</v>
      </c>
      <c r="J2583">
        <v>20</v>
      </c>
      <c r="K2583">
        <v>-20</v>
      </c>
      <c r="L2583">
        <v>130</v>
      </c>
      <c r="M2583">
        <v>88</v>
      </c>
      <c r="N2583">
        <v>715</v>
      </c>
      <c r="O2583">
        <v>18</v>
      </c>
      <c r="P2583">
        <v>27</v>
      </c>
      <c r="Q2583">
        <v>-49</v>
      </c>
      <c r="R2583">
        <v>113</v>
      </c>
      <c r="S2583">
        <v>0.86923076923076925</v>
      </c>
      <c r="T2583">
        <v>2.4500000000000002</v>
      </c>
      <c r="U2583">
        <v>0.8</v>
      </c>
    </row>
    <row r="2584" spans="1:21" x14ac:dyDescent="0.35">
      <c r="A2584">
        <v>505</v>
      </c>
      <c r="B2584" s="16">
        <v>40603</v>
      </c>
      <c r="C2584" s="15" t="s">
        <v>70</v>
      </c>
      <c r="D2584" s="15" t="s">
        <v>58</v>
      </c>
      <c r="E2584" s="15" t="s">
        <v>72</v>
      </c>
      <c r="F2584" s="15" t="s">
        <v>49</v>
      </c>
      <c r="G2584" s="15" t="s">
        <v>73</v>
      </c>
      <c r="H2584" s="15" t="s">
        <v>42</v>
      </c>
      <c r="I2584">
        <v>20</v>
      </c>
      <c r="J2584">
        <v>40</v>
      </c>
      <c r="K2584">
        <v>10</v>
      </c>
      <c r="L2584">
        <v>60</v>
      </c>
      <c r="M2584">
        <v>33</v>
      </c>
      <c r="N2584">
        <v>36</v>
      </c>
      <c r="O2584">
        <v>42</v>
      </c>
      <c r="P2584">
        <v>12</v>
      </c>
      <c r="Q2584">
        <v>-4</v>
      </c>
      <c r="R2584">
        <v>80</v>
      </c>
      <c r="S2584">
        <v>1.3333333333333333</v>
      </c>
      <c r="T2584">
        <v>-0.4</v>
      </c>
      <c r="U2584">
        <v>1.65</v>
      </c>
    </row>
    <row r="2585" spans="1:21" x14ac:dyDescent="0.35">
      <c r="A2585">
        <v>505</v>
      </c>
      <c r="B2585" s="16">
        <v>40603</v>
      </c>
      <c r="C2585" s="15" t="s">
        <v>70</v>
      </c>
      <c r="D2585" s="15" t="s">
        <v>58</v>
      </c>
      <c r="E2585" s="15" t="s">
        <v>48</v>
      </c>
      <c r="F2585" s="15" t="s">
        <v>49</v>
      </c>
      <c r="G2585" s="15" t="s">
        <v>73</v>
      </c>
      <c r="H2585" s="15" t="s">
        <v>42</v>
      </c>
      <c r="I2585">
        <v>30</v>
      </c>
      <c r="J2585">
        <v>60</v>
      </c>
      <c r="K2585">
        <v>10</v>
      </c>
      <c r="L2585">
        <v>90</v>
      </c>
      <c r="M2585">
        <v>44</v>
      </c>
      <c r="N2585">
        <v>251</v>
      </c>
      <c r="O2585">
        <v>63</v>
      </c>
      <c r="P2585">
        <v>40</v>
      </c>
      <c r="Q2585">
        <v>-10</v>
      </c>
      <c r="R2585">
        <v>114</v>
      </c>
      <c r="S2585">
        <v>1.2666666666666666</v>
      </c>
      <c r="T2585">
        <v>-1</v>
      </c>
      <c r="U2585">
        <v>1.4666666666666666</v>
      </c>
    </row>
    <row r="2586" spans="1:21" x14ac:dyDescent="0.35">
      <c r="A2586">
        <v>505</v>
      </c>
      <c r="B2586" s="16">
        <v>40603</v>
      </c>
      <c r="C2586" s="15" t="s">
        <v>70</v>
      </c>
      <c r="D2586" s="15" t="s">
        <v>58</v>
      </c>
      <c r="E2586" s="15" t="s">
        <v>50</v>
      </c>
      <c r="F2586" s="15" t="s">
        <v>49</v>
      </c>
      <c r="G2586" s="15" t="s">
        <v>73</v>
      </c>
      <c r="H2586" s="15" t="s">
        <v>45</v>
      </c>
      <c r="I2586">
        <v>30</v>
      </c>
      <c r="J2586">
        <v>40</v>
      </c>
      <c r="K2586">
        <v>10</v>
      </c>
      <c r="L2586">
        <v>70</v>
      </c>
      <c r="M2586">
        <v>36</v>
      </c>
      <c r="N2586">
        <v>187</v>
      </c>
      <c r="O2586">
        <v>49</v>
      </c>
      <c r="P2586">
        <v>11</v>
      </c>
      <c r="Q2586">
        <v>16</v>
      </c>
      <c r="R2586">
        <v>91</v>
      </c>
      <c r="S2586">
        <v>1.3</v>
      </c>
      <c r="T2586">
        <v>1.6</v>
      </c>
      <c r="U2586">
        <v>1.2</v>
      </c>
    </row>
    <row r="2587" spans="1:21" x14ac:dyDescent="0.35">
      <c r="A2587">
        <v>918</v>
      </c>
      <c r="B2587" s="16">
        <v>40603</v>
      </c>
      <c r="C2587" s="15" t="s">
        <v>70</v>
      </c>
      <c r="D2587" s="15" t="s">
        <v>58</v>
      </c>
      <c r="E2587" s="15" t="s">
        <v>51</v>
      </c>
      <c r="F2587" s="15" t="s">
        <v>52</v>
      </c>
      <c r="G2587" s="15" t="s">
        <v>74</v>
      </c>
      <c r="H2587" s="15" t="s">
        <v>45</v>
      </c>
      <c r="I2587">
        <v>50</v>
      </c>
      <c r="J2587">
        <v>60</v>
      </c>
      <c r="K2587">
        <v>20</v>
      </c>
      <c r="L2587">
        <v>110</v>
      </c>
      <c r="M2587">
        <v>54</v>
      </c>
      <c r="N2587">
        <v>301</v>
      </c>
      <c r="O2587">
        <v>66</v>
      </c>
      <c r="P2587">
        <v>20</v>
      </c>
      <c r="Q2587">
        <v>19</v>
      </c>
      <c r="R2587">
        <v>128</v>
      </c>
      <c r="S2587">
        <v>1.1636363636363636</v>
      </c>
      <c r="T2587">
        <v>0.95</v>
      </c>
      <c r="U2587">
        <v>1.08</v>
      </c>
    </row>
    <row r="2588" spans="1:21" x14ac:dyDescent="0.35">
      <c r="A2588">
        <v>918</v>
      </c>
      <c r="B2588" s="16">
        <v>40603</v>
      </c>
      <c r="C2588" s="15" t="s">
        <v>70</v>
      </c>
      <c r="D2588" s="15" t="s">
        <v>58</v>
      </c>
      <c r="E2588" s="15" t="s">
        <v>53</v>
      </c>
      <c r="F2588" s="15" t="s">
        <v>52</v>
      </c>
      <c r="G2588" s="15" t="s">
        <v>74</v>
      </c>
      <c r="H2588" s="15" t="s">
        <v>45</v>
      </c>
      <c r="I2588">
        <v>90</v>
      </c>
      <c r="J2588">
        <v>130</v>
      </c>
      <c r="K2588">
        <v>30</v>
      </c>
      <c r="L2588">
        <v>220</v>
      </c>
      <c r="M2588">
        <v>95</v>
      </c>
      <c r="N2588">
        <v>532</v>
      </c>
      <c r="O2588">
        <v>132</v>
      </c>
      <c r="P2588">
        <v>86</v>
      </c>
      <c r="Q2588">
        <v>25</v>
      </c>
      <c r="R2588">
        <v>242</v>
      </c>
      <c r="S2588">
        <v>1.1000000000000001</v>
      </c>
      <c r="T2588">
        <v>0.83333333333333337</v>
      </c>
      <c r="U2588">
        <v>1.0555555555555556</v>
      </c>
    </row>
    <row r="2589" spans="1:21" x14ac:dyDescent="0.35">
      <c r="A2589">
        <v>405</v>
      </c>
      <c r="B2589" s="16">
        <v>40603</v>
      </c>
      <c r="C2589" s="15" t="s">
        <v>70</v>
      </c>
      <c r="D2589" s="15" t="s">
        <v>58</v>
      </c>
      <c r="E2589" s="15" t="s">
        <v>43</v>
      </c>
      <c r="F2589" s="15" t="s">
        <v>40</v>
      </c>
      <c r="G2589" s="15" t="s">
        <v>74</v>
      </c>
      <c r="H2589" s="15" t="s">
        <v>42</v>
      </c>
      <c r="I2589">
        <v>50</v>
      </c>
      <c r="J2589">
        <v>70</v>
      </c>
      <c r="K2589">
        <v>50</v>
      </c>
      <c r="L2589">
        <v>120</v>
      </c>
      <c r="M2589">
        <v>43</v>
      </c>
      <c r="N2589">
        <v>613</v>
      </c>
      <c r="O2589">
        <v>55</v>
      </c>
      <c r="P2589">
        <v>14</v>
      </c>
      <c r="Q2589">
        <v>43</v>
      </c>
      <c r="R2589">
        <v>104</v>
      </c>
      <c r="S2589">
        <v>0.8666666666666667</v>
      </c>
      <c r="T2589">
        <v>0.86</v>
      </c>
      <c r="U2589">
        <v>0.86</v>
      </c>
    </row>
    <row r="2590" spans="1:21" x14ac:dyDescent="0.35">
      <c r="A2590">
        <v>405</v>
      </c>
      <c r="B2590" s="16">
        <v>40603</v>
      </c>
      <c r="C2590" s="15" t="s">
        <v>70</v>
      </c>
      <c r="D2590" s="15" t="s">
        <v>58</v>
      </c>
      <c r="E2590" s="15" t="s">
        <v>44</v>
      </c>
      <c r="F2590" s="15" t="s">
        <v>40</v>
      </c>
      <c r="G2590" s="15" t="s">
        <v>74</v>
      </c>
      <c r="H2590" s="15" t="s">
        <v>45</v>
      </c>
      <c r="I2590">
        <v>40</v>
      </c>
      <c r="J2590">
        <v>50</v>
      </c>
      <c r="K2590">
        <v>40</v>
      </c>
      <c r="L2590">
        <v>90</v>
      </c>
      <c r="M2590">
        <v>32</v>
      </c>
      <c r="N2590">
        <v>813</v>
      </c>
      <c r="O2590">
        <v>47</v>
      </c>
      <c r="P2590">
        <v>8</v>
      </c>
      <c r="Q2590">
        <v>40</v>
      </c>
      <c r="R2590">
        <v>84</v>
      </c>
      <c r="S2590">
        <v>0.93333333333333335</v>
      </c>
      <c r="T2590">
        <v>1</v>
      </c>
      <c r="U2590">
        <v>0.8</v>
      </c>
    </row>
    <row r="2591" spans="1:21" x14ac:dyDescent="0.35">
      <c r="A2591">
        <v>405</v>
      </c>
      <c r="B2591" s="16">
        <v>40603</v>
      </c>
      <c r="C2591" s="15" t="s">
        <v>70</v>
      </c>
      <c r="D2591" s="15" t="s">
        <v>58</v>
      </c>
      <c r="E2591" s="15" t="s">
        <v>72</v>
      </c>
      <c r="F2591" s="15" t="s">
        <v>49</v>
      </c>
      <c r="G2591" s="15" t="s">
        <v>74</v>
      </c>
      <c r="H2591" s="15" t="s">
        <v>42</v>
      </c>
      <c r="I2591">
        <v>70</v>
      </c>
      <c r="J2591">
        <v>110</v>
      </c>
      <c r="K2591">
        <v>80</v>
      </c>
      <c r="L2591">
        <v>180</v>
      </c>
      <c r="M2591">
        <v>89</v>
      </c>
      <c r="N2591">
        <v>94</v>
      </c>
      <c r="O2591">
        <v>125</v>
      </c>
      <c r="P2591">
        <v>27</v>
      </c>
      <c r="Q2591">
        <v>110</v>
      </c>
      <c r="R2591">
        <v>228</v>
      </c>
      <c r="S2591">
        <v>1.2666666666666666</v>
      </c>
      <c r="T2591">
        <v>1.375</v>
      </c>
      <c r="U2591">
        <v>1.2714285714285714</v>
      </c>
    </row>
    <row r="2592" spans="1:21" x14ac:dyDescent="0.35">
      <c r="A2592">
        <v>580</v>
      </c>
      <c r="B2592" s="16">
        <v>40603</v>
      </c>
      <c r="C2592" s="15" t="s">
        <v>70</v>
      </c>
      <c r="D2592" s="15" t="s">
        <v>58</v>
      </c>
      <c r="E2592" s="15" t="s">
        <v>48</v>
      </c>
      <c r="F2592" s="15" t="s">
        <v>49</v>
      </c>
      <c r="G2592" s="15" t="s">
        <v>74</v>
      </c>
      <c r="H2592" s="15" t="s">
        <v>42</v>
      </c>
      <c r="I2592">
        <v>10</v>
      </c>
      <c r="J2592">
        <v>30</v>
      </c>
      <c r="K2592">
        <v>30</v>
      </c>
      <c r="L2592">
        <v>40</v>
      </c>
      <c r="M2592">
        <v>21</v>
      </c>
      <c r="N2592">
        <v>449</v>
      </c>
      <c r="O2592">
        <v>32</v>
      </c>
      <c r="P2592">
        <v>5</v>
      </c>
      <c r="Q2592">
        <v>22</v>
      </c>
      <c r="R2592">
        <v>56</v>
      </c>
      <c r="S2592">
        <v>1.4</v>
      </c>
      <c r="T2592">
        <v>0.73333333333333328</v>
      </c>
      <c r="U2592">
        <v>2.1</v>
      </c>
    </row>
    <row r="2593" spans="1:21" x14ac:dyDescent="0.35">
      <c r="A2593">
        <v>580</v>
      </c>
      <c r="B2593" s="16">
        <v>40603</v>
      </c>
      <c r="C2593" s="15" t="s">
        <v>70</v>
      </c>
      <c r="D2593" s="15" t="s">
        <v>58</v>
      </c>
      <c r="E2593" s="15" t="s">
        <v>50</v>
      </c>
      <c r="F2593" s="15" t="s">
        <v>49</v>
      </c>
      <c r="G2593" s="15" t="s">
        <v>74</v>
      </c>
      <c r="H2593" s="15" t="s">
        <v>45</v>
      </c>
      <c r="I2593">
        <v>70</v>
      </c>
      <c r="J2593">
        <v>110</v>
      </c>
      <c r="K2593">
        <v>70</v>
      </c>
      <c r="L2593">
        <v>180</v>
      </c>
      <c r="M2593">
        <v>84</v>
      </c>
      <c r="N2593">
        <v>632</v>
      </c>
      <c r="O2593">
        <v>126</v>
      </c>
      <c r="P2593">
        <v>27</v>
      </c>
      <c r="Q2593">
        <v>101</v>
      </c>
      <c r="R2593">
        <v>224</v>
      </c>
      <c r="S2593">
        <v>1.2444444444444445</v>
      </c>
      <c r="T2593">
        <v>1.4428571428571428</v>
      </c>
      <c r="U2593">
        <v>1.2</v>
      </c>
    </row>
    <row r="2594" spans="1:21" x14ac:dyDescent="0.35">
      <c r="A2594">
        <v>940</v>
      </c>
      <c r="B2594" s="16">
        <v>40603</v>
      </c>
      <c r="C2594" s="15" t="s">
        <v>70</v>
      </c>
      <c r="D2594" s="15" t="s">
        <v>38</v>
      </c>
      <c r="E2594" s="15" t="s">
        <v>51</v>
      </c>
      <c r="F2594" s="15" t="s">
        <v>52</v>
      </c>
      <c r="G2594" s="15" t="s">
        <v>75</v>
      </c>
      <c r="H2594" s="15" t="s">
        <v>45</v>
      </c>
      <c r="I2594">
        <v>50</v>
      </c>
      <c r="J2594">
        <v>80</v>
      </c>
      <c r="K2594">
        <v>50</v>
      </c>
      <c r="L2594">
        <v>130</v>
      </c>
      <c r="M2594">
        <v>57</v>
      </c>
      <c r="N2594">
        <v>323</v>
      </c>
      <c r="O2594">
        <v>77</v>
      </c>
      <c r="P2594">
        <v>18</v>
      </c>
      <c r="Q2594">
        <v>46</v>
      </c>
      <c r="R2594">
        <v>143</v>
      </c>
      <c r="S2594">
        <v>1.1000000000000001</v>
      </c>
      <c r="T2594">
        <v>0.92</v>
      </c>
      <c r="U2594">
        <v>1.1399999999999999</v>
      </c>
    </row>
    <row r="2595" spans="1:21" x14ac:dyDescent="0.35">
      <c r="A2595">
        <v>915</v>
      </c>
      <c r="B2595" s="16">
        <v>40603</v>
      </c>
      <c r="C2595" s="15" t="s">
        <v>70</v>
      </c>
      <c r="D2595" s="15" t="s">
        <v>38</v>
      </c>
      <c r="E2595" s="15" t="s">
        <v>53</v>
      </c>
      <c r="F2595" s="15" t="s">
        <v>52</v>
      </c>
      <c r="G2595" s="15" t="s">
        <v>75</v>
      </c>
      <c r="H2595" s="15" t="s">
        <v>45</v>
      </c>
      <c r="I2595">
        <v>40</v>
      </c>
      <c r="J2595">
        <v>70</v>
      </c>
      <c r="K2595">
        <v>40</v>
      </c>
      <c r="L2595">
        <v>110</v>
      </c>
      <c r="M2595">
        <v>49</v>
      </c>
      <c r="N2595">
        <v>351</v>
      </c>
      <c r="O2595">
        <v>72</v>
      </c>
      <c r="P2595">
        <v>15</v>
      </c>
      <c r="Q2595">
        <v>52</v>
      </c>
      <c r="R2595">
        <v>129</v>
      </c>
      <c r="S2595">
        <v>1.1727272727272726</v>
      </c>
      <c r="T2595">
        <v>1.3</v>
      </c>
      <c r="U2595">
        <v>1.2250000000000001</v>
      </c>
    </row>
    <row r="2596" spans="1:21" x14ac:dyDescent="0.35">
      <c r="A2596">
        <v>830</v>
      </c>
      <c r="B2596" s="16">
        <v>40603</v>
      </c>
      <c r="C2596" s="15" t="s">
        <v>70</v>
      </c>
      <c r="D2596" s="15" t="s">
        <v>38</v>
      </c>
      <c r="E2596" s="15" t="s">
        <v>43</v>
      </c>
      <c r="F2596" s="15" t="s">
        <v>40</v>
      </c>
      <c r="G2596" s="15" t="s">
        <v>75</v>
      </c>
      <c r="H2596" s="15" t="s">
        <v>42</v>
      </c>
      <c r="I2596">
        <v>260</v>
      </c>
      <c r="J2596">
        <v>320</v>
      </c>
      <c r="K2596">
        <v>240</v>
      </c>
      <c r="L2596">
        <v>580</v>
      </c>
      <c r="M2596">
        <v>214</v>
      </c>
      <c r="N2596">
        <v>923</v>
      </c>
      <c r="O2596">
        <v>253</v>
      </c>
      <c r="P2596">
        <v>66</v>
      </c>
      <c r="Q2596">
        <v>246</v>
      </c>
      <c r="R2596">
        <v>498</v>
      </c>
      <c r="S2596">
        <v>0.85862068965517246</v>
      </c>
      <c r="T2596">
        <v>1.0249999999999999</v>
      </c>
      <c r="U2596">
        <v>0.82307692307692304</v>
      </c>
    </row>
    <row r="2597" spans="1:21" x14ac:dyDescent="0.35">
      <c r="A2597">
        <v>915</v>
      </c>
      <c r="B2597" s="16">
        <v>40603</v>
      </c>
      <c r="C2597" s="15" t="s">
        <v>70</v>
      </c>
      <c r="D2597" s="15" t="s">
        <v>38</v>
      </c>
      <c r="E2597" s="15" t="s">
        <v>44</v>
      </c>
      <c r="F2597" s="15" t="s">
        <v>40</v>
      </c>
      <c r="G2597" s="15" t="s">
        <v>75</v>
      </c>
      <c r="H2597" s="15" t="s">
        <v>45</v>
      </c>
      <c r="I2597">
        <v>100</v>
      </c>
      <c r="J2597">
        <v>140</v>
      </c>
      <c r="K2597">
        <v>110</v>
      </c>
      <c r="L2597">
        <v>240</v>
      </c>
      <c r="M2597">
        <v>84</v>
      </c>
      <c r="N2597">
        <v>603</v>
      </c>
      <c r="O2597">
        <v>109</v>
      </c>
      <c r="P2597">
        <v>27</v>
      </c>
      <c r="Q2597">
        <v>104</v>
      </c>
      <c r="R2597">
        <v>206</v>
      </c>
      <c r="S2597">
        <v>0.85833333333333328</v>
      </c>
      <c r="T2597">
        <v>0.94545454545454544</v>
      </c>
      <c r="U2597">
        <v>0.84</v>
      </c>
    </row>
    <row r="2598" spans="1:21" x14ac:dyDescent="0.35">
      <c r="A2598">
        <v>979</v>
      </c>
      <c r="B2598" s="16">
        <v>40603</v>
      </c>
      <c r="C2598" s="15" t="s">
        <v>70</v>
      </c>
      <c r="D2598" s="15" t="s">
        <v>38</v>
      </c>
      <c r="E2598" s="15" t="s">
        <v>72</v>
      </c>
      <c r="F2598" s="15" t="s">
        <v>49</v>
      </c>
      <c r="G2598" s="15" t="s">
        <v>75</v>
      </c>
      <c r="H2598" s="15" t="s">
        <v>42</v>
      </c>
      <c r="I2598">
        <v>60</v>
      </c>
      <c r="J2598">
        <v>90</v>
      </c>
      <c r="K2598">
        <v>50</v>
      </c>
      <c r="L2598">
        <v>150</v>
      </c>
      <c r="M2598">
        <v>72</v>
      </c>
      <c r="N2598">
        <v>189</v>
      </c>
      <c r="O2598">
        <v>108</v>
      </c>
      <c r="P2598">
        <v>23</v>
      </c>
      <c r="Q2598">
        <v>80</v>
      </c>
      <c r="R2598">
        <v>192</v>
      </c>
      <c r="S2598">
        <v>1.28</v>
      </c>
      <c r="T2598">
        <v>1.6</v>
      </c>
      <c r="U2598">
        <v>1.2</v>
      </c>
    </row>
    <row r="2599" spans="1:21" x14ac:dyDescent="0.35">
      <c r="A2599">
        <v>409</v>
      </c>
      <c r="B2599" s="16">
        <v>40603</v>
      </c>
      <c r="C2599" s="15" t="s">
        <v>70</v>
      </c>
      <c r="D2599" s="15" t="s">
        <v>38</v>
      </c>
      <c r="E2599" s="15" t="s">
        <v>48</v>
      </c>
      <c r="F2599" s="15" t="s">
        <v>49</v>
      </c>
      <c r="G2599" s="15" t="s">
        <v>75</v>
      </c>
      <c r="H2599" s="15" t="s">
        <v>42</v>
      </c>
      <c r="I2599">
        <v>70</v>
      </c>
      <c r="J2599">
        <v>110</v>
      </c>
      <c r="K2599">
        <v>90</v>
      </c>
      <c r="L2599">
        <v>180</v>
      </c>
      <c r="M2599">
        <v>87</v>
      </c>
      <c r="N2599">
        <v>756</v>
      </c>
      <c r="O2599">
        <v>126</v>
      </c>
      <c r="P2599">
        <v>24</v>
      </c>
      <c r="Q2599">
        <v>135</v>
      </c>
      <c r="R2599">
        <v>227</v>
      </c>
      <c r="S2599">
        <v>1.2611111111111111</v>
      </c>
      <c r="T2599">
        <v>1.5</v>
      </c>
      <c r="U2599">
        <v>1.2428571428571429</v>
      </c>
    </row>
    <row r="2600" spans="1:21" x14ac:dyDescent="0.35">
      <c r="A2600">
        <v>361</v>
      </c>
      <c r="B2600" s="16">
        <v>40603</v>
      </c>
      <c r="C2600" s="15" t="s">
        <v>70</v>
      </c>
      <c r="D2600" s="15" t="s">
        <v>38</v>
      </c>
      <c r="E2600" s="15" t="s">
        <v>50</v>
      </c>
      <c r="F2600" s="15" t="s">
        <v>49</v>
      </c>
      <c r="G2600" s="15" t="s">
        <v>75</v>
      </c>
      <c r="H2600" s="15" t="s">
        <v>45</v>
      </c>
      <c r="I2600">
        <v>60</v>
      </c>
      <c r="J2600">
        <v>110</v>
      </c>
      <c r="K2600">
        <v>90</v>
      </c>
      <c r="L2600">
        <v>170</v>
      </c>
      <c r="M2600">
        <v>81</v>
      </c>
      <c r="N2600">
        <v>441</v>
      </c>
      <c r="O2600">
        <v>117</v>
      </c>
      <c r="P2600">
        <v>22</v>
      </c>
      <c r="Q2600">
        <v>125</v>
      </c>
      <c r="R2600">
        <v>211</v>
      </c>
      <c r="S2600">
        <v>1.2411764705882353</v>
      </c>
      <c r="T2600">
        <v>1.3888888888888888</v>
      </c>
      <c r="U2600">
        <v>1.35</v>
      </c>
    </row>
    <row r="2601" spans="1:21" x14ac:dyDescent="0.35">
      <c r="A2601">
        <v>435</v>
      </c>
      <c r="B2601" s="16">
        <v>40603</v>
      </c>
      <c r="C2601" s="15" t="s">
        <v>76</v>
      </c>
      <c r="D2601" s="15" t="s">
        <v>58</v>
      </c>
      <c r="E2601" s="15" t="s">
        <v>51</v>
      </c>
      <c r="F2601" s="15" t="s">
        <v>52</v>
      </c>
      <c r="G2601" s="15" t="s">
        <v>77</v>
      </c>
      <c r="H2601" s="15" t="s">
        <v>45</v>
      </c>
      <c r="I2601">
        <v>30</v>
      </c>
      <c r="J2601">
        <v>60</v>
      </c>
      <c r="K2601">
        <v>40</v>
      </c>
      <c r="L2601">
        <v>90</v>
      </c>
      <c r="M2601">
        <v>43</v>
      </c>
      <c r="N2601">
        <v>231</v>
      </c>
      <c r="O2601">
        <v>64</v>
      </c>
      <c r="P2601">
        <v>13</v>
      </c>
      <c r="Q2601">
        <v>42</v>
      </c>
      <c r="R2601">
        <v>114</v>
      </c>
      <c r="S2601">
        <v>1.2666666666666666</v>
      </c>
      <c r="T2601">
        <v>1.05</v>
      </c>
      <c r="U2601">
        <v>1.4333333333333333</v>
      </c>
    </row>
    <row r="2602" spans="1:21" x14ac:dyDescent="0.35">
      <c r="A2602">
        <v>435</v>
      </c>
      <c r="B2602" s="16">
        <v>40603</v>
      </c>
      <c r="C2602" s="15" t="s">
        <v>76</v>
      </c>
      <c r="D2602" s="15" t="s">
        <v>58</v>
      </c>
      <c r="E2602" s="15" t="s">
        <v>53</v>
      </c>
      <c r="F2602" s="15" t="s">
        <v>52</v>
      </c>
      <c r="G2602" s="15" t="s">
        <v>77</v>
      </c>
      <c r="H2602" s="15" t="s">
        <v>45</v>
      </c>
      <c r="I2602">
        <v>40</v>
      </c>
      <c r="J2602">
        <v>60</v>
      </c>
      <c r="K2602">
        <v>30</v>
      </c>
      <c r="L2602">
        <v>100</v>
      </c>
      <c r="M2602">
        <v>47</v>
      </c>
      <c r="N2602">
        <v>361</v>
      </c>
      <c r="O2602">
        <v>72</v>
      </c>
      <c r="P2602">
        <v>15</v>
      </c>
      <c r="Q2602">
        <v>39</v>
      </c>
      <c r="R2602">
        <v>127</v>
      </c>
      <c r="S2602">
        <v>1.27</v>
      </c>
      <c r="T2602">
        <v>1.3</v>
      </c>
      <c r="U2602">
        <v>1.175</v>
      </c>
    </row>
    <row r="2603" spans="1:21" x14ac:dyDescent="0.35">
      <c r="A2603">
        <v>801</v>
      </c>
      <c r="B2603" s="16">
        <v>40603</v>
      </c>
      <c r="C2603" s="15" t="s">
        <v>76</v>
      </c>
      <c r="D2603" s="15" t="s">
        <v>58</v>
      </c>
      <c r="E2603" s="15" t="s">
        <v>54</v>
      </c>
      <c r="F2603" s="15" t="s">
        <v>52</v>
      </c>
      <c r="G2603" s="15" t="s">
        <v>77</v>
      </c>
      <c r="H2603" s="15" t="s">
        <v>45</v>
      </c>
      <c r="I2603">
        <v>70</v>
      </c>
      <c r="J2603">
        <v>20</v>
      </c>
      <c r="K2603">
        <v>-20</v>
      </c>
      <c r="L2603">
        <v>90</v>
      </c>
      <c r="M2603">
        <v>88</v>
      </c>
      <c r="N2603">
        <v>715</v>
      </c>
      <c r="O2603">
        <v>18</v>
      </c>
      <c r="P2603">
        <v>27</v>
      </c>
      <c r="Q2603">
        <v>-47</v>
      </c>
      <c r="R2603">
        <v>113</v>
      </c>
      <c r="S2603">
        <v>1.2555555555555555</v>
      </c>
      <c r="T2603">
        <v>2.35</v>
      </c>
      <c r="U2603">
        <v>1.2571428571428571</v>
      </c>
    </row>
    <row r="2604" spans="1:21" x14ac:dyDescent="0.35">
      <c r="A2604">
        <v>435</v>
      </c>
      <c r="B2604" s="16">
        <v>40603</v>
      </c>
      <c r="C2604" s="15" t="s">
        <v>76</v>
      </c>
      <c r="D2604" s="15" t="s">
        <v>58</v>
      </c>
      <c r="E2604" s="15" t="s">
        <v>55</v>
      </c>
      <c r="F2604" s="15" t="s">
        <v>47</v>
      </c>
      <c r="G2604" s="15" t="s">
        <v>77</v>
      </c>
      <c r="H2604" s="15" t="s">
        <v>42</v>
      </c>
      <c r="I2604">
        <v>20</v>
      </c>
      <c r="J2604">
        <v>50</v>
      </c>
      <c r="K2604">
        <v>10</v>
      </c>
      <c r="L2604">
        <v>70</v>
      </c>
      <c r="M2604">
        <v>44</v>
      </c>
      <c r="N2604">
        <v>251</v>
      </c>
      <c r="O2604">
        <v>63</v>
      </c>
      <c r="P2604">
        <v>40</v>
      </c>
      <c r="Q2604">
        <v>-10</v>
      </c>
      <c r="R2604">
        <v>114</v>
      </c>
      <c r="S2604">
        <v>1.6285714285714286</v>
      </c>
      <c r="T2604">
        <v>-1</v>
      </c>
      <c r="U2604">
        <v>2.2000000000000002</v>
      </c>
    </row>
    <row r="2605" spans="1:21" x14ac:dyDescent="0.35">
      <c r="A2605">
        <v>801</v>
      </c>
      <c r="B2605" s="16">
        <v>40603</v>
      </c>
      <c r="C2605" s="15" t="s">
        <v>76</v>
      </c>
      <c r="D2605" s="15" t="s">
        <v>58</v>
      </c>
      <c r="E2605" s="15" t="s">
        <v>56</v>
      </c>
      <c r="F2605" s="15" t="s">
        <v>47</v>
      </c>
      <c r="G2605" s="15" t="s">
        <v>77</v>
      </c>
      <c r="H2605" s="15" t="s">
        <v>42</v>
      </c>
      <c r="I2605">
        <v>20</v>
      </c>
      <c r="J2605">
        <v>30</v>
      </c>
      <c r="K2605">
        <v>10</v>
      </c>
      <c r="L2605">
        <v>50</v>
      </c>
      <c r="M2605">
        <v>36</v>
      </c>
      <c r="N2605">
        <v>187</v>
      </c>
      <c r="O2605">
        <v>49</v>
      </c>
      <c r="P2605">
        <v>11</v>
      </c>
      <c r="Q2605">
        <v>15</v>
      </c>
      <c r="R2605">
        <v>91</v>
      </c>
      <c r="S2605">
        <v>1.82</v>
      </c>
      <c r="T2605">
        <v>1.5</v>
      </c>
      <c r="U2605">
        <v>1.8</v>
      </c>
    </row>
    <row r="2606" spans="1:21" x14ac:dyDescent="0.35">
      <c r="A2606">
        <v>435</v>
      </c>
      <c r="B2606" s="16">
        <v>40603</v>
      </c>
      <c r="C2606" s="15" t="s">
        <v>76</v>
      </c>
      <c r="D2606" s="15" t="s">
        <v>58</v>
      </c>
      <c r="E2606" s="15" t="s">
        <v>46</v>
      </c>
      <c r="F2606" s="15" t="s">
        <v>47</v>
      </c>
      <c r="G2606" s="15" t="s">
        <v>77</v>
      </c>
      <c r="H2606" s="15" t="s">
        <v>42</v>
      </c>
      <c r="I2606">
        <v>20</v>
      </c>
      <c r="J2606">
        <v>30</v>
      </c>
      <c r="K2606">
        <v>10</v>
      </c>
      <c r="L2606">
        <v>50</v>
      </c>
      <c r="M2606">
        <v>33</v>
      </c>
      <c r="N2606">
        <v>162</v>
      </c>
      <c r="O2606">
        <v>42</v>
      </c>
      <c r="P2606">
        <v>12</v>
      </c>
      <c r="Q2606">
        <v>-6</v>
      </c>
      <c r="R2606">
        <v>80</v>
      </c>
      <c r="S2606">
        <v>1.6</v>
      </c>
      <c r="T2606">
        <v>-0.6</v>
      </c>
      <c r="U2606">
        <v>1.65</v>
      </c>
    </row>
    <row r="2607" spans="1:21" x14ac:dyDescent="0.35">
      <c r="A2607">
        <v>801</v>
      </c>
      <c r="B2607" s="16">
        <v>40603</v>
      </c>
      <c r="C2607" s="15" t="s">
        <v>76</v>
      </c>
      <c r="D2607" s="15" t="s">
        <v>58</v>
      </c>
      <c r="E2607" s="15" t="s">
        <v>48</v>
      </c>
      <c r="F2607" s="15" t="s">
        <v>49</v>
      </c>
      <c r="G2607" s="15" t="s">
        <v>77</v>
      </c>
      <c r="H2607" s="15" t="s">
        <v>42</v>
      </c>
      <c r="I2607">
        <v>40</v>
      </c>
      <c r="J2607">
        <v>60</v>
      </c>
      <c r="K2607">
        <v>40</v>
      </c>
      <c r="L2607">
        <v>100</v>
      </c>
      <c r="M2607">
        <v>48</v>
      </c>
      <c r="N2607">
        <v>611</v>
      </c>
      <c r="O2607">
        <v>62</v>
      </c>
      <c r="P2607">
        <v>15</v>
      </c>
      <c r="Q2607">
        <v>50</v>
      </c>
      <c r="R2607">
        <v>117</v>
      </c>
      <c r="S2607">
        <v>1.17</v>
      </c>
      <c r="T2607">
        <v>1.25</v>
      </c>
      <c r="U2607">
        <v>1.2</v>
      </c>
    </row>
    <row r="2608" spans="1:21" x14ac:dyDescent="0.35">
      <c r="A2608">
        <v>435</v>
      </c>
      <c r="B2608" s="16">
        <v>40603</v>
      </c>
      <c r="C2608" s="15" t="s">
        <v>76</v>
      </c>
      <c r="D2608" s="15" t="s">
        <v>58</v>
      </c>
      <c r="E2608" s="15" t="s">
        <v>50</v>
      </c>
      <c r="F2608" s="15" t="s">
        <v>49</v>
      </c>
      <c r="G2608" s="15" t="s">
        <v>77</v>
      </c>
      <c r="H2608" s="15" t="s">
        <v>45</v>
      </c>
      <c r="I2608">
        <v>40</v>
      </c>
      <c r="J2608">
        <v>70</v>
      </c>
      <c r="K2608">
        <v>50</v>
      </c>
      <c r="L2608">
        <v>110</v>
      </c>
      <c r="M2608">
        <v>49</v>
      </c>
      <c r="N2608">
        <v>809</v>
      </c>
      <c r="O2608">
        <v>72</v>
      </c>
      <c r="P2608">
        <v>13</v>
      </c>
      <c r="Q2608">
        <v>70</v>
      </c>
      <c r="R2608">
        <v>129</v>
      </c>
      <c r="S2608">
        <v>1.1727272727272726</v>
      </c>
      <c r="T2608">
        <v>1.4</v>
      </c>
      <c r="U2608">
        <v>1.2250000000000001</v>
      </c>
    </row>
    <row r="2609" spans="1:21" x14ac:dyDescent="0.35">
      <c r="A2609">
        <v>435</v>
      </c>
      <c r="B2609" s="16">
        <v>40603</v>
      </c>
      <c r="C2609" s="15" t="s">
        <v>76</v>
      </c>
      <c r="D2609" s="15" t="s">
        <v>58</v>
      </c>
      <c r="E2609" s="15" t="s">
        <v>39</v>
      </c>
      <c r="F2609" s="15" t="s">
        <v>40</v>
      </c>
      <c r="G2609" s="15" t="s">
        <v>77</v>
      </c>
      <c r="H2609" s="15" t="s">
        <v>42</v>
      </c>
      <c r="I2609">
        <v>90</v>
      </c>
      <c r="J2609">
        <v>110</v>
      </c>
      <c r="K2609">
        <v>70</v>
      </c>
      <c r="L2609">
        <v>200</v>
      </c>
      <c r="M2609">
        <v>74</v>
      </c>
      <c r="N2609">
        <v>949</v>
      </c>
      <c r="O2609">
        <v>89</v>
      </c>
      <c r="P2609">
        <v>22</v>
      </c>
      <c r="Q2609">
        <v>67</v>
      </c>
      <c r="R2609">
        <v>174</v>
      </c>
      <c r="S2609">
        <v>0.87</v>
      </c>
      <c r="T2609">
        <v>0.95714285714285718</v>
      </c>
      <c r="U2609">
        <v>0.82222222222222219</v>
      </c>
    </row>
    <row r="2610" spans="1:21" x14ac:dyDescent="0.35">
      <c r="A2610">
        <v>801</v>
      </c>
      <c r="B2610" s="16">
        <v>40603</v>
      </c>
      <c r="C2610" s="15" t="s">
        <v>76</v>
      </c>
      <c r="D2610" s="15" t="s">
        <v>58</v>
      </c>
      <c r="E2610" s="15" t="s">
        <v>43</v>
      </c>
      <c r="F2610" s="15" t="s">
        <v>40</v>
      </c>
      <c r="G2610" s="15" t="s">
        <v>77</v>
      </c>
      <c r="H2610" s="15" t="s">
        <v>42</v>
      </c>
      <c r="I2610">
        <v>60</v>
      </c>
      <c r="J2610">
        <v>90</v>
      </c>
      <c r="K2610">
        <v>60</v>
      </c>
      <c r="L2610">
        <v>150</v>
      </c>
      <c r="M2610">
        <v>53</v>
      </c>
      <c r="N2610">
        <v>299</v>
      </c>
      <c r="O2610">
        <v>71</v>
      </c>
      <c r="P2610">
        <v>17</v>
      </c>
      <c r="Q2610">
        <v>39</v>
      </c>
      <c r="R2610">
        <v>132</v>
      </c>
      <c r="S2610">
        <v>0.88</v>
      </c>
      <c r="T2610">
        <v>0.65</v>
      </c>
      <c r="U2610">
        <v>0.8833333333333333</v>
      </c>
    </row>
    <row r="2611" spans="1:21" x14ac:dyDescent="0.35">
      <c r="A2611">
        <v>435</v>
      </c>
      <c r="B2611" s="16">
        <v>40603</v>
      </c>
      <c r="C2611" s="15" t="s">
        <v>76</v>
      </c>
      <c r="D2611" s="15" t="s">
        <v>58</v>
      </c>
      <c r="E2611" s="15" t="s">
        <v>44</v>
      </c>
      <c r="F2611" s="15" t="s">
        <v>40</v>
      </c>
      <c r="G2611" s="15" t="s">
        <v>77</v>
      </c>
      <c r="H2611" s="15" t="s">
        <v>45</v>
      </c>
      <c r="I2611">
        <v>100</v>
      </c>
      <c r="J2611">
        <v>130</v>
      </c>
      <c r="K2611">
        <v>70</v>
      </c>
      <c r="L2611">
        <v>230</v>
      </c>
      <c r="M2611">
        <v>85</v>
      </c>
      <c r="N2611">
        <v>476</v>
      </c>
      <c r="O2611">
        <v>104</v>
      </c>
      <c r="P2611">
        <v>32</v>
      </c>
      <c r="Q2611">
        <v>56</v>
      </c>
      <c r="R2611">
        <v>201</v>
      </c>
      <c r="S2611">
        <v>0.87391304347826082</v>
      </c>
      <c r="T2611">
        <v>0.8</v>
      </c>
      <c r="U2611">
        <v>0.85</v>
      </c>
    </row>
    <row r="2612" spans="1:21" x14ac:dyDescent="0.35">
      <c r="A2612">
        <v>801</v>
      </c>
      <c r="B2612" s="16">
        <v>40603</v>
      </c>
      <c r="C2612" s="15" t="s">
        <v>76</v>
      </c>
      <c r="D2612" s="15" t="s">
        <v>58</v>
      </c>
      <c r="E2612" s="15" t="s">
        <v>72</v>
      </c>
      <c r="F2612" s="15" t="s">
        <v>49</v>
      </c>
      <c r="G2612" s="15" t="s">
        <v>77</v>
      </c>
      <c r="H2612" s="15" t="s">
        <v>42</v>
      </c>
      <c r="I2612">
        <v>40</v>
      </c>
      <c r="J2612">
        <v>70</v>
      </c>
      <c r="K2612">
        <v>50</v>
      </c>
      <c r="L2612">
        <v>110</v>
      </c>
      <c r="M2612">
        <v>48</v>
      </c>
      <c r="N2612">
        <v>766</v>
      </c>
      <c r="O2612">
        <v>70</v>
      </c>
      <c r="P2612">
        <v>13</v>
      </c>
      <c r="Q2612">
        <v>67</v>
      </c>
      <c r="R2612">
        <v>126</v>
      </c>
      <c r="S2612">
        <v>1.1454545454545455</v>
      </c>
      <c r="T2612">
        <v>1.34</v>
      </c>
      <c r="U2612">
        <v>1.2</v>
      </c>
    </row>
    <row r="2613" spans="1:21" x14ac:dyDescent="0.35">
      <c r="A2613">
        <v>408</v>
      </c>
      <c r="B2613" s="16">
        <v>40603</v>
      </c>
      <c r="C2613" s="15" t="s">
        <v>76</v>
      </c>
      <c r="D2613" s="15" t="s">
        <v>38</v>
      </c>
      <c r="E2613" s="15" t="s">
        <v>51</v>
      </c>
      <c r="F2613" s="15" t="s">
        <v>52</v>
      </c>
      <c r="G2613" s="15" t="s">
        <v>78</v>
      </c>
      <c r="H2613" s="15" t="s">
        <v>45</v>
      </c>
      <c r="I2613">
        <v>80</v>
      </c>
      <c r="J2613">
        <v>120</v>
      </c>
      <c r="K2613">
        <v>100</v>
      </c>
      <c r="L2613">
        <v>200</v>
      </c>
      <c r="M2613">
        <v>95</v>
      </c>
      <c r="N2613">
        <v>799</v>
      </c>
      <c r="O2613">
        <v>139</v>
      </c>
      <c r="P2613">
        <v>26</v>
      </c>
      <c r="Q2613">
        <v>150</v>
      </c>
      <c r="R2613">
        <v>249</v>
      </c>
      <c r="S2613">
        <v>1.2450000000000001</v>
      </c>
      <c r="T2613">
        <v>1.5</v>
      </c>
      <c r="U2613">
        <v>1.1875</v>
      </c>
    </row>
    <row r="2614" spans="1:21" x14ac:dyDescent="0.35">
      <c r="A2614">
        <v>323</v>
      </c>
      <c r="B2614" s="16">
        <v>40603</v>
      </c>
      <c r="C2614" s="15" t="s">
        <v>76</v>
      </c>
      <c r="D2614" s="15" t="s">
        <v>38</v>
      </c>
      <c r="E2614" s="15" t="s">
        <v>53</v>
      </c>
      <c r="F2614" s="15" t="s">
        <v>52</v>
      </c>
      <c r="G2614" s="15" t="s">
        <v>78</v>
      </c>
      <c r="H2614" s="15" t="s">
        <v>45</v>
      </c>
      <c r="I2614">
        <v>180</v>
      </c>
      <c r="J2614">
        <v>230</v>
      </c>
      <c r="K2614">
        <v>170</v>
      </c>
      <c r="L2614">
        <v>410</v>
      </c>
      <c r="M2614">
        <v>214</v>
      </c>
      <c r="N2614">
        <v>923</v>
      </c>
      <c r="O2614">
        <v>253</v>
      </c>
      <c r="P2614">
        <v>66</v>
      </c>
      <c r="Q2614">
        <v>245</v>
      </c>
      <c r="R2614">
        <v>498</v>
      </c>
      <c r="S2614">
        <v>1.2146341463414634</v>
      </c>
      <c r="T2614">
        <v>1.4411764705882353</v>
      </c>
      <c r="U2614">
        <v>1.1888888888888889</v>
      </c>
    </row>
    <row r="2615" spans="1:21" x14ac:dyDescent="0.35">
      <c r="A2615">
        <v>760</v>
      </c>
      <c r="B2615" s="16">
        <v>40603</v>
      </c>
      <c r="C2615" s="15" t="s">
        <v>76</v>
      </c>
      <c r="D2615" s="15" t="s">
        <v>38</v>
      </c>
      <c r="E2615" s="15" t="s">
        <v>54</v>
      </c>
      <c r="F2615" s="15" t="s">
        <v>52</v>
      </c>
      <c r="G2615" s="15" t="s">
        <v>78</v>
      </c>
      <c r="H2615" s="15" t="s">
        <v>45</v>
      </c>
      <c r="I2615">
        <v>70</v>
      </c>
      <c r="J2615">
        <v>90</v>
      </c>
      <c r="K2615">
        <v>60</v>
      </c>
      <c r="L2615">
        <v>160</v>
      </c>
      <c r="M2615">
        <v>84</v>
      </c>
      <c r="N2615">
        <v>603</v>
      </c>
      <c r="O2615">
        <v>109</v>
      </c>
      <c r="P2615">
        <v>27</v>
      </c>
      <c r="Q2615">
        <v>102</v>
      </c>
      <c r="R2615">
        <v>206</v>
      </c>
      <c r="S2615">
        <v>1.2875000000000001</v>
      </c>
      <c r="T2615">
        <v>1.7</v>
      </c>
      <c r="U2615">
        <v>1.2</v>
      </c>
    </row>
    <row r="2616" spans="1:21" x14ac:dyDescent="0.35">
      <c r="A2616">
        <v>510</v>
      </c>
      <c r="B2616" s="16">
        <v>40603</v>
      </c>
      <c r="C2616" s="15" t="s">
        <v>76</v>
      </c>
      <c r="D2616" s="15" t="s">
        <v>38</v>
      </c>
      <c r="E2616" s="15" t="s">
        <v>55</v>
      </c>
      <c r="F2616" s="15" t="s">
        <v>47</v>
      </c>
      <c r="G2616" s="15" t="s">
        <v>78</v>
      </c>
      <c r="H2616" s="15" t="s">
        <v>42</v>
      </c>
      <c r="I2616">
        <v>50</v>
      </c>
      <c r="J2616">
        <v>90</v>
      </c>
      <c r="K2616">
        <v>80</v>
      </c>
      <c r="L2616">
        <v>140</v>
      </c>
      <c r="M2616">
        <v>87</v>
      </c>
      <c r="N2616">
        <v>756</v>
      </c>
      <c r="O2616">
        <v>126</v>
      </c>
      <c r="P2616">
        <v>24</v>
      </c>
      <c r="Q2616">
        <v>135</v>
      </c>
      <c r="R2616">
        <v>227</v>
      </c>
      <c r="S2616">
        <v>1.6214285714285714</v>
      </c>
      <c r="T2616">
        <v>1.6875</v>
      </c>
      <c r="U2616">
        <v>1.74</v>
      </c>
    </row>
    <row r="2617" spans="1:21" x14ac:dyDescent="0.35">
      <c r="A2617">
        <v>916</v>
      </c>
      <c r="B2617" s="16">
        <v>40603</v>
      </c>
      <c r="C2617" s="15" t="s">
        <v>76</v>
      </c>
      <c r="D2617" s="15" t="s">
        <v>38</v>
      </c>
      <c r="E2617" s="15" t="s">
        <v>56</v>
      </c>
      <c r="F2617" s="15" t="s">
        <v>47</v>
      </c>
      <c r="G2617" s="15" t="s">
        <v>78</v>
      </c>
      <c r="H2617" s="15" t="s">
        <v>42</v>
      </c>
      <c r="I2617">
        <v>50</v>
      </c>
      <c r="J2617">
        <v>80</v>
      </c>
      <c r="K2617">
        <v>70</v>
      </c>
      <c r="L2617">
        <v>130</v>
      </c>
      <c r="M2617">
        <v>81</v>
      </c>
      <c r="N2617">
        <v>441</v>
      </c>
      <c r="O2617">
        <v>117</v>
      </c>
      <c r="P2617">
        <v>22</v>
      </c>
      <c r="Q2617">
        <v>125</v>
      </c>
      <c r="R2617">
        <v>211</v>
      </c>
      <c r="S2617">
        <v>1.6230769230769231</v>
      </c>
      <c r="T2617">
        <v>1.7857142857142858</v>
      </c>
      <c r="U2617">
        <v>1.62</v>
      </c>
    </row>
    <row r="2618" spans="1:21" x14ac:dyDescent="0.35">
      <c r="A2618">
        <v>818</v>
      </c>
      <c r="B2618" s="16">
        <v>40603</v>
      </c>
      <c r="C2618" s="15" t="s">
        <v>76</v>
      </c>
      <c r="D2618" s="15" t="s">
        <v>38</v>
      </c>
      <c r="E2618" s="15" t="s">
        <v>46</v>
      </c>
      <c r="F2618" s="15" t="s">
        <v>47</v>
      </c>
      <c r="G2618" s="15" t="s">
        <v>78</v>
      </c>
      <c r="H2618" s="15" t="s">
        <v>42</v>
      </c>
      <c r="I2618">
        <v>40</v>
      </c>
      <c r="J2618">
        <v>80</v>
      </c>
      <c r="K2618">
        <v>50</v>
      </c>
      <c r="L2618">
        <v>120</v>
      </c>
      <c r="M2618">
        <v>72</v>
      </c>
      <c r="N2618">
        <v>541</v>
      </c>
      <c r="O2618">
        <v>108</v>
      </c>
      <c r="P2618">
        <v>23</v>
      </c>
      <c r="Q2618">
        <v>80</v>
      </c>
      <c r="R2618">
        <v>192</v>
      </c>
      <c r="S2618">
        <v>1.6</v>
      </c>
      <c r="T2618">
        <v>1.6</v>
      </c>
      <c r="U2618">
        <v>1.8</v>
      </c>
    </row>
    <row r="2619" spans="1:21" x14ac:dyDescent="0.35">
      <c r="A2619">
        <v>323</v>
      </c>
      <c r="B2619" s="16">
        <v>40603</v>
      </c>
      <c r="C2619" s="15" t="s">
        <v>76</v>
      </c>
      <c r="D2619" s="15" t="s">
        <v>38</v>
      </c>
      <c r="E2619" s="15" t="s">
        <v>48</v>
      </c>
      <c r="F2619" s="15" t="s">
        <v>49</v>
      </c>
      <c r="G2619" s="15" t="s">
        <v>78</v>
      </c>
      <c r="H2619" s="15" t="s">
        <v>42</v>
      </c>
      <c r="I2619">
        <v>120</v>
      </c>
      <c r="J2619">
        <v>160</v>
      </c>
      <c r="K2619">
        <v>30</v>
      </c>
      <c r="L2619">
        <v>280</v>
      </c>
      <c r="M2619">
        <v>125</v>
      </c>
      <c r="N2619">
        <v>700</v>
      </c>
      <c r="O2619">
        <v>173</v>
      </c>
      <c r="P2619">
        <v>113</v>
      </c>
      <c r="Q2619">
        <v>40</v>
      </c>
      <c r="R2619">
        <v>318</v>
      </c>
      <c r="S2619">
        <v>1.1357142857142857</v>
      </c>
      <c r="T2619">
        <v>1.3333333333333333</v>
      </c>
      <c r="U2619">
        <v>1.0416666666666667</v>
      </c>
    </row>
    <row r="2620" spans="1:21" x14ac:dyDescent="0.35">
      <c r="A2620">
        <v>323</v>
      </c>
      <c r="B2620" s="16">
        <v>40603</v>
      </c>
      <c r="C2620" s="15" t="s">
        <v>76</v>
      </c>
      <c r="D2620" s="15" t="s">
        <v>38</v>
      </c>
      <c r="E2620" s="15" t="s">
        <v>50</v>
      </c>
      <c r="F2620" s="15" t="s">
        <v>49</v>
      </c>
      <c r="G2620" s="15" t="s">
        <v>78</v>
      </c>
      <c r="H2620" s="15" t="s">
        <v>45</v>
      </c>
      <c r="I2620">
        <v>230</v>
      </c>
      <c r="J2620">
        <v>310</v>
      </c>
      <c r="K2620">
        <v>210</v>
      </c>
      <c r="L2620">
        <v>540</v>
      </c>
      <c r="M2620">
        <v>243</v>
      </c>
      <c r="N2620">
        <v>1260</v>
      </c>
      <c r="O2620">
        <v>324</v>
      </c>
      <c r="P2620">
        <v>80</v>
      </c>
      <c r="Q2620">
        <v>313</v>
      </c>
      <c r="R2620">
        <v>604</v>
      </c>
      <c r="S2620">
        <v>1.1185185185185185</v>
      </c>
      <c r="T2620">
        <v>1.4904761904761905</v>
      </c>
      <c r="U2620">
        <v>1.0565217391304347</v>
      </c>
    </row>
    <row r="2621" spans="1:21" x14ac:dyDescent="0.35">
      <c r="A2621">
        <v>916</v>
      </c>
      <c r="B2621" s="16">
        <v>40603</v>
      </c>
      <c r="C2621" s="15" t="s">
        <v>76</v>
      </c>
      <c r="D2621" s="15" t="s">
        <v>38</v>
      </c>
      <c r="E2621" s="15" t="s">
        <v>39</v>
      </c>
      <c r="F2621" s="15" t="s">
        <v>40</v>
      </c>
      <c r="G2621" s="15" t="s">
        <v>78</v>
      </c>
      <c r="H2621" s="15" t="s">
        <v>42</v>
      </c>
      <c r="I2621">
        <v>130</v>
      </c>
      <c r="J2621">
        <v>20</v>
      </c>
      <c r="K2621">
        <v>-30</v>
      </c>
      <c r="L2621">
        <v>150</v>
      </c>
      <c r="M2621">
        <v>109</v>
      </c>
      <c r="N2621">
        <v>796</v>
      </c>
      <c r="O2621">
        <v>16</v>
      </c>
      <c r="P2621">
        <v>34</v>
      </c>
      <c r="Q2621">
        <v>-61</v>
      </c>
      <c r="R2621">
        <v>133</v>
      </c>
      <c r="S2621">
        <v>0.88666666666666671</v>
      </c>
      <c r="T2621">
        <v>2.0333333333333332</v>
      </c>
      <c r="U2621">
        <v>0.83846153846153848</v>
      </c>
    </row>
    <row r="2622" spans="1:21" x14ac:dyDescent="0.35">
      <c r="A2622">
        <v>858</v>
      </c>
      <c r="B2622" s="16">
        <v>40603</v>
      </c>
      <c r="C2622" s="15" t="s">
        <v>76</v>
      </c>
      <c r="D2622" s="15" t="s">
        <v>38</v>
      </c>
      <c r="E2622" s="15" t="s">
        <v>43</v>
      </c>
      <c r="F2622" s="15" t="s">
        <v>40</v>
      </c>
      <c r="G2622" s="15" t="s">
        <v>78</v>
      </c>
      <c r="H2622" s="15" t="s">
        <v>42</v>
      </c>
      <c r="I2622">
        <v>340</v>
      </c>
      <c r="J2622">
        <v>500</v>
      </c>
      <c r="K2622">
        <v>370</v>
      </c>
      <c r="L2622">
        <v>840</v>
      </c>
      <c r="M2622">
        <v>270</v>
      </c>
      <c r="N2622">
        <v>2041</v>
      </c>
      <c r="O2622">
        <v>405</v>
      </c>
      <c r="P2622">
        <v>94</v>
      </c>
      <c r="Q2622">
        <v>384</v>
      </c>
      <c r="R2622">
        <v>719</v>
      </c>
      <c r="S2622">
        <v>0.85595238095238091</v>
      </c>
      <c r="T2622">
        <v>1.0378378378378379</v>
      </c>
      <c r="U2622">
        <v>0.79411764705882348</v>
      </c>
    </row>
    <row r="2623" spans="1:21" x14ac:dyDescent="0.35">
      <c r="A2623">
        <v>408</v>
      </c>
      <c r="B2623" s="16">
        <v>40603</v>
      </c>
      <c r="C2623" s="15" t="s">
        <v>76</v>
      </c>
      <c r="D2623" s="15" t="s">
        <v>38</v>
      </c>
      <c r="E2623" s="15" t="s">
        <v>44</v>
      </c>
      <c r="F2623" s="15" t="s">
        <v>40</v>
      </c>
      <c r="G2623" s="15" t="s">
        <v>78</v>
      </c>
      <c r="H2623" s="15" t="s">
        <v>45</v>
      </c>
      <c r="I2623">
        <v>190</v>
      </c>
      <c r="J2623">
        <v>-40</v>
      </c>
      <c r="K2623">
        <v>-120</v>
      </c>
      <c r="L2623">
        <v>150</v>
      </c>
      <c r="M2623">
        <v>154</v>
      </c>
      <c r="N2623">
        <v>1288</v>
      </c>
      <c r="O2623">
        <v>-27</v>
      </c>
      <c r="P2623">
        <v>50</v>
      </c>
      <c r="Q2623">
        <v>-180</v>
      </c>
      <c r="R2623">
        <v>135</v>
      </c>
      <c r="S2623">
        <v>0.9</v>
      </c>
      <c r="T2623">
        <v>1.5</v>
      </c>
      <c r="U2623">
        <v>0.81052631578947365</v>
      </c>
    </row>
    <row r="2624" spans="1:21" x14ac:dyDescent="0.35">
      <c r="A2624">
        <v>310</v>
      </c>
      <c r="B2624" s="16">
        <v>40603</v>
      </c>
      <c r="C2624" s="15" t="s">
        <v>76</v>
      </c>
      <c r="D2624" s="15" t="s">
        <v>38</v>
      </c>
      <c r="E2624" s="15" t="s">
        <v>72</v>
      </c>
      <c r="F2624" s="15" t="s">
        <v>49</v>
      </c>
      <c r="G2624" s="15" t="s">
        <v>78</v>
      </c>
      <c r="H2624" s="15" t="s">
        <v>42</v>
      </c>
      <c r="I2624">
        <v>220</v>
      </c>
      <c r="J2624">
        <v>230</v>
      </c>
      <c r="K2624">
        <v>150</v>
      </c>
      <c r="L2624">
        <v>450</v>
      </c>
      <c r="M2624">
        <v>239</v>
      </c>
      <c r="N2624">
        <v>1417</v>
      </c>
      <c r="O2624">
        <v>239</v>
      </c>
      <c r="P2624">
        <v>66</v>
      </c>
      <c r="Q2624">
        <v>221</v>
      </c>
      <c r="R2624">
        <v>509</v>
      </c>
      <c r="S2624">
        <v>1.1311111111111112</v>
      </c>
      <c r="T2624">
        <v>1.4733333333333334</v>
      </c>
      <c r="U2624">
        <v>1.0863636363636364</v>
      </c>
    </row>
    <row r="2625" spans="1:21" x14ac:dyDescent="0.35">
      <c r="A2625">
        <v>775</v>
      </c>
      <c r="B2625" s="16">
        <v>40603</v>
      </c>
      <c r="C2625" s="15" t="s">
        <v>76</v>
      </c>
      <c r="D2625" s="15" t="s">
        <v>58</v>
      </c>
      <c r="E2625" s="15" t="s">
        <v>51</v>
      </c>
      <c r="F2625" s="15" t="s">
        <v>52</v>
      </c>
      <c r="G2625" s="15" t="s">
        <v>79</v>
      </c>
      <c r="H2625" s="15" t="s">
        <v>45</v>
      </c>
      <c r="I2625">
        <v>100</v>
      </c>
      <c r="J2625">
        <v>160</v>
      </c>
      <c r="K2625">
        <v>50</v>
      </c>
      <c r="L2625">
        <v>260</v>
      </c>
      <c r="M2625">
        <v>125</v>
      </c>
      <c r="N2625">
        <v>700</v>
      </c>
      <c r="O2625">
        <v>173</v>
      </c>
      <c r="P2625">
        <v>113</v>
      </c>
      <c r="Q2625">
        <v>40</v>
      </c>
      <c r="R2625">
        <v>318</v>
      </c>
      <c r="S2625">
        <v>1.2230769230769232</v>
      </c>
      <c r="T2625">
        <v>0.8</v>
      </c>
      <c r="U2625">
        <v>1.25</v>
      </c>
    </row>
    <row r="2626" spans="1:21" x14ac:dyDescent="0.35">
      <c r="A2626">
        <v>702</v>
      </c>
      <c r="B2626" s="16">
        <v>40603</v>
      </c>
      <c r="C2626" s="15" t="s">
        <v>76</v>
      </c>
      <c r="D2626" s="15" t="s">
        <v>58</v>
      </c>
      <c r="E2626" s="15" t="s">
        <v>53</v>
      </c>
      <c r="F2626" s="15" t="s">
        <v>52</v>
      </c>
      <c r="G2626" s="15" t="s">
        <v>79</v>
      </c>
      <c r="H2626" s="15" t="s">
        <v>45</v>
      </c>
      <c r="I2626">
        <v>130</v>
      </c>
      <c r="J2626">
        <v>190</v>
      </c>
      <c r="K2626">
        <v>120</v>
      </c>
      <c r="L2626">
        <v>320</v>
      </c>
      <c r="M2626">
        <v>154</v>
      </c>
      <c r="N2626">
        <v>829</v>
      </c>
      <c r="O2626">
        <v>213</v>
      </c>
      <c r="P2626">
        <v>50</v>
      </c>
      <c r="Q2626">
        <v>177</v>
      </c>
      <c r="R2626">
        <v>391</v>
      </c>
      <c r="S2626">
        <v>1.221875</v>
      </c>
      <c r="T2626">
        <v>1.4750000000000001</v>
      </c>
      <c r="U2626">
        <v>1.1846153846153846</v>
      </c>
    </row>
    <row r="2627" spans="1:21" x14ac:dyDescent="0.35">
      <c r="A2627">
        <v>775</v>
      </c>
      <c r="B2627" s="16">
        <v>40603</v>
      </c>
      <c r="C2627" s="15" t="s">
        <v>76</v>
      </c>
      <c r="D2627" s="15" t="s">
        <v>58</v>
      </c>
      <c r="E2627" s="15" t="s">
        <v>54</v>
      </c>
      <c r="F2627" s="15" t="s">
        <v>52</v>
      </c>
      <c r="G2627" s="15" t="s">
        <v>79</v>
      </c>
      <c r="H2627" s="15" t="s">
        <v>45</v>
      </c>
      <c r="I2627">
        <v>90</v>
      </c>
      <c r="J2627">
        <v>140</v>
      </c>
      <c r="K2627">
        <v>110</v>
      </c>
      <c r="L2627">
        <v>230</v>
      </c>
      <c r="M2627">
        <v>109</v>
      </c>
      <c r="N2627">
        <v>585</v>
      </c>
      <c r="O2627">
        <v>158</v>
      </c>
      <c r="P2627">
        <v>34</v>
      </c>
      <c r="Q2627">
        <v>151</v>
      </c>
      <c r="R2627">
        <v>285</v>
      </c>
      <c r="S2627">
        <v>1.2391304347826086</v>
      </c>
      <c r="T2627">
        <v>1.3727272727272728</v>
      </c>
      <c r="U2627">
        <v>1.211111111111111</v>
      </c>
    </row>
    <row r="2628" spans="1:21" x14ac:dyDescent="0.35">
      <c r="A2628">
        <v>702</v>
      </c>
      <c r="B2628" s="16">
        <v>40603</v>
      </c>
      <c r="C2628" s="15" t="s">
        <v>76</v>
      </c>
      <c r="D2628" s="15" t="s">
        <v>58</v>
      </c>
      <c r="E2628" s="15" t="s">
        <v>55</v>
      </c>
      <c r="F2628" s="15" t="s">
        <v>47</v>
      </c>
      <c r="G2628" s="15" t="s">
        <v>79</v>
      </c>
      <c r="H2628" s="15" t="s">
        <v>42</v>
      </c>
      <c r="I2628">
        <v>160</v>
      </c>
      <c r="J2628">
        <v>220</v>
      </c>
      <c r="K2628">
        <v>150</v>
      </c>
      <c r="L2628">
        <v>380</v>
      </c>
      <c r="M2628">
        <v>243</v>
      </c>
      <c r="N2628">
        <v>1260</v>
      </c>
      <c r="O2628">
        <v>324</v>
      </c>
      <c r="P2628">
        <v>80</v>
      </c>
      <c r="Q2628">
        <v>315</v>
      </c>
      <c r="R2628">
        <v>604</v>
      </c>
      <c r="S2628">
        <v>1.5894736842105264</v>
      </c>
      <c r="T2628">
        <v>2.1</v>
      </c>
      <c r="U2628">
        <v>1.51875</v>
      </c>
    </row>
    <row r="2629" spans="1:21" x14ac:dyDescent="0.35">
      <c r="A2629">
        <v>775</v>
      </c>
      <c r="B2629" s="16">
        <v>40603</v>
      </c>
      <c r="C2629" s="15" t="s">
        <v>76</v>
      </c>
      <c r="D2629" s="15" t="s">
        <v>58</v>
      </c>
      <c r="E2629" s="15" t="s">
        <v>56</v>
      </c>
      <c r="F2629" s="15" t="s">
        <v>47</v>
      </c>
      <c r="G2629" s="15" t="s">
        <v>79</v>
      </c>
      <c r="H2629" s="15" t="s">
        <v>42</v>
      </c>
      <c r="I2629">
        <v>150</v>
      </c>
      <c r="J2629">
        <v>170</v>
      </c>
      <c r="K2629">
        <v>110</v>
      </c>
      <c r="L2629">
        <v>320</v>
      </c>
      <c r="M2629">
        <v>239</v>
      </c>
      <c r="N2629">
        <v>1417</v>
      </c>
      <c r="O2629">
        <v>239</v>
      </c>
      <c r="P2629">
        <v>66</v>
      </c>
      <c r="Q2629">
        <v>220</v>
      </c>
      <c r="R2629">
        <v>509</v>
      </c>
      <c r="S2629">
        <v>1.590625</v>
      </c>
      <c r="T2629">
        <v>2</v>
      </c>
      <c r="U2629">
        <v>1.5933333333333333</v>
      </c>
    </row>
    <row r="2630" spans="1:21" x14ac:dyDescent="0.35">
      <c r="A2630">
        <v>775</v>
      </c>
      <c r="B2630" s="16">
        <v>40603</v>
      </c>
      <c r="C2630" s="15" t="s">
        <v>76</v>
      </c>
      <c r="D2630" s="15" t="s">
        <v>58</v>
      </c>
      <c r="E2630" s="15" t="s">
        <v>46</v>
      </c>
      <c r="F2630" s="15" t="s">
        <v>47</v>
      </c>
      <c r="G2630" s="15" t="s">
        <v>79</v>
      </c>
      <c r="H2630" s="15" t="s">
        <v>42</v>
      </c>
      <c r="I2630">
        <v>160</v>
      </c>
      <c r="J2630">
        <v>-160</v>
      </c>
      <c r="K2630">
        <v>-240</v>
      </c>
      <c r="L2630">
        <v>0</v>
      </c>
      <c r="M2630">
        <v>245</v>
      </c>
      <c r="N2630">
        <v>2449</v>
      </c>
      <c r="O2630">
        <v>-245</v>
      </c>
      <c r="P2630">
        <v>93</v>
      </c>
      <c r="Q2630">
        <v>-505</v>
      </c>
      <c r="R2630">
        <v>34</v>
      </c>
      <c r="T2630">
        <v>2.1041666666666665</v>
      </c>
      <c r="U2630">
        <v>1.53125</v>
      </c>
    </row>
    <row r="2631" spans="1:21" x14ac:dyDescent="0.35">
      <c r="A2631">
        <v>775</v>
      </c>
      <c r="B2631" s="16">
        <v>40603</v>
      </c>
      <c r="C2631" s="15" t="s">
        <v>76</v>
      </c>
      <c r="D2631" s="15" t="s">
        <v>58</v>
      </c>
      <c r="E2631" s="15" t="s">
        <v>72</v>
      </c>
      <c r="F2631" s="15" t="s">
        <v>49</v>
      </c>
      <c r="G2631" s="15" t="s">
        <v>79</v>
      </c>
      <c r="H2631" s="15" t="s">
        <v>42</v>
      </c>
      <c r="I2631">
        <v>0</v>
      </c>
      <c r="J2631">
        <v>40</v>
      </c>
      <c r="K2631">
        <v>30</v>
      </c>
      <c r="L2631">
        <v>40</v>
      </c>
      <c r="M2631">
        <v>0</v>
      </c>
      <c r="N2631">
        <v>731</v>
      </c>
      <c r="O2631">
        <v>43</v>
      </c>
      <c r="P2631">
        <v>0</v>
      </c>
      <c r="Q2631">
        <v>46</v>
      </c>
      <c r="R2631">
        <v>46</v>
      </c>
      <c r="S2631">
        <v>1.1499999999999999</v>
      </c>
      <c r="T2631">
        <v>1.5333333333333334</v>
      </c>
    </row>
    <row r="2632" spans="1:21" x14ac:dyDescent="0.35">
      <c r="A2632">
        <v>702</v>
      </c>
      <c r="B2632" s="16">
        <v>40603</v>
      </c>
      <c r="C2632" s="15" t="s">
        <v>76</v>
      </c>
      <c r="D2632" s="15" t="s">
        <v>58</v>
      </c>
      <c r="E2632" s="15" t="s">
        <v>48</v>
      </c>
      <c r="F2632" s="15" t="s">
        <v>49</v>
      </c>
      <c r="G2632" s="15" t="s">
        <v>79</v>
      </c>
      <c r="H2632" s="15" t="s">
        <v>42</v>
      </c>
      <c r="I2632">
        <v>10</v>
      </c>
      <c r="J2632">
        <v>30</v>
      </c>
      <c r="K2632">
        <v>20</v>
      </c>
      <c r="L2632">
        <v>40</v>
      </c>
      <c r="M2632">
        <v>18</v>
      </c>
      <c r="N2632">
        <v>816</v>
      </c>
      <c r="O2632">
        <v>27</v>
      </c>
      <c r="P2632">
        <v>5</v>
      </c>
      <c r="Q2632">
        <v>15</v>
      </c>
      <c r="R2632">
        <v>48</v>
      </c>
      <c r="S2632">
        <v>1.2</v>
      </c>
      <c r="T2632">
        <v>0.75</v>
      </c>
      <c r="U2632">
        <v>1.8</v>
      </c>
    </row>
    <row r="2633" spans="1:21" x14ac:dyDescent="0.35">
      <c r="A2633">
        <v>775</v>
      </c>
      <c r="B2633" s="16">
        <v>40603</v>
      </c>
      <c r="C2633" s="15" t="s">
        <v>76</v>
      </c>
      <c r="D2633" s="15" t="s">
        <v>58</v>
      </c>
      <c r="E2633" s="15" t="s">
        <v>50</v>
      </c>
      <c r="F2633" s="15" t="s">
        <v>49</v>
      </c>
      <c r="G2633" s="15" t="s">
        <v>79</v>
      </c>
      <c r="H2633" s="15" t="s">
        <v>45</v>
      </c>
      <c r="I2633">
        <v>10</v>
      </c>
      <c r="J2633">
        <v>20</v>
      </c>
      <c r="K2633">
        <v>10</v>
      </c>
      <c r="L2633">
        <v>30</v>
      </c>
      <c r="M2633">
        <v>16</v>
      </c>
      <c r="N2633">
        <v>772</v>
      </c>
      <c r="O2633">
        <v>25</v>
      </c>
      <c r="P2633">
        <v>4</v>
      </c>
      <c r="Q2633">
        <v>15</v>
      </c>
      <c r="R2633">
        <v>44</v>
      </c>
      <c r="S2633">
        <v>1.4666666666666666</v>
      </c>
      <c r="T2633">
        <v>1.5</v>
      </c>
      <c r="U2633">
        <v>1.6</v>
      </c>
    </row>
    <row r="2634" spans="1:21" x14ac:dyDescent="0.35">
      <c r="A2634">
        <v>702</v>
      </c>
      <c r="B2634" s="16">
        <v>40603</v>
      </c>
      <c r="C2634" s="15" t="s">
        <v>76</v>
      </c>
      <c r="D2634" s="15" t="s">
        <v>58</v>
      </c>
      <c r="E2634" s="15" t="s">
        <v>43</v>
      </c>
      <c r="F2634" s="15" t="s">
        <v>40</v>
      </c>
      <c r="G2634" s="15" t="s">
        <v>79</v>
      </c>
      <c r="H2634" s="15" t="s">
        <v>42</v>
      </c>
      <c r="I2634">
        <v>40</v>
      </c>
      <c r="J2634">
        <v>50</v>
      </c>
      <c r="K2634">
        <v>10</v>
      </c>
      <c r="L2634">
        <v>90</v>
      </c>
      <c r="M2634">
        <v>33</v>
      </c>
      <c r="N2634">
        <v>190</v>
      </c>
      <c r="O2634">
        <v>42</v>
      </c>
      <c r="P2634">
        <v>12</v>
      </c>
      <c r="Q2634">
        <v>-6</v>
      </c>
      <c r="R2634">
        <v>80</v>
      </c>
      <c r="S2634">
        <v>0.88888888888888884</v>
      </c>
      <c r="T2634">
        <v>-0.6</v>
      </c>
      <c r="U2634">
        <v>0.82499999999999996</v>
      </c>
    </row>
    <row r="2635" spans="1:21" x14ac:dyDescent="0.35">
      <c r="A2635">
        <v>775</v>
      </c>
      <c r="B2635" s="16">
        <v>40603</v>
      </c>
      <c r="C2635" s="15" t="s">
        <v>76</v>
      </c>
      <c r="D2635" s="15" t="s">
        <v>58</v>
      </c>
      <c r="E2635" s="15" t="s">
        <v>44</v>
      </c>
      <c r="F2635" s="15" t="s">
        <v>40</v>
      </c>
      <c r="G2635" s="15" t="s">
        <v>79</v>
      </c>
      <c r="H2635" s="15" t="s">
        <v>45</v>
      </c>
      <c r="I2635">
        <v>30</v>
      </c>
      <c r="J2635">
        <v>40</v>
      </c>
      <c r="K2635">
        <v>20</v>
      </c>
      <c r="L2635">
        <v>70</v>
      </c>
      <c r="M2635">
        <v>28</v>
      </c>
      <c r="N2635">
        <v>958</v>
      </c>
      <c r="O2635">
        <v>35</v>
      </c>
      <c r="P2635">
        <v>8</v>
      </c>
      <c r="Q2635">
        <v>9</v>
      </c>
      <c r="R2635">
        <v>67</v>
      </c>
      <c r="S2635">
        <v>0.95714285714285718</v>
      </c>
      <c r="T2635">
        <v>0.45</v>
      </c>
      <c r="U2635">
        <v>0.93333333333333335</v>
      </c>
    </row>
    <row r="2636" spans="1:21" x14ac:dyDescent="0.35">
      <c r="A2636">
        <v>503</v>
      </c>
      <c r="B2636" s="16">
        <v>40603</v>
      </c>
      <c r="C2636" s="15" t="s">
        <v>76</v>
      </c>
      <c r="D2636" s="15" t="s">
        <v>58</v>
      </c>
      <c r="E2636" s="15" t="s">
        <v>51</v>
      </c>
      <c r="F2636" s="15" t="s">
        <v>52</v>
      </c>
      <c r="G2636" s="15" t="s">
        <v>80</v>
      </c>
      <c r="H2636" s="15" t="s">
        <v>45</v>
      </c>
      <c r="I2636">
        <v>30</v>
      </c>
      <c r="J2636">
        <v>50</v>
      </c>
      <c r="K2636">
        <v>50</v>
      </c>
      <c r="L2636">
        <v>80</v>
      </c>
      <c r="M2636">
        <v>37</v>
      </c>
      <c r="N2636">
        <v>768</v>
      </c>
      <c r="O2636">
        <v>55</v>
      </c>
      <c r="P2636">
        <v>10</v>
      </c>
      <c r="Q2636">
        <v>49</v>
      </c>
      <c r="R2636">
        <v>98</v>
      </c>
      <c r="S2636">
        <v>1.2250000000000001</v>
      </c>
      <c r="T2636">
        <v>0.98</v>
      </c>
      <c r="U2636">
        <v>1.2333333333333334</v>
      </c>
    </row>
    <row r="2637" spans="1:21" x14ac:dyDescent="0.35">
      <c r="A2637">
        <v>503</v>
      </c>
      <c r="B2637" s="16">
        <v>40603</v>
      </c>
      <c r="C2637" s="15" t="s">
        <v>76</v>
      </c>
      <c r="D2637" s="15" t="s">
        <v>58</v>
      </c>
      <c r="E2637" s="15" t="s">
        <v>53</v>
      </c>
      <c r="F2637" s="15" t="s">
        <v>52</v>
      </c>
      <c r="G2637" s="15" t="s">
        <v>80</v>
      </c>
      <c r="H2637" s="15" t="s">
        <v>45</v>
      </c>
      <c r="I2637">
        <v>30</v>
      </c>
      <c r="J2637">
        <v>50</v>
      </c>
      <c r="K2637">
        <v>30</v>
      </c>
      <c r="L2637">
        <v>80</v>
      </c>
      <c r="M2637">
        <v>43</v>
      </c>
      <c r="N2637">
        <v>613</v>
      </c>
      <c r="O2637">
        <v>55</v>
      </c>
      <c r="P2637">
        <v>14</v>
      </c>
      <c r="Q2637">
        <v>43</v>
      </c>
      <c r="R2637">
        <v>104</v>
      </c>
      <c r="S2637">
        <v>1.3</v>
      </c>
      <c r="T2637">
        <v>1.4333333333333333</v>
      </c>
      <c r="U2637">
        <v>1.4333333333333333</v>
      </c>
    </row>
    <row r="2638" spans="1:21" x14ac:dyDescent="0.35">
      <c r="A2638">
        <v>541</v>
      </c>
      <c r="B2638" s="16">
        <v>40603</v>
      </c>
      <c r="C2638" s="15" t="s">
        <v>76</v>
      </c>
      <c r="D2638" s="15" t="s">
        <v>58</v>
      </c>
      <c r="E2638" s="15" t="s">
        <v>55</v>
      </c>
      <c r="F2638" s="15" t="s">
        <v>47</v>
      </c>
      <c r="G2638" s="15" t="s">
        <v>80</v>
      </c>
      <c r="H2638" s="15" t="s">
        <v>42</v>
      </c>
      <c r="I2638">
        <v>10</v>
      </c>
      <c r="J2638">
        <v>20</v>
      </c>
      <c r="K2638">
        <v>20</v>
      </c>
      <c r="L2638">
        <v>30</v>
      </c>
      <c r="M2638">
        <v>21</v>
      </c>
      <c r="N2638">
        <v>449</v>
      </c>
      <c r="O2638">
        <v>32</v>
      </c>
      <c r="P2638">
        <v>5</v>
      </c>
      <c r="Q2638">
        <v>24</v>
      </c>
      <c r="R2638">
        <v>56</v>
      </c>
      <c r="S2638">
        <v>1.8666666666666667</v>
      </c>
      <c r="T2638">
        <v>1.2</v>
      </c>
      <c r="U2638">
        <v>2.1</v>
      </c>
    </row>
    <row r="2639" spans="1:21" x14ac:dyDescent="0.35">
      <c r="A2639">
        <v>971</v>
      </c>
      <c r="B2639" s="16">
        <v>40603</v>
      </c>
      <c r="C2639" s="15" t="s">
        <v>76</v>
      </c>
      <c r="D2639" s="15" t="s">
        <v>58</v>
      </c>
      <c r="E2639" s="15" t="s">
        <v>56</v>
      </c>
      <c r="F2639" s="15" t="s">
        <v>47</v>
      </c>
      <c r="G2639" s="15" t="s">
        <v>80</v>
      </c>
      <c r="H2639" s="15" t="s">
        <v>42</v>
      </c>
      <c r="I2639">
        <v>50</v>
      </c>
      <c r="J2639">
        <v>90</v>
      </c>
      <c r="K2639">
        <v>60</v>
      </c>
      <c r="L2639">
        <v>140</v>
      </c>
      <c r="M2639">
        <v>84</v>
      </c>
      <c r="N2639">
        <v>632</v>
      </c>
      <c r="O2639">
        <v>126</v>
      </c>
      <c r="P2639">
        <v>27</v>
      </c>
      <c r="Q2639">
        <v>101</v>
      </c>
      <c r="R2639">
        <v>224</v>
      </c>
      <c r="S2639">
        <v>1.6</v>
      </c>
      <c r="T2639">
        <v>1.6833333333333333</v>
      </c>
      <c r="U2639">
        <v>1.68</v>
      </c>
    </row>
    <row r="2640" spans="1:21" x14ac:dyDescent="0.35">
      <c r="A2640">
        <v>971</v>
      </c>
      <c r="B2640" s="16">
        <v>40603</v>
      </c>
      <c r="C2640" s="15" t="s">
        <v>76</v>
      </c>
      <c r="D2640" s="15" t="s">
        <v>58</v>
      </c>
      <c r="E2640" s="15" t="s">
        <v>46</v>
      </c>
      <c r="F2640" s="15" t="s">
        <v>47</v>
      </c>
      <c r="G2640" s="15" t="s">
        <v>80</v>
      </c>
      <c r="H2640" s="15" t="s">
        <v>42</v>
      </c>
      <c r="I2640">
        <v>50</v>
      </c>
      <c r="J2640">
        <v>90</v>
      </c>
      <c r="K2640">
        <v>60</v>
      </c>
      <c r="L2640">
        <v>140</v>
      </c>
      <c r="M2640">
        <v>89</v>
      </c>
      <c r="N2640">
        <v>481</v>
      </c>
      <c r="O2640">
        <v>125</v>
      </c>
      <c r="P2640">
        <v>27</v>
      </c>
      <c r="Q2640">
        <v>110</v>
      </c>
      <c r="R2640">
        <v>228</v>
      </c>
      <c r="S2640">
        <v>1.6285714285714286</v>
      </c>
      <c r="T2640">
        <v>1.8333333333333333</v>
      </c>
      <c r="U2640">
        <v>1.78</v>
      </c>
    </row>
    <row r="2641" spans="1:21" x14ac:dyDescent="0.35">
      <c r="A2641">
        <v>503</v>
      </c>
      <c r="B2641" s="16">
        <v>40603</v>
      </c>
      <c r="C2641" s="15" t="s">
        <v>76</v>
      </c>
      <c r="D2641" s="15" t="s">
        <v>58</v>
      </c>
      <c r="E2641" s="15" t="s">
        <v>72</v>
      </c>
      <c r="F2641" s="15" t="s">
        <v>49</v>
      </c>
      <c r="G2641" s="15" t="s">
        <v>80</v>
      </c>
      <c r="H2641" s="15" t="s">
        <v>42</v>
      </c>
      <c r="I2641">
        <v>50</v>
      </c>
      <c r="J2641">
        <v>70</v>
      </c>
      <c r="K2641">
        <v>20</v>
      </c>
      <c r="L2641">
        <v>120</v>
      </c>
      <c r="M2641">
        <v>58</v>
      </c>
      <c r="N2641">
        <v>325</v>
      </c>
      <c r="O2641">
        <v>71</v>
      </c>
      <c r="P2641">
        <v>22</v>
      </c>
      <c r="Q2641">
        <v>22</v>
      </c>
      <c r="R2641">
        <v>137</v>
      </c>
      <c r="S2641">
        <v>1.1416666666666666</v>
      </c>
      <c r="T2641">
        <v>1.1000000000000001</v>
      </c>
      <c r="U2641">
        <v>1.1599999999999999</v>
      </c>
    </row>
    <row r="2642" spans="1:21" x14ac:dyDescent="0.35">
      <c r="A2642">
        <v>503</v>
      </c>
      <c r="B2642" s="16">
        <v>40603</v>
      </c>
      <c r="C2642" s="15" t="s">
        <v>76</v>
      </c>
      <c r="D2642" s="15" t="s">
        <v>58</v>
      </c>
      <c r="E2642" s="15" t="s">
        <v>48</v>
      </c>
      <c r="F2642" s="15" t="s">
        <v>49</v>
      </c>
      <c r="G2642" s="15" t="s">
        <v>80</v>
      </c>
      <c r="H2642" s="15" t="s">
        <v>42</v>
      </c>
      <c r="I2642">
        <v>50</v>
      </c>
      <c r="J2642">
        <v>70</v>
      </c>
      <c r="K2642">
        <v>40</v>
      </c>
      <c r="L2642">
        <v>120</v>
      </c>
      <c r="M2642">
        <v>57</v>
      </c>
      <c r="N2642">
        <v>323</v>
      </c>
      <c r="O2642">
        <v>77</v>
      </c>
      <c r="P2642">
        <v>18</v>
      </c>
      <c r="Q2642">
        <v>47</v>
      </c>
      <c r="R2642">
        <v>143</v>
      </c>
      <c r="S2642">
        <v>1.1916666666666667</v>
      </c>
      <c r="T2642">
        <v>1.175</v>
      </c>
      <c r="U2642">
        <v>1.1399999999999999</v>
      </c>
    </row>
    <row r="2643" spans="1:21" x14ac:dyDescent="0.35">
      <c r="A2643">
        <v>503</v>
      </c>
      <c r="B2643" s="16">
        <v>40603</v>
      </c>
      <c r="C2643" s="15" t="s">
        <v>76</v>
      </c>
      <c r="D2643" s="15" t="s">
        <v>58</v>
      </c>
      <c r="E2643" s="15" t="s">
        <v>50</v>
      </c>
      <c r="F2643" s="15" t="s">
        <v>49</v>
      </c>
      <c r="G2643" s="15" t="s">
        <v>80</v>
      </c>
      <c r="H2643" s="15" t="s">
        <v>45</v>
      </c>
      <c r="I2643">
        <v>150</v>
      </c>
      <c r="J2643">
        <v>160</v>
      </c>
      <c r="K2643">
        <v>100</v>
      </c>
      <c r="L2643">
        <v>310</v>
      </c>
      <c r="M2643">
        <v>162</v>
      </c>
      <c r="N2643">
        <v>1059</v>
      </c>
      <c r="O2643">
        <v>163</v>
      </c>
      <c r="P2643">
        <v>45</v>
      </c>
      <c r="Q2643">
        <v>140</v>
      </c>
      <c r="R2643">
        <v>346</v>
      </c>
      <c r="S2643">
        <v>1.1161290322580646</v>
      </c>
      <c r="T2643">
        <v>1.4</v>
      </c>
      <c r="U2643">
        <v>1.08</v>
      </c>
    </row>
    <row r="2644" spans="1:21" x14ac:dyDescent="0.35">
      <c r="A2644">
        <v>971</v>
      </c>
      <c r="B2644" s="16">
        <v>40603</v>
      </c>
      <c r="C2644" s="15" t="s">
        <v>76</v>
      </c>
      <c r="D2644" s="15" t="s">
        <v>58</v>
      </c>
      <c r="E2644" s="15" t="s">
        <v>39</v>
      </c>
      <c r="F2644" s="15" t="s">
        <v>40</v>
      </c>
      <c r="G2644" s="15" t="s">
        <v>80</v>
      </c>
      <c r="H2644" s="15" t="s">
        <v>42</v>
      </c>
      <c r="I2644">
        <v>60</v>
      </c>
      <c r="J2644">
        <v>90</v>
      </c>
      <c r="K2644">
        <v>30</v>
      </c>
      <c r="L2644">
        <v>150</v>
      </c>
      <c r="M2644">
        <v>52</v>
      </c>
      <c r="N2644">
        <v>421</v>
      </c>
      <c r="O2644">
        <v>73</v>
      </c>
      <c r="P2644">
        <v>47</v>
      </c>
      <c r="Q2644">
        <v>-4</v>
      </c>
      <c r="R2644">
        <v>133</v>
      </c>
      <c r="S2644">
        <v>0.88666666666666671</v>
      </c>
      <c r="T2644">
        <v>-0.13333333333333333</v>
      </c>
      <c r="U2644">
        <v>0.8666666666666667</v>
      </c>
    </row>
    <row r="2645" spans="1:21" x14ac:dyDescent="0.35">
      <c r="A2645">
        <v>971</v>
      </c>
      <c r="B2645" s="16">
        <v>40603</v>
      </c>
      <c r="C2645" s="15" t="s">
        <v>76</v>
      </c>
      <c r="D2645" s="15" t="s">
        <v>58</v>
      </c>
      <c r="E2645" s="15" t="s">
        <v>43</v>
      </c>
      <c r="F2645" s="15" t="s">
        <v>40</v>
      </c>
      <c r="G2645" s="15" t="s">
        <v>80</v>
      </c>
      <c r="H2645" s="15" t="s">
        <v>42</v>
      </c>
      <c r="I2645">
        <v>70</v>
      </c>
      <c r="J2645">
        <v>110</v>
      </c>
      <c r="K2645">
        <v>60</v>
      </c>
      <c r="L2645">
        <v>180</v>
      </c>
      <c r="M2645">
        <v>62</v>
      </c>
      <c r="N2645">
        <v>385</v>
      </c>
      <c r="O2645">
        <v>87</v>
      </c>
      <c r="P2645">
        <v>20</v>
      </c>
      <c r="Q2645">
        <v>36</v>
      </c>
      <c r="R2645">
        <v>159</v>
      </c>
      <c r="S2645">
        <v>0.8833333333333333</v>
      </c>
      <c r="T2645">
        <v>0.6</v>
      </c>
      <c r="U2645">
        <v>0.88571428571428568</v>
      </c>
    </row>
    <row r="2646" spans="1:21" x14ac:dyDescent="0.35">
      <c r="A2646">
        <v>971</v>
      </c>
      <c r="B2646" s="16">
        <v>40603</v>
      </c>
      <c r="C2646" s="15" t="s">
        <v>76</v>
      </c>
      <c r="D2646" s="15" t="s">
        <v>58</v>
      </c>
      <c r="E2646" s="15" t="s">
        <v>44</v>
      </c>
      <c r="F2646" s="15" t="s">
        <v>40</v>
      </c>
      <c r="G2646" s="15" t="s">
        <v>80</v>
      </c>
      <c r="H2646" s="15" t="s">
        <v>45</v>
      </c>
      <c r="I2646">
        <v>60</v>
      </c>
      <c r="J2646">
        <v>90</v>
      </c>
      <c r="K2646">
        <v>60</v>
      </c>
      <c r="L2646">
        <v>150</v>
      </c>
      <c r="M2646">
        <v>49</v>
      </c>
      <c r="N2646">
        <v>351</v>
      </c>
      <c r="O2646">
        <v>72</v>
      </c>
      <c r="P2646">
        <v>15</v>
      </c>
      <c r="Q2646">
        <v>50</v>
      </c>
      <c r="R2646">
        <v>129</v>
      </c>
      <c r="S2646">
        <v>0.86</v>
      </c>
      <c r="T2646">
        <v>0.83333333333333337</v>
      </c>
      <c r="U2646">
        <v>0.81666666666666665</v>
      </c>
    </row>
    <row r="2647" spans="1:21" x14ac:dyDescent="0.35">
      <c r="A2647">
        <v>360</v>
      </c>
      <c r="B2647" s="16">
        <v>40603</v>
      </c>
      <c r="C2647" s="15" t="s">
        <v>76</v>
      </c>
      <c r="D2647" s="15" t="s">
        <v>58</v>
      </c>
      <c r="E2647" s="15" t="s">
        <v>51</v>
      </c>
      <c r="F2647" s="15" t="s">
        <v>52</v>
      </c>
      <c r="G2647" s="15" t="s">
        <v>81</v>
      </c>
      <c r="H2647" s="15" t="s">
        <v>45</v>
      </c>
      <c r="I2647">
        <v>100</v>
      </c>
      <c r="J2647">
        <v>170</v>
      </c>
      <c r="K2647">
        <v>120</v>
      </c>
      <c r="L2647">
        <v>270</v>
      </c>
      <c r="M2647">
        <v>123</v>
      </c>
      <c r="N2647">
        <v>932</v>
      </c>
      <c r="O2647">
        <v>186</v>
      </c>
      <c r="P2647">
        <v>40</v>
      </c>
      <c r="Q2647">
        <v>171</v>
      </c>
      <c r="R2647">
        <v>329</v>
      </c>
      <c r="S2647">
        <v>1.2185185185185186</v>
      </c>
      <c r="T2647">
        <v>1.425</v>
      </c>
      <c r="U2647">
        <v>1.23</v>
      </c>
    </row>
    <row r="2648" spans="1:21" x14ac:dyDescent="0.35">
      <c r="A2648">
        <v>509</v>
      </c>
      <c r="B2648" s="16">
        <v>40603</v>
      </c>
      <c r="C2648" s="15" t="s">
        <v>76</v>
      </c>
      <c r="D2648" s="15" t="s">
        <v>58</v>
      </c>
      <c r="E2648" s="15" t="s">
        <v>53</v>
      </c>
      <c r="F2648" s="15" t="s">
        <v>52</v>
      </c>
      <c r="G2648" s="15" t="s">
        <v>81</v>
      </c>
      <c r="H2648" s="15" t="s">
        <v>45</v>
      </c>
      <c r="I2648">
        <v>20</v>
      </c>
      <c r="J2648">
        <v>50</v>
      </c>
      <c r="K2648">
        <v>50</v>
      </c>
      <c r="L2648">
        <v>70</v>
      </c>
      <c r="M2648">
        <v>33</v>
      </c>
      <c r="N2648">
        <v>768</v>
      </c>
      <c r="O2648">
        <v>49</v>
      </c>
      <c r="P2648">
        <v>9</v>
      </c>
      <c r="Q2648">
        <v>43</v>
      </c>
      <c r="R2648">
        <v>87</v>
      </c>
      <c r="S2648">
        <v>1.2428571428571429</v>
      </c>
      <c r="T2648">
        <v>0.86</v>
      </c>
      <c r="U2648">
        <v>1.65</v>
      </c>
    </row>
    <row r="2649" spans="1:21" x14ac:dyDescent="0.35">
      <c r="A2649">
        <v>425</v>
      </c>
      <c r="B2649" s="16">
        <v>40603</v>
      </c>
      <c r="C2649" s="15" t="s">
        <v>76</v>
      </c>
      <c r="D2649" s="15" t="s">
        <v>58</v>
      </c>
      <c r="E2649" s="15" t="s">
        <v>55</v>
      </c>
      <c r="F2649" s="15" t="s">
        <v>47</v>
      </c>
      <c r="G2649" s="15" t="s">
        <v>81</v>
      </c>
      <c r="H2649" s="15" t="s">
        <v>42</v>
      </c>
      <c r="I2649">
        <v>40</v>
      </c>
      <c r="J2649">
        <v>70</v>
      </c>
      <c r="K2649">
        <v>40</v>
      </c>
      <c r="L2649">
        <v>110</v>
      </c>
      <c r="M2649">
        <v>62</v>
      </c>
      <c r="N2649">
        <v>346</v>
      </c>
      <c r="O2649">
        <v>105</v>
      </c>
      <c r="P2649">
        <v>19</v>
      </c>
      <c r="Q2649">
        <v>92</v>
      </c>
      <c r="R2649">
        <v>178</v>
      </c>
      <c r="S2649">
        <v>1.6181818181818182</v>
      </c>
      <c r="T2649">
        <v>2.2999999999999998</v>
      </c>
      <c r="U2649">
        <v>1.55</v>
      </c>
    </row>
    <row r="2650" spans="1:21" x14ac:dyDescent="0.35">
      <c r="A2650">
        <v>206</v>
      </c>
      <c r="B2650" s="16">
        <v>40603</v>
      </c>
      <c r="C2650" s="15" t="s">
        <v>76</v>
      </c>
      <c r="D2650" s="15" t="s">
        <v>58</v>
      </c>
      <c r="E2650" s="15" t="s">
        <v>56</v>
      </c>
      <c r="F2650" s="15" t="s">
        <v>47</v>
      </c>
      <c r="G2650" s="15" t="s">
        <v>81</v>
      </c>
      <c r="H2650" s="15" t="s">
        <v>42</v>
      </c>
      <c r="I2650">
        <v>30</v>
      </c>
      <c r="J2650">
        <v>50</v>
      </c>
      <c r="K2650">
        <v>30</v>
      </c>
      <c r="L2650">
        <v>80</v>
      </c>
      <c r="M2650">
        <v>52</v>
      </c>
      <c r="N2650">
        <v>376</v>
      </c>
      <c r="O2650">
        <v>77</v>
      </c>
      <c r="P2650">
        <v>16</v>
      </c>
      <c r="Q2650">
        <v>56</v>
      </c>
      <c r="R2650">
        <v>137</v>
      </c>
      <c r="S2650">
        <v>1.7124999999999999</v>
      </c>
      <c r="T2650">
        <v>1.8666666666666667</v>
      </c>
      <c r="U2650">
        <v>1.7333333333333334</v>
      </c>
    </row>
    <row r="2651" spans="1:21" x14ac:dyDescent="0.35">
      <c r="A2651">
        <v>360</v>
      </c>
      <c r="B2651" s="16">
        <v>40603</v>
      </c>
      <c r="C2651" s="15" t="s">
        <v>76</v>
      </c>
      <c r="D2651" s="15" t="s">
        <v>58</v>
      </c>
      <c r="E2651" s="15" t="s">
        <v>46</v>
      </c>
      <c r="F2651" s="15" t="s">
        <v>47</v>
      </c>
      <c r="G2651" s="15" t="s">
        <v>81</v>
      </c>
      <c r="H2651" s="15" t="s">
        <v>42</v>
      </c>
      <c r="I2651">
        <v>40</v>
      </c>
      <c r="J2651">
        <v>60</v>
      </c>
      <c r="K2651">
        <v>10</v>
      </c>
      <c r="L2651">
        <v>100</v>
      </c>
      <c r="M2651">
        <v>63</v>
      </c>
      <c r="N2651">
        <v>506</v>
      </c>
      <c r="O2651">
        <v>87</v>
      </c>
      <c r="P2651">
        <v>57</v>
      </c>
      <c r="Q2651">
        <v>0</v>
      </c>
      <c r="R2651">
        <v>160</v>
      </c>
      <c r="S2651">
        <v>1.6</v>
      </c>
      <c r="T2651">
        <v>0</v>
      </c>
      <c r="U2651">
        <v>1.575</v>
      </c>
    </row>
    <row r="2652" spans="1:21" x14ac:dyDescent="0.35">
      <c r="A2652">
        <v>425</v>
      </c>
      <c r="B2652" s="16">
        <v>40603</v>
      </c>
      <c r="C2652" s="15" t="s">
        <v>76</v>
      </c>
      <c r="D2652" s="15" t="s">
        <v>58</v>
      </c>
      <c r="E2652" s="15" t="s">
        <v>72</v>
      </c>
      <c r="F2652" s="15" t="s">
        <v>49</v>
      </c>
      <c r="G2652" s="15" t="s">
        <v>81</v>
      </c>
      <c r="H2652" s="15" t="s">
        <v>42</v>
      </c>
      <c r="I2652">
        <v>40</v>
      </c>
      <c r="J2652">
        <v>60</v>
      </c>
      <c r="K2652">
        <v>40</v>
      </c>
      <c r="L2652">
        <v>100</v>
      </c>
      <c r="M2652">
        <v>49</v>
      </c>
      <c r="N2652">
        <v>611</v>
      </c>
      <c r="O2652">
        <v>63</v>
      </c>
      <c r="P2652">
        <v>16</v>
      </c>
      <c r="Q2652">
        <v>52</v>
      </c>
      <c r="R2652">
        <v>119</v>
      </c>
      <c r="S2652">
        <v>1.19</v>
      </c>
      <c r="T2652">
        <v>1.3</v>
      </c>
      <c r="U2652">
        <v>1.2250000000000001</v>
      </c>
    </row>
    <row r="2653" spans="1:21" x14ac:dyDescent="0.35">
      <c r="A2653">
        <v>360</v>
      </c>
      <c r="B2653" s="16">
        <v>40603</v>
      </c>
      <c r="C2653" s="15" t="s">
        <v>76</v>
      </c>
      <c r="D2653" s="15" t="s">
        <v>58</v>
      </c>
      <c r="E2653" s="15" t="s">
        <v>48</v>
      </c>
      <c r="F2653" s="15" t="s">
        <v>49</v>
      </c>
      <c r="G2653" s="15" t="s">
        <v>81</v>
      </c>
      <c r="H2653" s="15" t="s">
        <v>42</v>
      </c>
      <c r="I2653">
        <v>50</v>
      </c>
      <c r="J2653">
        <v>60</v>
      </c>
      <c r="K2653">
        <v>20</v>
      </c>
      <c r="L2653">
        <v>110</v>
      </c>
      <c r="M2653">
        <v>54</v>
      </c>
      <c r="N2653">
        <v>301</v>
      </c>
      <c r="O2653">
        <v>66</v>
      </c>
      <c r="P2653">
        <v>20</v>
      </c>
      <c r="Q2653">
        <v>18</v>
      </c>
      <c r="R2653">
        <v>128</v>
      </c>
      <c r="S2653">
        <v>1.1636363636363636</v>
      </c>
      <c r="T2653">
        <v>0.9</v>
      </c>
      <c r="U2653">
        <v>1.08</v>
      </c>
    </row>
    <row r="2654" spans="1:21" x14ac:dyDescent="0.35">
      <c r="A2654">
        <v>206</v>
      </c>
      <c r="B2654" s="16">
        <v>40603</v>
      </c>
      <c r="C2654" s="15" t="s">
        <v>76</v>
      </c>
      <c r="D2654" s="15" t="s">
        <v>58</v>
      </c>
      <c r="E2654" s="15" t="s">
        <v>50</v>
      </c>
      <c r="F2654" s="15" t="s">
        <v>49</v>
      </c>
      <c r="G2654" s="15" t="s">
        <v>81</v>
      </c>
      <c r="H2654" s="15" t="s">
        <v>45</v>
      </c>
      <c r="I2654">
        <v>60</v>
      </c>
      <c r="J2654">
        <v>80</v>
      </c>
      <c r="K2654">
        <v>50</v>
      </c>
      <c r="L2654">
        <v>140</v>
      </c>
      <c r="M2654">
        <v>71</v>
      </c>
      <c r="N2654">
        <v>950</v>
      </c>
      <c r="O2654">
        <v>84</v>
      </c>
      <c r="P2654">
        <v>22</v>
      </c>
      <c r="Q2654">
        <v>59</v>
      </c>
      <c r="R2654">
        <v>165</v>
      </c>
      <c r="S2654">
        <v>1.1785714285714286</v>
      </c>
      <c r="T2654">
        <v>1.18</v>
      </c>
      <c r="U2654">
        <v>1.1833333333333333</v>
      </c>
    </row>
    <row r="2655" spans="1:21" x14ac:dyDescent="0.35">
      <c r="A2655">
        <v>509</v>
      </c>
      <c r="B2655" s="16">
        <v>40603</v>
      </c>
      <c r="C2655" s="15" t="s">
        <v>76</v>
      </c>
      <c r="D2655" s="15" t="s">
        <v>58</v>
      </c>
      <c r="E2655" s="15" t="s">
        <v>43</v>
      </c>
      <c r="F2655" s="15" t="s">
        <v>40</v>
      </c>
      <c r="G2655" s="15" t="s">
        <v>81</v>
      </c>
      <c r="H2655" s="15" t="s">
        <v>42</v>
      </c>
      <c r="I2655">
        <v>70</v>
      </c>
      <c r="J2655">
        <v>110</v>
      </c>
      <c r="K2655">
        <v>80</v>
      </c>
      <c r="L2655">
        <v>180</v>
      </c>
      <c r="M2655">
        <v>61</v>
      </c>
      <c r="N2655">
        <v>325</v>
      </c>
      <c r="O2655">
        <v>89</v>
      </c>
      <c r="P2655">
        <v>19</v>
      </c>
      <c r="Q2655">
        <v>71</v>
      </c>
      <c r="R2655">
        <v>160</v>
      </c>
      <c r="S2655">
        <v>0.88888888888888884</v>
      </c>
      <c r="T2655">
        <v>0.88749999999999996</v>
      </c>
      <c r="U2655">
        <v>0.87142857142857144</v>
      </c>
    </row>
    <row r="2656" spans="1:21" x14ac:dyDescent="0.35">
      <c r="A2656">
        <v>206</v>
      </c>
      <c r="B2656" s="16">
        <v>40603</v>
      </c>
      <c r="C2656" s="15" t="s">
        <v>76</v>
      </c>
      <c r="D2656" s="15" t="s">
        <v>58</v>
      </c>
      <c r="E2656" s="15" t="s">
        <v>44</v>
      </c>
      <c r="F2656" s="15" t="s">
        <v>40</v>
      </c>
      <c r="G2656" s="15" t="s">
        <v>81</v>
      </c>
      <c r="H2656" s="15" t="s">
        <v>45</v>
      </c>
      <c r="I2656">
        <v>110</v>
      </c>
      <c r="J2656">
        <v>170</v>
      </c>
      <c r="K2656">
        <v>70</v>
      </c>
      <c r="L2656">
        <v>280</v>
      </c>
      <c r="M2656">
        <v>95</v>
      </c>
      <c r="N2656">
        <v>532</v>
      </c>
      <c r="O2656">
        <v>132</v>
      </c>
      <c r="P2656">
        <v>86</v>
      </c>
      <c r="Q2656">
        <v>24</v>
      </c>
      <c r="R2656">
        <v>242</v>
      </c>
      <c r="S2656">
        <v>0.86428571428571432</v>
      </c>
      <c r="T2656">
        <v>0.34285714285714286</v>
      </c>
      <c r="U2656">
        <v>0.86363636363636365</v>
      </c>
    </row>
    <row r="2657" spans="1:21" x14ac:dyDescent="0.35">
      <c r="A2657">
        <v>720</v>
      </c>
      <c r="B2657" s="16">
        <v>40634</v>
      </c>
      <c r="C2657" s="15" t="s">
        <v>37</v>
      </c>
      <c r="D2657" s="15" t="s">
        <v>38</v>
      </c>
      <c r="E2657" s="15" t="s">
        <v>51</v>
      </c>
      <c r="F2657" s="15" t="s">
        <v>52</v>
      </c>
      <c r="G2657" s="15" t="s">
        <v>41</v>
      </c>
      <c r="H2657" s="15" t="s">
        <v>45</v>
      </c>
      <c r="I2657">
        <v>130</v>
      </c>
      <c r="J2657">
        <v>150</v>
      </c>
      <c r="K2657">
        <v>100</v>
      </c>
      <c r="L2657">
        <v>280</v>
      </c>
      <c r="M2657">
        <v>162</v>
      </c>
      <c r="N2657">
        <v>1091</v>
      </c>
      <c r="O2657">
        <v>163</v>
      </c>
      <c r="P2657">
        <v>45</v>
      </c>
      <c r="Q2657">
        <v>140</v>
      </c>
      <c r="R2657">
        <v>346</v>
      </c>
      <c r="S2657">
        <v>1.2357142857142858</v>
      </c>
      <c r="T2657">
        <v>1.4</v>
      </c>
      <c r="U2657">
        <v>1.2461538461538462</v>
      </c>
    </row>
    <row r="2658" spans="1:21" x14ac:dyDescent="0.35">
      <c r="A2658">
        <v>720</v>
      </c>
      <c r="B2658" s="16">
        <v>40634</v>
      </c>
      <c r="C2658" s="15" t="s">
        <v>37</v>
      </c>
      <c r="D2658" s="15" t="s">
        <v>38</v>
      </c>
      <c r="E2658" s="15" t="s">
        <v>53</v>
      </c>
      <c r="F2658" s="15" t="s">
        <v>52</v>
      </c>
      <c r="G2658" s="15" t="s">
        <v>41</v>
      </c>
      <c r="H2658" s="15" t="s">
        <v>45</v>
      </c>
      <c r="I2658">
        <v>40</v>
      </c>
      <c r="J2658">
        <v>70</v>
      </c>
      <c r="K2658">
        <v>20</v>
      </c>
      <c r="L2658">
        <v>110</v>
      </c>
      <c r="M2658">
        <v>52</v>
      </c>
      <c r="N2658">
        <v>433</v>
      </c>
      <c r="O2658">
        <v>73</v>
      </c>
      <c r="P2658">
        <v>47</v>
      </c>
      <c r="Q2658">
        <v>-6</v>
      </c>
      <c r="R2658">
        <v>133</v>
      </c>
      <c r="S2658">
        <v>1.209090909090909</v>
      </c>
      <c r="T2658">
        <v>-0.3</v>
      </c>
      <c r="U2658">
        <v>1.3</v>
      </c>
    </row>
    <row r="2659" spans="1:21" x14ac:dyDescent="0.35">
      <c r="A2659">
        <v>720</v>
      </c>
      <c r="B2659" s="16">
        <v>40634</v>
      </c>
      <c r="C2659" s="15" t="s">
        <v>37</v>
      </c>
      <c r="D2659" s="15" t="s">
        <v>38</v>
      </c>
      <c r="E2659" s="15" t="s">
        <v>54</v>
      </c>
      <c r="F2659" s="15" t="s">
        <v>52</v>
      </c>
      <c r="G2659" s="15" t="s">
        <v>41</v>
      </c>
      <c r="H2659" s="15" t="s">
        <v>45</v>
      </c>
      <c r="I2659">
        <v>40</v>
      </c>
      <c r="J2659">
        <v>70</v>
      </c>
      <c r="K2659">
        <v>40</v>
      </c>
      <c r="L2659">
        <v>110</v>
      </c>
      <c r="M2659">
        <v>55</v>
      </c>
      <c r="N2659">
        <v>336</v>
      </c>
      <c r="O2659">
        <v>74</v>
      </c>
      <c r="P2659">
        <v>18</v>
      </c>
      <c r="Q2659">
        <v>43</v>
      </c>
      <c r="R2659">
        <v>137</v>
      </c>
      <c r="S2659">
        <v>1.2454545454545454</v>
      </c>
      <c r="T2659">
        <v>1.075</v>
      </c>
      <c r="U2659">
        <v>1.375</v>
      </c>
    </row>
    <row r="2660" spans="1:21" x14ac:dyDescent="0.35">
      <c r="A2660">
        <v>720</v>
      </c>
      <c r="B2660" s="16">
        <v>40634</v>
      </c>
      <c r="C2660" s="15" t="s">
        <v>37</v>
      </c>
      <c r="D2660" s="15" t="s">
        <v>38</v>
      </c>
      <c r="E2660" s="15" t="s">
        <v>55</v>
      </c>
      <c r="F2660" s="15" t="s">
        <v>47</v>
      </c>
      <c r="G2660" s="15" t="s">
        <v>41</v>
      </c>
      <c r="H2660" s="15" t="s">
        <v>42</v>
      </c>
      <c r="I2660">
        <v>40</v>
      </c>
      <c r="J2660">
        <v>60</v>
      </c>
      <c r="K2660">
        <v>20</v>
      </c>
      <c r="L2660">
        <v>100</v>
      </c>
      <c r="M2660">
        <v>54</v>
      </c>
      <c r="N2660">
        <v>337</v>
      </c>
      <c r="O2660">
        <v>67</v>
      </c>
      <c r="P2660">
        <v>20</v>
      </c>
      <c r="Q2660">
        <v>19</v>
      </c>
      <c r="R2660">
        <v>129</v>
      </c>
      <c r="S2660">
        <v>1.29</v>
      </c>
      <c r="T2660">
        <v>0.95</v>
      </c>
      <c r="U2660">
        <v>1.35</v>
      </c>
    </row>
    <row r="2661" spans="1:21" x14ac:dyDescent="0.35">
      <c r="A2661">
        <v>303</v>
      </c>
      <c r="B2661" s="16">
        <v>40634</v>
      </c>
      <c r="C2661" s="15" t="s">
        <v>37</v>
      </c>
      <c r="D2661" s="15" t="s">
        <v>38</v>
      </c>
      <c r="E2661" s="15" t="s">
        <v>56</v>
      </c>
      <c r="F2661" s="15" t="s">
        <v>47</v>
      </c>
      <c r="G2661" s="15" t="s">
        <v>41</v>
      </c>
      <c r="H2661" s="15" t="s">
        <v>42</v>
      </c>
      <c r="I2661">
        <v>50</v>
      </c>
      <c r="J2661">
        <v>70</v>
      </c>
      <c r="K2661">
        <v>40</v>
      </c>
      <c r="L2661">
        <v>120</v>
      </c>
      <c r="M2661">
        <v>63</v>
      </c>
      <c r="N2661">
        <v>965</v>
      </c>
      <c r="O2661">
        <v>75</v>
      </c>
      <c r="P2661">
        <v>19</v>
      </c>
      <c r="Q2661">
        <v>50</v>
      </c>
      <c r="R2661">
        <v>147</v>
      </c>
      <c r="S2661">
        <v>1.2250000000000001</v>
      </c>
      <c r="T2661">
        <v>1.25</v>
      </c>
      <c r="U2661">
        <v>1.26</v>
      </c>
    </row>
    <row r="2662" spans="1:21" x14ac:dyDescent="0.35">
      <c r="A2662">
        <v>303</v>
      </c>
      <c r="B2662" s="16">
        <v>40634</v>
      </c>
      <c r="C2662" s="15" t="s">
        <v>37</v>
      </c>
      <c r="D2662" s="15" t="s">
        <v>38</v>
      </c>
      <c r="E2662" s="15" t="s">
        <v>46</v>
      </c>
      <c r="F2662" s="15" t="s">
        <v>47</v>
      </c>
      <c r="G2662" s="15" t="s">
        <v>41</v>
      </c>
      <c r="H2662" s="15" t="s">
        <v>42</v>
      </c>
      <c r="I2662">
        <v>30</v>
      </c>
      <c r="J2662">
        <v>60</v>
      </c>
      <c r="K2662">
        <v>40</v>
      </c>
      <c r="L2662">
        <v>90</v>
      </c>
      <c r="M2662">
        <v>46</v>
      </c>
      <c r="N2662">
        <v>608</v>
      </c>
      <c r="O2662">
        <v>60</v>
      </c>
      <c r="P2662">
        <v>15</v>
      </c>
      <c r="Q2662">
        <v>47</v>
      </c>
      <c r="R2662">
        <v>113</v>
      </c>
      <c r="S2662">
        <v>1.2555555555555555</v>
      </c>
      <c r="T2662">
        <v>1.175</v>
      </c>
      <c r="U2662">
        <v>1.5333333333333334</v>
      </c>
    </row>
    <row r="2663" spans="1:21" x14ac:dyDescent="0.35">
      <c r="A2663">
        <v>719</v>
      </c>
      <c r="B2663" s="16">
        <v>40634</v>
      </c>
      <c r="C2663" s="15" t="s">
        <v>37</v>
      </c>
      <c r="D2663" s="15" t="s">
        <v>38</v>
      </c>
      <c r="E2663" s="15" t="s">
        <v>48</v>
      </c>
      <c r="F2663" s="15" t="s">
        <v>49</v>
      </c>
      <c r="G2663" s="15" t="s">
        <v>41</v>
      </c>
      <c r="H2663" s="15" t="s">
        <v>42</v>
      </c>
      <c r="I2663">
        <v>90</v>
      </c>
      <c r="J2663">
        <v>140</v>
      </c>
      <c r="K2663">
        <v>110</v>
      </c>
      <c r="L2663">
        <v>230</v>
      </c>
      <c r="M2663">
        <v>81</v>
      </c>
      <c r="N2663">
        <v>460</v>
      </c>
      <c r="O2663">
        <v>117</v>
      </c>
      <c r="P2663">
        <v>22</v>
      </c>
      <c r="Q2663">
        <v>125</v>
      </c>
      <c r="R2663">
        <v>211</v>
      </c>
      <c r="S2663">
        <v>0.91739130434782612</v>
      </c>
      <c r="T2663">
        <v>1.1363636363636365</v>
      </c>
      <c r="U2663">
        <v>0.9</v>
      </c>
    </row>
    <row r="2664" spans="1:21" x14ac:dyDescent="0.35">
      <c r="A2664">
        <v>303</v>
      </c>
      <c r="B2664" s="16">
        <v>40634</v>
      </c>
      <c r="C2664" s="15" t="s">
        <v>37</v>
      </c>
      <c r="D2664" s="15" t="s">
        <v>38</v>
      </c>
      <c r="E2664" s="15" t="s">
        <v>50</v>
      </c>
      <c r="F2664" s="15" t="s">
        <v>49</v>
      </c>
      <c r="G2664" s="15" t="s">
        <v>41</v>
      </c>
      <c r="H2664" s="15" t="s">
        <v>45</v>
      </c>
      <c r="I2664">
        <v>70</v>
      </c>
      <c r="J2664">
        <v>130</v>
      </c>
      <c r="K2664">
        <v>80</v>
      </c>
      <c r="L2664">
        <v>200</v>
      </c>
      <c r="M2664">
        <v>68</v>
      </c>
      <c r="N2664">
        <v>559</v>
      </c>
      <c r="O2664">
        <v>102</v>
      </c>
      <c r="P2664">
        <v>22</v>
      </c>
      <c r="Q2664">
        <v>71</v>
      </c>
      <c r="R2664">
        <v>181</v>
      </c>
      <c r="S2664">
        <v>0.90500000000000003</v>
      </c>
      <c r="T2664">
        <v>0.88749999999999996</v>
      </c>
      <c r="U2664">
        <v>0.97142857142857142</v>
      </c>
    </row>
    <row r="2665" spans="1:21" x14ac:dyDescent="0.35">
      <c r="A2665">
        <v>970</v>
      </c>
      <c r="B2665" s="16">
        <v>40634</v>
      </c>
      <c r="C2665" s="15" t="s">
        <v>37</v>
      </c>
      <c r="D2665" s="15" t="s">
        <v>38</v>
      </c>
      <c r="E2665" s="15" t="s">
        <v>39</v>
      </c>
      <c r="F2665" s="15" t="s">
        <v>40</v>
      </c>
      <c r="G2665" s="15" t="s">
        <v>41</v>
      </c>
      <c r="H2665" s="15" t="s">
        <v>42</v>
      </c>
      <c r="I2665">
        <v>90</v>
      </c>
      <c r="J2665">
        <v>140</v>
      </c>
      <c r="K2665">
        <v>110</v>
      </c>
      <c r="L2665">
        <v>230</v>
      </c>
      <c r="M2665">
        <v>91</v>
      </c>
      <c r="N2665">
        <v>777</v>
      </c>
      <c r="O2665">
        <v>132</v>
      </c>
      <c r="P2665">
        <v>25</v>
      </c>
      <c r="Q2665">
        <v>142</v>
      </c>
      <c r="R2665">
        <v>238</v>
      </c>
      <c r="S2665">
        <v>1.0347826086956522</v>
      </c>
      <c r="T2665">
        <v>1.290909090909091</v>
      </c>
      <c r="U2665">
        <v>1.0111111111111111</v>
      </c>
    </row>
    <row r="2666" spans="1:21" x14ac:dyDescent="0.35">
      <c r="A2666">
        <v>970</v>
      </c>
      <c r="B2666" s="16">
        <v>40634</v>
      </c>
      <c r="C2666" s="15" t="s">
        <v>37</v>
      </c>
      <c r="D2666" s="15" t="s">
        <v>38</v>
      </c>
      <c r="E2666" s="15" t="s">
        <v>43</v>
      </c>
      <c r="F2666" s="15" t="s">
        <v>40</v>
      </c>
      <c r="G2666" s="15" t="s">
        <v>41</v>
      </c>
      <c r="H2666" s="15" t="s">
        <v>42</v>
      </c>
      <c r="I2666">
        <v>80</v>
      </c>
      <c r="J2666">
        <v>100</v>
      </c>
      <c r="K2666">
        <v>70</v>
      </c>
      <c r="L2666">
        <v>180</v>
      </c>
      <c r="M2666">
        <v>78</v>
      </c>
      <c r="N2666">
        <v>593</v>
      </c>
      <c r="O2666">
        <v>100</v>
      </c>
      <c r="P2666">
        <v>25</v>
      </c>
      <c r="Q2666">
        <v>93</v>
      </c>
      <c r="R2666">
        <v>190</v>
      </c>
      <c r="S2666">
        <v>1.0555555555555556</v>
      </c>
      <c r="T2666">
        <v>1.3285714285714285</v>
      </c>
      <c r="U2666">
        <v>0.97499999999999998</v>
      </c>
    </row>
    <row r="2667" spans="1:21" x14ac:dyDescent="0.35">
      <c r="A2667">
        <v>303</v>
      </c>
      <c r="B2667" s="16">
        <v>40634</v>
      </c>
      <c r="C2667" s="15" t="s">
        <v>37</v>
      </c>
      <c r="D2667" s="15" t="s">
        <v>38</v>
      </c>
      <c r="E2667" s="15" t="s">
        <v>44</v>
      </c>
      <c r="F2667" s="15" t="s">
        <v>40</v>
      </c>
      <c r="G2667" s="15" t="s">
        <v>41</v>
      </c>
      <c r="H2667" s="15" t="s">
        <v>45</v>
      </c>
      <c r="I2667">
        <v>100</v>
      </c>
      <c r="J2667">
        <v>150</v>
      </c>
      <c r="K2667">
        <v>120</v>
      </c>
      <c r="L2667">
        <v>250</v>
      </c>
      <c r="M2667">
        <v>100</v>
      </c>
      <c r="N2667">
        <v>822</v>
      </c>
      <c r="O2667">
        <v>145</v>
      </c>
      <c r="P2667">
        <v>28</v>
      </c>
      <c r="Q2667">
        <v>156</v>
      </c>
      <c r="R2667">
        <v>261</v>
      </c>
      <c r="S2667">
        <v>1.044</v>
      </c>
      <c r="T2667">
        <v>1.3</v>
      </c>
      <c r="U2667">
        <v>1</v>
      </c>
    </row>
    <row r="2668" spans="1:21" x14ac:dyDescent="0.35">
      <c r="A2668">
        <v>847</v>
      </c>
      <c r="B2668" s="16">
        <v>40634</v>
      </c>
      <c r="C2668" s="15" t="s">
        <v>37</v>
      </c>
      <c r="D2668" s="15" t="s">
        <v>38</v>
      </c>
      <c r="E2668" s="15" t="s">
        <v>51</v>
      </c>
      <c r="F2668" s="15" t="s">
        <v>52</v>
      </c>
      <c r="G2668" s="15" t="s">
        <v>57</v>
      </c>
      <c r="H2668" s="15" t="s">
        <v>45</v>
      </c>
      <c r="I2668">
        <v>70</v>
      </c>
      <c r="J2668">
        <v>120</v>
      </c>
      <c r="K2668">
        <v>100</v>
      </c>
      <c r="L2668">
        <v>190</v>
      </c>
      <c r="M2668">
        <v>91</v>
      </c>
      <c r="N2668">
        <v>777</v>
      </c>
      <c r="O2668">
        <v>132</v>
      </c>
      <c r="P2668">
        <v>25</v>
      </c>
      <c r="Q2668">
        <v>141</v>
      </c>
      <c r="R2668">
        <v>238</v>
      </c>
      <c r="S2668">
        <v>1.2526315789473683</v>
      </c>
      <c r="T2668">
        <v>1.41</v>
      </c>
      <c r="U2668">
        <v>1.3</v>
      </c>
    </row>
    <row r="2669" spans="1:21" x14ac:dyDescent="0.35">
      <c r="A2669">
        <v>708</v>
      </c>
      <c r="B2669" s="16">
        <v>40634</v>
      </c>
      <c r="C2669" s="15" t="s">
        <v>37</v>
      </c>
      <c r="D2669" s="15" t="s">
        <v>38</v>
      </c>
      <c r="E2669" s="15" t="s">
        <v>53</v>
      </c>
      <c r="F2669" s="15" t="s">
        <v>52</v>
      </c>
      <c r="G2669" s="15" t="s">
        <v>57</v>
      </c>
      <c r="H2669" s="15" t="s">
        <v>45</v>
      </c>
      <c r="I2669">
        <v>60</v>
      </c>
      <c r="J2669">
        <v>90</v>
      </c>
      <c r="K2669">
        <v>60</v>
      </c>
      <c r="L2669">
        <v>150</v>
      </c>
      <c r="M2669">
        <v>78</v>
      </c>
      <c r="N2669">
        <v>593</v>
      </c>
      <c r="O2669">
        <v>100</v>
      </c>
      <c r="P2669">
        <v>25</v>
      </c>
      <c r="Q2669">
        <v>92</v>
      </c>
      <c r="R2669">
        <v>190</v>
      </c>
      <c r="S2669">
        <v>1.2666666666666666</v>
      </c>
      <c r="T2669">
        <v>1.5333333333333334</v>
      </c>
      <c r="U2669">
        <v>1.3</v>
      </c>
    </row>
    <row r="2670" spans="1:21" x14ac:dyDescent="0.35">
      <c r="A2670">
        <v>815</v>
      </c>
      <c r="B2670" s="16">
        <v>40634</v>
      </c>
      <c r="C2670" s="15" t="s">
        <v>37</v>
      </c>
      <c r="D2670" s="15" t="s">
        <v>38</v>
      </c>
      <c r="E2670" s="15" t="s">
        <v>54</v>
      </c>
      <c r="F2670" s="15" t="s">
        <v>52</v>
      </c>
      <c r="G2670" s="15" t="s">
        <v>57</v>
      </c>
      <c r="H2670" s="15" t="s">
        <v>45</v>
      </c>
      <c r="I2670">
        <v>80</v>
      </c>
      <c r="J2670">
        <v>130</v>
      </c>
      <c r="K2670">
        <v>110</v>
      </c>
      <c r="L2670">
        <v>210</v>
      </c>
      <c r="M2670">
        <v>100</v>
      </c>
      <c r="N2670">
        <v>822</v>
      </c>
      <c r="O2670">
        <v>145</v>
      </c>
      <c r="P2670">
        <v>28</v>
      </c>
      <c r="Q2670">
        <v>157</v>
      </c>
      <c r="R2670">
        <v>261</v>
      </c>
      <c r="S2670">
        <v>1.2428571428571429</v>
      </c>
      <c r="T2670">
        <v>1.4272727272727272</v>
      </c>
      <c r="U2670">
        <v>1.25</v>
      </c>
    </row>
    <row r="2671" spans="1:21" x14ac:dyDescent="0.35">
      <c r="A2671">
        <v>309</v>
      </c>
      <c r="B2671" s="16">
        <v>40634</v>
      </c>
      <c r="C2671" s="15" t="s">
        <v>37</v>
      </c>
      <c r="D2671" s="15" t="s">
        <v>38</v>
      </c>
      <c r="E2671" s="15" t="s">
        <v>55</v>
      </c>
      <c r="F2671" s="15" t="s">
        <v>47</v>
      </c>
      <c r="G2671" s="15" t="s">
        <v>57</v>
      </c>
      <c r="H2671" s="15" t="s">
        <v>42</v>
      </c>
      <c r="I2671">
        <v>60</v>
      </c>
      <c r="J2671">
        <v>110</v>
      </c>
      <c r="K2671">
        <v>80</v>
      </c>
      <c r="L2671">
        <v>170</v>
      </c>
      <c r="M2671">
        <v>81</v>
      </c>
      <c r="N2671">
        <v>460</v>
      </c>
      <c r="O2671">
        <v>117</v>
      </c>
      <c r="P2671">
        <v>22</v>
      </c>
      <c r="Q2671">
        <v>123</v>
      </c>
      <c r="R2671">
        <v>211</v>
      </c>
      <c r="S2671">
        <v>1.2411764705882353</v>
      </c>
      <c r="T2671">
        <v>1.5375000000000001</v>
      </c>
      <c r="U2671">
        <v>1.35</v>
      </c>
    </row>
    <row r="2672" spans="1:21" x14ac:dyDescent="0.35">
      <c r="A2672">
        <v>773</v>
      </c>
      <c r="B2672" s="16">
        <v>40634</v>
      </c>
      <c r="C2672" s="15" t="s">
        <v>37</v>
      </c>
      <c r="D2672" s="15" t="s">
        <v>38</v>
      </c>
      <c r="E2672" s="15" t="s">
        <v>56</v>
      </c>
      <c r="F2672" s="15" t="s">
        <v>47</v>
      </c>
      <c r="G2672" s="15" t="s">
        <v>57</v>
      </c>
      <c r="H2672" s="15" t="s">
        <v>42</v>
      </c>
      <c r="I2672">
        <v>50</v>
      </c>
      <c r="J2672">
        <v>90</v>
      </c>
      <c r="K2672">
        <v>40</v>
      </c>
      <c r="L2672">
        <v>140</v>
      </c>
      <c r="M2672">
        <v>68</v>
      </c>
      <c r="N2672">
        <v>559</v>
      </c>
      <c r="O2672">
        <v>102</v>
      </c>
      <c r="P2672">
        <v>22</v>
      </c>
      <c r="Q2672">
        <v>73</v>
      </c>
      <c r="R2672">
        <v>181</v>
      </c>
      <c r="S2672">
        <v>1.2928571428571429</v>
      </c>
      <c r="T2672">
        <v>1.825</v>
      </c>
      <c r="U2672">
        <v>1.36</v>
      </c>
    </row>
    <row r="2673" spans="1:21" x14ac:dyDescent="0.35">
      <c r="A2673">
        <v>309</v>
      </c>
      <c r="B2673" s="16">
        <v>40634</v>
      </c>
      <c r="C2673" s="15" t="s">
        <v>37</v>
      </c>
      <c r="D2673" s="15" t="s">
        <v>38</v>
      </c>
      <c r="E2673" s="15" t="s">
        <v>48</v>
      </c>
      <c r="F2673" s="15" t="s">
        <v>49</v>
      </c>
      <c r="G2673" s="15" t="s">
        <v>57</v>
      </c>
      <c r="H2673" s="15" t="s">
        <v>42</v>
      </c>
      <c r="I2673">
        <v>290</v>
      </c>
      <c r="J2673">
        <v>400</v>
      </c>
      <c r="K2673">
        <v>280</v>
      </c>
      <c r="L2673">
        <v>690</v>
      </c>
      <c r="M2673">
        <v>252</v>
      </c>
      <c r="N2673">
        <v>1316</v>
      </c>
      <c r="O2673">
        <v>335</v>
      </c>
      <c r="P2673">
        <v>83</v>
      </c>
      <c r="Q2673">
        <v>326</v>
      </c>
      <c r="R2673">
        <v>626</v>
      </c>
      <c r="S2673">
        <v>0.90724637681159426</v>
      </c>
      <c r="T2673">
        <v>1.1642857142857144</v>
      </c>
      <c r="U2673">
        <v>0.86896551724137927</v>
      </c>
    </row>
    <row r="2674" spans="1:21" x14ac:dyDescent="0.35">
      <c r="A2674">
        <v>815</v>
      </c>
      <c r="B2674" s="16">
        <v>40634</v>
      </c>
      <c r="C2674" s="15" t="s">
        <v>37</v>
      </c>
      <c r="D2674" s="15" t="s">
        <v>38</v>
      </c>
      <c r="E2674" s="15" t="s">
        <v>50</v>
      </c>
      <c r="F2674" s="15" t="s">
        <v>49</v>
      </c>
      <c r="G2674" s="15" t="s">
        <v>57</v>
      </c>
      <c r="H2674" s="15" t="s">
        <v>45</v>
      </c>
      <c r="I2674">
        <v>270</v>
      </c>
      <c r="J2674">
        <v>290</v>
      </c>
      <c r="K2674">
        <v>200</v>
      </c>
      <c r="L2674">
        <v>560</v>
      </c>
      <c r="M2674">
        <v>239</v>
      </c>
      <c r="N2674">
        <v>1464</v>
      </c>
      <c r="O2674">
        <v>239</v>
      </c>
      <c r="P2674">
        <v>66</v>
      </c>
      <c r="Q2674">
        <v>221</v>
      </c>
      <c r="R2674">
        <v>509</v>
      </c>
      <c r="S2674">
        <v>0.90892857142857142</v>
      </c>
      <c r="T2674">
        <v>1.105</v>
      </c>
      <c r="U2674">
        <v>0.88518518518518519</v>
      </c>
    </row>
    <row r="2675" spans="1:21" x14ac:dyDescent="0.35">
      <c r="A2675">
        <v>630</v>
      </c>
      <c r="B2675" s="16">
        <v>40634</v>
      </c>
      <c r="C2675" s="15" t="s">
        <v>37</v>
      </c>
      <c r="D2675" s="15" t="s">
        <v>38</v>
      </c>
      <c r="E2675" s="15" t="s">
        <v>43</v>
      </c>
      <c r="F2675" s="15" t="s">
        <v>40</v>
      </c>
      <c r="G2675" s="15" t="s">
        <v>57</v>
      </c>
      <c r="H2675" s="15" t="s">
        <v>42</v>
      </c>
      <c r="I2675">
        <v>200</v>
      </c>
      <c r="J2675">
        <v>270</v>
      </c>
      <c r="K2675">
        <v>170</v>
      </c>
      <c r="L2675">
        <v>470</v>
      </c>
      <c r="M2675">
        <v>191</v>
      </c>
      <c r="N2675">
        <v>865</v>
      </c>
      <c r="O2675">
        <v>265</v>
      </c>
      <c r="P2675">
        <v>63</v>
      </c>
      <c r="Q2675">
        <v>232</v>
      </c>
      <c r="R2675">
        <v>486</v>
      </c>
      <c r="S2675">
        <v>1.0340425531914894</v>
      </c>
      <c r="T2675">
        <v>1.3647058823529412</v>
      </c>
      <c r="U2675">
        <v>0.95499999999999996</v>
      </c>
    </row>
    <row r="2676" spans="1:21" x14ac:dyDescent="0.35">
      <c r="A2676">
        <v>312</v>
      </c>
      <c r="B2676" s="16">
        <v>40634</v>
      </c>
      <c r="C2676" s="15" t="s">
        <v>37</v>
      </c>
      <c r="D2676" s="15" t="s">
        <v>38</v>
      </c>
      <c r="E2676" s="15" t="s">
        <v>44</v>
      </c>
      <c r="F2676" s="15" t="s">
        <v>40</v>
      </c>
      <c r="G2676" s="15" t="s">
        <v>57</v>
      </c>
      <c r="H2676" s="15" t="s">
        <v>45</v>
      </c>
      <c r="I2676">
        <v>130</v>
      </c>
      <c r="J2676">
        <v>180</v>
      </c>
      <c r="K2676">
        <v>130</v>
      </c>
      <c r="L2676">
        <v>310</v>
      </c>
      <c r="M2676">
        <v>123</v>
      </c>
      <c r="N2676">
        <v>611</v>
      </c>
      <c r="O2676">
        <v>178</v>
      </c>
      <c r="P2676">
        <v>39</v>
      </c>
      <c r="Q2676">
        <v>172</v>
      </c>
      <c r="R2676">
        <v>321</v>
      </c>
      <c r="S2676">
        <v>1.0354838709677419</v>
      </c>
      <c r="T2676">
        <v>1.323076923076923</v>
      </c>
      <c r="U2676">
        <v>0.94615384615384612</v>
      </c>
    </row>
    <row r="2677" spans="1:21" x14ac:dyDescent="0.35">
      <c r="A2677">
        <v>563</v>
      </c>
      <c r="B2677" s="16">
        <v>40634</v>
      </c>
      <c r="C2677" s="15" t="s">
        <v>37</v>
      </c>
      <c r="D2677" s="15" t="s">
        <v>58</v>
      </c>
      <c r="E2677" s="15" t="s">
        <v>51</v>
      </c>
      <c r="F2677" s="15" t="s">
        <v>52</v>
      </c>
      <c r="G2677" s="15" t="s">
        <v>59</v>
      </c>
      <c r="H2677" s="15" t="s">
        <v>45</v>
      </c>
      <c r="I2677">
        <v>210</v>
      </c>
      <c r="J2677">
        <v>300</v>
      </c>
      <c r="K2677">
        <v>210</v>
      </c>
      <c r="L2677">
        <v>510</v>
      </c>
      <c r="M2677">
        <v>252</v>
      </c>
      <c r="N2677">
        <v>1316</v>
      </c>
      <c r="O2677">
        <v>335</v>
      </c>
      <c r="P2677">
        <v>83</v>
      </c>
      <c r="Q2677">
        <v>326</v>
      </c>
      <c r="R2677">
        <v>626</v>
      </c>
      <c r="S2677">
        <v>1.2274509803921569</v>
      </c>
      <c r="T2677">
        <v>1.5523809523809524</v>
      </c>
      <c r="U2677">
        <v>1.2</v>
      </c>
    </row>
    <row r="2678" spans="1:21" x14ac:dyDescent="0.35">
      <c r="A2678">
        <v>319</v>
      </c>
      <c r="B2678" s="16">
        <v>40634</v>
      </c>
      <c r="C2678" s="15" t="s">
        <v>37</v>
      </c>
      <c r="D2678" s="15" t="s">
        <v>58</v>
      </c>
      <c r="E2678" s="15" t="s">
        <v>53</v>
      </c>
      <c r="F2678" s="15" t="s">
        <v>52</v>
      </c>
      <c r="G2678" s="15" t="s">
        <v>59</v>
      </c>
      <c r="H2678" s="15" t="s">
        <v>45</v>
      </c>
      <c r="I2678">
        <v>100</v>
      </c>
      <c r="J2678">
        <v>160</v>
      </c>
      <c r="K2678">
        <v>120</v>
      </c>
      <c r="L2678">
        <v>260</v>
      </c>
      <c r="M2678">
        <v>123</v>
      </c>
      <c r="N2678">
        <v>611</v>
      </c>
      <c r="O2678">
        <v>178</v>
      </c>
      <c r="P2678">
        <v>39</v>
      </c>
      <c r="Q2678">
        <v>171</v>
      </c>
      <c r="R2678">
        <v>321</v>
      </c>
      <c r="S2678">
        <v>1.2346153846153847</v>
      </c>
      <c r="T2678">
        <v>1.425</v>
      </c>
      <c r="U2678">
        <v>1.23</v>
      </c>
    </row>
    <row r="2679" spans="1:21" x14ac:dyDescent="0.35">
      <c r="A2679">
        <v>712</v>
      </c>
      <c r="B2679" s="16">
        <v>40634</v>
      </c>
      <c r="C2679" s="15" t="s">
        <v>37</v>
      </c>
      <c r="D2679" s="15" t="s">
        <v>58</v>
      </c>
      <c r="E2679" s="15" t="s">
        <v>55</v>
      </c>
      <c r="F2679" s="15" t="s">
        <v>47</v>
      </c>
      <c r="G2679" s="15" t="s">
        <v>59</v>
      </c>
      <c r="H2679" s="15" t="s">
        <v>42</v>
      </c>
      <c r="I2679">
        <v>200</v>
      </c>
      <c r="J2679">
        <v>220</v>
      </c>
      <c r="K2679">
        <v>140</v>
      </c>
      <c r="L2679">
        <v>420</v>
      </c>
      <c r="M2679">
        <v>239</v>
      </c>
      <c r="N2679">
        <v>1464</v>
      </c>
      <c r="O2679">
        <v>239</v>
      </c>
      <c r="P2679">
        <v>66</v>
      </c>
      <c r="Q2679">
        <v>220</v>
      </c>
      <c r="R2679">
        <v>509</v>
      </c>
      <c r="S2679">
        <v>1.2119047619047618</v>
      </c>
      <c r="T2679">
        <v>1.5714285714285714</v>
      </c>
      <c r="U2679">
        <v>1.1950000000000001</v>
      </c>
    </row>
    <row r="2680" spans="1:21" x14ac:dyDescent="0.35">
      <c r="A2680">
        <v>563</v>
      </c>
      <c r="B2680" s="16">
        <v>40634</v>
      </c>
      <c r="C2680" s="15" t="s">
        <v>37</v>
      </c>
      <c r="D2680" s="15" t="s">
        <v>58</v>
      </c>
      <c r="E2680" s="15" t="s">
        <v>56</v>
      </c>
      <c r="F2680" s="15" t="s">
        <v>47</v>
      </c>
      <c r="G2680" s="15" t="s">
        <v>59</v>
      </c>
      <c r="H2680" s="15" t="s">
        <v>42</v>
      </c>
      <c r="I2680">
        <v>220</v>
      </c>
      <c r="J2680">
        <v>280</v>
      </c>
      <c r="K2680">
        <v>160</v>
      </c>
      <c r="L2680">
        <v>500</v>
      </c>
      <c r="M2680">
        <v>260</v>
      </c>
      <c r="N2680">
        <v>1423</v>
      </c>
      <c r="O2680">
        <v>318</v>
      </c>
      <c r="P2680">
        <v>98</v>
      </c>
      <c r="Q2680">
        <v>276</v>
      </c>
      <c r="R2680">
        <v>616</v>
      </c>
      <c r="S2680">
        <v>1.232</v>
      </c>
      <c r="T2680">
        <v>1.7250000000000001</v>
      </c>
      <c r="U2680">
        <v>1.1818181818181819</v>
      </c>
    </row>
    <row r="2681" spans="1:21" x14ac:dyDescent="0.35">
      <c r="A2681">
        <v>515</v>
      </c>
      <c r="B2681" s="16">
        <v>40634</v>
      </c>
      <c r="C2681" s="15" t="s">
        <v>37</v>
      </c>
      <c r="D2681" s="15" t="s">
        <v>58</v>
      </c>
      <c r="E2681" s="15" t="s">
        <v>48</v>
      </c>
      <c r="F2681" s="15" t="s">
        <v>49</v>
      </c>
      <c r="G2681" s="15" t="s">
        <v>59</v>
      </c>
      <c r="H2681" s="15" t="s">
        <v>42</v>
      </c>
      <c r="I2681">
        <v>10</v>
      </c>
      <c r="J2681">
        <v>40</v>
      </c>
      <c r="K2681">
        <v>30</v>
      </c>
      <c r="L2681">
        <v>50</v>
      </c>
      <c r="M2681">
        <v>17</v>
      </c>
      <c r="N2681">
        <v>776</v>
      </c>
      <c r="O2681">
        <v>26</v>
      </c>
      <c r="P2681">
        <v>4</v>
      </c>
      <c r="Q2681">
        <v>15</v>
      </c>
      <c r="R2681">
        <v>46</v>
      </c>
      <c r="S2681">
        <v>0.92</v>
      </c>
      <c r="T2681">
        <v>0.5</v>
      </c>
      <c r="U2681">
        <v>1.7</v>
      </c>
    </row>
    <row r="2682" spans="1:21" x14ac:dyDescent="0.35">
      <c r="A2682">
        <v>712</v>
      </c>
      <c r="B2682" s="16">
        <v>40634</v>
      </c>
      <c r="C2682" s="15" t="s">
        <v>37</v>
      </c>
      <c r="D2682" s="15" t="s">
        <v>58</v>
      </c>
      <c r="E2682" s="15" t="s">
        <v>50</v>
      </c>
      <c r="F2682" s="15" t="s">
        <v>49</v>
      </c>
      <c r="G2682" s="15" t="s">
        <v>59</v>
      </c>
      <c r="H2682" s="15" t="s">
        <v>45</v>
      </c>
      <c r="I2682">
        <v>0</v>
      </c>
      <c r="J2682">
        <v>50</v>
      </c>
      <c r="K2682">
        <v>40</v>
      </c>
      <c r="L2682">
        <v>50</v>
      </c>
      <c r="M2682">
        <v>0</v>
      </c>
      <c r="N2682">
        <v>688</v>
      </c>
      <c r="O2682">
        <v>43</v>
      </c>
      <c r="P2682">
        <v>0</v>
      </c>
      <c r="Q2682">
        <v>47</v>
      </c>
      <c r="R2682">
        <v>46</v>
      </c>
      <c r="S2682">
        <v>0.92</v>
      </c>
      <c r="T2682">
        <v>1.175</v>
      </c>
    </row>
    <row r="2683" spans="1:21" x14ac:dyDescent="0.35">
      <c r="A2683">
        <v>515</v>
      </c>
      <c r="B2683" s="16">
        <v>40634</v>
      </c>
      <c r="C2683" s="15" t="s">
        <v>37</v>
      </c>
      <c r="D2683" s="15" t="s">
        <v>58</v>
      </c>
      <c r="E2683" s="15" t="s">
        <v>39</v>
      </c>
      <c r="F2683" s="15" t="s">
        <v>40</v>
      </c>
      <c r="G2683" s="15" t="s">
        <v>59</v>
      </c>
      <c r="H2683" s="15" t="s">
        <v>42</v>
      </c>
      <c r="I2683">
        <v>20</v>
      </c>
      <c r="J2683">
        <v>20</v>
      </c>
      <c r="K2683">
        <v>10</v>
      </c>
      <c r="L2683">
        <v>40</v>
      </c>
      <c r="M2683">
        <v>19</v>
      </c>
      <c r="N2683">
        <v>820</v>
      </c>
      <c r="O2683">
        <v>28</v>
      </c>
      <c r="P2683">
        <v>5</v>
      </c>
      <c r="Q2683">
        <v>16</v>
      </c>
      <c r="R2683">
        <v>50</v>
      </c>
      <c r="S2683">
        <v>1.25</v>
      </c>
      <c r="T2683">
        <v>1.6</v>
      </c>
      <c r="U2683">
        <v>0.95</v>
      </c>
    </row>
    <row r="2684" spans="1:21" x14ac:dyDescent="0.35">
      <c r="A2684">
        <v>319</v>
      </c>
      <c r="B2684" s="16">
        <v>40634</v>
      </c>
      <c r="C2684" s="15" t="s">
        <v>37</v>
      </c>
      <c r="D2684" s="15" t="s">
        <v>58</v>
      </c>
      <c r="E2684" s="15" t="s">
        <v>43</v>
      </c>
      <c r="F2684" s="15" t="s">
        <v>40</v>
      </c>
      <c r="G2684" s="15" t="s">
        <v>59</v>
      </c>
      <c r="H2684" s="15" t="s">
        <v>42</v>
      </c>
      <c r="I2684">
        <v>20</v>
      </c>
      <c r="J2684">
        <v>40</v>
      </c>
      <c r="K2684">
        <v>20</v>
      </c>
      <c r="L2684">
        <v>60</v>
      </c>
      <c r="M2684">
        <v>28</v>
      </c>
      <c r="N2684">
        <v>964</v>
      </c>
      <c r="O2684">
        <v>33</v>
      </c>
      <c r="P2684">
        <v>8</v>
      </c>
      <c r="Q2684">
        <v>4</v>
      </c>
      <c r="R2684">
        <v>65</v>
      </c>
      <c r="S2684">
        <v>1.0833333333333333</v>
      </c>
      <c r="T2684">
        <v>0.2</v>
      </c>
      <c r="U2684">
        <v>1.4</v>
      </c>
    </row>
    <row r="2685" spans="1:21" x14ac:dyDescent="0.35">
      <c r="A2685">
        <v>641</v>
      </c>
      <c r="B2685" s="16">
        <v>40634</v>
      </c>
      <c r="C2685" s="15" t="s">
        <v>37</v>
      </c>
      <c r="D2685" s="15" t="s">
        <v>58</v>
      </c>
      <c r="E2685" s="15" t="s">
        <v>44</v>
      </c>
      <c r="F2685" s="15" t="s">
        <v>40</v>
      </c>
      <c r="G2685" s="15" t="s">
        <v>59</v>
      </c>
      <c r="H2685" s="15" t="s">
        <v>45</v>
      </c>
      <c r="I2685">
        <v>20</v>
      </c>
      <c r="J2685">
        <v>30</v>
      </c>
      <c r="K2685">
        <v>20</v>
      </c>
      <c r="L2685">
        <v>50</v>
      </c>
      <c r="M2685">
        <v>21</v>
      </c>
      <c r="N2685">
        <v>614</v>
      </c>
      <c r="O2685">
        <v>28</v>
      </c>
      <c r="P2685">
        <v>6</v>
      </c>
      <c r="Q2685">
        <v>13</v>
      </c>
      <c r="R2685">
        <v>52</v>
      </c>
      <c r="S2685">
        <v>1.04</v>
      </c>
      <c r="T2685">
        <v>0.65</v>
      </c>
      <c r="U2685">
        <v>1.05</v>
      </c>
    </row>
    <row r="2686" spans="1:21" x14ac:dyDescent="0.35">
      <c r="A2686">
        <v>417</v>
      </c>
      <c r="B2686" s="16">
        <v>40634</v>
      </c>
      <c r="C2686" s="15" t="s">
        <v>37</v>
      </c>
      <c r="D2686" s="15" t="s">
        <v>58</v>
      </c>
      <c r="E2686" s="15" t="s">
        <v>51</v>
      </c>
      <c r="F2686" s="15" t="s">
        <v>52</v>
      </c>
      <c r="G2686" s="15" t="s">
        <v>60</v>
      </c>
      <c r="H2686" s="15" t="s">
        <v>45</v>
      </c>
      <c r="I2686">
        <v>30</v>
      </c>
      <c r="J2686">
        <v>60</v>
      </c>
      <c r="K2686">
        <v>10</v>
      </c>
      <c r="L2686">
        <v>90</v>
      </c>
      <c r="M2686">
        <v>44</v>
      </c>
      <c r="N2686">
        <v>261</v>
      </c>
      <c r="O2686">
        <v>63</v>
      </c>
      <c r="P2686">
        <v>40</v>
      </c>
      <c r="Q2686">
        <v>-9</v>
      </c>
      <c r="R2686">
        <v>114</v>
      </c>
      <c r="S2686">
        <v>1.2666666666666666</v>
      </c>
      <c r="T2686">
        <v>-0.9</v>
      </c>
      <c r="U2686">
        <v>1.4666666666666666</v>
      </c>
    </row>
    <row r="2687" spans="1:21" x14ac:dyDescent="0.35">
      <c r="A2687">
        <v>636</v>
      </c>
      <c r="B2687" s="16">
        <v>40634</v>
      </c>
      <c r="C2687" s="15" t="s">
        <v>37</v>
      </c>
      <c r="D2687" s="15" t="s">
        <v>58</v>
      </c>
      <c r="E2687" s="15" t="s">
        <v>53</v>
      </c>
      <c r="F2687" s="15" t="s">
        <v>52</v>
      </c>
      <c r="G2687" s="15" t="s">
        <v>60</v>
      </c>
      <c r="H2687" s="15" t="s">
        <v>45</v>
      </c>
      <c r="I2687">
        <v>70</v>
      </c>
      <c r="J2687">
        <v>40</v>
      </c>
      <c r="K2687">
        <v>10</v>
      </c>
      <c r="L2687">
        <v>110</v>
      </c>
      <c r="M2687">
        <v>93</v>
      </c>
      <c r="N2687">
        <v>840</v>
      </c>
      <c r="O2687">
        <v>40</v>
      </c>
      <c r="P2687">
        <v>28</v>
      </c>
      <c r="Q2687">
        <v>-18</v>
      </c>
      <c r="R2687">
        <v>142</v>
      </c>
      <c r="S2687">
        <v>1.290909090909091</v>
      </c>
      <c r="T2687">
        <v>-1.8</v>
      </c>
      <c r="U2687">
        <v>1.3285714285714285</v>
      </c>
    </row>
    <row r="2688" spans="1:21" x14ac:dyDescent="0.35">
      <c r="A2688">
        <v>417</v>
      </c>
      <c r="B2688" s="16">
        <v>40634</v>
      </c>
      <c r="C2688" s="15" t="s">
        <v>37</v>
      </c>
      <c r="D2688" s="15" t="s">
        <v>58</v>
      </c>
      <c r="E2688" s="15" t="s">
        <v>55</v>
      </c>
      <c r="F2688" s="15" t="s">
        <v>47</v>
      </c>
      <c r="G2688" s="15" t="s">
        <v>60</v>
      </c>
      <c r="H2688" s="15" t="s">
        <v>42</v>
      </c>
      <c r="I2688">
        <v>30</v>
      </c>
      <c r="J2688">
        <v>40</v>
      </c>
      <c r="K2688">
        <v>10</v>
      </c>
      <c r="L2688">
        <v>70</v>
      </c>
      <c r="M2688">
        <v>37</v>
      </c>
      <c r="N2688">
        <v>195</v>
      </c>
      <c r="O2688">
        <v>51</v>
      </c>
      <c r="P2688">
        <v>12</v>
      </c>
      <c r="Q2688">
        <v>16</v>
      </c>
      <c r="R2688">
        <v>94</v>
      </c>
      <c r="S2688">
        <v>1.3428571428571427</v>
      </c>
      <c r="T2688">
        <v>1.6</v>
      </c>
      <c r="U2688">
        <v>1.2333333333333334</v>
      </c>
    </row>
    <row r="2689" spans="1:21" x14ac:dyDescent="0.35">
      <c r="A2689">
        <v>417</v>
      </c>
      <c r="B2689" s="16">
        <v>40634</v>
      </c>
      <c r="C2689" s="15" t="s">
        <v>37</v>
      </c>
      <c r="D2689" s="15" t="s">
        <v>58</v>
      </c>
      <c r="E2689" s="15" t="s">
        <v>56</v>
      </c>
      <c r="F2689" s="15" t="s">
        <v>47</v>
      </c>
      <c r="G2689" s="15" t="s">
        <v>60</v>
      </c>
      <c r="H2689" s="15" t="s">
        <v>42</v>
      </c>
      <c r="I2689">
        <v>20</v>
      </c>
      <c r="J2689">
        <v>30</v>
      </c>
      <c r="K2689">
        <v>-10</v>
      </c>
      <c r="L2689">
        <v>50</v>
      </c>
      <c r="M2689">
        <v>29</v>
      </c>
      <c r="N2689">
        <v>169</v>
      </c>
      <c r="O2689">
        <v>36</v>
      </c>
      <c r="P2689">
        <v>11</v>
      </c>
      <c r="Q2689">
        <v>-13</v>
      </c>
      <c r="R2689">
        <v>69</v>
      </c>
      <c r="S2689">
        <v>1.38</v>
      </c>
      <c r="T2689">
        <v>1.3</v>
      </c>
      <c r="U2689">
        <v>1.45</v>
      </c>
    </row>
    <row r="2690" spans="1:21" x14ac:dyDescent="0.35">
      <c r="A2690">
        <v>314</v>
      </c>
      <c r="B2690" s="16">
        <v>40634</v>
      </c>
      <c r="C2690" s="15" t="s">
        <v>37</v>
      </c>
      <c r="D2690" s="15" t="s">
        <v>58</v>
      </c>
      <c r="E2690" s="15" t="s">
        <v>46</v>
      </c>
      <c r="F2690" s="15" t="s">
        <v>47</v>
      </c>
      <c r="G2690" s="15" t="s">
        <v>60</v>
      </c>
      <c r="H2690" s="15" t="s">
        <v>42</v>
      </c>
      <c r="I2690">
        <v>30</v>
      </c>
      <c r="J2690">
        <v>30</v>
      </c>
      <c r="K2690">
        <v>-10</v>
      </c>
      <c r="L2690">
        <v>60</v>
      </c>
      <c r="M2690">
        <v>35</v>
      </c>
      <c r="N2690">
        <v>197</v>
      </c>
      <c r="O2690">
        <v>44</v>
      </c>
      <c r="P2690">
        <v>13</v>
      </c>
      <c r="Q2690">
        <v>-3</v>
      </c>
      <c r="R2690">
        <v>84</v>
      </c>
      <c r="S2690">
        <v>1.4</v>
      </c>
      <c r="T2690">
        <v>0.3</v>
      </c>
      <c r="U2690">
        <v>1.1666666666666667</v>
      </c>
    </row>
    <row r="2691" spans="1:21" x14ac:dyDescent="0.35">
      <c r="A2691">
        <v>314</v>
      </c>
      <c r="B2691" s="16">
        <v>40634</v>
      </c>
      <c r="C2691" s="15" t="s">
        <v>37</v>
      </c>
      <c r="D2691" s="15" t="s">
        <v>58</v>
      </c>
      <c r="E2691" s="15" t="s">
        <v>48</v>
      </c>
      <c r="F2691" s="15" t="s">
        <v>49</v>
      </c>
      <c r="G2691" s="15" t="s">
        <v>60</v>
      </c>
      <c r="H2691" s="15" t="s">
        <v>42</v>
      </c>
      <c r="I2691">
        <v>50</v>
      </c>
      <c r="J2691">
        <v>80</v>
      </c>
      <c r="K2691">
        <v>60</v>
      </c>
      <c r="L2691">
        <v>130</v>
      </c>
      <c r="M2691">
        <v>47</v>
      </c>
      <c r="N2691">
        <v>821</v>
      </c>
      <c r="O2691">
        <v>68</v>
      </c>
      <c r="P2691">
        <v>13</v>
      </c>
      <c r="Q2691">
        <v>64</v>
      </c>
      <c r="R2691">
        <v>123</v>
      </c>
      <c r="S2691">
        <v>0.94615384615384612</v>
      </c>
      <c r="T2691">
        <v>1.0666666666666667</v>
      </c>
      <c r="U2691">
        <v>0.94</v>
      </c>
    </row>
    <row r="2692" spans="1:21" x14ac:dyDescent="0.35">
      <c r="A2692">
        <v>573</v>
      </c>
      <c r="B2692" s="16">
        <v>40634</v>
      </c>
      <c r="C2692" s="15" t="s">
        <v>37</v>
      </c>
      <c r="D2692" s="15" t="s">
        <v>58</v>
      </c>
      <c r="E2692" s="15" t="s">
        <v>50</v>
      </c>
      <c r="F2692" s="15" t="s">
        <v>49</v>
      </c>
      <c r="G2692" s="15" t="s">
        <v>60</v>
      </c>
      <c r="H2692" s="15" t="s">
        <v>45</v>
      </c>
      <c r="I2692">
        <v>50</v>
      </c>
      <c r="J2692">
        <v>80</v>
      </c>
      <c r="K2692">
        <v>60</v>
      </c>
      <c r="L2692">
        <v>130</v>
      </c>
      <c r="M2692">
        <v>45</v>
      </c>
      <c r="N2692">
        <v>777</v>
      </c>
      <c r="O2692">
        <v>67</v>
      </c>
      <c r="P2692">
        <v>12</v>
      </c>
      <c r="Q2692">
        <v>65</v>
      </c>
      <c r="R2692">
        <v>119</v>
      </c>
      <c r="S2692">
        <v>0.91538461538461535</v>
      </c>
      <c r="T2692">
        <v>1.0833333333333333</v>
      </c>
      <c r="U2692">
        <v>0.9</v>
      </c>
    </row>
    <row r="2693" spans="1:21" x14ac:dyDescent="0.35">
      <c r="A2693">
        <v>573</v>
      </c>
      <c r="B2693" s="16">
        <v>40634</v>
      </c>
      <c r="C2693" s="15" t="s">
        <v>37</v>
      </c>
      <c r="D2693" s="15" t="s">
        <v>58</v>
      </c>
      <c r="E2693" s="15" t="s">
        <v>43</v>
      </c>
      <c r="F2693" s="15" t="s">
        <v>40</v>
      </c>
      <c r="G2693" s="15" t="s">
        <v>60</v>
      </c>
      <c r="H2693" s="15" t="s">
        <v>42</v>
      </c>
      <c r="I2693">
        <v>80</v>
      </c>
      <c r="J2693">
        <v>100</v>
      </c>
      <c r="K2693">
        <v>50</v>
      </c>
      <c r="L2693">
        <v>180</v>
      </c>
      <c r="M2693">
        <v>80</v>
      </c>
      <c r="N2693">
        <v>494</v>
      </c>
      <c r="O2693">
        <v>98</v>
      </c>
      <c r="P2693">
        <v>30</v>
      </c>
      <c r="Q2693">
        <v>52</v>
      </c>
      <c r="R2693">
        <v>190</v>
      </c>
      <c r="S2693">
        <v>1.0555555555555556</v>
      </c>
      <c r="T2693">
        <v>1.04</v>
      </c>
      <c r="U2693">
        <v>1</v>
      </c>
    </row>
    <row r="2694" spans="1:21" x14ac:dyDescent="0.35">
      <c r="A2694">
        <v>573</v>
      </c>
      <c r="B2694" s="16">
        <v>40634</v>
      </c>
      <c r="C2694" s="15" t="s">
        <v>37</v>
      </c>
      <c r="D2694" s="15" t="s">
        <v>58</v>
      </c>
      <c r="E2694" s="15" t="s">
        <v>44</v>
      </c>
      <c r="F2694" s="15" t="s">
        <v>40</v>
      </c>
      <c r="G2694" s="15" t="s">
        <v>60</v>
      </c>
      <c r="H2694" s="15" t="s">
        <v>45</v>
      </c>
      <c r="I2694">
        <v>80</v>
      </c>
      <c r="J2694">
        <v>90</v>
      </c>
      <c r="K2694">
        <v>50</v>
      </c>
      <c r="L2694">
        <v>170</v>
      </c>
      <c r="M2694">
        <v>76</v>
      </c>
      <c r="N2694">
        <v>965</v>
      </c>
      <c r="O2694">
        <v>91</v>
      </c>
      <c r="P2694">
        <v>23</v>
      </c>
      <c r="Q2694">
        <v>70</v>
      </c>
      <c r="R2694">
        <v>178</v>
      </c>
      <c r="S2694">
        <v>1.0470588235294118</v>
      </c>
      <c r="T2694">
        <v>1.4</v>
      </c>
      <c r="U2694">
        <v>0.95</v>
      </c>
    </row>
    <row r="2695" spans="1:21" x14ac:dyDescent="0.35">
      <c r="A2695">
        <v>234</v>
      </c>
      <c r="B2695" s="16">
        <v>40634</v>
      </c>
      <c r="C2695" s="15" t="s">
        <v>37</v>
      </c>
      <c r="D2695" s="15" t="s">
        <v>38</v>
      </c>
      <c r="E2695" s="15" t="s">
        <v>51</v>
      </c>
      <c r="F2695" s="15" t="s">
        <v>52</v>
      </c>
      <c r="G2695" s="15" t="s">
        <v>61</v>
      </c>
      <c r="H2695" s="15" t="s">
        <v>45</v>
      </c>
      <c r="I2695">
        <v>10</v>
      </c>
      <c r="J2695">
        <v>30</v>
      </c>
      <c r="K2695">
        <v>30</v>
      </c>
      <c r="L2695">
        <v>40</v>
      </c>
      <c r="M2695">
        <v>21</v>
      </c>
      <c r="N2695">
        <v>454</v>
      </c>
      <c r="O2695">
        <v>32</v>
      </c>
      <c r="P2695">
        <v>5</v>
      </c>
      <c r="Q2695">
        <v>24</v>
      </c>
      <c r="R2695">
        <v>56</v>
      </c>
      <c r="S2695">
        <v>1.4</v>
      </c>
      <c r="T2695">
        <v>0.8</v>
      </c>
      <c r="U2695">
        <v>2.1</v>
      </c>
    </row>
    <row r="2696" spans="1:21" x14ac:dyDescent="0.35">
      <c r="A2696">
        <v>330</v>
      </c>
      <c r="B2696" s="16">
        <v>40634</v>
      </c>
      <c r="C2696" s="15" t="s">
        <v>37</v>
      </c>
      <c r="D2696" s="15" t="s">
        <v>38</v>
      </c>
      <c r="E2696" s="15" t="s">
        <v>53</v>
      </c>
      <c r="F2696" s="15" t="s">
        <v>52</v>
      </c>
      <c r="G2696" s="15" t="s">
        <v>61</v>
      </c>
      <c r="H2696" s="15" t="s">
        <v>45</v>
      </c>
      <c r="I2696">
        <v>20</v>
      </c>
      <c r="J2696">
        <v>40</v>
      </c>
      <c r="K2696">
        <v>40</v>
      </c>
      <c r="L2696">
        <v>60</v>
      </c>
      <c r="M2696">
        <v>30</v>
      </c>
      <c r="N2696">
        <v>820</v>
      </c>
      <c r="O2696">
        <v>45</v>
      </c>
      <c r="P2696">
        <v>8</v>
      </c>
      <c r="Q2696">
        <v>39</v>
      </c>
      <c r="R2696">
        <v>80</v>
      </c>
      <c r="S2696">
        <v>1.3333333333333333</v>
      </c>
      <c r="T2696">
        <v>0.97499999999999998</v>
      </c>
      <c r="U2696">
        <v>1.5</v>
      </c>
    </row>
    <row r="2697" spans="1:21" x14ac:dyDescent="0.35">
      <c r="A2697">
        <v>937</v>
      </c>
      <c r="B2697" s="16">
        <v>40634</v>
      </c>
      <c r="C2697" s="15" t="s">
        <v>37</v>
      </c>
      <c r="D2697" s="15" t="s">
        <v>38</v>
      </c>
      <c r="E2697" s="15" t="s">
        <v>55</v>
      </c>
      <c r="F2697" s="15" t="s">
        <v>47</v>
      </c>
      <c r="G2697" s="15" t="s">
        <v>61</v>
      </c>
      <c r="H2697" s="15" t="s">
        <v>42</v>
      </c>
      <c r="I2697">
        <v>70</v>
      </c>
      <c r="J2697">
        <v>120</v>
      </c>
      <c r="K2697">
        <v>70</v>
      </c>
      <c r="L2697">
        <v>190</v>
      </c>
      <c r="M2697">
        <v>88</v>
      </c>
      <c r="N2697">
        <v>653</v>
      </c>
      <c r="O2697">
        <v>134</v>
      </c>
      <c r="P2697">
        <v>29</v>
      </c>
      <c r="Q2697">
        <v>108</v>
      </c>
      <c r="R2697">
        <v>237</v>
      </c>
      <c r="S2697">
        <v>1.2473684210526317</v>
      </c>
      <c r="T2697">
        <v>1.5428571428571429</v>
      </c>
      <c r="U2697">
        <v>1.2571428571428571</v>
      </c>
    </row>
    <row r="2698" spans="1:21" x14ac:dyDescent="0.35">
      <c r="A2698">
        <v>234</v>
      </c>
      <c r="B2698" s="16">
        <v>40634</v>
      </c>
      <c r="C2698" s="15" t="s">
        <v>37</v>
      </c>
      <c r="D2698" s="15" t="s">
        <v>38</v>
      </c>
      <c r="E2698" s="15" t="s">
        <v>56</v>
      </c>
      <c r="F2698" s="15" t="s">
        <v>47</v>
      </c>
      <c r="G2698" s="15" t="s">
        <v>61</v>
      </c>
      <c r="H2698" s="15" t="s">
        <v>42</v>
      </c>
      <c r="I2698">
        <v>90</v>
      </c>
      <c r="J2698">
        <v>140</v>
      </c>
      <c r="K2698">
        <v>90</v>
      </c>
      <c r="L2698">
        <v>230</v>
      </c>
      <c r="M2698">
        <v>112</v>
      </c>
      <c r="N2698">
        <v>502</v>
      </c>
      <c r="O2698">
        <v>155</v>
      </c>
      <c r="P2698">
        <v>34</v>
      </c>
      <c r="Q2698">
        <v>144</v>
      </c>
      <c r="R2698">
        <v>285</v>
      </c>
      <c r="S2698">
        <v>1.2391304347826086</v>
      </c>
      <c r="T2698">
        <v>1.6</v>
      </c>
      <c r="U2698">
        <v>1.2444444444444445</v>
      </c>
    </row>
    <row r="2699" spans="1:21" x14ac:dyDescent="0.35">
      <c r="A2699">
        <v>216</v>
      </c>
      <c r="B2699" s="16">
        <v>40634</v>
      </c>
      <c r="C2699" s="15" t="s">
        <v>37</v>
      </c>
      <c r="D2699" s="15" t="s">
        <v>38</v>
      </c>
      <c r="E2699" s="15" t="s">
        <v>48</v>
      </c>
      <c r="F2699" s="15" t="s">
        <v>49</v>
      </c>
      <c r="G2699" s="15" t="s">
        <v>61</v>
      </c>
      <c r="H2699" s="15" t="s">
        <v>42</v>
      </c>
      <c r="I2699">
        <v>180</v>
      </c>
      <c r="J2699">
        <v>200</v>
      </c>
      <c r="K2699">
        <v>130</v>
      </c>
      <c r="L2699">
        <v>380</v>
      </c>
      <c r="M2699">
        <v>162</v>
      </c>
      <c r="N2699">
        <v>1091</v>
      </c>
      <c r="O2699">
        <v>163</v>
      </c>
      <c r="P2699">
        <v>45</v>
      </c>
      <c r="Q2699">
        <v>138</v>
      </c>
      <c r="R2699">
        <v>346</v>
      </c>
      <c r="S2699">
        <v>0.91052631578947374</v>
      </c>
      <c r="T2699">
        <v>1.0615384615384615</v>
      </c>
      <c r="U2699">
        <v>0.9</v>
      </c>
    </row>
    <row r="2700" spans="1:21" x14ac:dyDescent="0.35">
      <c r="A2700">
        <v>419</v>
      </c>
      <c r="B2700" s="16">
        <v>40634</v>
      </c>
      <c r="C2700" s="15" t="s">
        <v>37</v>
      </c>
      <c r="D2700" s="15" t="s">
        <v>38</v>
      </c>
      <c r="E2700" s="15" t="s">
        <v>50</v>
      </c>
      <c r="F2700" s="15" t="s">
        <v>49</v>
      </c>
      <c r="G2700" s="15" t="s">
        <v>61</v>
      </c>
      <c r="H2700" s="15" t="s">
        <v>45</v>
      </c>
      <c r="I2700">
        <v>60</v>
      </c>
      <c r="J2700">
        <v>80</v>
      </c>
      <c r="K2700">
        <v>30</v>
      </c>
      <c r="L2700">
        <v>140</v>
      </c>
      <c r="M2700">
        <v>54</v>
      </c>
      <c r="N2700">
        <v>337</v>
      </c>
      <c r="O2700">
        <v>67</v>
      </c>
      <c r="P2700">
        <v>20</v>
      </c>
      <c r="Q2700">
        <v>19</v>
      </c>
      <c r="R2700">
        <v>129</v>
      </c>
      <c r="S2700">
        <v>0.92142857142857137</v>
      </c>
      <c r="T2700">
        <v>0.6333333333333333</v>
      </c>
      <c r="U2700">
        <v>0.9</v>
      </c>
    </row>
    <row r="2701" spans="1:21" x14ac:dyDescent="0.35">
      <c r="A2701">
        <v>567</v>
      </c>
      <c r="B2701" s="16">
        <v>40634</v>
      </c>
      <c r="C2701" s="15" t="s">
        <v>37</v>
      </c>
      <c r="D2701" s="15" t="s">
        <v>38</v>
      </c>
      <c r="E2701" s="15" t="s">
        <v>39</v>
      </c>
      <c r="F2701" s="15" t="s">
        <v>40</v>
      </c>
      <c r="G2701" s="15" t="s">
        <v>61</v>
      </c>
      <c r="H2701" s="15" t="s">
        <v>42</v>
      </c>
      <c r="I2701">
        <v>50</v>
      </c>
      <c r="J2701">
        <v>80</v>
      </c>
      <c r="K2701">
        <v>50</v>
      </c>
      <c r="L2701">
        <v>130</v>
      </c>
      <c r="M2701">
        <v>55</v>
      </c>
      <c r="N2701">
        <v>336</v>
      </c>
      <c r="O2701">
        <v>74</v>
      </c>
      <c r="P2701">
        <v>18</v>
      </c>
      <c r="Q2701">
        <v>42</v>
      </c>
      <c r="R2701">
        <v>137</v>
      </c>
      <c r="S2701">
        <v>1.0538461538461539</v>
      </c>
      <c r="T2701">
        <v>0.84</v>
      </c>
      <c r="U2701">
        <v>1.1000000000000001</v>
      </c>
    </row>
    <row r="2702" spans="1:21" x14ac:dyDescent="0.35">
      <c r="A2702">
        <v>330</v>
      </c>
      <c r="B2702" s="16">
        <v>40634</v>
      </c>
      <c r="C2702" s="15" t="s">
        <v>37</v>
      </c>
      <c r="D2702" s="15" t="s">
        <v>38</v>
      </c>
      <c r="E2702" s="15" t="s">
        <v>43</v>
      </c>
      <c r="F2702" s="15" t="s">
        <v>40</v>
      </c>
      <c r="G2702" s="15" t="s">
        <v>61</v>
      </c>
      <c r="H2702" s="15" t="s">
        <v>42</v>
      </c>
      <c r="I2702">
        <v>40</v>
      </c>
      <c r="J2702">
        <v>70</v>
      </c>
      <c r="K2702">
        <v>40</v>
      </c>
      <c r="L2702">
        <v>110</v>
      </c>
      <c r="M2702">
        <v>43</v>
      </c>
      <c r="N2702">
        <v>363</v>
      </c>
      <c r="O2702">
        <v>64</v>
      </c>
      <c r="P2702">
        <v>13</v>
      </c>
      <c r="Q2702">
        <v>40</v>
      </c>
      <c r="R2702">
        <v>114</v>
      </c>
      <c r="S2702">
        <v>1.0363636363636364</v>
      </c>
      <c r="T2702">
        <v>1</v>
      </c>
      <c r="U2702">
        <v>1.075</v>
      </c>
    </row>
    <row r="2703" spans="1:21" x14ac:dyDescent="0.35">
      <c r="A2703">
        <v>513</v>
      </c>
      <c r="B2703" s="16">
        <v>40634</v>
      </c>
      <c r="C2703" s="15" t="s">
        <v>37</v>
      </c>
      <c r="D2703" s="15" t="s">
        <v>38</v>
      </c>
      <c r="E2703" s="15" t="s">
        <v>44</v>
      </c>
      <c r="F2703" s="15" t="s">
        <v>40</v>
      </c>
      <c r="G2703" s="15" t="s">
        <v>61</v>
      </c>
      <c r="H2703" s="15" t="s">
        <v>45</v>
      </c>
      <c r="I2703">
        <v>50</v>
      </c>
      <c r="J2703">
        <v>80</v>
      </c>
      <c r="K2703">
        <v>20</v>
      </c>
      <c r="L2703">
        <v>130</v>
      </c>
      <c r="M2703">
        <v>52</v>
      </c>
      <c r="N2703">
        <v>433</v>
      </c>
      <c r="O2703">
        <v>73</v>
      </c>
      <c r="P2703">
        <v>47</v>
      </c>
      <c r="Q2703">
        <v>-4</v>
      </c>
      <c r="R2703">
        <v>133</v>
      </c>
      <c r="S2703">
        <v>1.023076923076923</v>
      </c>
      <c r="T2703">
        <v>-0.2</v>
      </c>
      <c r="U2703">
        <v>1.04</v>
      </c>
    </row>
    <row r="2704" spans="1:21" x14ac:dyDescent="0.35">
      <c r="A2704">
        <v>414</v>
      </c>
      <c r="B2704" s="16">
        <v>40634</v>
      </c>
      <c r="C2704" s="15" t="s">
        <v>37</v>
      </c>
      <c r="D2704" s="15" t="s">
        <v>58</v>
      </c>
      <c r="E2704" s="15" t="s">
        <v>51</v>
      </c>
      <c r="F2704" s="15" t="s">
        <v>52</v>
      </c>
      <c r="G2704" s="15" t="s">
        <v>62</v>
      </c>
      <c r="H2704" s="15" t="s">
        <v>45</v>
      </c>
      <c r="I2704">
        <v>40</v>
      </c>
      <c r="J2704">
        <v>70</v>
      </c>
      <c r="K2704">
        <v>50</v>
      </c>
      <c r="L2704">
        <v>110</v>
      </c>
      <c r="M2704">
        <v>49</v>
      </c>
      <c r="N2704">
        <v>342</v>
      </c>
      <c r="O2704">
        <v>84</v>
      </c>
      <c r="P2704">
        <v>15</v>
      </c>
      <c r="Q2704">
        <v>68</v>
      </c>
      <c r="R2704">
        <v>142</v>
      </c>
      <c r="S2704">
        <v>1.290909090909091</v>
      </c>
      <c r="T2704">
        <v>1.36</v>
      </c>
      <c r="U2704">
        <v>1.2250000000000001</v>
      </c>
    </row>
    <row r="2705" spans="1:21" x14ac:dyDescent="0.35">
      <c r="A2705">
        <v>262</v>
      </c>
      <c r="B2705" s="16">
        <v>40634</v>
      </c>
      <c r="C2705" s="15" t="s">
        <v>37</v>
      </c>
      <c r="D2705" s="15" t="s">
        <v>58</v>
      </c>
      <c r="E2705" s="15" t="s">
        <v>53</v>
      </c>
      <c r="F2705" s="15" t="s">
        <v>52</v>
      </c>
      <c r="G2705" s="15" t="s">
        <v>62</v>
      </c>
      <c r="H2705" s="15" t="s">
        <v>45</v>
      </c>
      <c r="I2705">
        <v>40</v>
      </c>
      <c r="J2705">
        <v>60</v>
      </c>
      <c r="K2705">
        <v>50</v>
      </c>
      <c r="L2705">
        <v>100</v>
      </c>
      <c r="M2705">
        <v>49</v>
      </c>
      <c r="N2705">
        <v>779</v>
      </c>
      <c r="O2705">
        <v>72</v>
      </c>
      <c r="P2705">
        <v>13</v>
      </c>
      <c r="Q2705">
        <v>70</v>
      </c>
      <c r="R2705">
        <v>129</v>
      </c>
      <c r="S2705">
        <v>1.29</v>
      </c>
      <c r="T2705">
        <v>1.4</v>
      </c>
      <c r="U2705">
        <v>1.2250000000000001</v>
      </c>
    </row>
    <row r="2706" spans="1:21" x14ac:dyDescent="0.35">
      <c r="A2706">
        <v>262</v>
      </c>
      <c r="B2706" s="16">
        <v>40634</v>
      </c>
      <c r="C2706" s="15" t="s">
        <v>37</v>
      </c>
      <c r="D2706" s="15" t="s">
        <v>58</v>
      </c>
      <c r="E2706" s="15" t="s">
        <v>55</v>
      </c>
      <c r="F2706" s="15" t="s">
        <v>47</v>
      </c>
      <c r="G2706" s="15" t="s">
        <v>62</v>
      </c>
      <c r="H2706" s="15" t="s">
        <v>42</v>
      </c>
      <c r="I2706">
        <v>30</v>
      </c>
      <c r="J2706">
        <v>70</v>
      </c>
      <c r="K2706">
        <v>40</v>
      </c>
      <c r="L2706">
        <v>100</v>
      </c>
      <c r="M2706">
        <v>46</v>
      </c>
      <c r="N2706">
        <v>388</v>
      </c>
      <c r="O2706">
        <v>68</v>
      </c>
      <c r="P2706">
        <v>14</v>
      </c>
      <c r="Q2706">
        <v>46</v>
      </c>
      <c r="R2706">
        <v>121</v>
      </c>
      <c r="S2706">
        <v>1.21</v>
      </c>
      <c r="T2706">
        <v>1.1499999999999999</v>
      </c>
      <c r="U2706">
        <v>1.5333333333333334</v>
      </c>
    </row>
    <row r="2707" spans="1:21" x14ac:dyDescent="0.35">
      <c r="A2707">
        <v>608</v>
      </c>
      <c r="B2707" s="16">
        <v>40634</v>
      </c>
      <c r="C2707" s="15" t="s">
        <v>37</v>
      </c>
      <c r="D2707" s="15" t="s">
        <v>58</v>
      </c>
      <c r="E2707" s="15" t="s">
        <v>56</v>
      </c>
      <c r="F2707" s="15" t="s">
        <v>47</v>
      </c>
      <c r="G2707" s="15" t="s">
        <v>62</v>
      </c>
      <c r="H2707" s="15" t="s">
        <v>42</v>
      </c>
      <c r="I2707">
        <v>50</v>
      </c>
      <c r="J2707">
        <v>80</v>
      </c>
      <c r="K2707">
        <v>10</v>
      </c>
      <c r="L2707">
        <v>130</v>
      </c>
      <c r="M2707">
        <v>63</v>
      </c>
      <c r="N2707">
        <v>521</v>
      </c>
      <c r="O2707">
        <v>87</v>
      </c>
      <c r="P2707">
        <v>57</v>
      </c>
      <c r="Q2707">
        <v>1</v>
      </c>
      <c r="R2707">
        <v>160</v>
      </c>
      <c r="S2707">
        <v>1.2307692307692308</v>
      </c>
      <c r="T2707">
        <v>0.1</v>
      </c>
      <c r="U2707">
        <v>1.26</v>
      </c>
    </row>
    <row r="2708" spans="1:21" x14ac:dyDescent="0.35">
      <c r="A2708">
        <v>608</v>
      </c>
      <c r="B2708" s="16">
        <v>40634</v>
      </c>
      <c r="C2708" s="15" t="s">
        <v>37</v>
      </c>
      <c r="D2708" s="15" t="s">
        <v>58</v>
      </c>
      <c r="E2708" s="15" t="s">
        <v>48</v>
      </c>
      <c r="F2708" s="15" t="s">
        <v>49</v>
      </c>
      <c r="G2708" s="15" t="s">
        <v>62</v>
      </c>
      <c r="H2708" s="15" t="s">
        <v>42</v>
      </c>
      <c r="I2708">
        <v>80</v>
      </c>
      <c r="J2708">
        <v>90</v>
      </c>
      <c r="K2708">
        <v>50</v>
      </c>
      <c r="L2708">
        <v>170</v>
      </c>
      <c r="M2708">
        <v>69</v>
      </c>
      <c r="N2708">
        <v>965</v>
      </c>
      <c r="O2708">
        <v>82</v>
      </c>
      <c r="P2708">
        <v>21</v>
      </c>
      <c r="Q2708">
        <v>58</v>
      </c>
      <c r="R2708">
        <v>161</v>
      </c>
      <c r="S2708">
        <v>0.94705882352941173</v>
      </c>
      <c r="T2708">
        <v>1.1599999999999999</v>
      </c>
      <c r="U2708">
        <v>0.86250000000000004</v>
      </c>
    </row>
    <row r="2709" spans="1:21" x14ac:dyDescent="0.35">
      <c r="A2709">
        <v>920</v>
      </c>
      <c r="B2709" s="16">
        <v>40634</v>
      </c>
      <c r="C2709" s="15" t="s">
        <v>37</v>
      </c>
      <c r="D2709" s="15" t="s">
        <v>58</v>
      </c>
      <c r="E2709" s="15" t="s">
        <v>50</v>
      </c>
      <c r="F2709" s="15" t="s">
        <v>49</v>
      </c>
      <c r="G2709" s="15" t="s">
        <v>62</v>
      </c>
      <c r="H2709" s="15" t="s">
        <v>45</v>
      </c>
      <c r="I2709">
        <v>50</v>
      </c>
      <c r="J2709">
        <v>70</v>
      </c>
      <c r="K2709">
        <v>50</v>
      </c>
      <c r="L2709">
        <v>120</v>
      </c>
      <c r="M2709">
        <v>45</v>
      </c>
      <c r="N2709">
        <v>605</v>
      </c>
      <c r="O2709">
        <v>58</v>
      </c>
      <c r="P2709">
        <v>14</v>
      </c>
      <c r="Q2709">
        <v>47</v>
      </c>
      <c r="R2709">
        <v>110</v>
      </c>
      <c r="S2709">
        <v>0.91666666666666663</v>
      </c>
      <c r="T2709">
        <v>0.94</v>
      </c>
      <c r="U2709">
        <v>0.9</v>
      </c>
    </row>
    <row r="2710" spans="1:21" x14ac:dyDescent="0.35">
      <c r="A2710">
        <v>715</v>
      </c>
      <c r="B2710" s="16">
        <v>40634</v>
      </c>
      <c r="C2710" s="15" t="s">
        <v>37</v>
      </c>
      <c r="D2710" s="15" t="s">
        <v>58</v>
      </c>
      <c r="E2710" s="15" t="s">
        <v>39</v>
      </c>
      <c r="F2710" s="15" t="s">
        <v>40</v>
      </c>
      <c r="G2710" s="15" t="s">
        <v>62</v>
      </c>
      <c r="H2710" s="15" t="s">
        <v>42</v>
      </c>
      <c r="I2710">
        <v>60</v>
      </c>
      <c r="J2710">
        <v>70</v>
      </c>
      <c r="K2710">
        <v>20</v>
      </c>
      <c r="L2710">
        <v>130</v>
      </c>
      <c r="M2710">
        <v>57</v>
      </c>
      <c r="N2710">
        <v>313</v>
      </c>
      <c r="O2710">
        <v>70</v>
      </c>
      <c r="P2710">
        <v>21</v>
      </c>
      <c r="Q2710">
        <v>24</v>
      </c>
      <c r="R2710">
        <v>135</v>
      </c>
      <c r="S2710">
        <v>1.0384615384615385</v>
      </c>
      <c r="T2710">
        <v>1.2</v>
      </c>
      <c r="U2710">
        <v>0.95</v>
      </c>
    </row>
    <row r="2711" spans="1:21" x14ac:dyDescent="0.35">
      <c r="A2711">
        <v>608</v>
      </c>
      <c r="B2711" s="16">
        <v>40634</v>
      </c>
      <c r="C2711" s="15" t="s">
        <v>37</v>
      </c>
      <c r="D2711" s="15" t="s">
        <v>58</v>
      </c>
      <c r="E2711" s="15" t="s">
        <v>43</v>
      </c>
      <c r="F2711" s="15" t="s">
        <v>40</v>
      </c>
      <c r="G2711" s="15" t="s">
        <v>62</v>
      </c>
      <c r="H2711" s="15" t="s">
        <v>42</v>
      </c>
      <c r="I2711">
        <v>100</v>
      </c>
      <c r="J2711">
        <v>130</v>
      </c>
      <c r="K2711">
        <v>30</v>
      </c>
      <c r="L2711">
        <v>230</v>
      </c>
      <c r="M2711">
        <v>95</v>
      </c>
      <c r="N2711">
        <v>554</v>
      </c>
      <c r="O2711">
        <v>132</v>
      </c>
      <c r="P2711">
        <v>86</v>
      </c>
      <c r="Q2711">
        <v>25</v>
      </c>
      <c r="R2711">
        <v>242</v>
      </c>
      <c r="S2711">
        <v>1.0521739130434782</v>
      </c>
      <c r="T2711">
        <v>0.83333333333333337</v>
      </c>
      <c r="U2711">
        <v>0.95</v>
      </c>
    </row>
    <row r="2712" spans="1:21" x14ac:dyDescent="0.35">
      <c r="A2712">
        <v>262</v>
      </c>
      <c r="B2712" s="16">
        <v>40634</v>
      </c>
      <c r="C2712" s="15" t="s">
        <v>37</v>
      </c>
      <c r="D2712" s="15" t="s">
        <v>58</v>
      </c>
      <c r="E2712" s="15" t="s">
        <v>44</v>
      </c>
      <c r="F2712" s="15" t="s">
        <v>40</v>
      </c>
      <c r="G2712" s="15" t="s">
        <v>62</v>
      </c>
      <c r="H2712" s="15" t="s">
        <v>45</v>
      </c>
      <c r="I2712">
        <v>80</v>
      </c>
      <c r="J2712">
        <v>120</v>
      </c>
      <c r="K2712">
        <v>80</v>
      </c>
      <c r="L2712">
        <v>200</v>
      </c>
      <c r="M2712">
        <v>83</v>
      </c>
      <c r="N2712">
        <v>433</v>
      </c>
      <c r="O2712">
        <v>112</v>
      </c>
      <c r="P2712">
        <v>27</v>
      </c>
      <c r="Q2712">
        <v>86</v>
      </c>
      <c r="R2712">
        <v>208</v>
      </c>
      <c r="S2712">
        <v>1.04</v>
      </c>
      <c r="T2712">
        <v>1.075</v>
      </c>
      <c r="U2712">
        <v>1.0375000000000001</v>
      </c>
    </row>
    <row r="2713" spans="1:21" x14ac:dyDescent="0.35">
      <c r="A2713">
        <v>203</v>
      </c>
      <c r="B2713" s="16">
        <v>40634</v>
      </c>
      <c r="C2713" s="15" t="s">
        <v>63</v>
      </c>
      <c r="D2713" s="15" t="s">
        <v>58</v>
      </c>
      <c r="E2713" s="15" t="s">
        <v>53</v>
      </c>
      <c r="F2713" s="15" t="s">
        <v>52</v>
      </c>
      <c r="G2713" s="15" t="s">
        <v>64</v>
      </c>
      <c r="H2713" s="15" t="s">
        <v>45</v>
      </c>
      <c r="I2713">
        <v>60</v>
      </c>
      <c r="J2713">
        <v>70</v>
      </c>
      <c r="K2713">
        <v>30</v>
      </c>
      <c r="L2713">
        <v>130</v>
      </c>
      <c r="M2713">
        <v>80</v>
      </c>
      <c r="N2713">
        <v>494</v>
      </c>
      <c r="O2713">
        <v>98</v>
      </c>
      <c r="P2713">
        <v>30</v>
      </c>
      <c r="Q2713">
        <v>50</v>
      </c>
      <c r="R2713">
        <v>190</v>
      </c>
      <c r="S2713">
        <v>1.4615384615384615</v>
      </c>
      <c r="T2713">
        <v>1.6666666666666667</v>
      </c>
      <c r="U2713">
        <v>1.3333333333333333</v>
      </c>
    </row>
    <row r="2714" spans="1:21" x14ac:dyDescent="0.35">
      <c r="A2714">
        <v>475</v>
      </c>
      <c r="B2714" s="16">
        <v>40634</v>
      </c>
      <c r="C2714" s="15" t="s">
        <v>63</v>
      </c>
      <c r="D2714" s="15" t="s">
        <v>58</v>
      </c>
      <c r="E2714" s="15" t="s">
        <v>54</v>
      </c>
      <c r="F2714" s="15" t="s">
        <v>52</v>
      </c>
      <c r="G2714" s="15" t="s">
        <v>64</v>
      </c>
      <c r="H2714" s="15" t="s">
        <v>45</v>
      </c>
      <c r="I2714">
        <v>50</v>
      </c>
      <c r="J2714">
        <v>80</v>
      </c>
      <c r="K2714">
        <v>60</v>
      </c>
      <c r="L2714">
        <v>130</v>
      </c>
      <c r="M2714">
        <v>76</v>
      </c>
      <c r="N2714">
        <v>965</v>
      </c>
      <c r="O2714">
        <v>91</v>
      </c>
      <c r="P2714">
        <v>23</v>
      </c>
      <c r="Q2714">
        <v>68</v>
      </c>
      <c r="R2714">
        <v>178</v>
      </c>
      <c r="S2714">
        <v>1.3692307692307693</v>
      </c>
      <c r="T2714">
        <v>1.1333333333333333</v>
      </c>
      <c r="U2714">
        <v>1.52</v>
      </c>
    </row>
    <row r="2715" spans="1:21" x14ac:dyDescent="0.35">
      <c r="A2715">
        <v>959</v>
      </c>
      <c r="B2715" s="16">
        <v>40634</v>
      </c>
      <c r="C2715" s="15" t="s">
        <v>63</v>
      </c>
      <c r="D2715" s="15" t="s">
        <v>58</v>
      </c>
      <c r="E2715" s="15" t="s">
        <v>55</v>
      </c>
      <c r="F2715" s="15" t="s">
        <v>47</v>
      </c>
      <c r="G2715" s="15" t="s">
        <v>64</v>
      </c>
      <c r="H2715" s="15" t="s">
        <v>42</v>
      </c>
      <c r="I2715">
        <v>40</v>
      </c>
      <c r="J2715">
        <v>80</v>
      </c>
      <c r="K2715">
        <v>60</v>
      </c>
      <c r="L2715">
        <v>120</v>
      </c>
      <c r="M2715">
        <v>47</v>
      </c>
      <c r="N2715">
        <v>821</v>
      </c>
      <c r="O2715">
        <v>68</v>
      </c>
      <c r="P2715">
        <v>13</v>
      </c>
      <c r="Q2715">
        <v>64</v>
      </c>
      <c r="R2715">
        <v>123</v>
      </c>
      <c r="S2715">
        <v>1.0249999999999999</v>
      </c>
      <c r="T2715">
        <v>1.0666666666666667</v>
      </c>
      <c r="U2715">
        <v>1.175</v>
      </c>
    </row>
    <row r="2716" spans="1:21" x14ac:dyDescent="0.35">
      <c r="A2716">
        <v>959</v>
      </c>
      <c r="B2716" s="16">
        <v>40634</v>
      </c>
      <c r="C2716" s="15" t="s">
        <v>63</v>
      </c>
      <c r="D2716" s="15" t="s">
        <v>58</v>
      </c>
      <c r="E2716" s="15" t="s">
        <v>46</v>
      </c>
      <c r="F2716" s="15" t="s">
        <v>47</v>
      </c>
      <c r="G2716" s="15" t="s">
        <v>64</v>
      </c>
      <c r="H2716" s="15" t="s">
        <v>42</v>
      </c>
      <c r="I2716">
        <v>20</v>
      </c>
      <c r="J2716">
        <v>40</v>
      </c>
      <c r="K2716">
        <v>30</v>
      </c>
      <c r="L2716">
        <v>60</v>
      </c>
      <c r="M2716">
        <v>25</v>
      </c>
      <c r="N2716">
        <v>775</v>
      </c>
      <c r="O2716">
        <v>37</v>
      </c>
      <c r="P2716">
        <v>7</v>
      </c>
      <c r="Q2716">
        <v>27</v>
      </c>
      <c r="R2716">
        <v>66</v>
      </c>
      <c r="S2716">
        <v>1.1000000000000001</v>
      </c>
      <c r="T2716">
        <v>0.9</v>
      </c>
      <c r="U2716">
        <v>1.25</v>
      </c>
    </row>
    <row r="2717" spans="1:21" x14ac:dyDescent="0.35">
      <c r="A2717">
        <v>959</v>
      </c>
      <c r="B2717" s="16">
        <v>40634</v>
      </c>
      <c r="C2717" s="15" t="s">
        <v>63</v>
      </c>
      <c r="D2717" s="15" t="s">
        <v>58</v>
      </c>
      <c r="E2717" s="15" t="s">
        <v>43</v>
      </c>
      <c r="F2717" s="15" t="s">
        <v>40</v>
      </c>
      <c r="G2717" s="15" t="s">
        <v>64</v>
      </c>
      <c r="H2717" s="15" t="s">
        <v>42</v>
      </c>
      <c r="I2717">
        <v>110</v>
      </c>
      <c r="J2717">
        <v>160</v>
      </c>
      <c r="K2717">
        <v>110</v>
      </c>
      <c r="L2717">
        <v>270</v>
      </c>
      <c r="M2717">
        <v>116</v>
      </c>
      <c r="N2717">
        <v>962</v>
      </c>
      <c r="O2717">
        <v>176</v>
      </c>
      <c r="P2717">
        <v>38</v>
      </c>
      <c r="Q2717">
        <v>159</v>
      </c>
      <c r="R2717">
        <v>311</v>
      </c>
      <c r="S2717">
        <v>1.1518518518518519</v>
      </c>
      <c r="T2717">
        <v>1.4454545454545455</v>
      </c>
      <c r="U2717">
        <v>1.0545454545454545</v>
      </c>
    </row>
    <row r="2718" spans="1:21" x14ac:dyDescent="0.35">
      <c r="A2718">
        <v>203</v>
      </c>
      <c r="B2718" s="16">
        <v>40634</v>
      </c>
      <c r="C2718" s="15" t="s">
        <v>63</v>
      </c>
      <c r="D2718" s="15" t="s">
        <v>58</v>
      </c>
      <c r="E2718" s="15" t="s">
        <v>48</v>
      </c>
      <c r="F2718" s="15" t="s">
        <v>49</v>
      </c>
      <c r="G2718" s="15" t="s">
        <v>64</v>
      </c>
      <c r="H2718" s="15" t="s">
        <v>42</v>
      </c>
      <c r="I2718">
        <v>60</v>
      </c>
      <c r="J2718">
        <v>80</v>
      </c>
      <c r="K2718">
        <v>10</v>
      </c>
      <c r="L2718">
        <v>140</v>
      </c>
      <c r="M2718">
        <v>63</v>
      </c>
      <c r="N2718">
        <v>521</v>
      </c>
      <c r="O2718">
        <v>87</v>
      </c>
      <c r="P2718">
        <v>57</v>
      </c>
      <c r="Q2718">
        <v>0</v>
      </c>
      <c r="R2718">
        <v>160</v>
      </c>
      <c r="S2718">
        <v>1.1428571428571428</v>
      </c>
      <c r="T2718">
        <v>0</v>
      </c>
      <c r="U2718">
        <v>1.05</v>
      </c>
    </row>
    <row r="2719" spans="1:21" x14ac:dyDescent="0.35">
      <c r="A2719">
        <v>860</v>
      </c>
      <c r="B2719" s="16">
        <v>40634</v>
      </c>
      <c r="C2719" s="15" t="s">
        <v>63</v>
      </c>
      <c r="D2719" s="15" t="s">
        <v>58</v>
      </c>
      <c r="E2719" s="15" t="s">
        <v>50</v>
      </c>
      <c r="F2719" s="15" t="s">
        <v>49</v>
      </c>
      <c r="G2719" s="15" t="s">
        <v>64</v>
      </c>
      <c r="H2719" s="15" t="s">
        <v>45</v>
      </c>
      <c r="I2719">
        <v>40</v>
      </c>
      <c r="J2719">
        <v>70</v>
      </c>
      <c r="K2719">
        <v>40</v>
      </c>
      <c r="L2719">
        <v>110</v>
      </c>
      <c r="M2719">
        <v>51</v>
      </c>
      <c r="N2719">
        <v>311</v>
      </c>
      <c r="O2719">
        <v>68</v>
      </c>
      <c r="P2719">
        <v>16</v>
      </c>
      <c r="Q2719">
        <v>36</v>
      </c>
      <c r="R2719">
        <v>127</v>
      </c>
      <c r="S2719">
        <v>1.1545454545454545</v>
      </c>
      <c r="T2719">
        <v>0.9</v>
      </c>
      <c r="U2719">
        <v>1.2749999999999999</v>
      </c>
    </row>
    <row r="2720" spans="1:21" x14ac:dyDescent="0.35">
      <c r="A2720">
        <v>321</v>
      </c>
      <c r="B2720" s="16">
        <v>40634</v>
      </c>
      <c r="C2720" s="15" t="s">
        <v>63</v>
      </c>
      <c r="D2720" s="15" t="s">
        <v>38</v>
      </c>
      <c r="E2720" s="15" t="s">
        <v>51</v>
      </c>
      <c r="F2720" s="15" t="s">
        <v>52</v>
      </c>
      <c r="G2720" s="15" t="s">
        <v>65</v>
      </c>
      <c r="H2720" s="15" t="s">
        <v>45</v>
      </c>
      <c r="I2720">
        <v>30</v>
      </c>
      <c r="J2720">
        <v>50</v>
      </c>
      <c r="K2720">
        <v>30</v>
      </c>
      <c r="L2720">
        <v>80</v>
      </c>
      <c r="M2720">
        <v>45</v>
      </c>
      <c r="N2720">
        <v>605</v>
      </c>
      <c r="O2720">
        <v>58</v>
      </c>
      <c r="P2720">
        <v>14</v>
      </c>
      <c r="Q2720">
        <v>46</v>
      </c>
      <c r="R2720">
        <v>110</v>
      </c>
      <c r="S2720">
        <v>1.375</v>
      </c>
      <c r="T2720">
        <v>1.5333333333333334</v>
      </c>
      <c r="U2720">
        <v>1.5</v>
      </c>
    </row>
    <row r="2721" spans="1:21" x14ac:dyDescent="0.35">
      <c r="A2721">
        <v>772</v>
      </c>
      <c r="B2721" s="16">
        <v>40634</v>
      </c>
      <c r="C2721" s="15" t="s">
        <v>63</v>
      </c>
      <c r="D2721" s="15" t="s">
        <v>38</v>
      </c>
      <c r="E2721" s="15" t="s">
        <v>53</v>
      </c>
      <c r="F2721" s="15" t="s">
        <v>52</v>
      </c>
      <c r="G2721" s="15" t="s">
        <v>65</v>
      </c>
      <c r="H2721" s="15" t="s">
        <v>45</v>
      </c>
      <c r="I2721">
        <v>40</v>
      </c>
      <c r="J2721">
        <v>50</v>
      </c>
      <c r="K2721">
        <v>20</v>
      </c>
      <c r="L2721">
        <v>90</v>
      </c>
      <c r="M2721">
        <v>57</v>
      </c>
      <c r="N2721">
        <v>313</v>
      </c>
      <c r="O2721">
        <v>70</v>
      </c>
      <c r="P2721">
        <v>21</v>
      </c>
      <c r="Q2721">
        <v>22</v>
      </c>
      <c r="R2721">
        <v>135</v>
      </c>
      <c r="S2721">
        <v>1.5</v>
      </c>
      <c r="T2721">
        <v>1.1000000000000001</v>
      </c>
      <c r="U2721">
        <v>1.425</v>
      </c>
    </row>
    <row r="2722" spans="1:21" x14ac:dyDescent="0.35">
      <c r="A2722">
        <v>850</v>
      </c>
      <c r="B2722" s="16">
        <v>40634</v>
      </c>
      <c r="C2722" s="15" t="s">
        <v>63</v>
      </c>
      <c r="D2722" s="15" t="s">
        <v>38</v>
      </c>
      <c r="E2722" s="15" t="s">
        <v>54</v>
      </c>
      <c r="F2722" s="15" t="s">
        <v>52</v>
      </c>
      <c r="G2722" s="15" t="s">
        <v>65</v>
      </c>
      <c r="H2722" s="15" t="s">
        <v>45</v>
      </c>
      <c r="I2722">
        <v>50</v>
      </c>
      <c r="J2722">
        <v>60</v>
      </c>
      <c r="K2722">
        <v>40</v>
      </c>
      <c r="L2722">
        <v>110</v>
      </c>
      <c r="M2722">
        <v>69</v>
      </c>
      <c r="N2722">
        <v>965</v>
      </c>
      <c r="O2722">
        <v>82</v>
      </c>
      <c r="P2722">
        <v>21</v>
      </c>
      <c r="Q2722">
        <v>58</v>
      </c>
      <c r="R2722">
        <v>161</v>
      </c>
      <c r="S2722">
        <v>1.4636363636363636</v>
      </c>
      <c r="T2722">
        <v>1.45</v>
      </c>
      <c r="U2722">
        <v>1.38</v>
      </c>
    </row>
    <row r="2723" spans="1:21" x14ac:dyDescent="0.35">
      <c r="A2723">
        <v>904</v>
      </c>
      <c r="B2723" s="16">
        <v>40634</v>
      </c>
      <c r="C2723" s="15" t="s">
        <v>63</v>
      </c>
      <c r="D2723" s="15" t="s">
        <v>38</v>
      </c>
      <c r="E2723" s="15" t="s">
        <v>55</v>
      </c>
      <c r="F2723" s="15" t="s">
        <v>47</v>
      </c>
      <c r="G2723" s="15" t="s">
        <v>65</v>
      </c>
      <c r="H2723" s="15" t="s">
        <v>42</v>
      </c>
      <c r="I2723">
        <v>30</v>
      </c>
      <c r="J2723">
        <v>60</v>
      </c>
      <c r="K2723">
        <v>50</v>
      </c>
      <c r="L2723">
        <v>90</v>
      </c>
      <c r="M2723">
        <v>34</v>
      </c>
      <c r="N2723">
        <v>821</v>
      </c>
      <c r="O2723">
        <v>51</v>
      </c>
      <c r="P2723">
        <v>9</v>
      </c>
      <c r="Q2723">
        <v>45</v>
      </c>
      <c r="R2723">
        <v>91</v>
      </c>
      <c r="S2723">
        <v>1.0111111111111111</v>
      </c>
      <c r="T2723">
        <v>0.9</v>
      </c>
      <c r="U2723">
        <v>1.1333333333333333</v>
      </c>
    </row>
    <row r="2724" spans="1:21" x14ac:dyDescent="0.35">
      <c r="A2724">
        <v>904</v>
      </c>
      <c r="B2724" s="16">
        <v>40634</v>
      </c>
      <c r="C2724" s="15" t="s">
        <v>63</v>
      </c>
      <c r="D2724" s="15" t="s">
        <v>38</v>
      </c>
      <c r="E2724" s="15" t="s">
        <v>46</v>
      </c>
      <c r="F2724" s="15" t="s">
        <v>47</v>
      </c>
      <c r="G2724" s="15" t="s">
        <v>65</v>
      </c>
      <c r="H2724" s="15" t="s">
        <v>42</v>
      </c>
      <c r="I2724">
        <v>50</v>
      </c>
      <c r="J2724">
        <v>80</v>
      </c>
      <c r="K2724">
        <v>60</v>
      </c>
      <c r="L2724">
        <v>130</v>
      </c>
      <c r="M2724">
        <v>49</v>
      </c>
      <c r="N2724">
        <v>779</v>
      </c>
      <c r="O2724">
        <v>72</v>
      </c>
      <c r="P2724">
        <v>13</v>
      </c>
      <c r="Q2724">
        <v>70</v>
      </c>
      <c r="R2724">
        <v>129</v>
      </c>
      <c r="S2724">
        <v>0.99230769230769234</v>
      </c>
      <c r="T2724">
        <v>1.1666666666666667</v>
      </c>
      <c r="U2724">
        <v>0.98</v>
      </c>
    </row>
    <row r="2725" spans="1:21" x14ac:dyDescent="0.35">
      <c r="A2725">
        <v>850</v>
      </c>
      <c r="B2725" s="16">
        <v>40634</v>
      </c>
      <c r="C2725" s="15" t="s">
        <v>63</v>
      </c>
      <c r="D2725" s="15" t="s">
        <v>38</v>
      </c>
      <c r="E2725" s="15" t="s">
        <v>43</v>
      </c>
      <c r="F2725" s="15" t="s">
        <v>40</v>
      </c>
      <c r="G2725" s="15" t="s">
        <v>65</v>
      </c>
      <c r="H2725" s="15" t="s">
        <v>42</v>
      </c>
      <c r="I2725">
        <v>80</v>
      </c>
      <c r="J2725">
        <v>130</v>
      </c>
      <c r="K2725">
        <v>90</v>
      </c>
      <c r="L2725">
        <v>210</v>
      </c>
      <c r="M2725">
        <v>88</v>
      </c>
      <c r="N2725">
        <v>653</v>
      </c>
      <c r="O2725">
        <v>134</v>
      </c>
      <c r="P2725">
        <v>29</v>
      </c>
      <c r="Q2725">
        <v>108</v>
      </c>
      <c r="R2725">
        <v>237</v>
      </c>
      <c r="S2725">
        <v>1.1285714285714286</v>
      </c>
      <c r="T2725">
        <v>1.2</v>
      </c>
      <c r="U2725">
        <v>1.1000000000000001</v>
      </c>
    </row>
    <row r="2726" spans="1:21" x14ac:dyDescent="0.35">
      <c r="A2726">
        <v>754</v>
      </c>
      <c r="B2726" s="16">
        <v>40634</v>
      </c>
      <c r="C2726" s="15" t="s">
        <v>63</v>
      </c>
      <c r="D2726" s="15" t="s">
        <v>38</v>
      </c>
      <c r="E2726" s="15" t="s">
        <v>44</v>
      </c>
      <c r="F2726" s="15" t="s">
        <v>40</v>
      </c>
      <c r="G2726" s="15" t="s">
        <v>65</v>
      </c>
      <c r="H2726" s="15" t="s">
        <v>45</v>
      </c>
      <c r="I2726">
        <v>100</v>
      </c>
      <c r="J2726">
        <v>150</v>
      </c>
      <c r="K2726">
        <v>100</v>
      </c>
      <c r="L2726">
        <v>250</v>
      </c>
      <c r="M2726">
        <v>112</v>
      </c>
      <c r="N2726">
        <v>502</v>
      </c>
      <c r="O2726">
        <v>155</v>
      </c>
      <c r="P2726">
        <v>34</v>
      </c>
      <c r="Q2726">
        <v>145</v>
      </c>
      <c r="R2726">
        <v>285</v>
      </c>
      <c r="S2726">
        <v>1.1399999999999999</v>
      </c>
      <c r="T2726">
        <v>1.45</v>
      </c>
      <c r="U2726">
        <v>1.1200000000000001</v>
      </c>
    </row>
    <row r="2727" spans="1:21" x14ac:dyDescent="0.35">
      <c r="A2727">
        <v>850</v>
      </c>
      <c r="B2727" s="16">
        <v>40634</v>
      </c>
      <c r="C2727" s="15" t="s">
        <v>63</v>
      </c>
      <c r="D2727" s="15" t="s">
        <v>38</v>
      </c>
      <c r="E2727" s="15" t="s">
        <v>48</v>
      </c>
      <c r="F2727" s="15" t="s">
        <v>49</v>
      </c>
      <c r="G2727" s="15" t="s">
        <v>65</v>
      </c>
      <c r="H2727" s="15" t="s">
        <v>42</v>
      </c>
      <c r="I2727">
        <v>90</v>
      </c>
      <c r="J2727">
        <v>130</v>
      </c>
      <c r="K2727">
        <v>30</v>
      </c>
      <c r="L2727">
        <v>220</v>
      </c>
      <c r="M2727">
        <v>95</v>
      </c>
      <c r="N2727">
        <v>554</v>
      </c>
      <c r="O2727">
        <v>132</v>
      </c>
      <c r="P2727">
        <v>86</v>
      </c>
      <c r="Q2727">
        <v>25</v>
      </c>
      <c r="R2727">
        <v>242</v>
      </c>
      <c r="S2727">
        <v>1.1000000000000001</v>
      </c>
      <c r="T2727">
        <v>0.83333333333333337</v>
      </c>
      <c r="U2727">
        <v>1.0555555555555556</v>
      </c>
    </row>
    <row r="2728" spans="1:21" x14ac:dyDescent="0.35">
      <c r="A2728">
        <v>754</v>
      </c>
      <c r="B2728" s="16">
        <v>40634</v>
      </c>
      <c r="C2728" s="15" t="s">
        <v>63</v>
      </c>
      <c r="D2728" s="15" t="s">
        <v>38</v>
      </c>
      <c r="E2728" s="15" t="s">
        <v>50</v>
      </c>
      <c r="F2728" s="15" t="s">
        <v>49</v>
      </c>
      <c r="G2728" s="15" t="s">
        <v>65</v>
      </c>
      <c r="H2728" s="15" t="s">
        <v>45</v>
      </c>
      <c r="I2728">
        <v>70</v>
      </c>
      <c r="J2728">
        <v>120</v>
      </c>
      <c r="K2728">
        <v>80</v>
      </c>
      <c r="L2728">
        <v>190</v>
      </c>
      <c r="M2728">
        <v>83</v>
      </c>
      <c r="N2728">
        <v>433</v>
      </c>
      <c r="O2728">
        <v>112</v>
      </c>
      <c r="P2728">
        <v>27</v>
      </c>
      <c r="Q2728">
        <v>86</v>
      </c>
      <c r="R2728">
        <v>208</v>
      </c>
      <c r="S2728">
        <v>1.0947368421052632</v>
      </c>
      <c r="T2728">
        <v>1.075</v>
      </c>
      <c r="U2728">
        <v>1.1857142857142857</v>
      </c>
    </row>
    <row r="2729" spans="1:21" x14ac:dyDescent="0.35">
      <c r="A2729">
        <v>774</v>
      </c>
      <c r="B2729" s="16">
        <v>40634</v>
      </c>
      <c r="C2729" s="15" t="s">
        <v>63</v>
      </c>
      <c r="D2729" s="15" t="s">
        <v>38</v>
      </c>
      <c r="E2729" s="15" t="s">
        <v>53</v>
      </c>
      <c r="F2729" s="15" t="s">
        <v>52</v>
      </c>
      <c r="G2729" s="15" t="s">
        <v>66</v>
      </c>
      <c r="H2729" s="15" t="s">
        <v>45</v>
      </c>
      <c r="I2729">
        <v>40</v>
      </c>
      <c r="J2729">
        <v>50</v>
      </c>
      <c r="K2729">
        <v>20</v>
      </c>
      <c r="L2729">
        <v>90</v>
      </c>
      <c r="M2729">
        <v>54</v>
      </c>
      <c r="N2729">
        <v>337</v>
      </c>
      <c r="O2729">
        <v>67</v>
      </c>
      <c r="P2729">
        <v>20</v>
      </c>
      <c r="Q2729">
        <v>19</v>
      </c>
      <c r="R2729">
        <v>129</v>
      </c>
      <c r="S2729">
        <v>1.4333333333333333</v>
      </c>
      <c r="T2729">
        <v>0.95</v>
      </c>
      <c r="U2729">
        <v>1.35</v>
      </c>
    </row>
    <row r="2730" spans="1:21" x14ac:dyDescent="0.35">
      <c r="A2730">
        <v>351</v>
      </c>
      <c r="B2730" s="16">
        <v>40634</v>
      </c>
      <c r="C2730" s="15" t="s">
        <v>63</v>
      </c>
      <c r="D2730" s="15" t="s">
        <v>38</v>
      </c>
      <c r="E2730" s="15" t="s">
        <v>55</v>
      </c>
      <c r="F2730" s="15" t="s">
        <v>47</v>
      </c>
      <c r="G2730" s="15" t="s">
        <v>66</v>
      </c>
      <c r="H2730" s="15" t="s">
        <v>42</v>
      </c>
      <c r="I2730">
        <v>30</v>
      </c>
      <c r="J2730">
        <v>50</v>
      </c>
      <c r="K2730">
        <v>40</v>
      </c>
      <c r="L2730">
        <v>80</v>
      </c>
      <c r="M2730">
        <v>30</v>
      </c>
      <c r="N2730">
        <v>820</v>
      </c>
      <c r="O2730">
        <v>45</v>
      </c>
      <c r="P2730">
        <v>8</v>
      </c>
      <c r="Q2730">
        <v>39</v>
      </c>
      <c r="R2730">
        <v>80</v>
      </c>
      <c r="S2730">
        <v>1</v>
      </c>
      <c r="T2730">
        <v>0.97499999999999998</v>
      </c>
      <c r="U2730">
        <v>1</v>
      </c>
    </row>
    <row r="2731" spans="1:21" x14ac:dyDescent="0.35">
      <c r="A2731">
        <v>774</v>
      </c>
      <c r="B2731" s="16">
        <v>40634</v>
      </c>
      <c r="C2731" s="15" t="s">
        <v>63</v>
      </c>
      <c r="D2731" s="15" t="s">
        <v>38</v>
      </c>
      <c r="E2731" s="15" t="s">
        <v>46</v>
      </c>
      <c r="F2731" s="15" t="s">
        <v>47</v>
      </c>
      <c r="G2731" s="15" t="s">
        <v>66</v>
      </c>
      <c r="H2731" s="15" t="s">
        <v>42</v>
      </c>
      <c r="I2731">
        <v>20</v>
      </c>
      <c r="J2731">
        <v>30</v>
      </c>
      <c r="K2731">
        <v>20</v>
      </c>
      <c r="L2731">
        <v>50</v>
      </c>
      <c r="M2731">
        <v>21</v>
      </c>
      <c r="N2731">
        <v>454</v>
      </c>
      <c r="O2731">
        <v>32</v>
      </c>
      <c r="P2731">
        <v>5</v>
      </c>
      <c r="Q2731">
        <v>24</v>
      </c>
      <c r="R2731">
        <v>56</v>
      </c>
      <c r="S2731">
        <v>1.1200000000000001</v>
      </c>
      <c r="T2731">
        <v>1.2</v>
      </c>
      <c r="U2731">
        <v>1.05</v>
      </c>
    </row>
    <row r="2732" spans="1:21" x14ac:dyDescent="0.35">
      <c r="A2732">
        <v>339</v>
      </c>
      <c r="B2732" s="16">
        <v>40634</v>
      </c>
      <c r="C2732" s="15" t="s">
        <v>63</v>
      </c>
      <c r="D2732" s="15" t="s">
        <v>38</v>
      </c>
      <c r="E2732" s="15" t="s">
        <v>43</v>
      </c>
      <c r="F2732" s="15" t="s">
        <v>40</v>
      </c>
      <c r="G2732" s="15" t="s">
        <v>66</v>
      </c>
      <c r="H2732" s="15" t="s">
        <v>42</v>
      </c>
      <c r="I2732">
        <v>60</v>
      </c>
      <c r="J2732">
        <v>430</v>
      </c>
      <c r="K2732">
        <v>400</v>
      </c>
      <c r="L2732">
        <v>490</v>
      </c>
      <c r="M2732">
        <v>68</v>
      </c>
      <c r="N2732">
        <v>-348</v>
      </c>
      <c r="O2732">
        <v>451</v>
      </c>
      <c r="P2732">
        <v>22</v>
      </c>
      <c r="Q2732">
        <v>589</v>
      </c>
      <c r="R2732">
        <v>553</v>
      </c>
      <c r="S2732">
        <v>1.1285714285714286</v>
      </c>
      <c r="T2732">
        <v>1.4724999999999999</v>
      </c>
      <c r="U2732">
        <v>1.1333333333333333</v>
      </c>
    </row>
    <row r="2733" spans="1:21" x14ac:dyDescent="0.35">
      <c r="A2733">
        <v>339</v>
      </c>
      <c r="B2733" s="16">
        <v>40634</v>
      </c>
      <c r="C2733" s="15" t="s">
        <v>63</v>
      </c>
      <c r="D2733" s="15" t="s">
        <v>38</v>
      </c>
      <c r="E2733" s="15" t="s">
        <v>48</v>
      </c>
      <c r="F2733" s="15" t="s">
        <v>49</v>
      </c>
      <c r="G2733" s="15" t="s">
        <v>66</v>
      </c>
      <c r="H2733" s="15" t="s">
        <v>42</v>
      </c>
      <c r="I2733">
        <v>40</v>
      </c>
      <c r="J2733">
        <v>70</v>
      </c>
      <c r="K2733">
        <v>10</v>
      </c>
      <c r="L2733">
        <v>110</v>
      </c>
      <c r="M2733">
        <v>52</v>
      </c>
      <c r="N2733">
        <v>458</v>
      </c>
      <c r="O2733">
        <v>65</v>
      </c>
      <c r="P2733">
        <v>47</v>
      </c>
      <c r="Q2733">
        <v>-18</v>
      </c>
      <c r="R2733">
        <v>125</v>
      </c>
      <c r="S2733">
        <v>1.1363636363636365</v>
      </c>
      <c r="T2733">
        <v>-1.8</v>
      </c>
      <c r="U2733">
        <v>1.3</v>
      </c>
    </row>
    <row r="2734" spans="1:21" x14ac:dyDescent="0.35">
      <c r="A2734">
        <v>508</v>
      </c>
      <c r="B2734" s="16">
        <v>40634</v>
      </c>
      <c r="C2734" s="15" t="s">
        <v>63</v>
      </c>
      <c r="D2734" s="15" t="s">
        <v>38</v>
      </c>
      <c r="E2734" s="15" t="s">
        <v>67</v>
      </c>
      <c r="F2734" s="15" t="s">
        <v>49</v>
      </c>
      <c r="G2734" s="15" t="s">
        <v>66</v>
      </c>
      <c r="H2734" s="15" t="s">
        <v>42</v>
      </c>
      <c r="I2734">
        <v>150</v>
      </c>
      <c r="J2734">
        <v>160</v>
      </c>
      <c r="K2734">
        <v>100</v>
      </c>
      <c r="L2734">
        <v>310</v>
      </c>
      <c r="M2734">
        <v>162</v>
      </c>
      <c r="N2734">
        <v>1091</v>
      </c>
      <c r="O2734">
        <v>163</v>
      </c>
      <c r="P2734">
        <v>45</v>
      </c>
      <c r="Q2734">
        <v>140</v>
      </c>
      <c r="R2734">
        <v>346</v>
      </c>
      <c r="S2734">
        <v>1.1161290322580646</v>
      </c>
      <c r="T2734">
        <v>1.4</v>
      </c>
      <c r="U2734">
        <v>1.08</v>
      </c>
    </row>
    <row r="2735" spans="1:21" x14ac:dyDescent="0.35">
      <c r="A2735">
        <v>603</v>
      </c>
      <c r="B2735" s="16">
        <v>40634</v>
      </c>
      <c r="C2735" s="15" t="s">
        <v>63</v>
      </c>
      <c r="D2735" s="15" t="s">
        <v>58</v>
      </c>
      <c r="E2735" s="15" t="s">
        <v>53</v>
      </c>
      <c r="F2735" s="15" t="s">
        <v>52</v>
      </c>
      <c r="G2735" s="15" t="s">
        <v>68</v>
      </c>
      <c r="H2735" s="15" t="s">
        <v>45</v>
      </c>
      <c r="I2735">
        <v>20</v>
      </c>
      <c r="J2735">
        <v>40</v>
      </c>
      <c r="K2735">
        <v>10</v>
      </c>
      <c r="L2735">
        <v>60</v>
      </c>
      <c r="M2735">
        <v>35</v>
      </c>
      <c r="N2735">
        <v>197</v>
      </c>
      <c r="O2735">
        <v>44</v>
      </c>
      <c r="P2735">
        <v>13</v>
      </c>
      <c r="Q2735">
        <v>-4</v>
      </c>
      <c r="R2735">
        <v>84</v>
      </c>
      <c r="S2735">
        <v>1.4</v>
      </c>
      <c r="T2735">
        <v>-0.4</v>
      </c>
      <c r="U2735">
        <v>1.75</v>
      </c>
    </row>
    <row r="2736" spans="1:21" x14ac:dyDescent="0.35">
      <c r="A2736">
        <v>603</v>
      </c>
      <c r="B2736" s="16">
        <v>40634</v>
      </c>
      <c r="C2736" s="15" t="s">
        <v>63</v>
      </c>
      <c r="D2736" s="15" t="s">
        <v>58</v>
      </c>
      <c r="E2736" s="15" t="s">
        <v>55</v>
      </c>
      <c r="F2736" s="15" t="s">
        <v>47</v>
      </c>
      <c r="G2736" s="15" t="s">
        <v>68</v>
      </c>
      <c r="H2736" s="15" t="s">
        <v>42</v>
      </c>
      <c r="I2736">
        <v>20</v>
      </c>
      <c r="J2736">
        <v>30</v>
      </c>
      <c r="K2736">
        <v>20</v>
      </c>
      <c r="L2736">
        <v>50</v>
      </c>
      <c r="M2736">
        <v>19</v>
      </c>
      <c r="N2736">
        <v>820</v>
      </c>
      <c r="O2736">
        <v>28</v>
      </c>
      <c r="P2736">
        <v>5</v>
      </c>
      <c r="Q2736">
        <v>18</v>
      </c>
      <c r="R2736">
        <v>50</v>
      </c>
      <c r="S2736">
        <v>1</v>
      </c>
      <c r="T2736">
        <v>0.9</v>
      </c>
      <c r="U2736">
        <v>0.95</v>
      </c>
    </row>
    <row r="2737" spans="1:21" x14ac:dyDescent="0.35">
      <c r="A2737">
        <v>603</v>
      </c>
      <c r="B2737" s="16">
        <v>40634</v>
      </c>
      <c r="C2737" s="15" t="s">
        <v>63</v>
      </c>
      <c r="D2737" s="15" t="s">
        <v>58</v>
      </c>
      <c r="E2737" s="15" t="s">
        <v>46</v>
      </c>
      <c r="F2737" s="15" t="s">
        <v>47</v>
      </c>
      <c r="G2737" s="15" t="s">
        <v>68</v>
      </c>
      <c r="H2737" s="15" t="s">
        <v>42</v>
      </c>
      <c r="I2737">
        <v>0</v>
      </c>
      <c r="J2737">
        <v>40</v>
      </c>
      <c r="K2737">
        <v>30</v>
      </c>
      <c r="L2737">
        <v>40</v>
      </c>
      <c r="M2737">
        <v>0</v>
      </c>
      <c r="N2737">
        <v>688</v>
      </c>
      <c r="O2737">
        <v>43</v>
      </c>
      <c r="P2737">
        <v>0</v>
      </c>
      <c r="Q2737">
        <v>47</v>
      </c>
      <c r="R2737">
        <v>46</v>
      </c>
      <c r="S2737">
        <v>1.1499999999999999</v>
      </c>
      <c r="T2737">
        <v>1.5666666666666667</v>
      </c>
    </row>
    <row r="2738" spans="1:21" x14ac:dyDescent="0.35">
      <c r="A2738">
        <v>603</v>
      </c>
      <c r="B2738" s="16">
        <v>40634</v>
      </c>
      <c r="C2738" s="15" t="s">
        <v>63</v>
      </c>
      <c r="D2738" s="15" t="s">
        <v>58</v>
      </c>
      <c r="E2738" s="15" t="s">
        <v>39</v>
      </c>
      <c r="F2738" s="15" t="s">
        <v>40</v>
      </c>
      <c r="G2738" s="15" t="s">
        <v>68</v>
      </c>
      <c r="H2738" s="15" t="s">
        <v>42</v>
      </c>
      <c r="I2738">
        <v>40</v>
      </c>
      <c r="J2738">
        <v>70</v>
      </c>
      <c r="K2738">
        <v>40</v>
      </c>
      <c r="L2738">
        <v>110</v>
      </c>
      <c r="M2738">
        <v>49</v>
      </c>
      <c r="N2738">
        <v>241</v>
      </c>
      <c r="O2738">
        <v>72</v>
      </c>
      <c r="P2738">
        <v>15</v>
      </c>
      <c r="Q2738">
        <v>49</v>
      </c>
      <c r="R2738">
        <v>129</v>
      </c>
      <c r="S2738">
        <v>1.1727272727272726</v>
      </c>
      <c r="T2738">
        <v>1.2250000000000001</v>
      </c>
      <c r="U2738">
        <v>1.2250000000000001</v>
      </c>
    </row>
    <row r="2739" spans="1:21" x14ac:dyDescent="0.35">
      <c r="A2739">
        <v>603</v>
      </c>
      <c r="B2739" s="16">
        <v>40634</v>
      </c>
      <c r="C2739" s="15" t="s">
        <v>63</v>
      </c>
      <c r="D2739" s="15" t="s">
        <v>58</v>
      </c>
      <c r="E2739" s="15" t="s">
        <v>43</v>
      </c>
      <c r="F2739" s="15" t="s">
        <v>40</v>
      </c>
      <c r="G2739" s="15" t="s">
        <v>68</v>
      </c>
      <c r="H2739" s="15" t="s">
        <v>42</v>
      </c>
      <c r="I2739">
        <v>40</v>
      </c>
      <c r="J2739">
        <v>70</v>
      </c>
      <c r="K2739">
        <v>40</v>
      </c>
      <c r="L2739">
        <v>110</v>
      </c>
      <c r="M2739">
        <v>50</v>
      </c>
      <c r="N2739">
        <v>372</v>
      </c>
      <c r="O2739">
        <v>75</v>
      </c>
      <c r="P2739">
        <v>16</v>
      </c>
      <c r="Q2739">
        <v>40</v>
      </c>
      <c r="R2739">
        <v>133</v>
      </c>
      <c r="S2739">
        <v>1.209090909090909</v>
      </c>
      <c r="T2739">
        <v>1</v>
      </c>
      <c r="U2739">
        <v>1.25</v>
      </c>
    </row>
    <row r="2740" spans="1:21" x14ac:dyDescent="0.35">
      <c r="A2740">
        <v>603</v>
      </c>
      <c r="B2740" s="16">
        <v>40634</v>
      </c>
      <c r="C2740" s="15" t="s">
        <v>63</v>
      </c>
      <c r="D2740" s="15" t="s">
        <v>58</v>
      </c>
      <c r="E2740" s="15" t="s">
        <v>48</v>
      </c>
      <c r="F2740" s="15" t="s">
        <v>49</v>
      </c>
      <c r="G2740" s="15" t="s">
        <v>68</v>
      </c>
      <c r="H2740" s="15" t="s">
        <v>42</v>
      </c>
      <c r="I2740">
        <v>40</v>
      </c>
      <c r="J2740">
        <v>60</v>
      </c>
      <c r="K2740">
        <v>10</v>
      </c>
      <c r="L2740">
        <v>100</v>
      </c>
      <c r="M2740">
        <v>44</v>
      </c>
      <c r="N2740">
        <v>261</v>
      </c>
      <c r="O2740">
        <v>63</v>
      </c>
      <c r="P2740">
        <v>40</v>
      </c>
      <c r="Q2740">
        <v>-9</v>
      </c>
      <c r="R2740">
        <v>114</v>
      </c>
      <c r="S2740">
        <v>1.1399999999999999</v>
      </c>
      <c r="T2740">
        <v>-0.9</v>
      </c>
      <c r="U2740">
        <v>1.1000000000000001</v>
      </c>
    </row>
    <row r="2741" spans="1:21" x14ac:dyDescent="0.35">
      <c r="A2741">
        <v>603</v>
      </c>
      <c r="B2741" s="16">
        <v>40634</v>
      </c>
      <c r="C2741" s="15" t="s">
        <v>63</v>
      </c>
      <c r="D2741" s="15" t="s">
        <v>58</v>
      </c>
      <c r="E2741" s="15" t="s">
        <v>67</v>
      </c>
      <c r="F2741" s="15" t="s">
        <v>49</v>
      </c>
      <c r="G2741" s="15" t="s">
        <v>68</v>
      </c>
      <c r="H2741" s="15" t="s">
        <v>42</v>
      </c>
      <c r="I2741">
        <v>20</v>
      </c>
      <c r="J2741">
        <v>40</v>
      </c>
      <c r="K2741">
        <v>0</v>
      </c>
      <c r="L2741">
        <v>60</v>
      </c>
      <c r="M2741">
        <v>29</v>
      </c>
      <c r="N2741">
        <v>169</v>
      </c>
      <c r="O2741">
        <v>36</v>
      </c>
      <c r="P2741">
        <v>11</v>
      </c>
      <c r="Q2741">
        <v>-13</v>
      </c>
      <c r="R2741">
        <v>69</v>
      </c>
      <c r="S2741">
        <v>1.1499999999999999</v>
      </c>
      <c r="U2741">
        <v>1.45</v>
      </c>
    </row>
    <row r="2742" spans="1:21" x14ac:dyDescent="0.35">
      <c r="A2742">
        <v>518</v>
      </c>
      <c r="B2742" s="16">
        <v>40634</v>
      </c>
      <c r="C2742" s="15" t="s">
        <v>63</v>
      </c>
      <c r="D2742" s="15" t="s">
        <v>38</v>
      </c>
      <c r="E2742" s="15" t="s">
        <v>46</v>
      </c>
      <c r="F2742" s="15" t="s">
        <v>47</v>
      </c>
      <c r="G2742" s="15" t="s">
        <v>69</v>
      </c>
      <c r="H2742" s="15" t="s">
        <v>42</v>
      </c>
      <c r="I2742">
        <v>80</v>
      </c>
      <c r="J2742">
        <v>130</v>
      </c>
      <c r="K2742">
        <v>100</v>
      </c>
      <c r="L2742">
        <v>210</v>
      </c>
      <c r="M2742">
        <v>81</v>
      </c>
      <c r="N2742">
        <v>460</v>
      </c>
      <c r="O2742">
        <v>117</v>
      </c>
      <c r="P2742">
        <v>22</v>
      </c>
      <c r="Q2742">
        <v>123</v>
      </c>
      <c r="R2742">
        <v>211</v>
      </c>
      <c r="S2742">
        <v>1.0047619047619047</v>
      </c>
      <c r="T2742">
        <v>1.23</v>
      </c>
      <c r="U2742">
        <v>1.0125</v>
      </c>
    </row>
    <row r="2743" spans="1:21" x14ac:dyDescent="0.35">
      <c r="A2743">
        <v>716</v>
      </c>
      <c r="B2743" s="16">
        <v>40634</v>
      </c>
      <c r="C2743" s="15" t="s">
        <v>63</v>
      </c>
      <c r="D2743" s="15" t="s">
        <v>38</v>
      </c>
      <c r="E2743" s="15" t="s">
        <v>53</v>
      </c>
      <c r="F2743" s="15" t="s">
        <v>52</v>
      </c>
      <c r="G2743" s="15" t="s">
        <v>69</v>
      </c>
      <c r="H2743" s="15" t="s">
        <v>45</v>
      </c>
      <c r="I2743">
        <v>190</v>
      </c>
      <c r="J2743">
        <v>300</v>
      </c>
      <c r="K2743">
        <v>200</v>
      </c>
      <c r="L2743">
        <v>490</v>
      </c>
      <c r="M2743">
        <v>260</v>
      </c>
      <c r="N2743">
        <v>1558</v>
      </c>
      <c r="O2743">
        <v>378</v>
      </c>
      <c r="P2743">
        <v>98</v>
      </c>
      <c r="Q2743">
        <v>367</v>
      </c>
      <c r="R2743">
        <v>680</v>
      </c>
      <c r="S2743">
        <v>1.3877551020408163</v>
      </c>
      <c r="T2743">
        <v>1.835</v>
      </c>
      <c r="U2743">
        <v>1.368421052631579</v>
      </c>
    </row>
    <row r="2744" spans="1:21" x14ac:dyDescent="0.35">
      <c r="A2744">
        <v>718</v>
      </c>
      <c r="B2744" s="16">
        <v>40634</v>
      </c>
      <c r="C2744" s="15" t="s">
        <v>63</v>
      </c>
      <c r="D2744" s="15" t="s">
        <v>38</v>
      </c>
      <c r="E2744" s="15" t="s">
        <v>54</v>
      </c>
      <c r="F2744" s="15" t="s">
        <v>52</v>
      </c>
      <c r="G2744" s="15" t="s">
        <v>69</v>
      </c>
      <c r="H2744" s="15" t="s">
        <v>45</v>
      </c>
      <c r="I2744">
        <v>150</v>
      </c>
      <c r="J2744">
        <v>-10</v>
      </c>
      <c r="K2744">
        <v>-70</v>
      </c>
      <c r="L2744">
        <v>140</v>
      </c>
      <c r="M2744">
        <v>209</v>
      </c>
      <c r="N2744">
        <v>1811</v>
      </c>
      <c r="O2744">
        <v>-20</v>
      </c>
      <c r="P2744">
        <v>64</v>
      </c>
      <c r="Q2744">
        <v>-156</v>
      </c>
      <c r="R2744">
        <v>201</v>
      </c>
      <c r="S2744">
        <v>1.4357142857142857</v>
      </c>
      <c r="T2744">
        <v>2.2285714285714286</v>
      </c>
      <c r="U2744">
        <v>1.3933333333333333</v>
      </c>
    </row>
    <row r="2745" spans="1:21" x14ac:dyDescent="0.35">
      <c r="A2745">
        <v>315</v>
      </c>
      <c r="B2745" s="16">
        <v>40634</v>
      </c>
      <c r="C2745" s="15" t="s">
        <v>63</v>
      </c>
      <c r="D2745" s="15" t="s">
        <v>38</v>
      </c>
      <c r="E2745" s="15" t="s">
        <v>55</v>
      </c>
      <c r="F2745" s="15" t="s">
        <v>47</v>
      </c>
      <c r="G2745" s="15" t="s">
        <v>69</v>
      </c>
      <c r="H2745" s="15" t="s">
        <v>42</v>
      </c>
      <c r="I2745">
        <v>100</v>
      </c>
      <c r="J2745">
        <v>160</v>
      </c>
      <c r="K2745">
        <v>130</v>
      </c>
      <c r="L2745">
        <v>260</v>
      </c>
      <c r="M2745">
        <v>100</v>
      </c>
      <c r="N2745">
        <v>822</v>
      </c>
      <c r="O2745">
        <v>145</v>
      </c>
      <c r="P2745">
        <v>28</v>
      </c>
      <c r="Q2745">
        <v>156</v>
      </c>
      <c r="R2745">
        <v>261</v>
      </c>
      <c r="S2745">
        <v>1.0038461538461538</v>
      </c>
      <c r="T2745">
        <v>1.2</v>
      </c>
      <c r="U2745">
        <v>1</v>
      </c>
    </row>
    <row r="2746" spans="1:21" x14ac:dyDescent="0.35">
      <c r="A2746">
        <v>347</v>
      </c>
      <c r="B2746" s="16">
        <v>40634</v>
      </c>
      <c r="C2746" s="15" t="s">
        <v>63</v>
      </c>
      <c r="D2746" s="15" t="s">
        <v>38</v>
      </c>
      <c r="E2746" s="15" t="s">
        <v>56</v>
      </c>
      <c r="F2746" s="15" t="s">
        <v>47</v>
      </c>
      <c r="G2746" s="15" t="s">
        <v>69</v>
      </c>
      <c r="H2746" s="15" t="s">
        <v>42</v>
      </c>
      <c r="I2746">
        <v>90</v>
      </c>
      <c r="J2746">
        <v>150</v>
      </c>
      <c r="K2746">
        <v>120</v>
      </c>
      <c r="L2746">
        <v>240</v>
      </c>
      <c r="M2746">
        <v>91</v>
      </c>
      <c r="N2746">
        <v>777</v>
      </c>
      <c r="O2746">
        <v>132</v>
      </c>
      <c r="P2746">
        <v>25</v>
      </c>
      <c r="Q2746">
        <v>141</v>
      </c>
      <c r="R2746">
        <v>238</v>
      </c>
      <c r="S2746">
        <v>0.9916666666666667</v>
      </c>
      <c r="T2746">
        <v>1.175</v>
      </c>
      <c r="U2746">
        <v>1.0111111111111111</v>
      </c>
    </row>
    <row r="2747" spans="1:21" x14ac:dyDescent="0.35">
      <c r="A2747">
        <v>518</v>
      </c>
      <c r="B2747" s="16">
        <v>40634</v>
      </c>
      <c r="C2747" s="15" t="s">
        <v>63</v>
      </c>
      <c r="D2747" s="15" t="s">
        <v>38</v>
      </c>
      <c r="E2747" s="15" t="s">
        <v>43</v>
      </c>
      <c r="F2747" s="15" t="s">
        <v>40</v>
      </c>
      <c r="G2747" s="15" t="s">
        <v>69</v>
      </c>
      <c r="H2747" s="15" t="s">
        <v>42</v>
      </c>
      <c r="I2747">
        <v>270</v>
      </c>
      <c r="J2747">
        <v>400</v>
      </c>
      <c r="K2747">
        <v>280</v>
      </c>
      <c r="L2747">
        <v>670</v>
      </c>
      <c r="M2747">
        <v>284</v>
      </c>
      <c r="N2747">
        <v>2108</v>
      </c>
      <c r="O2747">
        <v>428</v>
      </c>
      <c r="P2747">
        <v>99</v>
      </c>
      <c r="Q2747">
        <v>410</v>
      </c>
      <c r="R2747">
        <v>759</v>
      </c>
      <c r="S2747">
        <v>1.1328358208955225</v>
      </c>
      <c r="T2747">
        <v>1.4642857142857142</v>
      </c>
      <c r="U2747">
        <v>1.0518518518518518</v>
      </c>
    </row>
    <row r="2748" spans="1:21" x14ac:dyDescent="0.35">
      <c r="A2748">
        <v>212</v>
      </c>
      <c r="B2748" s="16">
        <v>40634</v>
      </c>
      <c r="C2748" s="15" t="s">
        <v>63</v>
      </c>
      <c r="D2748" s="15" t="s">
        <v>38</v>
      </c>
      <c r="E2748" s="15" t="s">
        <v>48</v>
      </c>
      <c r="F2748" s="15" t="s">
        <v>49</v>
      </c>
      <c r="G2748" s="15" t="s">
        <v>69</v>
      </c>
      <c r="H2748" s="15" t="s">
        <v>42</v>
      </c>
      <c r="I2748">
        <v>120</v>
      </c>
      <c r="J2748">
        <v>-60</v>
      </c>
      <c r="K2748">
        <v>-190</v>
      </c>
      <c r="L2748">
        <v>60</v>
      </c>
      <c r="M2748">
        <v>125</v>
      </c>
      <c r="N2748">
        <v>1382</v>
      </c>
      <c r="O2748">
        <v>-59</v>
      </c>
      <c r="P2748">
        <v>113</v>
      </c>
      <c r="Q2748">
        <v>-304</v>
      </c>
      <c r="R2748">
        <v>70</v>
      </c>
      <c r="S2748">
        <v>1.1666666666666667</v>
      </c>
      <c r="T2748">
        <v>1.6</v>
      </c>
      <c r="U2748">
        <v>1.0416666666666667</v>
      </c>
    </row>
    <row r="2749" spans="1:21" x14ac:dyDescent="0.35">
      <c r="A2749">
        <v>914</v>
      </c>
      <c r="B2749" s="16">
        <v>40634</v>
      </c>
      <c r="C2749" s="15" t="s">
        <v>63</v>
      </c>
      <c r="D2749" s="15" t="s">
        <v>38</v>
      </c>
      <c r="E2749" s="15" t="s">
        <v>67</v>
      </c>
      <c r="F2749" s="15" t="s">
        <v>49</v>
      </c>
      <c r="G2749" s="15" t="s">
        <v>69</v>
      </c>
      <c r="H2749" s="15" t="s">
        <v>42</v>
      </c>
      <c r="I2749">
        <v>220</v>
      </c>
      <c r="J2749">
        <v>330</v>
      </c>
      <c r="K2749">
        <v>250</v>
      </c>
      <c r="L2749">
        <v>550</v>
      </c>
      <c r="M2749">
        <v>239</v>
      </c>
      <c r="N2749">
        <v>1262</v>
      </c>
      <c r="O2749">
        <v>325</v>
      </c>
      <c r="P2749">
        <v>66</v>
      </c>
      <c r="Q2749">
        <v>349</v>
      </c>
      <c r="R2749">
        <v>601</v>
      </c>
      <c r="S2749">
        <v>1.0927272727272728</v>
      </c>
      <c r="T2749">
        <v>1.3959999999999999</v>
      </c>
      <c r="U2749">
        <v>1.0863636363636364</v>
      </c>
    </row>
    <row r="2750" spans="1:21" x14ac:dyDescent="0.35">
      <c r="A2750">
        <v>504</v>
      </c>
      <c r="B2750" s="16">
        <v>40634</v>
      </c>
      <c r="C2750" s="15" t="s">
        <v>70</v>
      </c>
      <c r="D2750" s="15" t="s">
        <v>58</v>
      </c>
      <c r="E2750" s="15" t="s">
        <v>51</v>
      </c>
      <c r="F2750" s="15" t="s">
        <v>52</v>
      </c>
      <c r="G2750" s="15" t="s">
        <v>71</v>
      </c>
      <c r="H2750" s="15" t="s">
        <v>45</v>
      </c>
      <c r="I2750">
        <v>40</v>
      </c>
      <c r="J2750">
        <v>70</v>
      </c>
      <c r="K2750">
        <v>50</v>
      </c>
      <c r="L2750">
        <v>110</v>
      </c>
      <c r="M2750">
        <v>52</v>
      </c>
      <c r="N2750">
        <v>605</v>
      </c>
      <c r="O2750">
        <v>67</v>
      </c>
      <c r="P2750">
        <v>17</v>
      </c>
      <c r="Q2750">
        <v>56</v>
      </c>
      <c r="R2750">
        <v>127</v>
      </c>
      <c r="S2750">
        <v>1.1545454545454545</v>
      </c>
      <c r="T2750">
        <v>1.1200000000000001</v>
      </c>
      <c r="U2750">
        <v>1.3</v>
      </c>
    </row>
    <row r="2751" spans="1:21" x14ac:dyDescent="0.35">
      <c r="A2751">
        <v>337</v>
      </c>
      <c r="B2751" s="16">
        <v>40634</v>
      </c>
      <c r="C2751" s="15" t="s">
        <v>70</v>
      </c>
      <c r="D2751" s="15" t="s">
        <v>58</v>
      </c>
      <c r="E2751" s="15" t="s">
        <v>53</v>
      </c>
      <c r="F2751" s="15" t="s">
        <v>52</v>
      </c>
      <c r="G2751" s="15" t="s">
        <v>71</v>
      </c>
      <c r="H2751" s="15" t="s">
        <v>45</v>
      </c>
      <c r="I2751">
        <v>70</v>
      </c>
      <c r="J2751">
        <v>100</v>
      </c>
      <c r="K2751">
        <v>50</v>
      </c>
      <c r="L2751">
        <v>170</v>
      </c>
      <c r="M2751">
        <v>80</v>
      </c>
      <c r="N2751">
        <v>494</v>
      </c>
      <c r="O2751">
        <v>98</v>
      </c>
      <c r="P2751">
        <v>30</v>
      </c>
      <c r="Q2751">
        <v>52</v>
      </c>
      <c r="R2751">
        <v>190</v>
      </c>
      <c r="S2751">
        <v>1.1176470588235294</v>
      </c>
      <c r="T2751">
        <v>1.04</v>
      </c>
      <c r="U2751">
        <v>1.1428571428571428</v>
      </c>
    </row>
    <row r="2752" spans="1:21" x14ac:dyDescent="0.35">
      <c r="A2752">
        <v>225</v>
      </c>
      <c r="B2752" s="16">
        <v>40634</v>
      </c>
      <c r="C2752" s="15" t="s">
        <v>70</v>
      </c>
      <c r="D2752" s="15" t="s">
        <v>58</v>
      </c>
      <c r="E2752" s="15" t="s">
        <v>43</v>
      </c>
      <c r="F2752" s="15" t="s">
        <v>40</v>
      </c>
      <c r="G2752" s="15" t="s">
        <v>71</v>
      </c>
      <c r="H2752" s="15" t="s">
        <v>42</v>
      </c>
      <c r="I2752">
        <v>40</v>
      </c>
      <c r="J2752">
        <v>60</v>
      </c>
      <c r="K2752">
        <v>50</v>
      </c>
      <c r="L2752">
        <v>100</v>
      </c>
      <c r="M2752">
        <v>35</v>
      </c>
      <c r="N2752">
        <v>776</v>
      </c>
      <c r="O2752">
        <v>51</v>
      </c>
      <c r="P2752">
        <v>9</v>
      </c>
      <c r="Q2752">
        <v>45</v>
      </c>
      <c r="R2752">
        <v>92</v>
      </c>
      <c r="S2752">
        <v>0.92</v>
      </c>
      <c r="T2752">
        <v>0.9</v>
      </c>
      <c r="U2752">
        <v>0.875</v>
      </c>
    </row>
    <row r="2753" spans="1:21" x14ac:dyDescent="0.35">
      <c r="A2753">
        <v>504</v>
      </c>
      <c r="B2753" s="16">
        <v>40634</v>
      </c>
      <c r="C2753" s="15" t="s">
        <v>70</v>
      </c>
      <c r="D2753" s="15" t="s">
        <v>58</v>
      </c>
      <c r="E2753" s="15" t="s">
        <v>44</v>
      </c>
      <c r="F2753" s="15" t="s">
        <v>40</v>
      </c>
      <c r="G2753" s="15" t="s">
        <v>71</v>
      </c>
      <c r="H2753" s="15" t="s">
        <v>45</v>
      </c>
      <c r="I2753">
        <v>60</v>
      </c>
      <c r="J2753">
        <v>90</v>
      </c>
      <c r="K2753">
        <v>70</v>
      </c>
      <c r="L2753">
        <v>150</v>
      </c>
      <c r="M2753">
        <v>49</v>
      </c>
      <c r="N2753">
        <v>779</v>
      </c>
      <c r="O2753">
        <v>72</v>
      </c>
      <c r="P2753">
        <v>13</v>
      </c>
      <c r="Q2753">
        <v>71</v>
      </c>
      <c r="R2753">
        <v>129</v>
      </c>
      <c r="S2753">
        <v>0.86</v>
      </c>
      <c r="T2753">
        <v>1.0142857142857142</v>
      </c>
      <c r="U2753">
        <v>0.81666666666666665</v>
      </c>
    </row>
    <row r="2754" spans="1:21" x14ac:dyDescent="0.35">
      <c r="A2754">
        <v>985</v>
      </c>
      <c r="B2754" s="16">
        <v>40634</v>
      </c>
      <c r="C2754" s="15" t="s">
        <v>70</v>
      </c>
      <c r="D2754" s="15" t="s">
        <v>58</v>
      </c>
      <c r="E2754" s="15" t="s">
        <v>72</v>
      </c>
      <c r="F2754" s="15" t="s">
        <v>49</v>
      </c>
      <c r="G2754" s="15" t="s">
        <v>71</v>
      </c>
      <c r="H2754" s="15" t="s">
        <v>42</v>
      </c>
      <c r="I2754">
        <v>50</v>
      </c>
      <c r="J2754">
        <v>70</v>
      </c>
      <c r="K2754">
        <v>0</v>
      </c>
      <c r="L2754">
        <v>120</v>
      </c>
      <c r="M2754">
        <v>63</v>
      </c>
      <c r="N2754">
        <v>37</v>
      </c>
      <c r="O2754">
        <v>87</v>
      </c>
      <c r="P2754">
        <v>57</v>
      </c>
      <c r="Q2754">
        <v>1</v>
      </c>
      <c r="R2754">
        <v>160</v>
      </c>
      <c r="S2754">
        <v>1.3333333333333333</v>
      </c>
      <c r="U2754">
        <v>1.26</v>
      </c>
    </row>
    <row r="2755" spans="1:21" x14ac:dyDescent="0.35">
      <c r="A2755">
        <v>318</v>
      </c>
      <c r="B2755" s="16">
        <v>40634</v>
      </c>
      <c r="C2755" s="15" t="s">
        <v>70</v>
      </c>
      <c r="D2755" s="15" t="s">
        <v>58</v>
      </c>
      <c r="E2755" s="15" t="s">
        <v>48</v>
      </c>
      <c r="F2755" s="15" t="s">
        <v>49</v>
      </c>
      <c r="G2755" s="15" t="s">
        <v>71</v>
      </c>
      <c r="H2755" s="15" t="s">
        <v>42</v>
      </c>
      <c r="I2755">
        <v>40</v>
      </c>
      <c r="J2755">
        <v>70</v>
      </c>
      <c r="K2755">
        <v>50</v>
      </c>
      <c r="L2755">
        <v>110</v>
      </c>
      <c r="M2755">
        <v>49</v>
      </c>
      <c r="N2755">
        <v>342</v>
      </c>
      <c r="O2755">
        <v>84</v>
      </c>
      <c r="P2755">
        <v>15</v>
      </c>
      <c r="Q2755">
        <v>67</v>
      </c>
      <c r="R2755">
        <v>142</v>
      </c>
      <c r="S2755">
        <v>1.290909090909091</v>
      </c>
      <c r="T2755">
        <v>1.34</v>
      </c>
      <c r="U2755">
        <v>1.2250000000000001</v>
      </c>
    </row>
    <row r="2756" spans="1:21" x14ac:dyDescent="0.35">
      <c r="A2756">
        <v>504</v>
      </c>
      <c r="B2756" s="16">
        <v>40634</v>
      </c>
      <c r="C2756" s="15" t="s">
        <v>70</v>
      </c>
      <c r="D2756" s="15" t="s">
        <v>58</v>
      </c>
      <c r="E2756" s="15" t="s">
        <v>50</v>
      </c>
      <c r="F2756" s="15" t="s">
        <v>49</v>
      </c>
      <c r="G2756" s="15" t="s">
        <v>71</v>
      </c>
      <c r="H2756" s="15" t="s">
        <v>45</v>
      </c>
      <c r="I2756">
        <v>30</v>
      </c>
      <c r="J2756">
        <v>60</v>
      </c>
      <c r="K2756">
        <v>40</v>
      </c>
      <c r="L2756">
        <v>90</v>
      </c>
      <c r="M2756">
        <v>46</v>
      </c>
      <c r="N2756">
        <v>388</v>
      </c>
      <c r="O2756">
        <v>68</v>
      </c>
      <c r="P2756">
        <v>14</v>
      </c>
      <c r="Q2756">
        <v>46</v>
      </c>
      <c r="R2756">
        <v>121</v>
      </c>
      <c r="S2756">
        <v>1.3444444444444446</v>
      </c>
      <c r="T2756">
        <v>1.1499999999999999</v>
      </c>
      <c r="U2756">
        <v>1.5333333333333334</v>
      </c>
    </row>
    <row r="2757" spans="1:21" x14ac:dyDescent="0.35">
      <c r="A2757">
        <v>505</v>
      </c>
      <c r="B2757" s="16">
        <v>40634</v>
      </c>
      <c r="C2757" s="15" t="s">
        <v>70</v>
      </c>
      <c r="D2757" s="15" t="s">
        <v>58</v>
      </c>
      <c r="E2757" s="15" t="s">
        <v>51</v>
      </c>
      <c r="F2757" s="15" t="s">
        <v>52</v>
      </c>
      <c r="G2757" s="15" t="s">
        <v>73</v>
      </c>
      <c r="H2757" s="15" t="s">
        <v>45</v>
      </c>
      <c r="I2757">
        <v>10</v>
      </c>
      <c r="J2757">
        <v>30</v>
      </c>
      <c r="K2757">
        <v>20</v>
      </c>
      <c r="L2757">
        <v>40</v>
      </c>
      <c r="M2757">
        <v>19</v>
      </c>
      <c r="N2757">
        <v>820</v>
      </c>
      <c r="O2757">
        <v>28</v>
      </c>
      <c r="P2757">
        <v>5</v>
      </c>
      <c r="Q2757">
        <v>18</v>
      </c>
      <c r="R2757">
        <v>50</v>
      </c>
      <c r="S2757">
        <v>1.25</v>
      </c>
      <c r="T2757">
        <v>0.9</v>
      </c>
      <c r="U2757">
        <v>1.9</v>
      </c>
    </row>
    <row r="2758" spans="1:21" x14ac:dyDescent="0.35">
      <c r="A2758">
        <v>505</v>
      </c>
      <c r="B2758" s="16">
        <v>40634</v>
      </c>
      <c r="C2758" s="15" t="s">
        <v>70</v>
      </c>
      <c r="D2758" s="15" t="s">
        <v>58</v>
      </c>
      <c r="E2758" s="15" t="s">
        <v>53</v>
      </c>
      <c r="F2758" s="15" t="s">
        <v>52</v>
      </c>
      <c r="G2758" s="15" t="s">
        <v>73</v>
      </c>
      <c r="H2758" s="15" t="s">
        <v>45</v>
      </c>
      <c r="I2758">
        <v>20</v>
      </c>
      <c r="J2758">
        <v>30</v>
      </c>
      <c r="K2758">
        <v>10</v>
      </c>
      <c r="L2758">
        <v>50</v>
      </c>
      <c r="M2758">
        <v>28</v>
      </c>
      <c r="N2758">
        <v>964</v>
      </c>
      <c r="O2758">
        <v>33</v>
      </c>
      <c r="P2758">
        <v>8</v>
      </c>
      <c r="Q2758">
        <v>4</v>
      </c>
      <c r="R2758">
        <v>65</v>
      </c>
      <c r="S2758">
        <v>1.3</v>
      </c>
      <c r="T2758">
        <v>0.4</v>
      </c>
      <c r="U2758">
        <v>1.4</v>
      </c>
    </row>
    <row r="2759" spans="1:21" x14ac:dyDescent="0.35">
      <c r="A2759">
        <v>505</v>
      </c>
      <c r="B2759" s="16">
        <v>40634</v>
      </c>
      <c r="C2759" s="15" t="s">
        <v>70</v>
      </c>
      <c r="D2759" s="15" t="s">
        <v>58</v>
      </c>
      <c r="E2759" s="15" t="s">
        <v>43</v>
      </c>
      <c r="F2759" s="15" t="s">
        <v>40</v>
      </c>
      <c r="G2759" s="15" t="s">
        <v>73</v>
      </c>
      <c r="H2759" s="15" t="s">
        <v>42</v>
      </c>
      <c r="I2759">
        <v>60</v>
      </c>
      <c r="J2759">
        <v>90</v>
      </c>
      <c r="K2759">
        <v>50</v>
      </c>
      <c r="L2759">
        <v>150</v>
      </c>
      <c r="M2759">
        <v>50</v>
      </c>
      <c r="N2759">
        <v>372</v>
      </c>
      <c r="O2759">
        <v>75</v>
      </c>
      <c r="P2759">
        <v>16</v>
      </c>
      <c r="Q2759">
        <v>40</v>
      </c>
      <c r="R2759">
        <v>133</v>
      </c>
      <c r="S2759">
        <v>0.88666666666666671</v>
      </c>
      <c r="T2759">
        <v>0.8</v>
      </c>
      <c r="U2759">
        <v>0.83333333333333337</v>
      </c>
    </row>
    <row r="2760" spans="1:21" x14ac:dyDescent="0.35">
      <c r="A2760">
        <v>505</v>
      </c>
      <c r="B2760" s="16">
        <v>40634</v>
      </c>
      <c r="C2760" s="15" t="s">
        <v>70</v>
      </c>
      <c r="D2760" s="15" t="s">
        <v>58</v>
      </c>
      <c r="E2760" s="15" t="s">
        <v>44</v>
      </c>
      <c r="F2760" s="15" t="s">
        <v>40</v>
      </c>
      <c r="G2760" s="15" t="s">
        <v>73</v>
      </c>
      <c r="H2760" s="15" t="s">
        <v>45</v>
      </c>
      <c r="I2760">
        <v>110</v>
      </c>
      <c r="J2760">
        <v>50</v>
      </c>
      <c r="K2760">
        <v>10</v>
      </c>
      <c r="L2760">
        <v>160</v>
      </c>
      <c r="M2760">
        <v>93</v>
      </c>
      <c r="N2760">
        <v>840</v>
      </c>
      <c r="O2760">
        <v>40</v>
      </c>
      <c r="P2760">
        <v>28</v>
      </c>
      <c r="Q2760">
        <v>-16</v>
      </c>
      <c r="R2760">
        <v>142</v>
      </c>
      <c r="S2760">
        <v>0.88749999999999996</v>
      </c>
      <c r="T2760">
        <v>-1.6</v>
      </c>
      <c r="U2760">
        <v>0.84545454545454546</v>
      </c>
    </row>
    <row r="2761" spans="1:21" x14ac:dyDescent="0.35">
      <c r="A2761">
        <v>505</v>
      </c>
      <c r="B2761" s="16">
        <v>40634</v>
      </c>
      <c r="C2761" s="15" t="s">
        <v>70</v>
      </c>
      <c r="D2761" s="15" t="s">
        <v>58</v>
      </c>
      <c r="E2761" s="15" t="s">
        <v>72</v>
      </c>
      <c r="F2761" s="15" t="s">
        <v>49</v>
      </c>
      <c r="G2761" s="15" t="s">
        <v>73</v>
      </c>
      <c r="H2761" s="15" t="s">
        <v>42</v>
      </c>
      <c r="I2761">
        <v>20</v>
      </c>
      <c r="J2761">
        <v>30</v>
      </c>
      <c r="K2761">
        <v>0</v>
      </c>
      <c r="L2761">
        <v>50</v>
      </c>
      <c r="M2761">
        <v>29</v>
      </c>
      <c r="N2761">
        <v>-39</v>
      </c>
      <c r="O2761">
        <v>36</v>
      </c>
      <c r="P2761">
        <v>11</v>
      </c>
      <c r="Q2761">
        <v>-13</v>
      </c>
      <c r="R2761">
        <v>69</v>
      </c>
      <c r="S2761">
        <v>1.38</v>
      </c>
      <c r="U2761">
        <v>1.45</v>
      </c>
    </row>
    <row r="2762" spans="1:21" x14ac:dyDescent="0.35">
      <c r="A2762">
        <v>505</v>
      </c>
      <c r="B2762" s="16">
        <v>40634</v>
      </c>
      <c r="C2762" s="15" t="s">
        <v>70</v>
      </c>
      <c r="D2762" s="15" t="s">
        <v>58</v>
      </c>
      <c r="E2762" s="15" t="s">
        <v>48</v>
      </c>
      <c r="F2762" s="15" t="s">
        <v>49</v>
      </c>
      <c r="G2762" s="15" t="s">
        <v>73</v>
      </c>
      <c r="H2762" s="15" t="s">
        <v>42</v>
      </c>
      <c r="I2762">
        <v>30</v>
      </c>
      <c r="J2762">
        <v>60</v>
      </c>
      <c r="K2762">
        <v>10</v>
      </c>
      <c r="L2762">
        <v>90</v>
      </c>
      <c r="M2762">
        <v>44</v>
      </c>
      <c r="N2762">
        <v>261</v>
      </c>
      <c r="O2762">
        <v>63</v>
      </c>
      <c r="P2762">
        <v>40</v>
      </c>
      <c r="Q2762">
        <v>-9</v>
      </c>
      <c r="R2762">
        <v>114</v>
      </c>
      <c r="S2762">
        <v>1.2666666666666666</v>
      </c>
      <c r="T2762">
        <v>-0.9</v>
      </c>
      <c r="U2762">
        <v>1.4666666666666666</v>
      </c>
    </row>
    <row r="2763" spans="1:21" x14ac:dyDescent="0.35">
      <c r="A2763">
        <v>505</v>
      </c>
      <c r="B2763" s="16">
        <v>40634</v>
      </c>
      <c r="C2763" s="15" t="s">
        <v>70</v>
      </c>
      <c r="D2763" s="15" t="s">
        <v>58</v>
      </c>
      <c r="E2763" s="15" t="s">
        <v>50</v>
      </c>
      <c r="F2763" s="15" t="s">
        <v>49</v>
      </c>
      <c r="G2763" s="15" t="s">
        <v>73</v>
      </c>
      <c r="H2763" s="15" t="s">
        <v>45</v>
      </c>
      <c r="I2763">
        <v>30</v>
      </c>
      <c r="J2763">
        <v>40</v>
      </c>
      <c r="K2763">
        <v>10</v>
      </c>
      <c r="L2763">
        <v>70</v>
      </c>
      <c r="M2763">
        <v>37</v>
      </c>
      <c r="N2763">
        <v>195</v>
      </c>
      <c r="O2763">
        <v>51</v>
      </c>
      <c r="P2763">
        <v>12</v>
      </c>
      <c r="Q2763">
        <v>18</v>
      </c>
      <c r="R2763">
        <v>94</v>
      </c>
      <c r="S2763">
        <v>1.3428571428571427</v>
      </c>
      <c r="T2763">
        <v>1.8</v>
      </c>
      <c r="U2763">
        <v>1.2333333333333334</v>
      </c>
    </row>
    <row r="2764" spans="1:21" x14ac:dyDescent="0.35">
      <c r="A2764">
        <v>918</v>
      </c>
      <c r="B2764" s="16">
        <v>40634</v>
      </c>
      <c r="C2764" s="15" t="s">
        <v>70</v>
      </c>
      <c r="D2764" s="15" t="s">
        <v>58</v>
      </c>
      <c r="E2764" s="15" t="s">
        <v>51</v>
      </c>
      <c r="F2764" s="15" t="s">
        <v>52</v>
      </c>
      <c r="G2764" s="15" t="s">
        <v>74</v>
      </c>
      <c r="H2764" s="15" t="s">
        <v>45</v>
      </c>
      <c r="I2764">
        <v>50</v>
      </c>
      <c r="J2764">
        <v>70</v>
      </c>
      <c r="K2764">
        <v>30</v>
      </c>
      <c r="L2764">
        <v>120</v>
      </c>
      <c r="M2764">
        <v>57</v>
      </c>
      <c r="N2764">
        <v>313</v>
      </c>
      <c r="O2764">
        <v>70</v>
      </c>
      <c r="P2764">
        <v>21</v>
      </c>
      <c r="Q2764">
        <v>22</v>
      </c>
      <c r="R2764">
        <v>135</v>
      </c>
      <c r="S2764">
        <v>1.125</v>
      </c>
      <c r="T2764">
        <v>0.73333333333333328</v>
      </c>
      <c r="U2764">
        <v>1.1399999999999999</v>
      </c>
    </row>
    <row r="2765" spans="1:21" x14ac:dyDescent="0.35">
      <c r="A2765">
        <v>918</v>
      </c>
      <c r="B2765" s="16">
        <v>40634</v>
      </c>
      <c r="C2765" s="15" t="s">
        <v>70</v>
      </c>
      <c r="D2765" s="15" t="s">
        <v>58</v>
      </c>
      <c r="E2765" s="15" t="s">
        <v>53</v>
      </c>
      <c r="F2765" s="15" t="s">
        <v>52</v>
      </c>
      <c r="G2765" s="15" t="s">
        <v>74</v>
      </c>
      <c r="H2765" s="15" t="s">
        <v>45</v>
      </c>
      <c r="I2765">
        <v>90</v>
      </c>
      <c r="J2765">
        <v>130</v>
      </c>
      <c r="K2765">
        <v>30</v>
      </c>
      <c r="L2765">
        <v>220</v>
      </c>
      <c r="M2765">
        <v>95</v>
      </c>
      <c r="N2765">
        <v>554</v>
      </c>
      <c r="O2765">
        <v>132</v>
      </c>
      <c r="P2765">
        <v>86</v>
      </c>
      <c r="Q2765">
        <v>24</v>
      </c>
      <c r="R2765">
        <v>242</v>
      </c>
      <c r="S2765">
        <v>1.1000000000000001</v>
      </c>
      <c r="T2765">
        <v>0.8</v>
      </c>
      <c r="U2765">
        <v>1.0555555555555556</v>
      </c>
    </row>
    <row r="2766" spans="1:21" x14ac:dyDescent="0.35">
      <c r="A2766">
        <v>918</v>
      </c>
      <c r="B2766" s="16">
        <v>40634</v>
      </c>
      <c r="C2766" s="15" t="s">
        <v>70</v>
      </c>
      <c r="D2766" s="15" t="s">
        <v>58</v>
      </c>
      <c r="E2766" s="15" t="s">
        <v>43</v>
      </c>
      <c r="F2766" s="15" t="s">
        <v>40</v>
      </c>
      <c r="G2766" s="15" t="s">
        <v>74</v>
      </c>
      <c r="H2766" s="15" t="s">
        <v>42</v>
      </c>
      <c r="I2766">
        <v>50</v>
      </c>
      <c r="J2766">
        <v>80</v>
      </c>
      <c r="K2766">
        <v>60</v>
      </c>
      <c r="L2766">
        <v>130</v>
      </c>
      <c r="M2766">
        <v>46</v>
      </c>
      <c r="N2766">
        <v>608</v>
      </c>
      <c r="O2766">
        <v>60</v>
      </c>
      <c r="P2766">
        <v>15</v>
      </c>
      <c r="Q2766">
        <v>49</v>
      </c>
      <c r="R2766">
        <v>113</v>
      </c>
      <c r="S2766">
        <v>0.86923076923076925</v>
      </c>
      <c r="T2766">
        <v>0.81666666666666665</v>
      </c>
      <c r="U2766">
        <v>0.92</v>
      </c>
    </row>
    <row r="2767" spans="1:21" x14ac:dyDescent="0.35">
      <c r="A2767">
        <v>580</v>
      </c>
      <c r="B2767" s="16">
        <v>40634</v>
      </c>
      <c r="C2767" s="15" t="s">
        <v>70</v>
      </c>
      <c r="D2767" s="15" t="s">
        <v>58</v>
      </c>
      <c r="E2767" s="15" t="s">
        <v>44</v>
      </c>
      <c r="F2767" s="15" t="s">
        <v>40</v>
      </c>
      <c r="G2767" s="15" t="s">
        <v>74</v>
      </c>
      <c r="H2767" s="15" t="s">
        <v>45</v>
      </c>
      <c r="I2767">
        <v>30</v>
      </c>
      <c r="J2767">
        <v>60</v>
      </c>
      <c r="K2767">
        <v>50</v>
      </c>
      <c r="L2767">
        <v>90</v>
      </c>
      <c r="M2767">
        <v>30</v>
      </c>
      <c r="N2767">
        <v>820</v>
      </c>
      <c r="O2767">
        <v>45</v>
      </c>
      <c r="P2767">
        <v>8</v>
      </c>
      <c r="Q2767">
        <v>37</v>
      </c>
      <c r="R2767">
        <v>80</v>
      </c>
      <c r="S2767">
        <v>0.88888888888888884</v>
      </c>
      <c r="T2767">
        <v>0.74</v>
      </c>
      <c r="U2767">
        <v>1</v>
      </c>
    </row>
    <row r="2768" spans="1:21" x14ac:dyDescent="0.35">
      <c r="A2768">
        <v>580</v>
      </c>
      <c r="B2768" s="16">
        <v>40634</v>
      </c>
      <c r="C2768" s="15" t="s">
        <v>70</v>
      </c>
      <c r="D2768" s="15" t="s">
        <v>58</v>
      </c>
      <c r="E2768" s="15" t="s">
        <v>72</v>
      </c>
      <c r="F2768" s="15" t="s">
        <v>49</v>
      </c>
      <c r="G2768" s="15" t="s">
        <v>74</v>
      </c>
      <c r="H2768" s="15" t="s">
        <v>42</v>
      </c>
      <c r="I2768">
        <v>90</v>
      </c>
      <c r="J2768">
        <v>130</v>
      </c>
      <c r="K2768">
        <v>90</v>
      </c>
      <c r="L2768">
        <v>220</v>
      </c>
      <c r="M2768">
        <v>112</v>
      </c>
      <c r="N2768">
        <v>-120</v>
      </c>
      <c r="O2768">
        <v>155</v>
      </c>
      <c r="P2768">
        <v>34</v>
      </c>
      <c r="Q2768">
        <v>145</v>
      </c>
      <c r="R2768">
        <v>285</v>
      </c>
      <c r="S2768">
        <v>1.2954545454545454</v>
      </c>
      <c r="T2768">
        <v>1.6111111111111112</v>
      </c>
      <c r="U2768">
        <v>1.2444444444444445</v>
      </c>
    </row>
    <row r="2769" spans="1:21" x14ac:dyDescent="0.35">
      <c r="A2769">
        <v>405</v>
      </c>
      <c r="B2769" s="16">
        <v>40634</v>
      </c>
      <c r="C2769" s="15" t="s">
        <v>70</v>
      </c>
      <c r="D2769" s="15" t="s">
        <v>58</v>
      </c>
      <c r="E2769" s="15" t="s">
        <v>48</v>
      </c>
      <c r="F2769" s="15" t="s">
        <v>49</v>
      </c>
      <c r="G2769" s="15" t="s">
        <v>74</v>
      </c>
      <c r="H2769" s="15" t="s">
        <v>42</v>
      </c>
      <c r="I2769">
        <v>10</v>
      </c>
      <c r="J2769">
        <v>30</v>
      </c>
      <c r="K2769">
        <v>30</v>
      </c>
      <c r="L2769">
        <v>40</v>
      </c>
      <c r="M2769">
        <v>21</v>
      </c>
      <c r="N2769">
        <v>454</v>
      </c>
      <c r="O2769">
        <v>32</v>
      </c>
      <c r="P2769">
        <v>5</v>
      </c>
      <c r="Q2769">
        <v>24</v>
      </c>
      <c r="R2769">
        <v>56</v>
      </c>
      <c r="S2769">
        <v>1.4</v>
      </c>
      <c r="T2769">
        <v>0.8</v>
      </c>
      <c r="U2769">
        <v>2.1</v>
      </c>
    </row>
    <row r="2770" spans="1:21" x14ac:dyDescent="0.35">
      <c r="A2770">
        <v>405</v>
      </c>
      <c r="B2770" s="16">
        <v>40634</v>
      </c>
      <c r="C2770" s="15" t="s">
        <v>70</v>
      </c>
      <c r="D2770" s="15" t="s">
        <v>58</v>
      </c>
      <c r="E2770" s="15" t="s">
        <v>50</v>
      </c>
      <c r="F2770" s="15" t="s">
        <v>49</v>
      </c>
      <c r="G2770" s="15" t="s">
        <v>74</v>
      </c>
      <c r="H2770" s="15" t="s">
        <v>45</v>
      </c>
      <c r="I2770">
        <v>70</v>
      </c>
      <c r="J2770">
        <v>120</v>
      </c>
      <c r="K2770">
        <v>80</v>
      </c>
      <c r="L2770">
        <v>190</v>
      </c>
      <c r="M2770">
        <v>88</v>
      </c>
      <c r="N2770">
        <v>653</v>
      </c>
      <c r="O2770">
        <v>134</v>
      </c>
      <c r="P2770">
        <v>29</v>
      </c>
      <c r="Q2770">
        <v>110</v>
      </c>
      <c r="R2770">
        <v>237</v>
      </c>
      <c r="S2770">
        <v>1.2473684210526317</v>
      </c>
      <c r="T2770">
        <v>1.375</v>
      </c>
      <c r="U2770">
        <v>1.2571428571428571</v>
      </c>
    </row>
    <row r="2771" spans="1:21" x14ac:dyDescent="0.35">
      <c r="A2771">
        <v>512</v>
      </c>
      <c r="B2771" s="16">
        <v>40634</v>
      </c>
      <c r="C2771" s="15" t="s">
        <v>70</v>
      </c>
      <c r="D2771" s="15" t="s">
        <v>38</v>
      </c>
      <c r="E2771" s="15" t="s">
        <v>51</v>
      </c>
      <c r="F2771" s="15" t="s">
        <v>52</v>
      </c>
      <c r="G2771" s="15" t="s">
        <v>75</v>
      </c>
      <c r="H2771" s="15" t="s">
        <v>45</v>
      </c>
      <c r="I2771">
        <v>50</v>
      </c>
      <c r="J2771">
        <v>70</v>
      </c>
      <c r="K2771">
        <v>40</v>
      </c>
      <c r="L2771">
        <v>120</v>
      </c>
      <c r="M2771">
        <v>55</v>
      </c>
      <c r="N2771">
        <v>336</v>
      </c>
      <c r="O2771">
        <v>74</v>
      </c>
      <c r="P2771">
        <v>18</v>
      </c>
      <c r="Q2771">
        <v>42</v>
      </c>
      <c r="R2771">
        <v>137</v>
      </c>
      <c r="S2771">
        <v>1.1416666666666666</v>
      </c>
      <c r="T2771">
        <v>1.05</v>
      </c>
      <c r="U2771">
        <v>1.1000000000000001</v>
      </c>
    </row>
    <row r="2772" spans="1:21" x14ac:dyDescent="0.35">
      <c r="A2772">
        <v>281</v>
      </c>
      <c r="B2772" s="16">
        <v>40634</v>
      </c>
      <c r="C2772" s="15" t="s">
        <v>70</v>
      </c>
      <c r="D2772" s="15" t="s">
        <v>38</v>
      </c>
      <c r="E2772" s="15" t="s">
        <v>53</v>
      </c>
      <c r="F2772" s="15" t="s">
        <v>52</v>
      </c>
      <c r="G2772" s="15" t="s">
        <v>75</v>
      </c>
      <c r="H2772" s="15" t="s">
        <v>45</v>
      </c>
      <c r="I2772">
        <v>40</v>
      </c>
      <c r="J2772">
        <v>60</v>
      </c>
      <c r="K2772">
        <v>30</v>
      </c>
      <c r="L2772">
        <v>100</v>
      </c>
      <c r="M2772">
        <v>43</v>
      </c>
      <c r="N2772">
        <v>363</v>
      </c>
      <c r="O2772">
        <v>64</v>
      </c>
      <c r="P2772">
        <v>13</v>
      </c>
      <c r="Q2772">
        <v>40</v>
      </c>
      <c r="R2772">
        <v>114</v>
      </c>
      <c r="S2772">
        <v>1.1399999999999999</v>
      </c>
      <c r="T2772">
        <v>1.3333333333333333</v>
      </c>
      <c r="U2772">
        <v>1.075</v>
      </c>
    </row>
    <row r="2773" spans="1:21" x14ac:dyDescent="0.35">
      <c r="A2773">
        <v>361</v>
      </c>
      <c r="B2773" s="16">
        <v>40634</v>
      </c>
      <c r="C2773" s="15" t="s">
        <v>70</v>
      </c>
      <c r="D2773" s="15" t="s">
        <v>38</v>
      </c>
      <c r="E2773" s="15" t="s">
        <v>43</v>
      </c>
      <c r="F2773" s="15" t="s">
        <v>40</v>
      </c>
      <c r="G2773" s="15" t="s">
        <v>75</v>
      </c>
      <c r="H2773" s="15" t="s">
        <v>42</v>
      </c>
      <c r="I2773">
        <v>260</v>
      </c>
      <c r="J2773">
        <v>310</v>
      </c>
      <c r="K2773">
        <v>230</v>
      </c>
      <c r="L2773">
        <v>570</v>
      </c>
      <c r="M2773">
        <v>209</v>
      </c>
      <c r="N2773">
        <v>969</v>
      </c>
      <c r="O2773">
        <v>247</v>
      </c>
      <c r="P2773">
        <v>64</v>
      </c>
      <c r="Q2773">
        <v>239</v>
      </c>
      <c r="R2773">
        <v>486</v>
      </c>
      <c r="S2773">
        <v>0.85263157894736841</v>
      </c>
      <c r="T2773">
        <v>1.0391304347826087</v>
      </c>
      <c r="U2773">
        <v>0.80384615384615388</v>
      </c>
    </row>
    <row r="2774" spans="1:21" x14ac:dyDescent="0.35">
      <c r="A2774">
        <v>940</v>
      </c>
      <c r="B2774" s="16">
        <v>40634</v>
      </c>
      <c r="C2774" s="15" t="s">
        <v>70</v>
      </c>
      <c r="D2774" s="15" t="s">
        <v>38</v>
      </c>
      <c r="E2774" s="15" t="s">
        <v>44</v>
      </c>
      <c r="F2774" s="15" t="s">
        <v>40</v>
      </c>
      <c r="G2774" s="15" t="s">
        <v>75</v>
      </c>
      <c r="H2774" s="15" t="s">
        <v>45</v>
      </c>
      <c r="I2774">
        <v>90</v>
      </c>
      <c r="J2774">
        <v>130</v>
      </c>
      <c r="K2774">
        <v>100</v>
      </c>
      <c r="L2774">
        <v>220</v>
      </c>
      <c r="M2774">
        <v>78</v>
      </c>
      <c r="N2774">
        <v>593</v>
      </c>
      <c r="O2774">
        <v>100</v>
      </c>
      <c r="P2774">
        <v>25</v>
      </c>
      <c r="Q2774">
        <v>93</v>
      </c>
      <c r="R2774">
        <v>190</v>
      </c>
      <c r="S2774">
        <v>0.86363636363636365</v>
      </c>
      <c r="T2774">
        <v>0.93</v>
      </c>
      <c r="U2774">
        <v>0.8666666666666667</v>
      </c>
    </row>
    <row r="2775" spans="1:21" x14ac:dyDescent="0.35">
      <c r="A2775">
        <v>956</v>
      </c>
      <c r="B2775" s="16">
        <v>40634</v>
      </c>
      <c r="C2775" s="15" t="s">
        <v>70</v>
      </c>
      <c r="D2775" s="15" t="s">
        <v>38</v>
      </c>
      <c r="E2775" s="15" t="s">
        <v>72</v>
      </c>
      <c r="F2775" s="15" t="s">
        <v>49</v>
      </c>
      <c r="G2775" s="15" t="s">
        <v>75</v>
      </c>
      <c r="H2775" s="15" t="s">
        <v>42</v>
      </c>
      <c r="I2775">
        <v>50</v>
      </c>
      <c r="J2775">
        <v>90</v>
      </c>
      <c r="K2775">
        <v>50</v>
      </c>
      <c r="L2775">
        <v>140</v>
      </c>
      <c r="M2775">
        <v>68</v>
      </c>
      <c r="N2775">
        <v>9</v>
      </c>
      <c r="O2775">
        <v>102</v>
      </c>
      <c r="P2775">
        <v>22</v>
      </c>
      <c r="Q2775">
        <v>71</v>
      </c>
      <c r="R2775">
        <v>181</v>
      </c>
      <c r="S2775">
        <v>1.2928571428571429</v>
      </c>
      <c r="T2775">
        <v>1.42</v>
      </c>
      <c r="U2775">
        <v>1.36</v>
      </c>
    </row>
    <row r="2776" spans="1:21" x14ac:dyDescent="0.35">
      <c r="A2776">
        <v>832</v>
      </c>
      <c r="B2776" s="16">
        <v>40634</v>
      </c>
      <c r="C2776" s="15" t="s">
        <v>70</v>
      </c>
      <c r="D2776" s="15" t="s">
        <v>38</v>
      </c>
      <c r="E2776" s="15" t="s">
        <v>48</v>
      </c>
      <c r="F2776" s="15" t="s">
        <v>49</v>
      </c>
      <c r="G2776" s="15" t="s">
        <v>75</v>
      </c>
      <c r="H2776" s="15" t="s">
        <v>42</v>
      </c>
      <c r="I2776">
        <v>70</v>
      </c>
      <c r="J2776">
        <v>120</v>
      </c>
      <c r="K2776">
        <v>100</v>
      </c>
      <c r="L2776">
        <v>190</v>
      </c>
      <c r="M2776">
        <v>91</v>
      </c>
      <c r="N2776">
        <v>777</v>
      </c>
      <c r="O2776">
        <v>132</v>
      </c>
      <c r="P2776">
        <v>25</v>
      </c>
      <c r="Q2776">
        <v>142</v>
      </c>
      <c r="R2776">
        <v>238</v>
      </c>
      <c r="S2776">
        <v>1.2526315789473683</v>
      </c>
      <c r="T2776">
        <v>1.42</v>
      </c>
      <c r="U2776">
        <v>1.3</v>
      </c>
    </row>
    <row r="2777" spans="1:21" x14ac:dyDescent="0.35">
      <c r="A2777">
        <v>832</v>
      </c>
      <c r="B2777" s="16">
        <v>40634</v>
      </c>
      <c r="C2777" s="15" t="s">
        <v>70</v>
      </c>
      <c r="D2777" s="15" t="s">
        <v>38</v>
      </c>
      <c r="E2777" s="15" t="s">
        <v>50</v>
      </c>
      <c r="F2777" s="15" t="s">
        <v>49</v>
      </c>
      <c r="G2777" s="15" t="s">
        <v>75</v>
      </c>
      <c r="H2777" s="15" t="s">
        <v>45</v>
      </c>
      <c r="I2777">
        <v>60</v>
      </c>
      <c r="J2777">
        <v>110</v>
      </c>
      <c r="K2777">
        <v>90</v>
      </c>
      <c r="L2777">
        <v>170</v>
      </c>
      <c r="M2777">
        <v>81</v>
      </c>
      <c r="N2777">
        <v>460</v>
      </c>
      <c r="O2777">
        <v>117</v>
      </c>
      <c r="P2777">
        <v>22</v>
      </c>
      <c r="Q2777">
        <v>125</v>
      </c>
      <c r="R2777">
        <v>211</v>
      </c>
      <c r="S2777">
        <v>1.2411764705882353</v>
      </c>
      <c r="T2777">
        <v>1.3888888888888888</v>
      </c>
      <c r="U2777">
        <v>1.35</v>
      </c>
    </row>
    <row r="2778" spans="1:21" x14ac:dyDescent="0.35">
      <c r="A2778">
        <v>801</v>
      </c>
      <c r="B2778" s="16">
        <v>40634</v>
      </c>
      <c r="C2778" s="15" t="s">
        <v>76</v>
      </c>
      <c r="D2778" s="15" t="s">
        <v>58</v>
      </c>
      <c r="E2778" s="15" t="s">
        <v>51</v>
      </c>
      <c r="F2778" s="15" t="s">
        <v>52</v>
      </c>
      <c r="G2778" s="15" t="s">
        <v>77</v>
      </c>
      <c r="H2778" s="15" t="s">
        <v>45</v>
      </c>
      <c r="I2778">
        <v>40</v>
      </c>
      <c r="J2778">
        <v>60</v>
      </c>
      <c r="K2778">
        <v>30</v>
      </c>
      <c r="L2778">
        <v>100</v>
      </c>
      <c r="M2778">
        <v>49</v>
      </c>
      <c r="N2778">
        <v>241</v>
      </c>
      <c r="O2778">
        <v>72</v>
      </c>
      <c r="P2778">
        <v>15</v>
      </c>
      <c r="Q2778">
        <v>50</v>
      </c>
      <c r="R2778">
        <v>129</v>
      </c>
      <c r="S2778">
        <v>1.29</v>
      </c>
      <c r="T2778">
        <v>1.6666666666666667</v>
      </c>
      <c r="U2778">
        <v>1.2250000000000001</v>
      </c>
    </row>
    <row r="2779" spans="1:21" x14ac:dyDescent="0.35">
      <c r="A2779">
        <v>435</v>
      </c>
      <c r="B2779" s="16">
        <v>40634</v>
      </c>
      <c r="C2779" s="15" t="s">
        <v>76</v>
      </c>
      <c r="D2779" s="15" t="s">
        <v>58</v>
      </c>
      <c r="E2779" s="15" t="s">
        <v>53</v>
      </c>
      <c r="F2779" s="15" t="s">
        <v>52</v>
      </c>
      <c r="G2779" s="15" t="s">
        <v>77</v>
      </c>
      <c r="H2779" s="15" t="s">
        <v>45</v>
      </c>
      <c r="I2779">
        <v>40</v>
      </c>
      <c r="J2779">
        <v>70</v>
      </c>
      <c r="K2779">
        <v>40</v>
      </c>
      <c r="L2779">
        <v>110</v>
      </c>
      <c r="M2779">
        <v>50</v>
      </c>
      <c r="N2779">
        <v>372</v>
      </c>
      <c r="O2779">
        <v>75</v>
      </c>
      <c r="P2779">
        <v>16</v>
      </c>
      <c r="Q2779">
        <v>42</v>
      </c>
      <c r="R2779">
        <v>133</v>
      </c>
      <c r="S2779">
        <v>1.209090909090909</v>
      </c>
      <c r="T2779">
        <v>1.05</v>
      </c>
      <c r="U2779">
        <v>1.25</v>
      </c>
    </row>
    <row r="2780" spans="1:21" x14ac:dyDescent="0.35">
      <c r="A2780">
        <v>435</v>
      </c>
      <c r="B2780" s="16">
        <v>40634</v>
      </c>
      <c r="C2780" s="15" t="s">
        <v>76</v>
      </c>
      <c r="D2780" s="15" t="s">
        <v>58</v>
      </c>
      <c r="E2780" s="15" t="s">
        <v>54</v>
      </c>
      <c r="F2780" s="15" t="s">
        <v>52</v>
      </c>
      <c r="G2780" s="15" t="s">
        <v>77</v>
      </c>
      <c r="H2780" s="15" t="s">
        <v>45</v>
      </c>
      <c r="I2780">
        <v>70</v>
      </c>
      <c r="J2780">
        <v>40</v>
      </c>
      <c r="K2780">
        <v>0</v>
      </c>
      <c r="L2780">
        <v>110</v>
      </c>
      <c r="M2780">
        <v>93</v>
      </c>
      <c r="N2780">
        <v>840</v>
      </c>
      <c r="O2780">
        <v>40</v>
      </c>
      <c r="P2780">
        <v>28</v>
      </c>
      <c r="Q2780">
        <v>-16</v>
      </c>
      <c r="R2780">
        <v>142</v>
      </c>
      <c r="S2780">
        <v>1.290909090909091</v>
      </c>
      <c r="U2780">
        <v>1.3285714285714285</v>
      </c>
    </row>
    <row r="2781" spans="1:21" x14ac:dyDescent="0.35">
      <c r="A2781">
        <v>435</v>
      </c>
      <c r="B2781" s="16">
        <v>40634</v>
      </c>
      <c r="C2781" s="15" t="s">
        <v>76</v>
      </c>
      <c r="D2781" s="15" t="s">
        <v>58</v>
      </c>
      <c r="E2781" s="15" t="s">
        <v>55</v>
      </c>
      <c r="F2781" s="15" t="s">
        <v>47</v>
      </c>
      <c r="G2781" s="15" t="s">
        <v>77</v>
      </c>
      <c r="H2781" s="15" t="s">
        <v>42</v>
      </c>
      <c r="I2781">
        <v>20</v>
      </c>
      <c r="J2781">
        <v>50</v>
      </c>
      <c r="K2781">
        <v>10</v>
      </c>
      <c r="L2781">
        <v>70</v>
      </c>
      <c r="M2781">
        <v>44</v>
      </c>
      <c r="N2781">
        <v>261</v>
      </c>
      <c r="O2781">
        <v>63</v>
      </c>
      <c r="P2781">
        <v>40</v>
      </c>
      <c r="Q2781">
        <v>-9</v>
      </c>
      <c r="R2781">
        <v>114</v>
      </c>
      <c r="S2781">
        <v>1.6285714285714286</v>
      </c>
      <c r="T2781">
        <v>-0.9</v>
      </c>
      <c r="U2781">
        <v>2.2000000000000002</v>
      </c>
    </row>
    <row r="2782" spans="1:21" x14ac:dyDescent="0.35">
      <c r="A2782">
        <v>801</v>
      </c>
      <c r="B2782" s="16">
        <v>40634</v>
      </c>
      <c r="C2782" s="15" t="s">
        <v>76</v>
      </c>
      <c r="D2782" s="15" t="s">
        <v>58</v>
      </c>
      <c r="E2782" s="15" t="s">
        <v>56</v>
      </c>
      <c r="F2782" s="15" t="s">
        <v>47</v>
      </c>
      <c r="G2782" s="15" t="s">
        <v>77</v>
      </c>
      <c r="H2782" s="15" t="s">
        <v>42</v>
      </c>
      <c r="I2782">
        <v>20</v>
      </c>
      <c r="J2782">
        <v>30</v>
      </c>
      <c r="K2782">
        <v>10</v>
      </c>
      <c r="L2782">
        <v>50</v>
      </c>
      <c r="M2782">
        <v>37</v>
      </c>
      <c r="N2782">
        <v>195</v>
      </c>
      <c r="O2782">
        <v>51</v>
      </c>
      <c r="P2782">
        <v>12</v>
      </c>
      <c r="Q2782">
        <v>16</v>
      </c>
      <c r="R2782">
        <v>94</v>
      </c>
      <c r="S2782">
        <v>1.88</v>
      </c>
      <c r="T2782">
        <v>1.6</v>
      </c>
      <c r="U2782">
        <v>1.85</v>
      </c>
    </row>
    <row r="2783" spans="1:21" x14ac:dyDescent="0.35">
      <c r="A2783">
        <v>801</v>
      </c>
      <c r="B2783" s="16">
        <v>40634</v>
      </c>
      <c r="C2783" s="15" t="s">
        <v>76</v>
      </c>
      <c r="D2783" s="15" t="s">
        <v>58</v>
      </c>
      <c r="E2783" s="15" t="s">
        <v>46</v>
      </c>
      <c r="F2783" s="15" t="s">
        <v>47</v>
      </c>
      <c r="G2783" s="15" t="s">
        <v>77</v>
      </c>
      <c r="H2783" s="15" t="s">
        <v>42</v>
      </c>
      <c r="I2783">
        <v>10</v>
      </c>
      <c r="J2783">
        <v>30</v>
      </c>
      <c r="K2783">
        <v>10</v>
      </c>
      <c r="L2783">
        <v>40</v>
      </c>
      <c r="M2783">
        <v>29</v>
      </c>
      <c r="N2783">
        <v>169</v>
      </c>
      <c r="O2783">
        <v>36</v>
      </c>
      <c r="P2783">
        <v>11</v>
      </c>
      <c r="Q2783">
        <v>-12</v>
      </c>
      <c r="R2783">
        <v>69</v>
      </c>
      <c r="S2783">
        <v>1.7250000000000001</v>
      </c>
      <c r="T2783">
        <v>-1.2</v>
      </c>
      <c r="U2783">
        <v>2.9</v>
      </c>
    </row>
    <row r="2784" spans="1:21" x14ac:dyDescent="0.35">
      <c r="A2784">
        <v>435</v>
      </c>
      <c r="B2784" s="16">
        <v>40634</v>
      </c>
      <c r="C2784" s="15" t="s">
        <v>76</v>
      </c>
      <c r="D2784" s="15" t="s">
        <v>58</v>
      </c>
      <c r="E2784" s="15" t="s">
        <v>72</v>
      </c>
      <c r="F2784" s="15" t="s">
        <v>49</v>
      </c>
      <c r="G2784" s="15" t="s">
        <v>77</v>
      </c>
      <c r="H2784" s="15" t="s">
        <v>42</v>
      </c>
      <c r="I2784">
        <v>40</v>
      </c>
      <c r="J2784">
        <v>60</v>
      </c>
      <c r="K2784">
        <v>40</v>
      </c>
      <c r="L2784">
        <v>100</v>
      </c>
      <c r="M2784">
        <v>45</v>
      </c>
      <c r="N2784">
        <v>777</v>
      </c>
      <c r="O2784">
        <v>67</v>
      </c>
      <c r="P2784">
        <v>12</v>
      </c>
      <c r="Q2784">
        <v>64</v>
      </c>
      <c r="R2784">
        <v>119</v>
      </c>
      <c r="S2784">
        <v>1.19</v>
      </c>
      <c r="T2784">
        <v>1.6</v>
      </c>
      <c r="U2784">
        <v>1.125</v>
      </c>
    </row>
    <row r="2785" spans="1:21" x14ac:dyDescent="0.35">
      <c r="A2785">
        <v>435</v>
      </c>
      <c r="B2785" s="16">
        <v>40634</v>
      </c>
      <c r="C2785" s="15" t="s">
        <v>76</v>
      </c>
      <c r="D2785" s="15" t="s">
        <v>58</v>
      </c>
      <c r="E2785" s="15" t="s">
        <v>48</v>
      </c>
      <c r="F2785" s="15" t="s">
        <v>49</v>
      </c>
      <c r="G2785" s="15" t="s">
        <v>77</v>
      </c>
      <c r="H2785" s="15" t="s">
        <v>42</v>
      </c>
      <c r="I2785">
        <v>40</v>
      </c>
      <c r="J2785">
        <v>70</v>
      </c>
      <c r="K2785">
        <v>50</v>
      </c>
      <c r="L2785">
        <v>110</v>
      </c>
      <c r="M2785">
        <v>52</v>
      </c>
      <c r="N2785">
        <v>605</v>
      </c>
      <c r="O2785">
        <v>67</v>
      </c>
      <c r="P2785">
        <v>17</v>
      </c>
      <c r="Q2785">
        <v>55</v>
      </c>
      <c r="R2785">
        <v>127</v>
      </c>
      <c r="S2785">
        <v>1.1545454545454545</v>
      </c>
      <c r="T2785">
        <v>1.1000000000000001</v>
      </c>
      <c r="U2785">
        <v>1.3</v>
      </c>
    </row>
    <row r="2786" spans="1:21" x14ac:dyDescent="0.35">
      <c r="A2786">
        <v>435</v>
      </c>
      <c r="B2786" s="16">
        <v>40634</v>
      </c>
      <c r="C2786" s="15" t="s">
        <v>76</v>
      </c>
      <c r="D2786" s="15" t="s">
        <v>58</v>
      </c>
      <c r="E2786" s="15" t="s">
        <v>50</v>
      </c>
      <c r="F2786" s="15" t="s">
        <v>49</v>
      </c>
      <c r="G2786" s="15" t="s">
        <v>77</v>
      </c>
      <c r="H2786" s="15" t="s">
        <v>45</v>
      </c>
      <c r="I2786">
        <v>40</v>
      </c>
      <c r="J2786">
        <v>70</v>
      </c>
      <c r="K2786">
        <v>50</v>
      </c>
      <c r="L2786">
        <v>110</v>
      </c>
      <c r="M2786">
        <v>47</v>
      </c>
      <c r="N2786">
        <v>821</v>
      </c>
      <c r="O2786">
        <v>68</v>
      </c>
      <c r="P2786">
        <v>13</v>
      </c>
      <c r="Q2786">
        <v>64</v>
      </c>
      <c r="R2786">
        <v>123</v>
      </c>
      <c r="S2786">
        <v>1.1181818181818182</v>
      </c>
      <c r="T2786">
        <v>1.28</v>
      </c>
      <c r="U2786">
        <v>1.175</v>
      </c>
    </row>
    <row r="2787" spans="1:21" x14ac:dyDescent="0.35">
      <c r="A2787">
        <v>801</v>
      </c>
      <c r="B2787" s="16">
        <v>40634</v>
      </c>
      <c r="C2787" s="15" t="s">
        <v>76</v>
      </c>
      <c r="D2787" s="15" t="s">
        <v>58</v>
      </c>
      <c r="E2787" s="15" t="s">
        <v>39</v>
      </c>
      <c r="F2787" s="15" t="s">
        <v>40</v>
      </c>
      <c r="G2787" s="15" t="s">
        <v>77</v>
      </c>
      <c r="H2787" s="15" t="s">
        <v>42</v>
      </c>
      <c r="I2787">
        <v>90</v>
      </c>
      <c r="J2787">
        <v>110</v>
      </c>
      <c r="K2787">
        <v>70</v>
      </c>
      <c r="L2787">
        <v>200</v>
      </c>
      <c r="M2787">
        <v>76</v>
      </c>
      <c r="N2787">
        <v>965</v>
      </c>
      <c r="O2787">
        <v>91</v>
      </c>
      <c r="P2787">
        <v>23</v>
      </c>
      <c r="Q2787">
        <v>70</v>
      </c>
      <c r="R2787">
        <v>178</v>
      </c>
      <c r="S2787">
        <v>0.89</v>
      </c>
      <c r="T2787">
        <v>1</v>
      </c>
      <c r="U2787">
        <v>0.84444444444444444</v>
      </c>
    </row>
    <row r="2788" spans="1:21" x14ac:dyDescent="0.35">
      <c r="A2788">
        <v>435</v>
      </c>
      <c r="B2788" s="16">
        <v>40634</v>
      </c>
      <c r="C2788" s="15" t="s">
        <v>76</v>
      </c>
      <c r="D2788" s="15" t="s">
        <v>58</v>
      </c>
      <c r="E2788" s="15" t="s">
        <v>43</v>
      </c>
      <c r="F2788" s="15" t="s">
        <v>40</v>
      </c>
      <c r="G2788" s="15" t="s">
        <v>77</v>
      </c>
      <c r="H2788" s="15" t="s">
        <v>42</v>
      </c>
      <c r="I2788">
        <v>60</v>
      </c>
      <c r="J2788">
        <v>80</v>
      </c>
      <c r="K2788">
        <v>50</v>
      </c>
      <c r="L2788">
        <v>140</v>
      </c>
      <c r="M2788">
        <v>51</v>
      </c>
      <c r="N2788">
        <v>311</v>
      </c>
      <c r="O2788">
        <v>68</v>
      </c>
      <c r="P2788">
        <v>16</v>
      </c>
      <c r="Q2788">
        <v>37</v>
      </c>
      <c r="R2788">
        <v>127</v>
      </c>
      <c r="S2788">
        <v>0.90714285714285714</v>
      </c>
      <c r="T2788">
        <v>0.74</v>
      </c>
      <c r="U2788">
        <v>0.85</v>
      </c>
    </row>
    <row r="2789" spans="1:21" x14ac:dyDescent="0.35">
      <c r="A2789">
        <v>801</v>
      </c>
      <c r="B2789" s="16">
        <v>40634</v>
      </c>
      <c r="C2789" s="15" t="s">
        <v>76</v>
      </c>
      <c r="D2789" s="15" t="s">
        <v>58</v>
      </c>
      <c r="E2789" s="15" t="s">
        <v>44</v>
      </c>
      <c r="F2789" s="15" t="s">
        <v>40</v>
      </c>
      <c r="G2789" s="15" t="s">
        <v>77</v>
      </c>
      <c r="H2789" s="15" t="s">
        <v>45</v>
      </c>
      <c r="I2789">
        <v>100</v>
      </c>
      <c r="J2789">
        <v>120</v>
      </c>
      <c r="K2789">
        <v>70</v>
      </c>
      <c r="L2789">
        <v>220</v>
      </c>
      <c r="M2789">
        <v>80</v>
      </c>
      <c r="N2789">
        <v>494</v>
      </c>
      <c r="O2789">
        <v>98</v>
      </c>
      <c r="P2789">
        <v>30</v>
      </c>
      <c r="Q2789">
        <v>50</v>
      </c>
      <c r="R2789">
        <v>190</v>
      </c>
      <c r="S2789">
        <v>0.86363636363636365</v>
      </c>
      <c r="T2789">
        <v>0.7142857142857143</v>
      </c>
      <c r="U2789">
        <v>0.8</v>
      </c>
    </row>
    <row r="2790" spans="1:21" x14ac:dyDescent="0.35">
      <c r="A2790">
        <v>415</v>
      </c>
      <c r="B2790" s="16">
        <v>40634</v>
      </c>
      <c r="C2790" s="15" t="s">
        <v>76</v>
      </c>
      <c r="D2790" s="15" t="s">
        <v>38</v>
      </c>
      <c r="E2790" s="15" t="s">
        <v>51</v>
      </c>
      <c r="F2790" s="15" t="s">
        <v>52</v>
      </c>
      <c r="G2790" s="15" t="s">
        <v>78</v>
      </c>
      <c r="H2790" s="15" t="s">
        <v>45</v>
      </c>
      <c r="I2790">
        <v>80</v>
      </c>
      <c r="J2790">
        <v>130</v>
      </c>
      <c r="K2790">
        <v>110</v>
      </c>
      <c r="L2790">
        <v>210</v>
      </c>
      <c r="M2790">
        <v>100</v>
      </c>
      <c r="N2790">
        <v>822</v>
      </c>
      <c r="O2790">
        <v>145</v>
      </c>
      <c r="P2790">
        <v>28</v>
      </c>
      <c r="Q2790">
        <v>157</v>
      </c>
      <c r="R2790">
        <v>261</v>
      </c>
      <c r="S2790">
        <v>1.2428571428571429</v>
      </c>
      <c r="T2790">
        <v>1.4272727272727272</v>
      </c>
      <c r="U2790">
        <v>1.25</v>
      </c>
    </row>
    <row r="2791" spans="1:21" x14ac:dyDescent="0.35">
      <c r="A2791">
        <v>415</v>
      </c>
      <c r="B2791" s="16">
        <v>40634</v>
      </c>
      <c r="C2791" s="15" t="s">
        <v>76</v>
      </c>
      <c r="D2791" s="15" t="s">
        <v>38</v>
      </c>
      <c r="E2791" s="15" t="s">
        <v>53</v>
      </c>
      <c r="F2791" s="15" t="s">
        <v>52</v>
      </c>
      <c r="G2791" s="15" t="s">
        <v>78</v>
      </c>
      <c r="H2791" s="15" t="s">
        <v>45</v>
      </c>
      <c r="I2791">
        <v>170</v>
      </c>
      <c r="J2791">
        <v>230</v>
      </c>
      <c r="K2791">
        <v>170</v>
      </c>
      <c r="L2791">
        <v>400</v>
      </c>
      <c r="M2791">
        <v>209</v>
      </c>
      <c r="N2791">
        <v>969</v>
      </c>
      <c r="O2791">
        <v>247</v>
      </c>
      <c r="P2791">
        <v>64</v>
      </c>
      <c r="Q2791">
        <v>240</v>
      </c>
      <c r="R2791">
        <v>486</v>
      </c>
      <c r="S2791">
        <v>1.2150000000000001</v>
      </c>
      <c r="T2791">
        <v>1.411764705882353</v>
      </c>
      <c r="U2791">
        <v>1.2294117647058824</v>
      </c>
    </row>
    <row r="2792" spans="1:21" x14ac:dyDescent="0.35">
      <c r="A2792">
        <v>562</v>
      </c>
      <c r="B2792" s="16">
        <v>40634</v>
      </c>
      <c r="C2792" s="15" t="s">
        <v>76</v>
      </c>
      <c r="D2792" s="15" t="s">
        <v>38</v>
      </c>
      <c r="E2792" s="15" t="s">
        <v>54</v>
      </c>
      <c r="F2792" s="15" t="s">
        <v>52</v>
      </c>
      <c r="G2792" s="15" t="s">
        <v>78</v>
      </c>
      <c r="H2792" s="15" t="s">
        <v>45</v>
      </c>
      <c r="I2792">
        <v>60</v>
      </c>
      <c r="J2792">
        <v>90</v>
      </c>
      <c r="K2792">
        <v>60</v>
      </c>
      <c r="L2792">
        <v>150</v>
      </c>
      <c r="M2792">
        <v>78</v>
      </c>
      <c r="N2792">
        <v>593</v>
      </c>
      <c r="O2792">
        <v>100</v>
      </c>
      <c r="P2792">
        <v>25</v>
      </c>
      <c r="Q2792">
        <v>92</v>
      </c>
      <c r="R2792">
        <v>190</v>
      </c>
      <c r="S2792">
        <v>1.2666666666666666</v>
      </c>
      <c r="T2792">
        <v>1.5333333333333334</v>
      </c>
      <c r="U2792">
        <v>1.3</v>
      </c>
    </row>
    <row r="2793" spans="1:21" x14ac:dyDescent="0.35">
      <c r="A2793">
        <v>951</v>
      </c>
      <c r="B2793" s="16">
        <v>40634</v>
      </c>
      <c r="C2793" s="15" t="s">
        <v>76</v>
      </c>
      <c r="D2793" s="15" t="s">
        <v>38</v>
      </c>
      <c r="E2793" s="15" t="s">
        <v>55</v>
      </c>
      <c r="F2793" s="15" t="s">
        <v>47</v>
      </c>
      <c r="G2793" s="15" t="s">
        <v>78</v>
      </c>
      <c r="H2793" s="15" t="s">
        <v>42</v>
      </c>
      <c r="I2793">
        <v>60</v>
      </c>
      <c r="J2793">
        <v>90</v>
      </c>
      <c r="K2793">
        <v>80</v>
      </c>
      <c r="L2793">
        <v>150</v>
      </c>
      <c r="M2793">
        <v>91</v>
      </c>
      <c r="N2793">
        <v>777</v>
      </c>
      <c r="O2793">
        <v>132</v>
      </c>
      <c r="P2793">
        <v>25</v>
      </c>
      <c r="Q2793">
        <v>142</v>
      </c>
      <c r="R2793">
        <v>238</v>
      </c>
      <c r="S2793">
        <v>1.5866666666666667</v>
      </c>
      <c r="T2793">
        <v>1.7749999999999999</v>
      </c>
      <c r="U2793">
        <v>1.5166666666666666</v>
      </c>
    </row>
    <row r="2794" spans="1:21" x14ac:dyDescent="0.35">
      <c r="A2794">
        <v>707</v>
      </c>
      <c r="B2794" s="16">
        <v>40634</v>
      </c>
      <c r="C2794" s="15" t="s">
        <v>76</v>
      </c>
      <c r="D2794" s="15" t="s">
        <v>38</v>
      </c>
      <c r="E2794" s="15" t="s">
        <v>56</v>
      </c>
      <c r="F2794" s="15" t="s">
        <v>47</v>
      </c>
      <c r="G2794" s="15" t="s">
        <v>78</v>
      </c>
      <c r="H2794" s="15" t="s">
        <v>42</v>
      </c>
      <c r="I2794">
        <v>50</v>
      </c>
      <c r="J2794">
        <v>80</v>
      </c>
      <c r="K2794">
        <v>70</v>
      </c>
      <c r="L2794">
        <v>130</v>
      </c>
      <c r="M2794">
        <v>81</v>
      </c>
      <c r="N2794">
        <v>460</v>
      </c>
      <c r="O2794">
        <v>117</v>
      </c>
      <c r="P2794">
        <v>22</v>
      </c>
      <c r="Q2794">
        <v>123</v>
      </c>
      <c r="R2794">
        <v>211</v>
      </c>
      <c r="S2794">
        <v>1.6230769230769231</v>
      </c>
      <c r="T2794">
        <v>1.7571428571428571</v>
      </c>
      <c r="U2794">
        <v>1.62</v>
      </c>
    </row>
    <row r="2795" spans="1:21" x14ac:dyDescent="0.35">
      <c r="A2795">
        <v>619</v>
      </c>
      <c r="B2795" s="16">
        <v>40634</v>
      </c>
      <c r="C2795" s="15" t="s">
        <v>76</v>
      </c>
      <c r="D2795" s="15" t="s">
        <v>38</v>
      </c>
      <c r="E2795" s="15" t="s">
        <v>46</v>
      </c>
      <c r="F2795" s="15" t="s">
        <v>47</v>
      </c>
      <c r="G2795" s="15" t="s">
        <v>78</v>
      </c>
      <c r="H2795" s="15" t="s">
        <v>42</v>
      </c>
      <c r="I2795">
        <v>40</v>
      </c>
      <c r="J2795">
        <v>70</v>
      </c>
      <c r="K2795">
        <v>40</v>
      </c>
      <c r="L2795">
        <v>110</v>
      </c>
      <c r="M2795">
        <v>68</v>
      </c>
      <c r="N2795">
        <v>559</v>
      </c>
      <c r="O2795">
        <v>102</v>
      </c>
      <c r="P2795">
        <v>22</v>
      </c>
      <c r="Q2795">
        <v>71</v>
      </c>
      <c r="R2795">
        <v>181</v>
      </c>
      <c r="S2795">
        <v>1.6454545454545455</v>
      </c>
      <c r="T2795">
        <v>1.7749999999999999</v>
      </c>
      <c r="U2795">
        <v>1.7</v>
      </c>
    </row>
    <row r="2796" spans="1:21" x14ac:dyDescent="0.35">
      <c r="A2796">
        <v>415</v>
      </c>
      <c r="B2796" s="16">
        <v>40634</v>
      </c>
      <c r="C2796" s="15" t="s">
        <v>76</v>
      </c>
      <c r="D2796" s="15" t="s">
        <v>38</v>
      </c>
      <c r="E2796" s="15" t="s">
        <v>72</v>
      </c>
      <c r="F2796" s="15" t="s">
        <v>49</v>
      </c>
      <c r="G2796" s="15" t="s">
        <v>78</v>
      </c>
      <c r="H2796" s="15" t="s">
        <v>42</v>
      </c>
      <c r="I2796">
        <v>220</v>
      </c>
      <c r="J2796">
        <v>230</v>
      </c>
      <c r="K2796">
        <v>150</v>
      </c>
      <c r="L2796">
        <v>450</v>
      </c>
      <c r="M2796">
        <v>239</v>
      </c>
      <c r="N2796">
        <v>1464</v>
      </c>
      <c r="O2796">
        <v>239</v>
      </c>
      <c r="P2796">
        <v>66</v>
      </c>
      <c r="Q2796">
        <v>220</v>
      </c>
      <c r="R2796">
        <v>509</v>
      </c>
      <c r="S2796">
        <v>1.1311111111111112</v>
      </c>
      <c r="T2796">
        <v>1.4666666666666666</v>
      </c>
      <c r="U2796">
        <v>1.0863636363636364</v>
      </c>
    </row>
    <row r="2797" spans="1:21" x14ac:dyDescent="0.35">
      <c r="A2797">
        <v>415</v>
      </c>
      <c r="B2797" s="16">
        <v>40634</v>
      </c>
      <c r="C2797" s="15" t="s">
        <v>76</v>
      </c>
      <c r="D2797" s="15" t="s">
        <v>38</v>
      </c>
      <c r="E2797" s="15" t="s">
        <v>48</v>
      </c>
      <c r="F2797" s="15" t="s">
        <v>49</v>
      </c>
      <c r="G2797" s="15" t="s">
        <v>78</v>
      </c>
      <c r="H2797" s="15" t="s">
        <v>42</v>
      </c>
      <c r="I2797">
        <v>120</v>
      </c>
      <c r="J2797">
        <v>160</v>
      </c>
      <c r="K2797">
        <v>30</v>
      </c>
      <c r="L2797">
        <v>280</v>
      </c>
      <c r="M2797">
        <v>125</v>
      </c>
      <c r="N2797">
        <v>729</v>
      </c>
      <c r="O2797">
        <v>173</v>
      </c>
      <c r="P2797">
        <v>113</v>
      </c>
      <c r="Q2797">
        <v>39</v>
      </c>
      <c r="R2797">
        <v>318</v>
      </c>
      <c r="S2797">
        <v>1.1357142857142857</v>
      </c>
      <c r="T2797">
        <v>1.3</v>
      </c>
      <c r="U2797">
        <v>1.0416666666666667</v>
      </c>
    </row>
    <row r="2798" spans="1:21" x14ac:dyDescent="0.35">
      <c r="A2798">
        <v>415</v>
      </c>
      <c r="B2798" s="16">
        <v>40634</v>
      </c>
      <c r="C2798" s="15" t="s">
        <v>76</v>
      </c>
      <c r="D2798" s="15" t="s">
        <v>38</v>
      </c>
      <c r="E2798" s="15" t="s">
        <v>50</v>
      </c>
      <c r="F2798" s="15" t="s">
        <v>49</v>
      </c>
      <c r="G2798" s="15" t="s">
        <v>78</v>
      </c>
      <c r="H2798" s="15" t="s">
        <v>45</v>
      </c>
      <c r="I2798">
        <v>240</v>
      </c>
      <c r="J2798">
        <v>320</v>
      </c>
      <c r="K2798">
        <v>220</v>
      </c>
      <c r="L2798">
        <v>560</v>
      </c>
      <c r="M2798">
        <v>252</v>
      </c>
      <c r="N2798">
        <v>1316</v>
      </c>
      <c r="O2798">
        <v>335</v>
      </c>
      <c r="P2798">
        <v>83</v>
      </c>
      <c r="Q2798">
        <v>326</v>
      </c>
      <c r="R2798">
        <v>626</v>
      </c>
      <c r="S2798">
        <v>1.1178571428571429</v>
      </c>
      <c r="T2798">
        <v>1.4818181818181819</v>
      </c>
      <c r="U2798">
        <v>1.05</v>
      </c>
    </row>
    <row r="2799" spans="1:21" x14ac:dyDescent="0.35">
      <c r="A2799">
        <v>562</v>
      </c>
      <c r="B2799" s="16">
        <v>40634</v>
      </c>
      <c r="C2799" s="15" t="s">
        <v>76</v>
      </c>
      <c r="D2799" s="15" t="s">
        <v>38</v>
      </c>
      <c r="E2799" s="15" t="s">
        <v>39</v>
      </c>
      <c r="F2799" s="15" t="s">
        <v>40</v>
      </c>
      <c r="G2799" s="15" t="s">
        <v>78</v>
      </c>
      <c r="H2799" s="15" t="s">
        <v>42</v>
      </c>
      <c r="I2799">
        <v>150</v>
      </c>
      <c r="J2799">
        <v>-20</v>
      </c>
      <c r="K2799">
        <v>-70</v>
      </c>
      <c r="L2799">
        <v>130</v>
      </c>
      <c r="M2799">
        <v>123</v>
      </c>
      <c r="N2799">
        <v>964</v>
      </c>
      <c r="O2799">
        <v>-13</v>
      </c>
      <c r="P2799">
        <v>39</v>
      </c>
      <c r="Q2799">
        <v>-113</v>
      </c>
      <c r="R2799">
        <v>117</v>
      </c>
      <c r="S2799">
        <v>0.9</v>
      </c>
      <c r="T2799">
        <v>1.6142857142857143</v>
      </c>
      <c r="U2799">
        <v>0.82</v>
      </c>
    </row>
    <row r="2800" spans="1:21" x14ac:dyDescent="0.35">
      <c r="A2800">
        <v>209</v>
      </c>
      <c r="B2800" s="16">
        <v>40634</v>
      </c>
      <c r="C2800" s="15" t="s">
        <v>76</v>
      </c>
      <c r="D2800" s="15" t="s">
        <v>38</v>
      </c>
      <c r="E2800" s="15" t="s">
        <v>43</v>
      </c>
      <c r="F2800" s="15" t="s">
        <v>40</v>
      </c>
      <c r="G2800" s="15" t="s">
        <v>78</v>
      </c>
      <c r="H2800" s="15" t="s">
        <v>42</v>
      </c>
      <c r="I2800">
        <v>350</v>
      </c>
      <c r="J2800">
        <v>540</v>
      </c>
      <c r="K2800">
        <v>400</v>
      </c>
      <c r="L2800">
        <v>890</v>
      </c>
      <c r="M2800">
        <v>284</v>
      </c>
      <c r="N2800">
        <v>2108</v>
      </c>
      <c r="O2800">
        <v>428</v>
      </c>
      <c r="P2800">
        <v>99</v>
      </c>
      <c r="Q2800">
        <v>410</v>
      </c>
      <c r="R2800">
        <v>759</v>
      </c>
      <c r="S2800">
        <v>0.85280898876404498</v>
      </c>
      <c r="T2800">
        <v>1.0249999999999999</v>
      </c>
      <c r="U2800">
        <v>0.81142857142857139</v>
      </c>
    </row>
    <row r="2801" spans="1:21" x14ac:dyDescent="0.35">
      <c r="A2801">
        <v>818</v>
      </c>
      <c r="B2801" s="16">
        <v>40634</v>
      </c>
      <c r="C2801" s="15" t="s">
        <v>76</v>
      </c>
      <c r="D2801" s="15" t="s">
        <v>38</v>
      </c>
      <c r="E2801" s="15" t="s">
        <v>44</v>
      </c>
      <c r="F2801" s="15" t="s">
        <v>40</v>
      </c>
      <c r="G2801" s="15" t="s">
        <v>78</v>
      </c>
      <c r="H2801" s="15" t="s">
        <v>45</v>
      </c>
      <c r="I2801">
        <v>240</v>
      </c>
      <c r="J2801">
        <v>-50</v>
      </c>
      <c r="K2801">
        <v>-150</v>
      </c>
      <c r="L2801">
        <v>190</v>
      </c>
      <c r="M2801">
        <v>191</v>
      </c>
      <c r="N2801">
        <v>1564</v>
      </c>
      <c r="O2801">
        <v>-32</v>
      </c>
      <c r="P2801">
        <v>63</v>
      </c>
      <c r="Q2801">
        <v>-209</v>
      </c>
      <c r="R2801">
        <v>169</v>
      </c>
      <c r="S2801">
        <v>0.88947368421052631</v>
      </c>
      <c r="T2801">
        <v>1.3933333333333333</v>
      </c>
      <c r="U2801">
        <v>0.79583333333333328</v>
      </c>
    </row>
    <row r="2802" spans="1:21" x14ac:dyDescent="0.35">
      <c r="A2802">
        <v>775</v>
      </c>
      <c r="B2802" s="16">
        <v>40634</v>
      </c>
      <c r="C2802" s="15" t="s">
        <v>76</v>
      </c>
      <c r="D2802" s="15" t="s">
        <v>58</v>
      </c>
      <c r="E2802" s="15" t="s">
        <v>51</v>
      </c>
      <c r="F2802" s="15" t="s">
        <v>52</v>
      </c>
      <c r="G2802" s="15" t="s">
        <v>79</v>
      </c>
      <c r="H2802" s="15" t="s">
        <v>45</v>
      </c>
      <c r="I2802">
        <v>100</v>
      </c>
      <c r="J2802">
        <v>160</v>
      </c>
      <c r="K2802">
        <v>50</v>
      </c>
      <c r="L2802">
        <v>260</v>
      </c>
      <c r="M2802">
        <v>125</v>
      </c>
      <c r="N2802">
        <v>729</v>
      </c>
      <c r="O2802">
        <v>173</v>
      </c>
      <c r="P2802">
        <v>113</v>
      </c>
      <c r="Q2802">
        <v>40</v>
      </c>
      <c r="R2802">
        <v>318</v>
      </c>
      <c r="S2802">
        <v>1.2230769230769232</v>
      </c>
      <c r="T2802">
        <v>0.8</v>
      </c>
      <c r="U2802">
        <v>1.25</v>
      </c>
    </row>
    <row r="2803" spans="1:21" x14ac:dyDescent="0.35">
      <c r="A2803">
        <v>702</v>
      </c>
      <c r="B2803" s="16">
        <v>40634</v>
      </c>
      <c r="C2803" s="15" t="s">
        <v>76</v>
      </c>
      <c r="D2803" s="15" t="s">
        <v>58</v>
      </c>
      <c r="E2803" s="15" t="s">
        <v>53</v>
      </c>
      <c r="F2803" s="15" t="s">
        <v>52</v>
      </c>
      <c r="G2803" s="15" t="s">
        <v>79</v>
      </c>
      <c r="H2803" s="15" t="s">
        <v>45</v>
      </c>
      <c r="I2803">
        <v>160</v>
      </c>
      <c r="J2803">
        <v>240</v>
      </c>
      <c r="K2803">
        <v>160</v>
      </c>
      <c r="L2803">
        <v>400</v>
      </c>
      <c r="M2803">
        <v>191</v>
      </c>
      <c r="N2803">
        <v>865</v>
      </c>
      <c r="O2803">
        <v>265</v>
      </c>
      <c r="P2803">
        <v>63</v>
      </c>
      <c r="Q2803">
        <v>232</v>
      </c>
      <c r="R2803">
        <v>486</v>
      </c>
      <c r="S2803">
        <v>1.2150000000000001</v>
      </c>
      <c r="T2803">
        <v>1.45</v>
      </c>
      <c r="U2803">
        <v>1.1937500000000001</v>
      </c>
    </row>
    <row r="2804" spans="1:21" x14ac:dyDescent="0.35">
      <c r="A2804">
        <v>775</v>
      </c>
      <c r="B2804" s="16">
        <v>40634</v>
      </c>
      <c r="C2804" s="15" t="s">
        <v>76</v>
      </c>
      <c r="D2804" s="15" t="s">
        <v>58</v>
      </c>
      <c r="E2804" s="15" t="s">
        <v>54</v>
      </c>
      <c r="F2804" s="15" t="s">
        <v>52</v>
      </c>
      <c r="G2804" s="15" t="s">
        <v>79</v>
      </c>
      <c r="H2804" s="15" t="s">
        <v>45</v>
      </c>
      <c r="I2804">
        <v>100</v>
      </c>
      <c r="J2804">
        <v>160</v>
      </c>
      <c r="K2804">
        <v>110</v>
      </c>
      <c r="L2804">
        <v>260</v>
      </c>
      <c r="M2804">
        <v>123</v>
      </c>
      <c r="N2804">
        <v>611</v>
      </c>
      <c r="O2804">
        <v>178</v>
      </c>
      <c r="P2804">
        <v>39</v>
      </c>
      <c r="Q2804">
        <v>171</v>
      </c>
      <c r="R2804">
        <v>321</v>
      </c>
      <c r="S2804">
        <v>1.2346153846153847</v>
      </c>
      <c r="T2804">
        <v>1.5545454545454545</v>
      </c>
      <c r="U2804">
        <v>1.23</v>
      </c>
    </row>
    <row r="2805" spans="1:21" x14ac:dyDescent="0.35">
      <c r="A2805">
        <v>702</v>
      </c>
      <c r="B2805" s="16">
        <v>40634</v>
      </c>
      <c r="C2805" s="15" t="s">
        <v>76</v>
      </c>
      <c r="D2805" s="15" t="s">
        <v>58</v>
      </c>
      <c r="E2805" s="15" t="s">
        <v>55</v>
      </c>
      <c r="F2805" s="15" t="s">
        <v>47</v>
      </c>
      <c r="G2805" s="15" t="s">
        <v>79</v>
      </c>
      <c r="H2805" s="15" t="s">
        <v>42</v>
      </c>
      <c r="I2805">
        <v>160</v>
      </c>
      <c r="J2805">
        <v>230</v>
      </c>
      <c r="K2805">
        <v>160</v>
      </c>
      <c r="L2805">
        <v>390</v>
      </c>
      <c r="M2805">
        <v>252</v>
      </c>
      <c r="N2805">
        <v>1316</v>
      </c>
      <c r="O2805">
        <v>335</v>
      </c>
      <c r="P2805">
        <v>83</v>
      </c>
      <c r="Q2805">
        <v>325</v>
      </c>
      <c r="R2805">
        <v>626</v>
      </c>
      <c r="S2805">
        <v>1.6051282051282052</v>
      </c>
      <c r="T2805">
        <v>2.03125</v>
      </c>
      <c r="U2805">
        <v>1.575</v>
      </c>
    </row>
    <row r="2806" spans="1:21" x14ac:dyDescent="0.35">
      <c r="A2806">
        <v>775</v>
      </c>
      <c r="B2806" s="16">
        <v>40634</v>
      </c>
      <c r="C2806" s="15" t="s">
        <v>76</v>
      </c>
      <c r="D2806" s="15" t="s">
        <v>58</v>
      </c>
      <c r="E2806" s="15" t="s">
        <v>56</v>
      </c>
      <c r="F2806" s="15" t="s">
        <v>47</v>
      </c>
      <c r="G2806" s="15" t="s">
        <v>79</v>
      </c>
      <c r="H2806" s="15" t="s">
        <v>42</v>
      </c>
      <c r="I2806">
        <v>150</v>
      </c>
      <c r="J2806">
        <v>170</v>
      </c>
      <c r="K2806">
        <v>110</v>
      </c>
      <c r="L2806">
        <v>320</v>
      </c>
      <c r="M2806">
        <v>239</v>
      </c>
      <c r="N2806">
        <v>1464</v>
      </c>
      <c r="O2806">
        <v>239</v>
      </c>
      <c r="P2806">
        <v>66</v>
      </c>
      <c r="Q2806">
        <v>221</v>
      </c>
      <c r="R2806">
        <v>509</v>
      </c>
      <c r="S2806">
        <v>1.590625</v>
      </c>
      <c r="T2806">
        <v>2.0090909090909093</v>
      </c>
      <c r="U2806">
        <v>1.5933333333333333</v>
      </c>
    </row>
    <row r="2807" spans="1:21" x14ac:dyDescent="0.35">
      <c r="A2807">
        <v>702</v>
      </c>
      <c r="B2807" s="16">
        <v>40634</v>
      </c>
      <c r="C2807" s="15" t="s">
        <v>76</v>
      </c>
      <c r="D2807" s="15" t="s">
        <v>58</v>
      </c>
      <c r="E2807" s="15" t="s">
        <v>46</v>
      </c>
      <c r="F2807" s="15" t="s">
        <v>47</v>
      </c>
      <c r="G2807" s="15" t="s">
        <v>79</v>
      </c>
      <c r="H2807" s="15" t="s">
        <v>42</v>
      </c>
      <c r="I2807">
        <v>170</v>
      </c>
      <c r="J2807">
        <v>-170</v>
      </c>
      <c r="K2807">
        <v>-250</v>
      </c>
      <c r="L2807">
        <v>0</v>
      </c>
      <c r="M2807">
        <v>260</v>
      </c>
      <c r="N2807">
        <v>3049</v>
      </c>
      <c r="O2807">
        <v>-260</v>
      </c>
      <c r="P2807">
        <v>98</v>
      </c>
      <c r="Q2807">
        <v>-542</v>
      </c>
      <c r="R2807">
        <v>28</v>
      </c>
      <c r="T2807">
        <v>2.1680000000000001</v>
      </c>
      <c r="U2807">
        <v>1.5294117647058822</v>
      </c>
    </row>
    <row r="2808" spans="1:21" x14ac:dyDescent="0.35">
      <c r="A2808">
        <v>775</v>
      </c>
      <c r="B2808" s="16">
        <v>40634</v>
      </c>
      <c r="C2808" s="15" t="s">
        <v>76</v>
      </c>
      <c r="D2808" s="15" t="s">
        <v>58</v>
      </c>
      <c r="E2808" s="15" t="s">
        <v>72</v>
      </c>
      <c r="F2808" s="15" t="s">
        <v>49</v>
      </c>
      <c r="G2808" s="15" t="s">
        <v>79</v>
      </c>
      <c r="H2808" s="15" t="s">
        <v>42</v>
      </c>
      <c r="I2808">
        <v>0</v>
      </c>
      <c r="J2808">
        <v>40</v>
      </c>
      <c r="K2808">
        <v>30</v>
      </c>
      <c r="L2808">
        <v>40</v>
      </c>
      <c r="M2808">
        <v>0</v>
      </c>
      <c r="N2808">
        <v>688</v>
      </c>
      <c r="O2808">
        <v>43</v>
      </c>
      <c r="P2808">
        <v>0</v>
      </c>
      <c r="Q2808">
        <v>47</v>
      </c>
      <c r="R2808">
        <v>46</v>
      </c>
      <c r="S2808">
        <v>1.1499999999999999</v>
      </c>
      <c r="T2808">
        <v>1.5666666666666667</v>
      </c>
    </row>
    <row r="2809" spans="1:21" x14ac:dyDescent="0.35">
      <c r="A2809">
        <v>702</v>
      </c>
      <c r="B2809" s="16">
        <v>40634</v>
      </c>
      <c r="C2809" s="15" t="s">
        <v>76</v>
      </c>
      <c r="D2809" s="15" t="s">
        <v>58</v>
      </c>
      <c r="E2809" s="15" t="s">
        <v>48</v>
      </c>
      <c r="F2809" s="15" t="s">
        <v>49</v>
      </c>
      <c r="G2809" s="15" t="s">
        <v>79</v>
      </c>
      <c r="H2809" s="15" t="s">
        <v>42</v>
      </c>
      <c r="I2809">
        <v>10</v>
      </c>
      <c r="J2809">
        <v>30</v>
      </c>
      <c r="K2809">
        <v>20</v>
      </c>
      <c r="L2809">
        <v>40</v>
      </c>
      <c r="M2809">
        <v>19</v>
      </c>
      <c r="N2809">
        <v>820</v>
      </c>
      <c r="O2809">
        <v>28</v>
      </c>
      <c r="P2809">
        <v>5</v>
      </c>
      <c r="Q2809">
        <v>16</v>
      </c>
      <c r="R2809">
        <v>50</v>
      </c>
      <c r="S2809">
        <v>1.25</v>
      </c>
      <c r="T2809">
        <v>0.8</v>
      </c>
      <c r="U2809">
        <v>1.9</v>
      </c>
    </row>
    <row r="2810" spans="1:21" x14ac:dyDescent="0.35">
      <c r="A2810">
        <v>775</v>
      </c>
      <c r="B2810" s="16">
        <v>40634</v>
      </c>
      <c r="C2810" s="15" t="s">
        <v>76</v>
      </c>
      <c r="D2810" s="15" t="s">
        <v>58</v>
      </c>
      <c r="E2810" s="15" t="s">
        <v>50</v>
      </c>
      <c r="F2810" s="15" t="s">
        <v>49</v>
      </c>
      <c r="G2810" s="15" t="s">
        <v>79</v>
      </c>
      <c r="H2810" s="15" t="s">
        <v>45</v>
      </c>
      <c r="I2810">
        <v>10</v>
      </c>
      <c r="J2810">
        <v>30</v>
      </c>
      <c r="K2810">
        <v>20</v>
      </c>
      <c r="L2810">
        <v>40</v>
      </c>
      <c r="M2810">
        <v>17</v>
      </c>
      <c r="N2810">
        <v>776</v>
      </c>
      <c r="O2810">
        <v>26</v>
      </c>
      <c r="P2810">
        <v>4</v>
      </c>
      <c r="Q2810">
        <v>15</v>
      </c>
      <c r="R2810">
        <v>46</v>
      </c>
      <c r="S2810">
        <v>1.1499999999999999</v>
      </c>
      <c r="T2810">
        <v>0.75</v>
      </c>
      <c r="U2810">
        <v>1.7</v>
      </c>
    </row>
    <row r="2811" spans="1:21" x14ac:dyDescent="0.35">
      <c r="A2811">
        <v>702</v>
      </c>
      <c r="B2811" s="16">
        <v>40634</v>
      </c>
      <c r="C2811" s="15" t="s">
        <v>76</v>
      </c>
      <c r="D2811" s="15" t="s">
        <v>58</v>
      </c>
      <c r="E2811" s="15" t="s">
        <v>43</v>
      </c>
      <c r="F2811" s="15" t="s">
        <v>40</v>
      </c>
      <c r="G2811" s="15" t="s">
        <v>79</v>
      </c>
      <c r="H2811" s="15" t="s">
        <v>42</v>
      </c>
      <c r="I2811">
        <v>40</v>
      </c>
      <c r="J2811">
        <v>50</v>
      </c>
      <c r="K2811">
        <v>10</v>
      </c>
      <c r="L2811">
        <v>90</v>
      </c>
      <c r="M2811">
        <v>35</v>
      </c>
      <c r="N2811">
        <v>197</v>
      </c>
      <c r="O2811">
        <v>44</v>
      </c>
      <c r="P2811">
        <v>13</v>
      </c>
      <c r="Q2811">
        <v>-3</v>
      </c>
      <c r="R2811">
        <v>84</v>
      </c>
      <c r="S2811">
        <v>0.93333333333333335</v>
      </c>
      <c r="T2811">
        <v>-0.3</v>
      </c>
      <c r="U2811">
        <v>0.875</v>
      </c>
    </row>
    <row r="2812" spans="1:21" x14ac:dyDescent="0.35">
      <c r="A2812">
        <v>702</v>
      </c>
      <c r="B2812" s="16">
        <v>40634</v>
      </c>
      <c r="C2812" s="15" t="s">
        <v>76</v>
      </c>
      <c r="D2812" s="15" t="s">
        <v>58</v>
      </c>
      <c r="E2812" s="15" t="s">
        <v>44</v>
      </c>
      <c r="F2812" s="15" t="s">
        <v>40</v>
      </c>
      <c r="G2812" s="15" t="s">
        <v>79</v>
      </c>
      <c r="H2812" s="15" t="s">
        <v>45</v>
      </c>
      <c r="I2812">
        <v>30</v>
      </c>
      <c r="J2812">
        <v>40</v>
      </c>
      <c r="K2812">
        <v>20</v>
      </c>
      <c r="L2812">
        <v>70</v>
      </c>
      <c r="M2812">
        <v>28</v>
      </c>
      <c r="N2812">
        <v>964</v>
      </c>
      <c r="O2812">
        <v>33</v>
      </c>
      <c r="P2812">
        <v>8</v>
      </c>
      <c r="Q2812">
        <v>6</v>
      </c>
      <c r="R2812">
        <v>65</v>
      </c>
      <c r="S2812">
        <v>0.9285714285714286</v>
      </c>
      <c r="T2812">
        <v>0.3</v>
      </c>
      <c r="U2812">
        <v>0.93333333333333335</v>
      </c>
    </row>
    <row r="2813" spans="1:21" x14ac:dyDescent="0.35">
      <c r="A2813">
        <v>971</v>
      </c>
      <c r="B2813" s="16">
        <v>40634</v>
      </c>
      <c r="C2813" s="15" t="s">
        <v>76</v>
      </c>
      <c r="D2813" s="15" t="s">
        <v>58</v>
      </c>
      <c r="E2813" s="15" t="s">
        <v>51</v>
      </c>
      <c r="F2813" s="15" t="s">
        <v>52</v>
      </c>
      <c r="G2813" s="15" t="s">
        <v>80</v>
      </c>
      <c r="H2813" s="15" t="s">
        <v>45</v>
      </c>
      <c r="I2813">
        <v>30</v>
      </c>
      <c r="J2813">
        <v>40</v>
      </c>
      <c r="K2813">
        <v>40</v>
      </c>
      <c r="L2813">
        <v>70</v>
      </c>
      <c r="M2813">
        <v>35</v>
      </c>
      <c r="N2813">
        <v>777</v>
      </c>
      <c r="O2813">
        <v>52</v>
      </c>
      <c r="P2813">
        <v>9</v>
      </c>
      <c r="Q2813">
        <v>46</v>
      </c>
      <c r="R2813">
        <v>93</v>
      </c>
      <c r="S2813">
        <v>1.3285714285714285</v>
      </c>
      <c r="T2813">
        <v>1.1499999999999999</v>
      </c>
      <c r="U2813">
        <v>1.1666666666666667</v>
      </c>
    </row>
    <row r="2814" spans="1:21" x14ac:dyDescent="0.35">
      <c r="A2814">
        <v>541</v>
      </c>
      <c r="B2814" s="16">
        <v>40634</v>
      </c>
      <c r="C2814" s="15" t="s">
        <v>76</v>
      </c>
      <c r="D2814" s="15" t="s">
        <v>58</v>
      </c>
      <c r="E2814" s="15" t="s">
        <v>53</v>
      </c>
      <c r="F2814" s="15" t="s">
        <v>52</v>
      </c>
      <c r="G2814" s="15" t="s">
        <v>80</v>
      </c>
      <c r="H2814" s="15" t="s">
        <v>45</v>
      </c>
      <c r="I2814">
        <v>30</v>
      </c>
      <c r="J2814">
        <v>60</v>
      </c>
      <c r="K2814">
        <v>40</v>
      </c>
      <c r="L2814">
        <v>90</v>
      </c>
      <c r="M2814">
        <v>46</v>
      </c>
      <c r="N2814">
        <v>608</v>
      </c>
      <c r="O2814">
        <v>60</v>
      </c>
      <c r="P2814">
        <v>15</v>
      </c>
      <c r="Q2814">
        <v>47</v>
      </c>
      <c r="R2814">
        <v>113</v>
      </c>
      <c r="S2814">
        <v>1.2555555555555555</v>
      </c>
      <c r="T2814">
        <v>1.175</v>
      </c>
      <c r="U2814">
        <v>1.5333333333333334</v>
      </c>
    </row>
    <row r="2815" spans="1:21" x14ac:dyDescent="0.35">
      <c r="A2815">
        <v>541</v>
      </c>
      <c r="B2815" s="16">
        <v>40634</v>
      </c>
      <c r="C2815" s="15" t="s">
        <v>76</v>
      </c>
      <c r="D2815" s="15" t="s">
        <v>58</v>
      </c>
      <c r="E2815" s="15" t="s">
        <v>55</v>
      </c>
      <c r="F2815" s="15" t="s">
        <v>47</v>
      </c>
      <c r="G2815" s="15" t="s">
        <v>80</v>
      </c>
      <c r="H2815" s="15" t="s">
        <v>42</v>
      </c>
      <c r="I2815">
        <v>10</v>
      </c>
      <c r="J2815">
        <v>20</v>
      </c>
      <c r="K2815">
        <v>20</v>
      </c>
      <c r="L2815">
        <v>30</v>
      </c>
      <c r="M2815">
        <v>21</v>
      </c>
      <c r="N2815">
        <v>454</v>
      </c>
      <c r="O2815">
        <v>32</v>
      </c>
      <c r="P2815">
        <v>5</v>
      </c>
      <c r="Q2815">
        <v>22</v>
      </c>
      <c r="R2815">
        <v>56</v>
      </c>
      <c r="S2815">
        <v>1.8666666666666667</v>
      </c>
      <c r="T2815">
        <v>1.1000000000000001</v>
      </c>
      <c r="U2815">
        <v>2.1</v>
      </c>
    </row>
    <row r="2816" spans="1:21" x14ac:dyDescent="0.35">
      <c r="A2816">
        <v>503</v>
      </c>
      <c r="B2816" s="16">
        <v>40634</v>
      </c>
      <c r="C2816" s="15" t="s">
        <v>76</v>
      </c>
      <c r="D2816" s="15" t="s">
        <v>58</v>
      </c>
      <c r="E2816" s="15" t="s">
        <v>56</v>
      </c>
      <c r="F2816" s="15" t="s">
        <v>47</v>
      </c>
      <c r="G2816" s="15" t="s">
        <v>80</v>
      </c>
      <c r="H2816" s="15" t="s">
        <v>42</v>
      </c>
      <c r="I2816">
        <v>50</v>
      </c>
      <c r="J2816">
        <v>100</v>
      </c>
      <c r="K2816">
        <v>70</v>
      </c>
      <c r="L2816">
        <v>150</v>
      </c>
      <c r="M2816">
        <v>88</v>
      </c>
      <c r="N2816">
        <v>653</v>
      </c>
      <c r="O2816">
        <v>134</v>
      </c>
      <c r="P2816">
        <v>29</v>
      </c>
      <c r="Q2816">
        <v>108</v>
      </c>
      <c r="R2816">
        <v>237</v>
      </c>
      <c r="S2816">
        <v>1.58</v>
      </c>
      <c r="T2816">
        <v>1.5428571428571429</v>
      </c>
      <c r="U2816">
        <v>1.76</v>
      </c>
    </row>
    <row r="2817" spans="1:21" x14ac:dyDescent="0.35">
      <c r="A2817">
        <v>971</v>
      </c>
      <c r="B2817" s="16">
        <v>40634</v>
      </c>
      <c r="C2817" s="15" t="s">
        <v>76</v>
      </c>
      <c r="D2817" s="15" t="s">
        <v>58</v>
      </c>
      <c r="E2817" s="15" t="s">
        <v>46</v>
      </c>
      <c r="F2817" s="15" t="s">
        <v>47</v>
      </c>
      <c r="G2817" s="15" t="s">
        <v>80</v>
      </c>
      <c r="H2817" s="15" t="s">
        <v>42</v>
      </c>
      <c r="I2817">
        <v>70</v>
      </c>
      <c r="J2817">
        <v>110</v>
      </c>
      <c r="K2817">
        <v>70</v>
      </c>
      <c r="L2817">
        <v>180</v>
      </c>
      <c r="M2817">
        <v>112</v>
      </c>
      <c r="N2817">
        <v>502</v>
      </c>
      <c r="O2817">
        <v>155</v>
      </c>
      <c r="P2817">
        <v>34</v>
      </c>
      <c r="Q2817">
        <v>145</v>
      </c>
      <c r="R2817">
        <v>285</v>
      </c>
      <c r="S2817">
        <v>1.5833333333333333</v>
      </c>
      <c r="T2817">
        <v>2.0714285714285716</v>
      </c>
      <c r="U2817">
        <v>1.6</v>
      </c>
    </row>
    <row r="2818" spans="1:21" x14ac:dyDescent="0.35">
      <c r="A2818">
        <v>971</v>
      </c>
      <c r="B2818" s="16">
        <v>40634</v>
      </c>
      <c r="C2818" s="15" t="s">
        <v>76</v>
      </c>
      <c r="D2818" s="15" t="s">
        <v>58</v>
      </c>
      <c r="E2818" s="15" t="s">
        <v>72</v>
      </c>
      <c r="F2818" s="15" t="s">
        <v>49</v>
      </c>
      <c r="G2818" s="15" t="s">
        <v>80</v>
      </c>
      <c r="H2818" s="15" t="s">
        <v>42</v>
      </c>
      <c r="I2818">
        <v>50</v>
      </c>
      <c r="J2818">
        <v>60</v>
      </c>
      <c r="K2818">
        <v>20</v>
      </c>
      <c r="L2818">
        <v>110</v>
      </c>
      <c r="M2818">
        <v>54</v>
      </c>
      <c r="N2818">
        <v>337</v>
      </c>
      <c r="O2818">
        <v>67</v>
      </c>
      <c r="P2818">
        <v>20</v>
      </c>
      <c r="Q2818">
        <v>19</v>
      </c>
      <c r="R2818">
        <v>129</v>
      </c>
      <c r="S2818">
        <v>1.1727272727272726</v>
      </c>
      <c r="T2818">
        <v>0.95</v>
      </c>
      <c r="U2818">
        <v>1.08</v>
      </c>
    </row>
    <row r="2819" spans="1:21" x14ac:dyDescent="0.35">
      <c r="A2819">
        <v>971</v>
      </c>
      <c r="B2819" s="16">
        <v>40634</v>
      </c>
      <c r="C2819" s="15" t="s">
        <v>76</v>
      </c>
      <c r="D2819" s="15" t="s">
        <v>58</v>
      </c>
      <c r="E2819" s="15" t="s">
        <v>48</v>
      </c>
      <c r="F2819" s="15" t="s">
        <v>49</v>
      </c>
      <c r="G2819" s="15" t="s">
        <v>80</v>
      </c>
      <c r="H2819" s="15" t="s">
        <v>42</v>
      </c>
      <c r="I2819">
        <v>50</v>
      </c>
      <c r="J2819">
        <v>70</v>
      </c>
      <c r="K2819">
        <v>40</v>
      </c>
      <c r="L2819">
        <v>120</v>
      </c>
      <c r="M2819">
        <v>55</v>
      </c>
      <c r="N2819">
        <v>336</v>
      </c>
      <c r="O2819">
        <v>74</v>
      </c>
      <c r="P2819">
        <v>18</v>
      </c>
      <c r="Q2819">
        <v>42</v>
      </c>
      <c r="R2819">
        <v>137</v>
      </c>
      <c r="S2819">
        <v>1.1416666666666666</v>
      </c>
      <c r="T2819">
        <v>1.05</v>
      </c>
      <c r="U2819">
        <v>1.1000000000000001</v>
      </c>
    </row>
    <row r="2820" spans="1:21" x14ac:dyDescent="0.35">
      <c r="A2820">
        <v>971</v>
      </c>
      <c r="B2820" s="16">
        <v>40634</v>
      </c>
      <c r="C2820" s="15" t="s">
        <v>76</v>
      </c>
      <c r="D2820" s="15" t="s">
        <v>58</v>
      </c>
      <c r="E2820" s="15" t="s">
        <v>50</v>
      </c>
      <c r="F2820" s="15" t="s">
        <v>49</v>
      </c>
      <c r="G2820" s="15" t="s">
        <v>80</v>
      </c>
      <c r="H2820" s="15" t="s">
        <v>45</v>
      </c>
      <c r="I2820">
        <v>150</v>
      </c>
      <c r="J2820">
        <v>160</v>
      </c>
      <c r="K2820">
        <v>100</v>
      </c>
      <c r="L2820">
        <v>310</v>
      </c>
      <c r="M2820">
        <v>162</v>
      </c>
      <c r="N2820">
        <v>1091</v>
      </c>
      <c r="O2820">
        <v>163</v>
      </c>
      <c r="P2820">
        <v>45</v>
      </c>
      <c r="Q2820">
        <v>138</v>
      </c>
      <c r="R2820">
        <v>346</v>
      </c>
      <c r="S2820">
        <v>1.1161290322580646</v>
      </c>
      <c r="T2820">
        <v>1.38</v>
      </c>
      <c r="U2820">
        <v>1.08</v>
      </c>
    </row>
    <row r="2821" spans="1:21" x14ac:dyDescent="0.35">
      <c r="A2821">
        <v>503</v>
      </c>
      <c r="B2821" s="16">
        <v>40634</v>
      </c>
      <c r="C2821" s="15" t="s">
        <v>76</v>
      </c>
      <c r="D2821" s="15" t="s">
        <v>58</v>
      </c>
      <c r="E2821" s="15" t="s">
        <v>39</v>
      </c>
      <c r="F2821" s="15" t="s">
        <v>40</v>
      </c>
      <c r="G2821" s="15" t="s">
        <v>80</v>
      </c>
      <c r="H2821" s="15" t="s">
        <v>42</v>
      </c>
      <c r="I2821">
        <v>60</v>
      </c>
      <c r="J2821">
        <v>90</v>
      </c>
      <c r="K2821">
        <v>30</v>
      </c>
      <c r="L2821">
        <v>150</v>
      </c>
      <c r="M2821">
        <v>52</v>
      </c>
      <c r="N2821">
        <v>433</v>
      </c>
      <c r="O2821">
        <v>73</v>
      </c>
      <c r="P2821">
        <v>47</v>
      </c>
      <c r="Q2821">
        <v>-4</v>
      </c>
      <c r="R2821">
        <v>133</v>
      </c>
      <c r="S2821">
        <v>0.88666666666666671</v>
      </c>
      <c r="T2821">
        <v>-0.13333333333333333</v>
      </c>
      <c r="U2821">
        <v>0.8666666666666667</v>
      </c>
    </row>
    <row r="2822" spans="1:21" x14ac:dyDescent="0.35">
      <c r="A2822">
        <v>541</v>
      </c>
      <c r="B2822" s="16">
        <v>40634</v>
      </c>
      <c r="C2822" s="15" t="s">
        <v>76</v>
      </c>
      <c r="D2822" s="15" t="s">
        <v>58</v>
      </c>
      <c r="E2822" s="15" t="s">
        <v>43</v>
      </c>
      <c r="F2822" s="15" t="s">
        <v>40</v>
      </c>
      <c r="G2822" s="15" t="s">
        <v>80</v>
      </c>
      <c r="H2822" s="15" t="s">
        <v>42</v>
      </c>
      <c r="I2822">
        <v>60</v>
      </c>
      <c r="J2822">
        <v>80</v>
      </c>
      <c r="K2822">
        <v>30</v>
      </c>
      <c r="L2822">
        <v>140</v>
      </c>
      <c r="M2822">
        <v>49</v>
      </c>
      <c r="N2822">
        <v>399</v>
      </c>
      <c r="O2822">
        <v>70</v>
      </c>
      <c r="P2822">
        <v>16</v>
      </c>
      <c r="Q2822">
        <v>12</v>
      </c>
      <c r="R2822">
        <v>127</v>
      </c>
      <c r="S2822">
        <v>0.90714285714285714</v>
      </c>
      <c r="T2822">
        <v>0.4</v>
      </c>
      <c r="U2822">
        <v>0.81666666666666665</v>
      </c>
    </row>
    <row r="2823" spans="1:21" x14ac:dyDescent="0.35">
      <c r="A2823">
        <v>541</v>
      </c>
      <c r="B2823" s="16">
        <v>40634</v>
      </c>
      <c r="C2823" s="15" t="s">
        <v>76</v>
      </c>
      <c r="D2823" s="15" t="s">
        <v>58</v>
      </c>
      <c r="E2823" s="15" t="s">
        <v>44</v>
      </c>
      <c r="F2823" s="15" t="s">
        <v>40</v>
      </c>
      <c r="G2823" s="15" t="s">
        <v>80</v>
      </c>
      <c r="H2823" s="15" t="s">
        <v>45</v>
      </c>
      <c r="I2823">
        <v>50</v>
      </c>
      <c r="J2823">
        <v>80</v>
      </c>
      <c r="K2823">
        <v>50</v>
      </c>
      <c r="L2823">
        <v>130</v>
      </c>
      <c r="M2823">
        <v>43</v>
      </c>
      <c r="N2823">
        <v>363</v>
      </c>
      <c r="O2823">
        <v>64</v>
      </c>
      <c r="P2823">
        <v>13</v>
      </c>
      <c r="Q2823">
        <v>42</v>
      </c>
      <c r="R2823">
        <v>114</v>
      </c>
      <c r="S2823">
        <v>0.87692307692307692</v>
      </c>
      <c r="T2823">
        <v>0.84</v>
      </c>
      <c r="U2823">
        <v>0.86</v>
      </c>
    </row>
    <row r="2824" spans="1:21" x14ac:dyDescent="0.35">
      <c r="A2824">
        <v>206</v>
      </c>
      <c r="B2824" s="16">
        <v>40634</v>
      </c>
      <c r="C2824" s="15" t="s">
        <v>76</v>
      </c>
      <c r="D2824" s="15" t="s">
        <v>58</v>
      </c>
      <c r="E2824" s="15" t="s">
        <v>51</v>
      </c>
      <c r="F2824" s="15" t="s">
        <v>52</v>
      </c>
      <c r="G2824" s="15" t="s">
        <v>81</v>
      </c>
      <c r="H2824" s="15" t="s">
        <v>45</v>
      </c>
      <c r="I2824">
        <v>90</v>
      </c>
      <c r="J2824">
        <v>160</v>
      </c>
      <c r="K2824">
        <v>110</v>
      </c>
      <c r="L2824">
        <v>250</v>
      </c>
      <c r="M2824">
        <v>116</v>
      </c>
      <c r="N2824">
        <v>962</v>
      </c>
      <c r="O2824">
        <v>176</v>
      </c>
      <c r="P2824">
        <v>38</v>
      </c>
      <c r="Q2824">
        <v>157</v>
      </c>
      <c r="R2824">
        <v>311</v>
      </c>
      <c r="S2824">
        <v>1.244</v>
      </c>
      <c r="T2824">
        <v>1.4272727272727272</v>
      </c>
      <c r="U2824">
        <v>1.288888888888889</v>
      </c>
    </row>
    <row r="2825" spans="1:21" x14ac:dyDescent="0.35">
      <c r="A2825">
        <v>360</v>
      </c>
      <c r="B2825" s="16">
        <v>40634</v>
      </c>
      <c r="C2825" s="15" t="s">
        <v>76</v>
      </c>
      <c r="D2825" s="15" t="s">
        <v>58</v>
      </c>
      <c r="E2825" s="15" t="s">
        <v>53</v>
      </c>
      <c r="F2825" s="15" t="s">
        <v>52</v>
      </c>
      <c r="G2825" s="15" t="s">
        <v>81</v>
      </c>
      <c r="H2825" s="15" t="s">
        <v>45</v>
      </c>
      <c r="I2825">
        <v>30</v>
      </c>
      <c r="J2825">
        <v>40</v>
      </c>
      <c r="K2825">
        <v>40</v>
      </c>
      <c r="L2825">
        <v>70</v>
      </c>
      <c r="M2825">
        <v>35</v>
      </c>
      <c r="N2825">
        <v>776</v>
      </c>
      <c r="O2825">
        <v>51</v>
      </c>
      <c r="P2825">
        <v>9</v>
      </c>
      <c r="Q2825">
        <v>45</v>
      </c>
      <c r="R2825">
        <v>92</v>
      </c>
      <c r="S2825">
        <v>1.3142857142857143</v>
      </c>
      <c r="T2825">
        <v>1.125</v>
      </c>
      <c r="U2825">
        <v>1.1666666666666667</v>
      </c>
    </row>
    <row r="2826" spans="1:21" x14ac:dyDescent="0.35">
      <c r="A2826">
        <v>253</v>
      </c>
      <c r="B2826" s="16">
        <v>40634</v>
      </c>
      <c r="C2826" s="15" t="s">
        <v>76</v>
      </c>
      <c r="D2826" s="15" t="s">
        <v>58</v>
      </c>
      <c r="E2826" s="15" t="s">
        <v>55</v>
      </c>
      <c r="F2826" s="15" t="s">
        <v>47</v>
      </c>
      <c r="G2826" s="15" t="s">
        <v>81</v>
      </c>
      <c r="H2826" s="15" t="s">
        <v>42</v>
      </c>
      <c r="I2826">
        <v>30</v>
      </c>
      <c r="J2826">
        <v>60</v>
      </c>
      <c r="K2826">
        <v>40</v>
      </c>
      <c r="L2826">
        <v>90</v>
      </c>
      <c r="M2826">
        <v>49</v>
      </c>
      <c r="N2826">
        <v>342</v>
      </c>
      <c r="O2826">
        <v>84</v>
      </c>
      <c r="P2826">
        <v>15</v>
      </c>
      <c r="Q2826">
        <v>67</v>
      </c>
      <c r="R2826">
        <v>142</v>
      </c>
      <c r="S2826">
        <v>1.5777777777777777</v>
      </c>
      <c r="T2826">
        <v>1.675</v>
      </c>
      <c r="U2826">
        <v>1.6333333333333333</v>
      </c>
    </row>
    <row r="2827" spans="1:21" x14ac:dyDescent="0.35">
      <c r="A2827">
        <v>206</v>
      </c>
      <c r="B2827" s="16">
        <v>40634</v>
      </c>
      <c r="C2827" s="15" t="s">
        <v>76</v>
      </c>
      <c r="D2827" s="15" t="s">
        <v>58</v>
      </c>
      <c r="E2827" s="15" t="s">
        <v>56</v>
      </c>
      <c r="F2827" s="15" t="s">
        <v>47</v>
      </c>
      <c r="G2827" s="15" t="s">
        <v>81</v>
      </c>
      <c r="H2827" s="15" t="s">
        <v>42</v>
      </c>
      <c r="I2827">
        <v>30</v>
      </c>
      <c r="J2827">
        <v>40</v>
      </c>
      <c r="K2827">
        <v>20</v>
      </c>
      <c r="L2827">
        <v>70</v>
      </c>
      <c r="M2827">
        <v>46</v>
      </c>
      <c r="N2827">
        <v>388</v>
      </c>
      <c r="O2827">
        <v>68</v>
      </c>
      <c r="P2827">
        <v>14</v>
      </c>
      <c r="Q2827">
        <v>45</v>
      </c>
      <c r="R2827">
        <v>121</v>
      </c>
      <c r="S2827">
        <v>1.7285714285714286</v>
      </c>
      <c r="T2827">
        <v>2.25</v>
      </c>
      <c r="U2827">
        <v>1.5333333333333334</v>
      </c>
    </row>
    <row r="2828" spans="1:21" x14ac:dyDescent="0.35">
      <c r="A2828">
        <v>206</v>
      </c>
      <c r="B2828" s="16">
        <v>40634</v>
      </c>
      <c r="C2828" s="15" t="s">
        <v>76</v>
      </c>
      <c r="D2828" s="15" t="s">
        <v>58</v>
      </c>
      <c r="E2828" s="15" t="s">
        <v>46</v>
      </c>
      <c r="F2828" s="15" t="s">
        <v>47</v>
      </c>
      <c r="G2828" s="15" t="s">
        <v>81</v>
      </c>
      <c r="H2828" s="15" t="s">
        <v>42</v>
      </c>
      <c r="I2828">
        <v>40</v>
      </c>
      <c r="J2828">
        <v>60</v>
      </c>
      <c r="K2828">
        <v>10</v>
      </c>
      <c r="L2828">
        <v>100</v>
      </c>
      <c r="M2828">
        <v>63</v>
      </c>
      <c r="N2828">
        <v>521</v>
      </c>
      <c r="O2828">
        <v>87</v>
      </c>
      <c r="P2828">
        <v>57</v>
      </c>
      <c r="Q2828">
        <v>0</v>
      </c>
      <c r="R2828">
        <v>160</v>
      </c>
      <c r="S2828">
        <v>1.6</v>
      </c>
      <c r="T2828">
        <v>0</v>
      </c>
      <c r="U2828">
        <v>1.575</v>
      </c>
    </row>
    <row r="2829" spans="1:21" x14ac:dyDescent="0.35">
      <c r="A2829">
        <v>425</v>
      </c>
      <c r="B2829" s="16">
        <v>40634</v>
      </c>
      <c r="C2829" s="15" t="s">
        <v>76</v>
      </c>
      <c r="D2829" s="15" t="s">
        <v>58</v>
      </c>
      <c r="E2829" s="15" t="s">
        <v>72</v>
      </c>
      <c r="F2829" s="15" t="s">
        <v>49</v>
      </c>
      <c r="G2829" s="15" t="s">
        <v>81</v>
      </c>
      <c r="H2829" s="15" t="s">
        <v>42</v>
      </c>
      <c r="I2829">
        <v>40</v>
      </c>
      <c r="J2829">
        <v>50</v>
      </c>
      <c r="K2829">
        <v>30</v>
      </c>
      <c r="L2829">
        <v>90</v>
      </c>
      <c r="M2829">
        <v>45</v>
      </c>
      <c r="N2829">
        <v>605</v>
      </c>
      <c r="O2829">
        <v>58</v>
      </c>
      <c r="P2829">
        <v>14</v>
      </c>
      <c r="Q2829">
        <v>47</v>
      </c>
      <c r="R2829">
        <v>110</v>
      </c>
      <c r="S2829">
        <v>1.2222222222222223</v>
      </c>
      <c r="T2829">
        <v>1.5666666666666667</v>
      </c>
      <c r="U2829">
        <v>1.125</v>
      </c>
    </row>
    <row r="2830" spans="1:21" x14ac:dyDescent="0.35">
      <c r="A2830">
        <v>206</v>
      </c>
      <c r="B2830" s="16">
        <v>40634</v>
      </c>
      <c r="C2830" s="15" t="s">
        <v>76</v>
      </c>
      <c r="D2830" s="15" t="s">
        <v>58</v>
      </c>
      <c r="E2830" s="15" t="s">
        <v>48</v>
      </c>
      <c r="F2830" s="15" t="s">
        <v>49</v>
      </c>
      <c r="G2830" s="15" t="s">
        <v>81</v>
      </c>
      <c r="H2830" s="15" t="s">
        <v>42</v>
      </c>
      <c r="I2830">
        <v>50</v>
      </c>
      <c r="J2830">
        <v>70</v>
      </c>
      <c r="K2830">
        <v>30</v>
      </c>
      <c r="L2830">
        <v>120</v>
      </c>
      <c r="M2830">
        <v>57</v>
      </c>
      <c r="N2830">
        <v>313</v>
      </c>
      <c r="O2830">
        <v>70</v>
      </c>
      <c r="P2830">
        <v>21</v>
      </c>
      <c r="Q2830">
        <v>22</v>
      </c>
      <c r="R2830">
        <v>135</v>
      </c>
      <c r="S2830">
        <v>1.125</v>
      </c>
      <c r="T2830">
        <v>0.73333333333333328</v>
      </c>
      <c r="U2830">
        <v>1.1399999999999999</v>
      </c>
    </row>
    <row r="2831" spans="1:21" x14ac:dyDescent="0.35">
      <c r="A2831">
        <v>206</v>
      </c>
      <c r="B2831" s="16">
        <v>40634</v>
      </c>
      <c r="C2831" s="15" t="s">
        <v>76</v>
      </c>
      <c r="D2831" s="15" t="s">
        <v>58</v>
      </c>
      <c r="E2831" s="15" t="s">
        <v>50</v>
      </c>
      <c r="F2831" s="15" t="s">
        <v>49</v>
      </c>
      <c r="G2831" s="15" t="s">
        <v>81</v>
      </c>
      <c r="H2831" s="15" t="s">
        <v>45</v>
      </c>
      <c r="I2831">
        <v>60</v>
      </c>
      <c r="J2831">
        <v>80</v>
      </c>
      <c r="K2831">
        <v>60</v>
      </c>
      <c r="L2831">
        <v>140</v>
      </c>
      <c r="M2831">
        <v>69</v>
      </c>
      <c r="N2831">
        <v>965</v>
      </c>
      <c r="O2831">
        <v>82</v>
      </c>
      <c r="P2831">
        <v>21</v>
      </c>
      <c r="Q2831">
        <v>58</v>
      </c>
      <c r="R2831">
        <v>161</v>
      </c>
      <c r="S2831">
        <v>1.1499999999999999</v>
      </c>
      <c r="T2831">
        <v>0.96666666666666667</v>
      </c>
      <c r="U2831">
        <v>1.1499999999999999</v>
      </c>
    </row>
    <row r="2832" spans="1:21" x14ac:dyDescent="0.35">
      <c r="A2832">
        <v>206</v>
      </c>
      <c r="B2832" s="16">
        <v>40634</v>
      </c>
      <c r="C2832" s="15" t="s">
        <v>76</v>
      </c>
      <c r="D2832" s="15" t="s">
        <v>58</v>
      </c>
      <c r="E2832" s="15" t="s">
        <v>43</v>
      </c>
      <c r="F2832" s="15" t="s">
        <v>40</v>
      </c>
      <c r="G2832" s="15" t="s">
        <v>81</v>
      </c>
      <c r="H2832" s="15" t="s">
        <v>42</v>
      </c>
      <c r="I2832">
        <v>80</v>
      </c>
      <c r="J2832">
        <v>130</v>
      </c>
      <c r="K2832">
        <v>90</v>
      </c>
      <c r="L2832">
        <v>210</v>
      </c>
      <c r="M2832">
        <v>69</v>
      </c>
      <c r="N2832">
        <v>340</v>
      </c>
      <c r="O2832">
        <v>100</v>
      </c>
      <c r="P2832">
        <v>22</v>
      </c>
      <c r="Q2832">
        <v>80</v>
      </c>
      <c r="R2832">
        <v>180</v>
      </c>
      <c r="S2832">
        <v>0.8571428571428571</v>
      </c>
      <c r="T2832">
        <v>0.88888888888888884</v>
      </c>
      <c r="U2832">
        <v>0.86250000000000004</v>
      </c>
    </row>
    <row r="2833" spans="1:21" x14ac:dyDescent="0.35">
      <c r="A2833">
        <v>360</v>
      </c>
      <c r="B2833" s="16">
        <v>40634</v>
      </c>
      <c r="C2833" s="15" t="s">
        <v>76</v>
      </c>
      <c r="D2833" s="15" t="s">
        <v>58</v>
      </c>
      <c r="E2833" s="15" t="s">
        <v>44</v>
      </c>
      <c r="F2833" s="15" t="s">
        <v>40</v>
      </c>
      <c r="G2833" s="15" t="s">
        <v>81</v>
      </c>
      <c r="H2833" s="15" t="s">
        <v>45</v>
      </c>
      <c r="I2833">
        <v>110</v>
      </c>
      <c r="J2833">
        <v>170</v>
      </c>
      <c r="K2833">
        <v>70</v>
      </c>
      <c r="L2833">
        <v>280</v>
      </c>
      <c r="M2833">
        <v>95</v>
      </c>
      <c r="N2833">
        <v>554</v>
      </c>
      <c r="O2833">
        <v>132</v>
      </c>
      <c r="P2833">
        <v>86</v>
      </c>
      <c r="Q2833">
        <v>25</v>
      </c>
      <c r="R2833">
        <v>242</v>
      </c>
      <c r="S2833">
        <v>0.86428571428571432</v>
      </c>
      <c r="T2833">
        <v>0.35714285714285715</v>
      </c>
      <c r="U2833">
        <v>0.86363636363636365</v>
      </c>
    </row>
    <row r="2834" spans="1:21" x14ac:dyDescent="0.35">
      <c r="A2834">
        <v>719</v>
      </c>
      <c r="B2834" s="16">
        <v>40664</v>
      </c>
      <c r="C2834" s="15" t="s">
        <v>37</v>
      </c>
      <c r="D2834" s="15" t="s">
        <v>38</v>
      </c>
      <c r="E2834" s="15" t="s">
        <v>51</v>
      </c>
      <c r="F2834" s="15" t="s">
        <v>52</v>
      </c>
      <c r="G2834" s="15" t="s">
        <v>41</v>
      </c>
      <c r="H2834" s="15" t="s">
        <v>45</v>
      </c>
      <c r="I2834">
        <v>120</v>
      </c>
      <c r="J2834">
        <v>140</v>
      </c>
      <c r="K2834">
        <v>90</v>
      </c>
      <c r="L2834">
        <v>260</v>
      </c>
      <c r="M2834">
        <v>149</v>
      </c>
      <c r="N2834">
        <v>1156</v>
      </c>
      <c r="O2834">
        <v>149</v>
      </c>
      <c r="P2834">
        <v>41</v>
      </c>
      <c r="Q2834">
        <v>115</v>
      </c>
      <c r="R2834">
        <v>295</v>
      </c>
      <c r="S2834">
        <v>1.1346153846153846</v>
      </c>
      <c r="T2834">
        <v>1.2777777777777777</v>
      </c>
      <c r="U2834">
        <v>1.2416666666666667</v>
      </c>
    </row>
    <row r="2835" spans="1:21" x14ac:dyDescent="0.35">
      <c r="A2835">
        <v>970</v>
      </c>
      <c r="B2835" s="16">
        <v>40664</v>
      </c>
      <c r="C2835" s="15" t="s">
        <v>37</v>
      </c>
      <c r="D2835" s="15" t="s">
        <v>38</v>
      </c>
      <c r="E2835" s="15" t="s">
        <v>53</v>
      </c>
      <c r="F2835" s="15" t="s">
        <v>52</v>
      </c>
      <c r="G2835" s="15" t="s">
        <v>41</v>
      </c>
      <c r="H2835" s="15" t="s">
        <v>45</v>
      </c>
      <c r="I2835">
        <v>40</v>
      </c>
      <c r="J2835">
        <v>70</v>
      </c>
      <c r="K2835">
        <v>10</v>
      </c>
      <c r="L2835">
        <v>110</v>
      </c>
      <c r="M2835">
        <v>53</v>
      </c>
      <c r="N2835">
        <v>458</v>
      </c>
      <c r="O2835">
        <v>75</v>
      </c>
      <c r="P2835">
        <v>48</v>
      </c>
      <c r="Q2835">
        <v>-4</v>
      </c>
      <c r="R2835">
        <v>127</v>
      </c>
      <c r="S2835">
        <v>1.1545454545454545</v>
      </c>
      <c r="T2835">
        <v>-0.4</v>
      </c>
      <c r="U2835">
        <v>1.325</v>
      </c>
    </row>
    <row r="2836" spans="1:21" x14ac:dyDescent="0.35">
      <c r="A2836">
        <v>719</v>
      </c>
      <c r="B2836" s="16">
        <v>40664</v>
      </c>
      <c r="C2836" s="15" t="s">
        <v>37</v>
      </c>
      <c r="D2836" s="15" t="s">
        <v>38</v>
      </c>
      <c r="E2836" s="15" t="s">
        <v>54</v>
      </c>
      <c r="F2836" s="15" t="s">
        <v>52</v>
      </c>
      <c r="G2836" s="15" t="s">
        <v>41</v>
      </c>
      <c r="H2836" s="15" t="s">
        <v>45</v>
      </c>
      <c r="I2836">
        <v>40</v>
      </c>
      <c r="J2836">
        <v>60</v>
      </c>
      <c r="K2836">
        <v>30</v>
      </c>
      <c r="L2836">
        <v>100</v>
      </c>
      <c r="M2836">
        <v>52</v>
      </c>
      <c r="N2836">
        <v>361</v>
      </c>
      <c r="O2836">
        <v>71</v>
      </c>
      <c r="P2836">
        <v>17</v>
      </c>
      <c r="Q2836">
        <v>36</v>
      </c>
      <c r="R2836">
        <v>122</v>
      </c>
      <c r="S2836">
        <v>1.22</v>
      </c>
      <c r="T2836">
        <v>1.2</v>
      </c>
      <c r="U2836">
        <v>1.3</v>
      </c>
    </row>
    <row r="2837" spans="1:21" x14ac:dyDescent="0.35">
      <c r="A2837">
        <v>720</v>
      </c>
      <c r="B2837" s="16">
        <v>40664</v>
      </c>
      <c r="C2837" s="15" t="s">
        <v>37</v>
      </c>
      <c r="D2837" s="15" t="s">
        <v>38</v>
      </c>
      <c r="E2837" s="15" t="s">
        <v>55</v>
      </c>
      <c r="F2837" s="15" t="s">
        <v>47</v>
      </c>
      <c r="G2837" s="15" t="s">
        <v>41</v>
      </c>
      <c r="H2837" s="15" t="s">
        <v>42</v>
      </c>
      <c r="I2837">
        <v>40</v>
      </c>
      <c r="J2837">
        <v>60</v>
      </c>
      <c r="K2837">
        <v>20</v>
      </c>
      <c r="L2837">
        <v>100</v>
      </c>
      <c r="M2837">
        <v>53</v>
      </c>
      <c r="N2837">
        <v>361</v>
      </c>
      <c r="O2837">
        <v>65</v>
      </c>
      <c r="P2837">
        <v>20</v>
      </c>
      <c r="Q2837">
        <v>17</v>
      </c>
      <c r="R2837">
        <v>117</v>
      </c>
      <c r="S2837">
        <v>1.17</v>
      </c>
      <c r="T2837">
        <v>0.85</v>
      </c>
      <c r="U2837">
        <v>1.325</v>
      </c>
    </row>
    <row r="2838" spans="1:21" x14ac:dyDescent="0.35">
      <c r="A2838">
        <v>303</v>
      </c>
      <c r="B2838" s="16">
        <v>40664</v>
      </c>
      <c r="C2838" s="15" t="s">
        <v>37</v>
      </c>
      <c r="D2838" s="15" t="s">
        <v>38</v>
      </c>
      <c r="E2838" s="15" t="s">
        <v>56</v>
      </c>
      <c r="F2838" s="15" t="s">
        <v>47</v>
      </c>
      <c r="G2838" s="15" t="s">
        <v>41</v>
      </c>
      <c r="H2838" s="15" t="s">
        <v>42</v>
      </c>
      <c r="I2838">
        <v>40</v>
      </c>
      <c r="J2838">
        <v>60</v>
      </c>
      <c r="K2838">
        <v>30</v>
      </c>
      <c r="L2838">
        <v>100</v>
      </c>
      <c r="M2838">
        <v>56</v>
      </c>
      <c r="N2838">
        <v>992</v>
      </c>
      <c r="O2838">
        <v>66</v>
      </c>
      <c r="P2838">
        <v>17</v>
      </c>
      <c r="Q2838">
        <v>37</v>
      </c>
      <c r="R2838">
        <v>121</v>
      </c>
      <c r="S2838">
        <v>1.21</v>
      </c>
      <c r="T2838">
        <v>1.2333333333333334</v>
      </c>
      <c r="U2838">
        <v>1.4</v>
      </c>
    </row>
    <row r="2839" spans="1:21" x14ac:dyDescent="0.35">
      <c r="A2839">
        <v>970</v>
      </c>
      <c r="B2839" s="16">
        <v>40664</v>
      </c>
      <c r="C2839" s="15" t="s">
        <v>37</v>
      </c>
      <c r="D2839" s="15" t="s">
        <v>38</v>
      </c>
      <c r="E2839" s="15" t="s">
        <v>46</v>
      </c>
      <c r="F2839" s="15" t="s">
        <v>47</v>
      </c>
      <c r="G2839" s="15" t="s">
        <v>41</v>
      </c>
      <c r="H2839" s="15" t="s">
        <v>42</v>
      </c>
      <c r="I2839">
        <v>30</v>
      </c>
      <c r="J2839">
        <v>50</v>
      </c>
      <c r="K2839">
        <v>30</v>
      </c>
      <c r="L2839">
        <v>80</v>
      </c>
      <c r="M2839">
        <v>43</v>
      </c>
      <c r="N2839">
        <v>602</v>
      </c>
      <c r="O2839">
        <v>56</v>
      </c>
      <c r="P2839">
        <v>14</v>
      </c>
      <c r="Q2839">
        <v>41</v>
      </c>
      <c r="R2839">
        <v>98</v>
      </c>
      <c r="S2839">
        <v>1.2250000000000001</v>
      </c>
      <c r="T2839">
        <v>1.3666666666666667</v>
      </c>
      <c r="U2839">
        <v>1.4333333333333333</v>
      </c>
    </row>
    <row r="2840" spans="1:21" x14ac:dyDescent="0.35">
      <c r="A2840">
        <v>970</v>
      </c>
      <c r="B2840" s="16">
        <v>40664</v>
      </c>
      <c r="C2840" s="15" t="s">
        <v>37</v>
      </c>
      <c r="D2840" s="15" t="s">
        <v>38</v>
      </c>
      <c r="E2840" s="15" t="s">
        <v>48</v>
      </c>
      <c r="F2840" s="15" t="s">
        <v>49</v>
      </c>
      <c r="G2840" s="15" t="s">
        <v>41</v>
      </c>
      <c r="H2840" s="15" t="s">
        <v>42</v>
      </c>
      <c r="I2840">
        <v>90</v>
      </c>
      <c r="J2840">
        <v>150</v>
      </c>
      <c r="K2840">
        <v>120</v>
      </c>
      <c r="L2840">
        <v>240</v>
      </c>
      <c r="M2840">
        <v>86</v>
      </c>
      <c r="N2840">
        <v>499</v>
      </c>
      <c r="O2840">
        <v>124</v>
      </c>
      <c r="P2840">
        <v>24</v>
      </c>
      <c r="Q2840">
        <v>121</v>
      </c>
      <c r="R2840">
        <v>208</v>
      </c>
      <c r="S2840">
        <v>0.8666666666666667</v>
      </c>
      <c r="T2840">
        <v>1.0083333333333333</v>
      </c>
      <c r="U2840">
        <v>0.9555555555555556</v>
      </c>
    </row>
    <row r="2841" spans="1:21" x14ac:dyDescent="0.35">
      <c r="A2841">
        <v>719</v>
      </c>
      <c r="B2841" s="16">
        <v>40664</v>
      </c>
      <c r="C2841" s="15" t="s">
        <v>37</v>
      </c>
      <c r="D2841" s="15" t="s">
        <v>38</v>
      </c>
      <c r="E2841" s="15" t="s">
        <v>50</v>
      </c>
      <c r="F2841" s="15" t="s">
        <v>49</v>
      </c>
      <c r="G2841" s="15" t="s">
        <v>41</v>
      </c>
      <c r="H2841" s="15" t="s">
        <v>45</v>
      </c>
      <c r="I2841">
        <v>70</v>
      </c>
      <c r="J2841">
        <v>110</v>
      </c>
      <c r="K2841">
        <v>60</v>
      </c>
      <c r="L2841">
        <v>180</v>
      </c>
      <c r="M2841">
        <v>64</v>
      </c>
      <c r="N2841">
        <v>593</v>
      </c>
      <c r="O2841">
        <v>96</v>
      </c>
      <c r="P2841">
        <v>21</v>
      </c>
      <c r="Q2841">
        <v>61</v>
      </c>
      <c r="R2841">
        <v>159</v>
      </c>
      <c r="S2841">
        <v>0.8833333333333333</v>
      </c>
      <c r="T2841">
        <v>1.0166666666666666</v>
      </c>
      <c r="U2841">
        <v>0.91428571428571426</v>
      </c>
    </row>
    <row r="2842" spans="1:21" x14ac:dyDescent="0.35">
      <c r="A2842">
        <v>720</v>
      </c>
      <c r="B2842" s="16">
        <v>40664</v>
      </c>
      <c r="C2842" s="15" t="s">
        <v>37</v>
      </c>
      <c r="D2842" s="15" t="s">
        <v>38</v>
      </c>
      <c r="E2842" s="15" t="s">
        <v>39</v>
      </c>
      <c r="F2842" s="15" t="s">
        <v>40</v>
      </c>
      <c r="G2842" s="15" t="s">
        <v>41</v>
      </c>
      <c r="H2842" s="15" t="s">
        <v>42</v>
      </c>
      <c r="I2842">
        <v>110</v>
      </c>
      <c r="J2842">
        <v>150</v>
      </c>
      <c r="K2842">
        <v>120</v>
      </c>
      <c r="L2842">
        <v>260</v>
      </c>
      <c r="M2842">
        <v>104</v>
      </c>
      <c r="N2842">
        <v>821</v>
      </c>
      <c r="O2842">
        <v>152</v>
      </c>
      <c r="P2842">
        <v>29</v>
      </c>
      <c r="Q2842">
        <v>153</v>
      </c>
      <c r="R2842">
        <v>254</v>
      </c>
      <c r="S2842">
        <v>0.97692307692307689</v>
      </c>
      <c r="T2842">
        <v>1.2749999999999999</v>
      </c>
      <c r="U2842">
        <v>0.94545454545454544</v>
      </c>
    </row>
    <row r="2843" spans="1:21" x14ac:dyDescent="0.35">
      <c r="A2843">
        <v>720</v>
      </c>
      <c r="B2843" s="16">
        <v>40664</v>
      </c>
      <c r="C2843" s="15" t="s">
        <v>37</v>
      </c>
      <c r="D2843" s="15" t="s">
        <v>38</v>
      </c>
      <c r="E2843" s="15" t="s">
        <v>43</v>
      </c>
      <c r="F2843" s="15" t="s">
        <v>40</v>
      </c>
      <c r="G2843" s="15" t="s">
        <v>41</v>
      </c>
      <c r="H2843" s="15" t="s">
        <v>42</v>
      </c>
      <c r="I2843">
        <v>80</v>
      </c>
      <c r="J2843">
        <v>110</v>
      </c>
      <c r="K2843">
        <v>80</v>
      </c>
      <c r="L2843">
        <v>190</v>
      </c>
      <c r="M2843">
        <v>83</v>
      </c>
      <c r="N2843">
        <v>584</v>
      </c>
      <c r="O2843">
        <v>107</v>
      </c>
      <c r="P2843">
        <v>27</v>
      </c>
      <c r="Q2843">
        <v>94</v>
      </c>
      <c r="R2843">
        <v>188</v>
      </c>
      <c r="S2843">
        <v>0.98947368421052628</v>
      </c>
      <c r="T2843">
        <v>1.175</v>
      </c>
      <c r="U2843">
        <v>1.0375000000000001</v>
      </c>
    </row>
    <row r="2844" spans="1:21" x14ac:dyDescent="0.35">
      <c r="A2844">
        <v>303</v>
      </c>
      <c r="B2844" s="16">
        <v>40664</v>
      </c>
      <c r="C2844" s="15" t="s">
        <v>37</v>
      </c>
      <c r="D2844" s="15" t="s">
        <v>38</v>
      </c>
      <c r="E2844" s="15" t="s">
        <v>44</v>
      </c>
      <c r="F2844" s="15" t="s">
        <v>40</v>
      </c>
      <c r="G2844" s="15" t="s">
        <v>41</v>
      </c>
      <c r="H2844" s="15" t="s">
        <v>45</v>
      </c>
      <c r="I2844">
        <v>110</v>
      </c>
      <c r="J2844">
        <v>150</v>
      </c>
      <c r="K2844">
        <v>120</v>
      </c>
      <c r="L2844">
        <v>260</v>
      </c>
      <c r="M2844">
        <v>104</v>
      </c>
      <c r="N2844">
        <v>871</v>
      </c>
      <c r="O2844">
        <v>152</v>
      </c>
      <c r="P2844">
        <v>29</v>
      </c>
      <c r="Q2844">
        <v>155</v>
      </c>
      <c r="R2844">
        <v>254</v>
      </c>
      <c r="S2844">
        <v>0.97692307692307689</v>
      </c>
      <c r="T2844">
        <v>1.2916666666666667</v>
      </c>
      <c r="U2844">
        <v>0.94545454545454544</v>
      </c>
    </row>
    <row r="2845" spans="1:21" x14ac:dyDescent="0.35">
      <c r="A2845">
        <v>773</v>
      </c>
      <c r="B2845" s="16">
        <v>40664</v>
      </c>
      <c r="C2845" s="15" t="s">
        <v>37</v>
      </c>
      <c r="D2845" s="15" t="s">
        <v>38</v>
      </c>
      <c r="E2845" s="15" t="s">
        <v>51</v>
      </c>
      <c r="F2845" s="15" t="s">
        <v>52</v>
      </c>
      <c r="G2845" s="15" t="s">
        <v>57</v>
      </c>
      <c r="H2845" s="15" t="s">
        <v>45</v>
      </c>
      <c r="I2845">
        <v>80</v>
      </c>
      <c r="J2845">
        <v>140</v>
      </c>
      <c r="K2845">
        <v>120</v>
      </c>
      <c r="L2845">
        <v>220</v>
      </c>
      <c r="M2845">
        <v>104</v>
      </c>
      <c r="N2845">
        <v>821</v>
      </c>
      <c r="O2845">
        <v>152</v>
      </c>
      <c r="P2845">
        <v>29</v>
      </c>
      <c r="Q2845">
        <v>155</v>
      </c>
      <c r="R2845">
        <v>254</v>
      </c>
      <c r="S2845">
        <v>1.1545454545454545</v>
      </c>
      <c r="T2845">
        <v>1.2916666666666667</v>
      </c>
      <c r="U2845">
        <v>1.3</v>
      </c>
    </row>
    <row r="2846" spans="1:21" x14ac:dyDescent="0.35">
      <c r="A2846">
        <v>773</v>
      </c>
      <c r="B2846" s="16">
        <v>40664</v>
      </c>
      <c r="C2846" s="15" t="s">
        <v>37</v>
      </c>
      <c r="D2846" s="15" t="s">
        <v>38</v>
      </c>
      <c r="E2846" s="15" t="s">
        <v>53</v>
      </c>
      <c r="F2846" s="15" t="s">
        <v>52</v>
      </c>
      <c r="G2846" s="15" t="s">
        <v>57</v>
      </c>
      <c r="H2846" s="15" t="s">
        <v>45</v>
      </c>
      <c r="I2846">
        <v>70</v>
      </c>
      <c r="J2846">
        <v>90</v>
      </c>
      <c r="K2846">
        <v>60</v>
      </c>
      <c r="L2846">
        <v>160</v>
      </c>
      <c r="M2846">
        <v>83</v>
      </c>
      <c r="N2846">
        <v>584</v>
      </c>
      <c r="O2846">
        <v>107</v>
      </c>
      <c r="P2846">
        <v>27</v>
      </c>
      <c r="Q2846">
        <v>94</v>
      </c>
      <c r="R2846">
        <v>188</v>
      </c>
      <c r="S2846">
        <v>1.175</v>
      </c>
      <c r="T2846">
        <v>1.5666666666666667</v>
      </c>
      <c r="U2846">
        <v>1.1857142857142857</v>
      </c>
    </row>
    <row r="2847" spans="1:21" x14ac:dyDescent="0.35">
      <c r="A2847">
        <v>312</v>
      </c>
      <c r="B2847" s="16">
        <v>40664</v>
      </c>
      <c r="C2847" s="15" t="s">
        <v>37</v>
      </c>
      <c r="D2847" s="15" t="s">
        <v>38</v>
      </c>
      <c r="E2847" s="15" t="s">
        <v>54</v>
      </c>
      <c r="F2847" s="15" t="s">
        <v>52</v>
      </c>
      <c r="G2847" s="15" t="s">
        <v>57</v>
      </c>
      <c r="H2847" s="15" t="s">
        <v>45</v>
      </c>
      <c r="I2847">
        <v>80</v>
      </c>
      <c r="J2847">
        <v>140</v>
      </c>
      <c r="K2847">
        <v>120</v>
      </c>
      <c r="L2847">
        <v>220</v>
      </c>
      <c r="M2847">
        <v>104</v>
      </c>
      <c r="N2847">
        <v>871</v>
      </c>
      <c r="O2847">
        <v>152</v>
      </c>
      <c r="P2847">
        <v>29</v>
      </c>
      <c r="Q2847">
        <v>155</v>
      </c>
      <c r="R2847">
        <v>254</v>
      </c>
      <c r="S2847">
        <v>1.1545454545454545</v>
      </c>
      <c r="T2847">
        <v>1.2916666666666667</v>
      </c>
      <c r="U2847">
        <v>1.3</v>
      </c>
    </row>
    <row r="2848" spans="1:21" x14ac:dyDescent="0.35">
      <c r="A2848">
        <v>847</v>
      </c>
      <c r="B2848" s="16">
        <v>40664</v>
      </c>
      <c r="C2848" s="15" t="s">
        <v>37</v>
      </c>
      <c r="D2848" s="15" t="s">
        <v>38</v>
      </c>
      <c r="E2848" s="15" t="s">
        <v>55</v>
      </c>
      <c r="F2848" s="15" t="s">
        <v>47</v>
      </c>
      <c r="G2848" s="15" t="s">
        <v>57</v>
      </c>
      <c r="H2848" s="15" t="s">
        <v>42</v>
      </c>
      <c r="I2848">
        <v>70</v>
      </c>
      <c r="J2848">
        <v>110</v>
      </c>
      <c r="K2848">
        <v>80</v>
      </c>
      <c r="L2848">
        <v>180</v>
      </c>
      <c r="M2848">
        <v>86</v>
      </c>
      <c r="N2848">
        <v>499</v>
      </c>
      <c r="O2848">
        <v>124</v>
      </c>
      <c r="P2848">
        <v>24</v>
      </c>
      <c r="Q2848">
        <v>121</v>
      </c>
      <c r="R2848">
        <v>208</v>
      </c>
      <c r="S2848">
        <v>1.1555555555555554</v>
      </c>
      <c r="T2848">
        <v>1.5125</v>
      </c>
      <c r="U2848">
        <v>1.2285714285714286</v>
      </c>
    </row>
    <row r="2849" spans="1:21" x14ac:dyDescent="0.35">
      <c r="A2849">
        <v>630</v>
      </c>
      <c r="B2849" s="16">
        <v>40664</v>
      </c>
      <c r="C2849" s="15" t="s">
        <v>37</v>
      </c>
      <c r="D2849" s="15" t="s">
        <v>38</v>
      </c>
      <c r="E2849" s="15" t="s">
        <v>56</v>
      </c>
      <c r="F2849" s="15" t="s">
        <v>47</v>
      </c>
      <c r="G2849" s="15" t="s">
        <v>57</v>
      </c>
      <c r="H2849" s="15" t="s">
        <v>42</v>
      </c>
      <c r="I2849">
        <v>50</v>
      </c>
      <c r="J2849">
        <v>90</v>
      </c>
      <c r="K2849">
        <v>50</v>
      </c>
      <c r="L2849">
        <v>140</v>
      </c>
      <c r="M2849">
        <v>64</v>
      </c>
      <c r="N2849">
        <v>593</v>
      </c>
      <c r="O2849">
        <v>96</v>
      </c>
      <c r="P2849">
        <v>21</v>
      </c>
      <c r="Q2849">
        <v>61</v>
      </c>
      <c r="R2849">
        <v>159</v>
      </c>
      <c r="S2849">
        <v>1.1357142857142857</v>
      </c>
      <c r="T2849">
        <v>1.22</v>
      </c>
      <c r="U2849">
        <v>1.28</v>
      </c>
    </row>
    <row r="2850" spans="1:21" x14ac:dyDescent="0.35">
      <c r="A2850">
        <v>773</v>
      </c>
      <c r="B2850" s="16">
        <v>40664</v>
      </c>
      <c r="C2850" s="15" t="s">
        <v>37</v>
      </c>
      <c r="D2850" s="15" t="s">
        <v>38</v>
      </c>
      <c r="E2850" s="15" t="s">
        <v>48</v>
      </c>
      <c r="F2850" s="15" t="s">
        <v>49</v>
      </c>
      <c r="G2850" s="15" t="s">
        <v>57</v>
      </c>
      <c r="H2850" s="15" t="s">
        <v>42</v>
      </c>
      <c r="I2850">
        <v>300</v>
      </c>
      <c r="J2850">
        <v>420</v>
      </c>
      <c r="K2850">
        <v>300</v>
      </c>
      <c r="L2850">
        <v>720</v>
      </c>
      <c r="M2850">
        <v>263</v>
      </c>
      <c r="N2850">
        <v>1433</v>
      </c>
      <c r="O2850">
        <v>349</v>
      </c>
      <c r="P2850">
        <v>86</v>
      </c>
      <c r="Q2850">
        <v>317</v>
      </c>
      <c r="R2850">
        <v>607</v>
      </c>
      <c r="S2850">
        <v>0.84305555555555556</v>
      </c>
      <c r="T2850">
        <v>1.0566666666666666</v>
      </c>
      <c r="U2850">
        <v>0.87666666666666671</v>
      </c>
    </row>
    <row r="2851" spans="1:21" x14ac:dyDescent="0.35">
      <c r="A2851">
        <v>773</v>
      </c>
      <c r="B2851" s="16">
        <v>40664</v>
      </c>
      <c r="C2851" s="15" t="s">
        <v>37</v>
      </c>
      <c r="D2851" s="15" t="s">
        <v>38</v>
      </c>
      <c r="E2851" s="15" t="s">
        <v>50</v>
      </c>
      <c r="F2851" s="15" t="s">
        <v>49</v>
      </c>
      <c r="G2851" s="15" t="s">
        <v>57</v>
      </c>
      <c r="H2851" s="15" t="s">
        <v>45</v>
      </c>
      <c r="I2851">
        <v>300</v>
      </c>
      <c r="J2851">
        <v>310</v>
      </c>
      <c r="K2851">
        <v>210</v>
      </c>
      <c r="L2851">
        <v>610</v>
      </c>
      <c r="M2851">
        <v>260</v>
      </c>
      <c r="N2851">
        <v>1559</v>
      </c>
      <c r="O2851">
        <v>261</v>
      </c>
      <c r="P2851">
        <v>72</v>
      </c>
      <c r="Q2851">
        <v>228</v>
      </c>
      <c r="R2851">
        <v>516</v>
      </c>
      <c r="S2851">
        <v>0.84590163934426232</v>
      </c>
      <c r="T2851">
        <v>1.0857142857142856</v>
      </c>
      <c r="U2851">
        <v>0.8666666666666667</v>
      </c>
    </row>
    <row r="2852" spans="1:21" x14ac:dyDescent="0.35">
      <c r="A2852">
        <v>618</v>
      </c>
      <c r="B2852" s="16">
        <v>40664</v>
      </c>
      <c r="C2852" s="15" t="s">
        <v>37</v>
      </c>
      <c r="D2852" s="15" t="s">
        <v>38</v>
      </c>
      <c r="E2852" s="15" t="s">
        <v>43</v>
      </c>
      <c r="F2852" s="15" t="s">
        <v>40</v>
      </c>
      <c r="G2852" s="15" t="s">
        <v>57</v>
      </c>
      <c r="H2852" s="15" t="s">
        <v>42</v>
      </c>
      <c r="I2852">
        <v>200</v>
      </c>
      <c r="J2852">
        <v>280</v>
      </c>
      <c r="K2852">
        <v>180</v>
      </c>
      <c r="L2852">
        <v>480</v>
      </c>
      <c r="M2852">
        <v>195</v>
      </c>
      <c r="N2852">
        <v>956</v>
      </c>
      <c r="O2852">
        <v>270</v>
      </c>
      <c r="P2852">
        <v>64</v>
      </c>
      <c r="Q2852">
        <v>222</v>
      </c>
      <c r="R2852">
        <v>461</v>
      </c>
      <c r="S2852">
        <v>0.9604166666666667</v>
      </c>
      <c r="T2852">
        <v>1.2333333333333334</v>
      </c>
      <c r="U2852">
        <v>0.97499999999999998</v>
      </c>
    </row>
    <row r="2853" spans="1:21" x14ac:dyDescent="0.35">
      <c r="A2853">
        <v>847</v>
      </c>
      <c r="B2853" s="16">
        <v>40664</v>
      </c>
      <c r="C2853" s="15" t="s">
        <v>37</v>
      </c>
      <c r="D2853" s="15" t="s">
        <v>38</v>
      </c>
      <c r="E2853" s="15" t="s">
        <v>44</v>
      </c>
      <c r="F2853" s="15" t="s">
        <v>40</v>
      </c>
      <c r="G2853" s="15" t="s">
        <v>57</v>
      </c>
      <c r="H2853" s="15" t="s">
        <v>45</v>
      </c>
      <c r="I2853">
        <v>130</v>
      </c>
      <c r="J2853">
        <v>190</v>
      </c>
      <c r="K2853">
        <v>140</v>
      </c>
      <c r="L2853">
        <v>320</v>
      </c>
      <c r="M2853">
        <v>127</v>
      </c>
      <c r="N2853">
        <v>671</v>
      </c>
      <c r="O2853">
        <v>185</v>
      </c>
      <c r="P2853">
        <v>40</v>
      </c>
      <c r="Q2853">
        <v>168</v>
      </c>
      <c r="R2853">
        <v>309</v>
      </c>
      <c r="S2853">
        <v>0.96562499999999996</v>
      </c>
      <c r="T2853">
        <v>1.2</v>
      </c>
      <c r="U2853">
        <v>0.97692307692307689</v>
      </c>
    </row>
    <row r="2854" spans="1:21" x14ac:dyDescent="0.35">
      <c r="A2854">
        <v>319</v>
      </c>
      <c r="B2854" s="16">
        <v>40664</v>
      </c>
      <c r="C2854" s="15" t="s">
        <v>37</v>
      </c>
      <c r="D2854" s="15" t="s">
        <v>58</v>
      </c>
      <c r="E2854" s="15" t="s">
        <v>51</v>
      </c>
      <c r="F2854" s="15" t="s">
        <v>52</v>
      </c>
      <c r="G2854" s="15" t="s">
        <v>59</v>
      </c>
      <c r="H2854" s="15" t="s">
        <v>45</v>
      </c>
      <c r="I2854">
        <v>220</v>
      </c>
      <c r="J2854">
        <v>310</v>
      </c>
      <c r="K2854">
        <v>220</v>
      </c>
      <c r="L2854">
        <v>530</v>
      </c>
      <c r="M2854">
        <v>263</v>
      </c>
      <c r="N2854">
        <v>1433</v>
      </c>
      <c r="O2854">
        <v>349</v>
      </c>
      <c r="P2854">
        <v>86</v>
      </c>
      <c r="Q2854">
        <v>319</v>
      </c>
      <c r="R2854">
        <v>607</v>
      </c>
      <c r="S2854">
        <v>1.1452830188679246</v>
      </c>
      <c r="T2854">
        <v>1.45</v>
      </c>
      <c r="U2854">
        <v>1.1954545454545455</v>
      </c>
    </row>
    <row r="2855" spans="1:21" x14ac:dyDescent="0.35">
      <c r="A2855">
        <v>563</v>
      </c>
      <c r="B2855" s="16">
        <v>40664</v>
      </c>
      <c r="C2855" s="15" t="s">
        <v>37</v>
      </c>
      <c r="D2855" s="15" t="s">
        <v>58</v>
      </c>
      <c r="E2855" s="15" t="s">
        <v>53</v>
      </c>
      <c r="F2855" s="15" t="s">
        <v>52</v>
      </c>
      <c r="G2855" s="15" t="s">
        <v>59</v>
      </c>
      <c r="H2855" s="15" t="s">
        <v>45</v>
      </c>
      <c r="I2855">
        <v>100</v>
      </c>
      <c r="J2855">
        <v>170</v>
      </c>
      <c r="K2855">
        <v>130</v>
      </c>
      <c r="L2855">
        <v>270</v>
      </c>
      <c r="M2855">
        <v>127</v>
      </c>
      <c r="N2855">
        <v>671</v>
      </c>
      <c r="O2855">
        <v>185</v>
      </c>
      <c r="P2855">
        <v>40</v>
      </c>
      <c r="Q2855">
        <v>168</v>
      </c>
      <c r="R2855">
        <v>309</v>
      </c>
      <c r="S2855">
        <v>1.1444444444444444</v>
      </c>
      <c r="T2855">
        <v>1.2923076923076924</v>
      </c>
      <c r="U2855">
        <v>1.27</v>
      </c>
    </row>
    <row r="2856" spans="1:21" x14ac:dyDescent="0.35">
      <c r="A2856">
        <v>319</v>
      </c>
      <c r="B2856" s="16">
        <v>40664</v>
      </c>
      <c r="C2856" s="15" t="s">
        <v>37</v>
      </c>
      <c r="D2856" s="15" t="s">
        <v>58</v>
      </c>
      <c r="E2856" s="15" t="s">
        <v>55</v>
      </c>
      <c r="F2856" s="15" t="s">
        <v>47</v>
      </c>
      <c r="G2856" s="15" t="s">
        <v>59</v>
      </c>
      <c r="H2856" s="15" t="s">
        <v>42</v>
      </c>
      <c r="I2856">
        <v>220</v>
      </c>
      <c r="J2856">
        <v>230</v>
      </c>
      <c r="K2856">
        <v>150</v>
      </c>
      <c r="L2856">
        <v>450</v>
      </c>
      <c r="M2856">
        <v>260</v>
      </c>
      <c r="N2856">
        <v>1559</v>
      </c>
      <c r="O2856">
        <v>261</v>
      </c>
      <c r="P2856">
        <v>72</v>
      </c>
      <c r="Q2856">
        <v>228</v>
      </c>
      <c r="R2856">
        <v>516</v>
      </c>
      <c r="S2856">
        <v>1.1466666666666667</v>
      </c>
      <c r="T2856">
        <v>1.52</v>
      </c>
      <c r="U2856">
        <v>1.1818181818181819</v>
      </c>
    </row>
    <row r="2857" spans="1:21" x14ac:dyDescent="0.35">
      <c r="A2857">
        <v>515</v>
      </c>
      <c r="B2857" s="16">
        <v>40664</v>
      </c>
      <c r="C2857" s="15" t="s">
        <v>37</v>
      </c>
      <c r="D2857" s="15" t="s">
        <v>58</v>
      </c>
      <c r="E2857" s="15" t="s">
        <v>56</v>
      </c>
      <c r="F2857" s="15" t="s">
        <v>47</v>
      </c>
      <c r="G2857" s="15" t="s">
        <v>59</v>
      </c>
      <c r="H2857" s="15" t="s">
        <v>42</v>
      </c>
      <c r="I2857">
        <v>220</v>
      </c>
      <c r="J2857">
        <v>290</v>
      </c>
      <c r="K2857">
        <v>170</v>
      </c>
      <c r="L2857">
        <v>510</v>
      </c>
      <c r="M2857">
        <v>265</v>
      </c>
      <c r="N2857">
        <v>1538</v>
      </c>
      <c r="O2857">
        <v>324</v>
      </c>
      <c r="P2857">
        <v>100</v>
      </c>
      <c r="Q2857">
        <v>262</v>
      </c>
      <c r="R2857">
        <v>584</v>
      </c>
      <c r="S2857">
        <v>1.1450980392156862</v>
      </c>
      <c r="T2857">
        <v>1.5411764705882354</v>
      </c>
      <c r="U2857">
        <v>1.2045454545454546</v>
      </c>
    </row>
    <row r="2858" spans="1:21" x14ac:dyDescent="0.35">
      <c r="A2858">
        <v>515</v>
      </c>
      <c r="B2858" s="16">
        <v>40664</v>
      </c>
      <c r="C2858" s="15" t="s">
        <v>37</v>
      </c>
      <c r="D2858" s="15" t="s">
        <v>58</v>
      </c>
      <c r="E2858" s="15" t="s">
        <v>48</v>
      </c>
      <c r="F2858" s="15" t="s">
        <v>49</v>
      </c>
      <c r="G2858" s="15" t="s">
        <v>59</v>
      </c>
      <c r="H2858" s="15" t="s">
        <v>42</v>
      </c>
      <c r="I2858">
        <v>20</v>
      </c>
      <c r="J2858">
        <v>30</v>
      </c>
      <c r="K2858">
        <v>20</v>
      </c>
      <c r="L2858">
        <v>50</v>
      </c>
      <c r="M2858">
        <v>20</v>
      </c>
      <c r="N2858">
        <v>784</v>
      </c>
      <c r="O2858">
        <v>29</v>
      </c>
      <c r="P2858">
        <v>5</v>
      </c>
      <c r="Q2858">
        <v>17</v>
      </c>
      <c r="R2858">
        <v>49</v>
      </c>
      <c r="S2858">
        <v>0.98</v>
      </c>
      <c r="T2858">
        <v>0.85</v>
      </c>
      <c r="U2858">
        <v>1</v>
      </c>
    </row>
    <row r="2859" spans="1:21" x14ac:dyDescent="0.35">
      <c r="A2859">
        <v>563</v>
      </c>
      <c r="B2859" s="16">
        <v>40664</v>
      </c>
      <c r="C2859" s="15" t="s">
        <v>37</v>
      </c>
      <c r="D2859" s="15" t="s">
        <v>58</v>
      </c>
      <c r="E2859" s="15" t="s">
        <v>50</v>
      </c>
      <c r="F2859" s="15" t="s">
        <v>49</v>
      </c>
      <c r="G2859" s="15" t="s">
        <v>59</v>
      </c>
      <c r="H2859" s="15" t="s">
        <v>45</v>
      </c>
      <c r="I2859">
        <v>0</v>
      </c>
      <c r="J2859">
        <v>50</v>
      </c>
      <c r="K2859">
        <v>40</v>
      </c>
      <c r="L2859">
        <v>50</v>
      </c>
      <c r="M2859">
        <v>0</v>
      </c>
      <c r="N2859">
        <v>645</v>
      </c>
      <c r="O2859">
        <v>43</v>
      </c>
      <c r="P2859">
        <v>0</v>
      </c>
      <c r="Q2859">
        <v>43</v>
      </c>
      <c r="R2859">
        <v>43</v>
      </c>
      <c r="S2859">
        <v>0.86</v>
      </c>
      <c r="T2859">
        <v>1.075</v>
      </c>
    </row>
    <row r="2860" spans="1:21" x14ac:dyDescent="0.35">
      <c r="A2860">
        <v>319</v>
      </c>
      <c r="B2860" s="16">
        <v>40664</v>
      </c>
      <c r="C2860" s="15" t="s">
        <v>37</v>
      </c>
      <c r="D2860" s="15" t="s">
        <v>58</v>
      </c>
      <c r="E2860" s="15" t="s">
        <v>39</v>
      </c>
      <c r="F2860" s="15" t="s">
        <v>40</v>
      </c>
      <c r="G2860" s="15" t="s">
        <v>59</v>
      </c>
      <c r="H2860" s="15" t="s">
        <v>42</v>
      </c>
      <c r="I2860">
        <v>20</v>
      </c>
      <c r="J2860">
        <v>30</v>
      </c>
      <c r="K2860">
        <v>20</v>
      </c>
      <c r="L2860">
        <v>50</v>
      </c>
      <c r="M2860">
        <v>20</v>
      </c>
      <c r="N2860">
        <v>829</v>
      </c>
      <c r="O2860">
        <v>29</v>
      </c>
      <c r="P2860">
        <v>5</v>
      </c>
      <c r="Q2860">
        <v>17</v>
      </c>
      <c r="R2860">
        <v>49</v>
      </c>
      <c r="S2860">
        <v>0.98</v>
      </c>
      <c r="T2860">
        <v>0.85</v>
      </c>
      <c r="U2860">
        <v>1</v>
      </c>
    </row>
    <row r="2861" spans="1:21" x14ac:dyDescent="0.35">
      <c r="A2861">
        <v>712</v>
      </c>
      <c r="B2861" s="16">
        <v>40664</v>
      </c>
      <c r="C2861" s="15" t="s">
        <v>37</v>
      </c>
      <c r="D2861" s="15" t="s">
        <v>58</v>
      </c>
      <c r="E2861" s="15" t="s">
        <v>43</v>
      </c>
      <c r="F2861" s="15" t="s">
        <v>40</v>
      </c>
      <c r="G2861" s="15" t="s">
        <v>59</v>
      </c>
      <c r="H2861" s="15" t="s">
        <v>42</v>
      </c>
      <c r="I2861">
        <v>30</v>
      </c>
      <c r="J2861">
        <v>40</v>
      </c>
      <c r="K2861">
        <v>20</v>
      </c>
      <c r="L2861">
        <v>70</v>
      </c>
      <c r="M2861">
        <v>31</v>
      </c>
      <c r="N2861">
        <v>976</v>
      </c>
      <c r="O2861">
        <v>37</v>
      </c>
      <c r="P2861">
        <v>9</v>
      </c>
      <c r="Q2861">
        <v>10</v>
      </c>
      <c r="R2861">
        <v>67</v>
      </c>
      <c r="S2861">
        <v>0.95714285714285718</v>
      </c>
      <c r="T2861">
        <v>0.5</v>
      </c>
      <c r="U2861">
        <v>1.0333333333333334</v>
      </c>
    </row>
    <row r="2862" spans="1:21" x14ac:dyDescent="0.35">
      <c r="A2862">
        <v>515</v>
      </c>
      <c r="B2862" s="16">
        <v>40664</v>
      </c>
      <c r="C2862" s="15" t="s">
        <v>37</v>
      </c>
      <c r="D2862" s="15" t="s">
        <v>58</v>
      </c>
      <c r="E2862" s="15" t="s">
        <v>44</v>
      </c>
      <c r="F2862" s="15" t="s">
        <v>40</v>
      </c>
      <c r="G2862" s="15" t="s">
        <v>59</v>
      </c>
      <c r="H2862" s="15" t="s">
        <v>45</v>
      </c>
      <c r="I2862">
        <v>20</v>
      </c>
      <c r="J2862">
        <v>30</v>
      </c>
      <c r="K2862">
        <v>20</v>
      </c>
      <c r="L2862">
        <v>50</v>
      </c>
      <c r="M2862">
        <v>22</v>
      </c>
      <c r="N2862">
        <v>611</v>
      </c>
      <c r="O2862">
        <v>30</v>
      </c>
      <c r="P2862">
        <v>7</v>
      </c>
      <c r="Q2862">
        <v>15</v>
      </c>
      <c r="R2862">
        <v>52</v>
      </c>
      <c r="S2862">
        <v>1.04</v>
      </c>
      <c r="T2862">
        <v>0.75</v>
      </c>
      <c r="U2862">
        <v>1.1000000000000001</v>
      </c>
    </row>
    <row r="2863" spans="1:21" x14ac:dyDescent="0.35">
      <c r="A2863">
        <v>314</v>
      </c>
      <c r="B2863" s="16">
        <v>40664</v>
      </c>
      <c r="C2863" s="15" t="s">
        <v>37</v>
      </c>
      <c r="D2863" s="15" t="s">
        <v>58</v>
      </c>
      <c r="E2863" s="15" t="s">
        <v>51</v>
      </c>
      <c r="F2863" s="15" t="s">
        <v>52</v>
      </c>
      <c r="G2863" s="15" t="s">
        <v>60</v>
      </c>
      <c r="H2863" s="15" t="s">
        <v>45</v>
      </c>
      <c r="I2863">
        <v>30</v>
      </c>
      <c r="J2863">
        <v>60</v>
      </c>
      <c r="K2863">
        <v>10</v>
      </c>
      <c r="L2863">
        <v>90</v>
      </c>
      <c r="M2863">
        <v>43</v>
      </c>
      <c r="N2863">
        <v>282</v>
      </c>
      <c r="O2863">
        <v>61</v>
      </c>
      <c r="P2863">
        <v>39</v>
      </c>
      <c r="Q2863">
        <v>-11</v>
      </c>
      <c r="R2863">
        <v>103</v>
      </c>
      <c r="S2863">
        <v>1.1444444444444444</v>
      </c>
      <c r="T2863">
        <v>-1.1000000000000001</v>
      </c>
      <c r="U2863">
        <v>1.4333333333333333</v>
      </c>
    </row>
    <row r="2864" spans="1:21" x14ac:dyDescent="0.35">
      <c r="A2864">
        <v>636</v>
      </c>
      <c r="B2864" s="16">
        <v>40664</v>
      </c>
      <c r="C2864" s="15" t="s">
        <v>37</v>
      </c>
      <c r="D2864" s="15" t="s">
        <v>58</v>
      </c>
      <c r="E2864" s="15" t="s">
        <v>53</v>
      </c>
      <c r="F2864" s="15" t="s">
        <v>52</v>
      </c>
      <c r="G2864" s="15" t="s">
        <v>60</v>
      </c>
      <c r="H2864" s="15" t="s">
        <v>45</v>
      </c>
      <c r="I2864">
        <v>80</v>
      </c>
      <c r="J2864">
        <v>30</v>
      </c>
      <c r="K2864">
        <v>0</v>
      </c>
      <c r="L2864">
        <v>110</v>
      </c>
      <c r="M2864">
        <v>98</v>
      </c>
      <c r="N2864">
        <v>973</v>
      </c>
      <c r="O2864">
        <v>38</v>
      </c>
      <c r="P2864">
        <v>30</v>
      </c>
      <c r="Q2864">
        <v>-21</v>
      </c>
      <c r="R2864">
        <v>135</v>
      </c>
      <c r="S2864">
        <v>1.2272727272727273</v>
      </c>
      <c r="U2864">
        <v>1.2250000000000001</v>
      </c>
    </row>
    <row r="2865" spans="1:21" x14ac:dyDescent="0.35">
      <c r="A2865">
        <v>417</v>
      </c>
      <c r="B2865" s="16">
        <v>40664</v>
      </c>
      <c r="C2865" s="15" t="s">
        <v>37</v>
      </c>
      <c r="D2865" s="15" t="s">
        <v>58</v>
      </c>
      <c r="E2865" s="15" t="s">
        <v>55</v>
      </c>
      <c r="F2865" s="15" t="s">
        <v>47</v>
      </c>
      <c r="G2865" s="15" t="s">
        <v>60</v>
      </c>
      <c r="H2865" s="15" t="s">
        <v>42</v>
      </c>
      <c r="I2865">
        <v>30</v>
      </c>
      <c r="J2865">
        <v>50</v>
      </c>
      <c r="K2865">
        <v>20</v>
      </c>
      <c r="L2865">
        <v>80</v>
      </c>
      <c r="M2865">
        <v>39</v>
      </c>
      <c r="N2865">
        <v>212</v>
      </c>
      <c r="O2865">
        <v>53</v>
      </c>
      <c r="P2865">
        <v>12</v>
      </c>
      <c r="Q2865">
        <v>19</v>
      </c>
      <c r="R2865">
        <v>91</v>
      </c>
      <c r="S2865">
        <v>1.1375</v>
      </c>
      <c r="T2865">
        <v>0.95</v>
      </c>
      <c r="U2865">
        <v>1.3</v>
      </c>
    </row>
    <row r="2866" spans="1:21" x14ac:dyDescent="0.35">
      <c r="A2866">
        <v>417</v>
      </c>
      <c r="B2866" s="16">
        <v>40664</v>
      </c>
      <c r="C2866" s="15" t="s">
        <v>37</v>
      </c>
      <c r="D2866" s="15" t="s">
        <v>58</v>
      </c>
      <c r="E2866" s="15" t="s">
        <v>56</v>
      </c>
      <c r="F2866" s="15" t="s">
        <v>47</v>
      </c>
      <c r="G2866" s="15" t="s">
        <v>60</v>
      </c>
      <c r="H2866" s="15" t="s">
        <v>42</v>
      </c>
      <c r="I2866">
        <v>20</v>
      </c>
      <c r="J2866">
        <v>40</v>
      </c>
      <c r="K2866">
        <v>0</v>
      </c>
      <c r="L2866">
        <v>60</v>
      </c>
      <c r="M2866">
        <v>34</v>
      </c>
      <c r="N2866">
        <v>182</v>
      </c>
      <c r="O2866">
        <v>42</v>
      </c>
      <c r="P2866">
        <v>12</v>
      </c>
      <c r="Q2866">
        <v>-6</v>
      </c>
      <c r="R2866">
        <v>75</v>
      </c>
      <c r="S2866">
        <v>1.25</v>
      </c>
      <c r="U2866">
        <v>1.7</v>
      </c>
    </row>
    <row r="2867" spans="1:21" x14ac:dyDescent="0.35">
      <c r="A2867">
        <v>314</v>
      </c>
      <c r="B2867" s="16">
        <v>40664</v>
      </c>
      <c r="C2867" s="15" t="s">
        <v>37</v>
      </c>
      <c r="D2867" s="15" t="s">
        <v>58</v>
      </c>
      <c r="E2867" s="15" t="s">
        <v>46</v>
      </c>
      <c r="F2867" s="15" t="s">
        <v>47</v>
      </c>
      <c r="G2867" s="15" t="s">
        <v>60</v>
      </c>
      <c r="H2867" s="15" t="s">
        <v>42</v>
      </c>
      <c r="I2867">
        <v>30</v>
      </c>
      <c r="J2867">
        <v>40</v>
      </c>
      <c r="K2867">
        <v>0</v>
      </c>
      <c r="L2867">
        <v>70</v>
      </c>
      <c r="M2867">
        <v>36</v>
      </c>
      <c r="N2867">
        <v>212</v>
      </c>
      <c r="O2867">
        <v>45</v>
      </c>
      <c r="P2867">
        <v>13</v>
      </c>
      <c r="Q2867">
        <v>-3</v>
      </c>
      <c r="R2867">
        <v>80</v>
      </c>
      <c r="S2867">
        <v>1.1428571428571428</v>
      </c>
      <c r="U2867">
        <v>1.2</v>
      </c>
    </row>
    <row r="2868" spans="1:21" x14ac:dyDescent="0.35">
      <c r="A2868">
        <v>636</v>
      </c>
      <c r="B2868" s="16">
        <v>40664</v>
      </c>
      <c r="C2868" s="15" t="s">
        <v>37</v>
      </c>
      <c r="D2868" s="15" t="s">
        <v>58</v>
      </c>
      <c r="E2868" s="15" t="s">
        <v>48</v>
      </c>
      <c r="F2868" s="15" t="s">
        <v>49</v>
      </c>
      <c r="G2868" s="15" t="s">
        <v>60</v>
      </c>
      <c r="H2868" s="15" t="s">
        <v>42</v>
      </c>
      <c r="I2868">
        <v>50</v>
      </c>
      <c r="J2868">
        <v>70</v>
      </c>
      <c r="K2868">
        <v>50</v>
      </c>
      <c r="L2868">
        <v>120</v>
      </c>
      <c r="M2868">
        <v>44</v>
      </c>
      <c r="N2868">
        <v>844</v>
      </c>
      <c r="O2868">
        <v>65</v>
      </c>
      <c r="P2868">
        <v>12</v>
      </c>
      <c r="Q2868">
        <v>57</v>
      </c>
      <c r="R2868">
        <v>108</v>
      </c>
      <c r="S2868">
        <v>0.9</v>
      </c>
      <c r="T2868">
        <v>1.1399999999999999</v>
      </c>
      <c r="U2868">
        <v>0.88</v>
      </c>
    </row>
    <row r="2869" spans="1:21" x14ac:dyDescent="0.35">
      <c r="A2869">
        <v>660</v>
      </c>
      <c r="B2869" s="16">
        <v>40664</v>
      </c>
      <c r="C2869" s="15" t="s">
        <v>37</v>
      </c>
      <c r="D2869" s="15" t="s">
        <v>58</v>
      </c>
      <c r="E2869" s="15" t="s">
        <v>50</v>
      </c>
      <c r="F2869" s="15" t="s">
        <v>49</v>
      </c>
      <c r="G2869" s="15" t="s">
        <v>60</v>
      </c>
      <c r="H2869" s="15" t="s">
        <v>45</v>
      </c>
      <c r="I2869">
        <v>40</v>
      </c>
      <c r="J2869">
        <v>70</v>
      </c>
      <c r="K2869">
        <v>50</v>
      </c>
      <c r="L2869">
        <v>110</v>
      </c>
      <c r="M2869">
        <v>39</v>
      </c>
      <c r="N2869">
        <v>799</v>
      </c>
      <c r="O2869">
        <v>58</v>
      </c>
      <c r="P2869">
        <v>10</v>
      </c>
      <c r="Q2869">
        <v>50</v>
      </c>
      <c r="R2869">
        <v>96</v>
      </c>
      <c r="S2869">
        <v>0.87272727272727268</v>
      </c>
      <c r="T2869">
        <v>1</v>
      </c>
      <c r="U2869">
        <v>0.97499999999999998</v>
      </c>
    </row>
    <row r="2870" spans="1:21" x14ac:dyDescent="0.35">
      <c r="A2870">
        <v>573</v>
      </c>
      <c r="B2870" s="16">
        <v>40664</v>
      </c>
      <c r="C2870" s="15" t="s">
        <v>37</v>
      </c>
      <c r="D2870" s="15" t="s">
        <v>58</v>
      </c>
      <c r="E2870" s="15" t="s">
        <v>43</v>
      </c>
      <c r="F2870" s="15" t="s">
        <v>40</v>
      </c>
      <c r="G2870" s="15" t="s">
        <v>60</v>
      </c>
      <c r="H2870" s="15" t="s">
        <v>42</v>
      </c>
      <c r="I2870">
        <v>80</v>
      </c>
      <c r="J2870">
        <v>100</v>
      </c>
      <c r="K2870">
        <v>50</v>
      </c>
      <c r="L2870">
        <v>180</v>
      </c>
      <c r="M2870">
        <v>77</v>
      </c>
      <c r="N2870">
        <v>529</v>
      </c>
      <c r="O2870">
        <v>96</v>
      </c>
      <c r="P2870">
        <v>29</v>
      </c>
      <c r="Q2870">
        <v>46</v>
      </c>
      <c r="R2870">
        <v>171</v>
      </c>
      <c r="S2870">
        <v>0.95</v>
      </c>
      <c r="T2870">
        <v>0.92</v>
      </c>
      <c r="U2870">
        <v>0.96250000000000002</v>
      </c>
    </row>
    <row r="2871" spans="1:21" x14ac:dyDescent="0.35">
      <c r="A2871">
        <v>660</v>
      </c>
      <c r="B2871" s="16">
        <v>40664</v>
      </c>
      <c r="C2871" s="15" t="s">
        <v>37</v>
      </c>
      <c r="D2871" s="15" t="s">
        <v>58</v>
      </c>
      <c r="E2871" s="15" t="s">
        <v>44</v>
      </c>
      <c r="F2871" s="15" t="s">
        <v>40</v>
      </c>
      <c r="G2871" s="15" t="s">
        <v>60</v>
      </c>
      <c r="H2871" s="15" t="s">
        <v>45</v>
      </c>
      <c r="I2871">
        <v>70</v>
      </c>
      <c r="J2871">
        <v>80</v>
      </c>
      <c r="K2871">
        <v>40</v>
      </c>
      <c r="L2871">
        <v>150</v>
      </c>
      <c r="M2871">
        <v>68</v>
      </c>
      <c r="N2871">
        <v>998</v>
      </c>
      <c r="O2871">
        <v>80</v>
      </c>
      <c r="P2871">
        <v>21</v>
      </c>
      <c r="Q2871">
        <v>52</v>
      </c>
      <c r="R2871">
        <v>147</v>
      </c>
      <c r="S2871">
        <v>0.98</v>
      </c>
      <c r="T2871">
        <v>1.3</v>
      </c>
      <c r="U2871">
        <v>0.97142857142857142</v>
      </c>
    </row>
    <row r="2872" spans="1:21" x14ac:dyDescent="0.35">
      <c r="A2872">
        <v>614</v>
      </c>
      <c r="B2872" s="16">
        <v>40664</v>
      </c>
      <c r="C2872" s="15" t="s">
        <v>37</v>
      </c>
      <c r="D2872" s="15" t="s">
        <v>38</v>
      </c>
      <c r="E2872" s="15" t="s">
        <v>51</v>
      </c>
      <c r="F2872" s="15" t="s">
        <v>52</v>
      </c>
      <c r="G2872" s="15" t="s">
        <v>61</v>
      </c>
      <c r="H2872" s="15" t="s">
        <v>45</v>
      </c>
      <c r="I2872">
        <v>10</v>
      </c>
      <c r="J2872">
        <v>30</v>
      </c>
      <c r="K2872">
        <v>30</v>
      </c>
      <c r="L2872">
        <v>40</v>
      </c>
      <c r="M2872">
        <v>20</v>
      </c>
      <c r="N2872">
        <v>464</v>
      </c>
      <c r="O2872">
        <v>29</v>
      </c>
      <c r="P2872">
        <v>5</v>
      </c>
      <c r="Q2872">
        <v>17</v>
      </c>
      <c r="R2872">
        <v>49</v>
      </c>
      <c r="S2872">
        <v>1.2250000000000001</v>
      </c>
      <c r="T2872">
        <v>0.56666666666666665</v>
      </c>
      <c r="U2872">
        <v>2</v>
      </c>
    </row>
    <row r="2873" spans="1:21" x14ac:dyDescent="0.35">
      <c r="A2873">
        <v>440</v>
      </c>
      <c r="B2873" s="16">
        <v>40664</v>
      </c>
      <c r="C2873" s="15" t="s">
        <v>37</v>
      </c>
      <c r="D2873" s="15" t="s">
        <v>38</v>
      </c>
      <c r="E2873" s="15" t="s">
        <v>53</v>
      </c>
      <c r="F2873" s="15" t="s">
        <v>52</v>
      </c>
      <c r="G2873" s="15" t="s">
        <v>61</v>
      </c>
      <c r="H2873" s="15" t="s">
        <v>45</v>
      </c>
      <c r="I2873">
        <v>20</v>
      </c>
      <c r="J2873">
        <v>40</v>
      </c>
      <c r="K2873">
        <v>40</v>
      </c>
      <c r="L2873">
        <v>60</v>
      </c>
      <c r="M2873">
        <v>29</v>
      </c>
      <c r="N2873">
        <v>835</v>
      </c>
      <c r="O2873">
        <v>42</v>
      </c>
      <c r="P2873">
        <v>8</v>
      </c>
      <c r="Q2873">
        <v>32</v>
      </c>
      <c r="R2873">
        <v>70</v>
      </c>
      <c r="S2873">
        <v>1.1666666666666667</v>
      </c>
      <c r="T2873">
        <v>0.8</v>
      </c>
      <c r="U2873">
        <v>1.45</v>
      </c>
    </row>
    <row r="2874" spans="1:21" x14ac:dyDescent="0.35">
      <c r="A2874">
        <v>513</v>
      </c>
      <c r="B2874" s="16">
        <v>40664</v>
      </c>
      <c r="C2874" s="15" t="s">
        <v>37</v>
      </c>
      <c r="D2874" s="15" t="s">
        <v>38</v>
      </c>
      <c r="E2874" s="15" t="s">
        <v>55</v>
      </c>
      <c r="F2874" s="15" t="s">
        <v>47</v>
      </c>
      <c r="G2874" s="15" t="s">
        <v>61</v>
      </c>
      <c r="H2874" s="15" t="s">
        <v>42</v>
      </c>
      <c r="I2874">
        <v>80</v>
      </c>
      <c r="J2874">
        <v>120</v>
      </c>
      <c r="K2874">
        <v>70</v>
      </c>
      <c r="L2874">
        <v>200</v>
      </c>
      <c r="M2874">
        <v>94</v>
      </c>
      <c r="N2874">
        <v>697</v>
      </c>
      <c r="O2874">
        <v>141</v>
      </c>
      <c r="P2874">
        <v>31</v>
      </c>
      <c r="Q2874">
        <v>109</v>
      </c>
      <c r="R2874">
        <v>233</v>
      </c>
      <c r="S2874">
        <v>1.165</v>
      </c>
      <c r="T2874">
        <v>1.5571428571428572</v>
      </c>
      <c r="U2874">
        <v>1.175</v>
      </c>
    </row>
    <row r="2875" spans="1:21" x14ac:dyDescent="0.35">
      <c r="A2875">
        <v>513</v>
      </c>
      <c r="B2875" s="16">
        <v>40664</v>
      </c>
      <c r="C2875" s="15" t="s">
        <v>37</v>
      </c>
      <c r="D2875" s="15" t="s">
        <v>38</v>
      </c>
      <c r="E2875" s="15" t="s">
        <v>56</v>
      </c>
      <c r="F2875" s="15" t="s">
        <v>47</v>
      </c>
      <c r="G2875" s="15" t="s">
        <v>61</v>
      </c>
      <c r="H2875" s="15" t="s">
        <v>42</v>
      </c>
      <c r="I2875">
        <v>90</v>
      </c>
      <c r="J2875">
        <v>150</v>
      </c>
      <c r="K2875">
        <v>100</v>
      </c>
      <c r="L2875">
        <v>240</v>
      </c>
      <c r="M2875">
        <v>114</v>
      </c>
      <c r="N2875">
        <v>555</v>
      </c>
      <c r="O2875">
        <v>159</v>
      </c>
      <c r="P2875">
        <v>35</v>
      </c>
      <c r="Q2875">
        <v>139</v>
      </c>
      <c r="R2875">
        <v>271</v>
      </c>
      <c r="S2875">
        <v>1.1291666666666667</v>
      </c>
      <c r="T2875">
        <v>1.39</v>
      </c>
      <c r="U2875">
        <v>1.2666666666666666</v>
      </c>
    </row>
    <row r="2876" spans="1:21" x14ac:dyDescent="0.35">
      <c r="A2876">
        <v>216</v>
      </c>
      <c r="B2876" s="16">
        <v>40664</v>
      </c>
      <c r="C2876" s="15" t="s">
        <v>37</v>
      </c>
      <c r="D2876" s="15" t="s">
        <v>38</v>
      </c>
      <c r="E2876" s="15" t="s">
        <v>48</v>
      </c>
      <c r="F2876" s="15" t="s">
        <v>49</v>
      </c>
      <c r="G2876" s="15" t="s">
        <v>61</v>
      </c>
      <c r="H2876" s="15" t="s">
        <v>42</v>
      </c>
      <c r="I2876">
        <v>170</v>
      </c>
      <c r="J2876">
        <v>180</v>
      </c>
      <c r="K2876">
        <v>120</v>
      </c>
      <c r="L2876">
        <v>350</v>
      </c>
      <c r="M2876">
        <v>149</v>
      </c>
      <c r="N2876">
        <v>1156</v>
      </c>
      <c r="O2876">
        <v>149</v>
      </c>
      <c r="P2876">
        <v>41</v>
      </c>
      <c r="Q2876">
        <v>116</v>
      </c>
      <c r="R2876">
        <v>295</v>
      </c>
      <c r="S2876">
        <v>0.84285714285714286</v>
      </c>
      <c r="T2876">
        <v>0.96666666666666667</v>
      </c>
      <c r="U2876">
        <v>0.87647058823529411</v>
      </c>
    </row>
    <row r="2877" spans="1:21" x14ac:dyDescent="0.35">
      <c r="A2877">
        <v>216</v>
      </c>
      <c r="B2877" s="16">
        <v>40664</v>
      </c>
      <c r="C2877" s="15" t="s">
        <v>37</v>
      </c>
      <c r="D2877" s="15" t="s">
        <v>38</v>
      </c>
      <c r="E2877" s="15" t="s">
        <v>50</v>
      </c>
      <c r="F2877" s="15" t="s">
        <v>49</v>
      </c>
      <c r="G2877" s="15" t="s">
        <v>61</v>
      </c>
      <c r="H2877" s="15" t="s">
        <v>45</v>
      </c>
      <c r="I2877">
        <v>60</v>
      </c>
      <c r="J2877">
        <v>70</v>
      </c>
      <c r="K2877">
        <v>20</v>
      </c>
      <c r="L2877">
        <v>130</v>
      </c>
      <c r="M2877">
        <v>53</v>
      </c>
      <c r="N2877">
        <v>361</v>
      </c>
      <c r="O2877">
        <v>65</v>
      </c>
      <c r="P2877">
        <v>20</v>
      </c>
      <c r="Q2877">
        <v>15</v>
      </c>
      <c r="R2877">
        <v>117</v>
      </c>
      <c r="S2877">
        <v>0.9</v>
      </c>
      <c r="T2877">
        <v>0.75</v>
      </c>
      <c r="U2877">
        <v>0.8833333333333333</v>
      </c>
    </row>
    <row r="2878" spans="1:21" x14ac:dyDescent="0.35">
      <c r="A2878">
        <v>216</v>
      </c>
      <c r="B2878" s="16">
        <v>40664</v>
      </c>
      <c r="C2878" s="15" t="s">
        <v>37</v>
      </c>
      <c r="D2878" s="15" t="s">
        <v>38</v>
      </c>
      <c r="E2878" s="15" t="s">
        <v>39</v>
      </c>
      <c r="F2878" s="15" t="s">
        <v>40</v>
      </c>
      <c r="G2878" s="15" t="s">
        <v>61</v>
      </c>
      <c r="H2878" s="15" t="s">
        <v>42</v>
      </c>
      <c r="I2878">
        <v>50</v>
      </c>
      <c r="J2878">
        <v>70</v>
      </c>
      <c r="K2878">
        <v>40</v>
      </c>
      <c r="L2878">
        <v>120</v>
      </c>
      <c r="M2878">
        <v>52</v>
      </c>
      <c r="N2878">
        <v>361</v>
      </c>
      <c r="O2878">
        <v>71</v>
      </c>
      <c r="P2878">
        <v>17</v>
      </c>
      <c r="Q2878">
        <v>37</v>
      </c>
      <c r="R2878">
        <v>122</v>
      </c>
      <c r="S2878">
        <v>1.0166666666666666</v>
      </c>
      <c r="T2878">
        <v>0.92500000000000004</v>
      </c>
      <c r="U2878">
        <v>1.04</v>
      </c>
    </row>
    <row r="2879" spans="1:21" x14ac:dyDescent="0.35">
      <c r="A2879">
        <v>234</v>
      </c>
      <c r="B2879" s="16">
        <v>40664</v>
      </c>
      <c r="C2879" s="15" t="s">
        <v>37</v>
      </c>
      <c r="D2879" s="15" t="s">
        <v>38</v>
      </c>
      <c r="E2879" s="15" t="s">
        <v>43</v>
      </c>
      <c r="F2879" s="15" t="s">
        <v>40</v>
      </c>
      <c r="G2879" s="15" t="s">
        <v>61</v>
      </c>
      <c r="H2879" s="15" t="s">
        <v>42</v>
      </c>
      <c r="I2879">
        <v>40</v>
      </c>
      <c r="J2879">
        <v>60</v>
      </c>
      <c r="K2879">
        <v>30</v>
      </c>
      <c r="L2879">
        <v>100</v>
      </c>
      <c r="M2879">
        <v>42</v>
      </c>
      <c r="N2879">
        <v>384</v>
      </c>
      <c r="O2879">
        <v>61</v>
      </c>
      <c r="P2879">
        <v>13</v>
      </c>
      <c r="Q2879">
        <v>33</v>
      </c>
      <c r="R2879">
        <v>102</v>
      </c>
      <c r="S2879">
        <v>1.02</v>
      </c>
      <c r="T2879">
        <v>1.1000000000000001</v>
      </c>
      <c r="U2879">
        <v>1.05</v>
      </c>
    </row>
    <row r="2880" spans="1:21" x14ac:dyDescent="0.35">
      <c r="A2880">
        <v>234</v>
      </c>
      <c r="B2880" s="16">
        <v>40664</v>
      </c>
      <c r="C2880" s="15" t="s">
        <v>37</v>
      </c>
      <c r="D2880" s="15" t="s">
        <v>38</v>
      </c>
      <c r="E2880" s="15" t="s">
        <v>44</v>
      </c>
      <c r="F2880" s="15" t="s">
        <v>40</v>
      </c>
      <c r="G2880" s="15" t="s">
        <v>61</v>
      </c>
      <c r="H2880" s="15" t="s">
        <v>45</v>
      </c>
      <c r="I2880">
        <v>50</v>
      </c>
      <c r="J2880">
        <v>80</v>
      </c>
      <c r="K2880">
        <v>20</v>
      </c>
      <c r="L2880">
        <v>130</v>
      </c>
      <c r="M2880">
        <v>53</v>
      </c>
      <c r="N2880">
        <v>458</v>
      </c>
      <c r="O2880">
        <v>75</v>
      </c>
      <c r="P2880">
        <v>48</v>
      </c>
      <c r="Q2880">
        <v>-3</v>
      </c>
      <c r="R2880">
        <v>127</v>
      </c>
      <c r="S2880">
        <v>0.97692307692307689</v>
      </c>
      <c r="T2880">
        <v>-0.15</v>
      </c>
      <c r="U2880">
        <v>1.06</v>
      </c>
    </row>
    <row r="2881" spans="1:21" x14ac:dyDescent="0.35">
      <c r="A2881">
        <v>608</v>
      </c>
      <c r="B2881" s="16">
        <v>40664</v>
      </c>
      <c r="C2881" s="15" t="s">
        <v>37</v>
      </c>
      <c r="D2881" s="15" t="s">
        <v>58</v>
      </c>
      <c r="E2881" s="15" t="s">
        <v>51</v>
      </c>
      <c r="F2881" s="15" t="s">
        <v>52</v>
      </c>
      <c r="G2881" s="15" t="s">
        <v>62</v>
      </c>
      <c r="H2881" s="15" t="s">
        <v>45</v>
      </c>
      <c r="I2881">
        <v>40</v>
      </c>
      <c r="J2881">
        <v>70</v>
      </c>
      <c r="K2881">
        <v>50</v>
      </c>
      <c r="L2881">
        <v>110</v>
      </c>
      <c r="M2881">
        <v>48</v>
      </c>
      <c r="N2881">
        <v>351</v>
      </c>
      <c r="O2881">
        <v>82</v>
      </c>
      <c r="P2881">
        <v>14</v>
      </c>
      <c r="Q2881">
        <v>62</v>
      </c>
      <c r="R2881">
        <v>129</v>
      </c>
      <c r="S2881">
        <v>1.1727272727272726</v>
      </c>
      <c r="T2881">
        <v>1.24</v>
      </c>
      <c r="U2881">
        <v>1.2</v>
      </c>
    </row>
    <row r="2882" spans="1:21" x14ac:dyDescent="0.35">
      <c r="A2882">
        <v>262</v>
      </c>
      <c r="B2882" s="16">
        <v>40664</v>
      </c>
      <c r="C2882" s="15" t="s">
        <v>37</v>
      </c>
      <c r="D2882" s="15" t="s">
        <v>58</v>
      </c>
      <c r="E2882" s="15" t="s">
        <v>53</v>
      </c>
      <c r="F2882" s="15" t="s">
        <v>52</v>
      </c>
      <c r="G2882" s="15" t="s">
        <v>62</v>
      </c>
      <c r="H2882" s="15" t="s">
        <v>45</v>
      </c>
      <c r="I2882">
        <v>40</v>
      </c>
      <c r="J2882">
        <v>70</v>
      </c>
      <c r="K2882">
        <v>60</v>
      </c>
      <c r="L2882">
        <v>110</v>
      </c>
      <c r="M2882">
        <v>53</v>
      </c>
      <c r="N2882">
        <v>803</v>
      </c>
      <c r="O2882">
        <v>77</v>
      </c>
      <c r="P2882">
        <v>14</v>
      </c>
      <c r="Q2882">
        <v>70</v>
      </c>
      <c r="R2882">
        <v>129</v>
      </c>
      <c r="S2882">
        <v>1.1727272727272726</v>
      </c>
      <c r="T2882">
        <v>1.1666666666666667</v>
      </c>
      <c r="U2882">
        <v>1.325</v>
      </c>
    </row>
    <row r="2883" spans="1:21" x14ac:dyDescent="0.35">
      <c r="A2883">
        <v>715</v>
      </c>
      <c r="B2883" s="16">
        <v>40664</v>
      </c>
      <c r="C2883" s="15" t="s">
        <v>37</v>
      </c>
      <c r="D2883" s="15" t="s">
        <v>58</v>
      </c>
      <c r="E2883" s="15" t="s">
        <v>55</v>
      </c>
      <c r="F2883" s="15" t="s">
        <v>47</v>
      </c>
      <c r="G2883" s="15" t="s">
        <v>62</v>
      </c>
      <c r="H2883" s="15" t="s">
        <v>42</v>
      </c>
      <c r="I2883">
        <v>30</v>
      </c>
      <c r="J2883">
        <v>60</v>
      </c>
      <c r="K2883">
        <v>30</v>
      </c>
      <c r="L2883">
        <v>90</v>
      </c>
      <c r="M2883">
        <v>45</v>
      </c>
      <c r="N2883">
        <v>410</v>
      </c>
      <c r="O2883">
        <v>65</v>
      </c>
      <c r="P2883">
        <v>14</v>
      </c>
      <c r="Q2883">
        <v>37</v>
      </c>
      <c r="R2883">
        <v>109</v>
      </c>
      <c r="S2883">
        <v>1.211111111111111</v>
      </c>
      <c r="T2883">
        <v>1.2333333333333334</v>
      </c>
      <c r="U2883">
        <v>1.5</v>
      </c>
    </row>
    <row r="2884" spans="1:21" x14ac:dyDescent="0.35">
      <c r="A2884">
        <v>608</v>
      </c>
      <c r="B2884" s="16">
        <v>40664</v>
      </c>
      <c r="C2884" s="15" t="s">
        <v>37</v>
      </c>
      <c r="D2884" s="15" t="s">
        <v>58</v>
      </c>
      <c r="E2884" s="15" t="s">
        <v>56</v>
      </c>
      <c r="F2884" s="15" t="s">
        <v>47</v>
      </c>
      <c r="G2884" s="15" t="s">
        <v>62</v>
      </c>
      <c r="H2884" s="15" t="s">
        <v>42</v>
      </c>
      <c r="I2884">
        <v>50</v>
      </c>
      <c r="J2884">
        <v>80</v>
      </c>
      <c r="K2884">
        <v>10</v>
      </c>
      <c r="L2884">
        <v>130</v>
      </c>
      <c r="M2884">
        <v>64</v>
      </c>
      <c r="N2884">
        <v>551</v>
      </c>
      <c r="O2884">
        <v>90</v>
      </c>
      <c r="P2884">
        <v>58</v>
      </c>
      <c r="Q2884">
        <v>3</v>
      </c>
      <c r="R2884">
        <v>153</v>
      </c>
      <c r="S2884">
        <v>1.176923076923077</v>
      </c>
      <c r="T2884">
        <v>0.3</v>
      </c>
      <c r="U2884">
        <v>1.28</v>
      </c>
    </row>
    <row r="2885" spans="1:21" x14ac:dyDescent="0.35">
      <c r="A2885">
        <v>608</v>
      </c>
      <c r="B2885" s="16">
        <v>40664</v>
      </c>
      <c r="C2885" s="15" t="s">
        <v>37</v>
      </c>
      <c r="D2885" s="15" t="s">
        <v>58</v>
      </c>
      <c r="E2885" s="15" t="s">
        <v>48</v>
      </c>
      <c r="F2885" s="15" t="s">
        <v>49</v>
      </c>
      <c r="G2885" s="15" t="s">
        <v>62</v>
      </c>
      <c r="H2885" s="15" t="s">
        <v>42</v>
      </c>
      <c r="I2885">
        <v>90</v>
      </c>
      <c r="J2885">
        <v>110</v>
      </c>
      <c r="K2885">
        <v>70</v>
      </c>
      <c r="L2885">
        <v>200</v>
      </c>
      <c r="M2885">
        <v>78</v>
      </c>
      <c r="N2885">
        <v>995</v>
      </c>
      <c r="O2885">
        <v>92</v>
      </c>
      <c r="P2885">
        <v>24</v>
      </c>
      <c r="Q2885">
        <v>65</v>
      </c>
      <c r="R2885">
        <v>168</v>
      </c>
      <c r="S2885">
        <v>0.84</v>
      </c>
      <c r="T2885">
        <v>0.9285714285714286</v>
      </c>
      <c r="U2885">
        <v>0.8666666666666667</v>
      </c>
    </row>
    <row r="2886" spans="1:21" x14ac:dyDescent="0.35">
      <c r="A2886">
        <v>715</v>
      </c>
      <c r="B2886" s="16">
        <v>40664</v>
      </c>
      <c r="C2886" s="15" t="s">
        <v>37</v>
      </c>
      <c r="D2886" s="15" t="s">
        <v>58</v>
      </c>
      <c r="E2886" s="15" t="s">
        <v>50</v>
      </c>
      <c r="F2886" s="15" t="s">
        <v>49</v>
      </c>
      <c r="G2886" s="15" t="s">
        <v>62</v>
      </c>
      <c r="H2886" s="15" t="s">
        <v>45</v>
      </c>
      <c r="I2886">
        <v>50</v>
      </c>
      <c r="J2886">
        <v>70</v>
      </c>
      <c r="K2886">
        <v>50</v>
      </c>
      <c r="L2886">
        <v>120</v>
      </c>
      <c r="M2886">
        <v>48</v>
      </c>
      <c r="N2886">
        <v>599</v>
      </c>
      <c r="O2886">
        <v>62</v>
      </c>
      <c r="P2886">
        <v>15</v>
      </c>
      <c r="Q2886">
        <v>48</v>
      </c>
      <c r="R2886">
        <v>109</v>
      </c>
      <c r="S2886">
        <v>0.90833333333333333</v>
      </c>
      <c r="T2886">
        <v>0.96</v>
      </c>
      <c r="U2886">
        <v>0.96</v>
      </c>
    </row>
    <row r="2887" spans="1:21" x14ac:dyDescent="0.35">
      <c r="A2887">
        <v>414</v>
      </c>
      <c r="B2887" s="16">
        <v>40664</v>
      </c>
      <c r="C2887" s="15" t="s">
        <v>37</v>
      </c>
      <c r="D2887" s="15" t="s">
        <v>58</v>
      </c>
      <c r="E2887" s="15" t="s">
        <v>39</v>
      </c>
      <c r="F2887" s="15" t="s">
        <v>40</v>
      </c>
      <c r="G2887" s="15" t="s">
        <v>62</v>
      </c>
      <c r="H2887" s="15" t="s">
        <v>42</v>
      </c>
      <c r="I2887">
        <v>60</v>
      </c>
      <c r="J2887">
        <v>70</v>
      </c>
      <c r="K2887">
        <v>20</v>
      </c>
      <c r="L2887">
        <v>130</v>
      </c>
      <c r="M2887">
        <v>58</v>
      </c>
      <c r="N2887">
        <v>338</v>
      </c>
      <c r="O2887">
        <v>72</v>
      </c>
      <c r="P2887">
        <v>22</v>
      </c>
      <c r="Q2887">
        <v>23</v>
      </c>
      <c r="R2887">
        <v>129</v>
      </c>
      <c r="S2887">
        <v>0.99230769230769234</v>
      </c>
      <c r="T2887">
        <v>1.1499999999999999</v>
      </c>
      <c r="U2887">
        <v>0.96666666666666667</v>
      </c>
    </row>
    <row r="2888" spans="1:21" x14ac:dyDescent="0.35">
      <c r="A2888">
        <v>262</v>
      </c>
      <c r="B2888" s="16">
        <v>40664</v>
      </c>
      <c r="C2888" s="15" t="s">
        <v>37</v>
      </c>
      <c r="D2888" s="15" t="s">
        <v>58</v>
      </c>
      <c r="E2888" s="15" t="s">
        <v>43</v>
      </c>
      <c r="F2888" s="15" t="s">
        <v>40</v>
      </c>
      <c r="G2888" s="15" t="s">
        <v>62</v>
      </c>
      <c r="H2888" s="15" t="s">
        <v>42</v>
      </c>
      <c r="I2888">
        <v>90</v>
      </c>
      <c r="J2888">
        <v>140</v>
      </c>
      <c r="K2888">
        <v>40</v>
      </c>
      <c r="L2888">
        <v>230</v>
      </c>
      <c r="M2888">
        <v>92</v>
      </c>
      <c r="N2888">
        <v>599</v>
      </c>
      <c r="O2888">
        <v>129</v>
      </c>
      <c r="P2888">
        <v>83</v>
      </c>
      <c r="Q2888">
        <v>23</v>
      </c>
      <c r="R2888">
        <v>219</v>
      </c>
      <c r="S2888">
        <v>0.95217391304347831</v>
      </c>
      <c r="T2888">
        <v>0.57499999999999996</v>
      </c>
      <c r="U2888">
        <v>1.0222222222222221</v>
      </c>
    </row>
    <row r="2889" spans="1:21" x14ac:dyDescent="0.35">
      <c r="A2889">
        <v>715</v>
      </c>
      <c r="B2889" s="16">
        <v>40664</v>
      </c>
      <c r="C2889" s="15" t="s">
        <v>37</v>
      </c>
      <c r="D2889" s="15" t="s">
        <v>58</v>
      </c>
      <c r="E2889" s="15" t="s">
        <v>44</v>
      </c>
      <c r="F2889" s="15" t="s">
        <v>40</v>
      </c>
      <c r="G2889" s="15" t="s">
        <v>62</v>
      </c>
      <c r="H2889" s="15" t="s">
        <v>45</v>
      </c>
      <c r="I2889">
        <v>90</v>
      </c>
      <c r="J2889">
        <v>120</v>
      </c>
      <c r="K2889">
        <v>80</v>
      </c>
      <c r="L2889">
        <v>210</v>
      </c>
      <c r="M2889">
        <v>87</v>
      </c>
      <c r="N2889">
        <v>472</v>
      </c>
      <c r="O2889">
        <v>117</v>
      </c>
      <c r="P2889">
        <v>28</v>
      </c>
      <c r="Q2889">
        <v>86</v>
      </c>
      <c r="R2889">
        <v>202</v>
      </c>
      <c r="S2889">
        <v>0.96190476190476193</v>
      </c>
      <c r="T2889">
        <v>1.075</v>
      </c>
      <c r="U2889">
        <v>0.96666666666666667</v>
      </c>
    </row>
    <row r="2890" spans="1:21" x14ac:dyDescent="0.35">
      <c r="A2890">
        <v>475</v>
      </c>
      <c r="B2890" s="16">
        <v>40664</v>
      </c>
      <c r="C2890" s="15" t="s">
        <v>63</v>
      </c>
      <c r="D2890" s="15" t="s">
        <v>58</v>
      </c>
      <c r="E2890" s="15" t="s">
        <v>53</v>
      </c>
      <c r="F2890" s="15" t="s">
        <v>52</v>
      </c>
      <c r="G2890" s="15" t="s">
        <v>64</v>
      </c>
      <c r="H2890" s="15" t="s">
        <v>45</v>
      </c>
      <c r="I2890">
        <v>50</v>
      </c>
      <c r="J2890">
        <v>80</v>
      </c>
      <c r="K2890">
        <v>40</v>
      </c>
      <c r="L2890">
        <v>130</v>
      </c>
      <c r="M2890">
        <v>77</v>
      </c>
      <c r="N2890">
        <v>529</v>
      </c>
      <c r="O2890">
        <v>96</v>
      </c>
      <c r="P2890">
        <v>29</v>
      </c>
      <c r="Q2890">
        <v>46</v>
      </c>
      <c r="R2890">
        <v>171</v>
      </c>
      <c r="S2890">
        <v>1.3153846153846154</v>
      </c>
      <c r="T2890">
        <v>1.1499999999999999</v>
      </c>
      <c r="U2890">
        <v>1.54</v>
      </c>
    </row>
    <row r="2891" spans="1:21" x14ac:dyDescent="0.35">
      <c r="A2891">
        <v>203</v>
      </c>
      <c r="B2891" s="16">
        <v>40664</v>
      </c>
      <c r="C2891" s="15" t="s">
        <v>63</v>
      </c>
      <c r="D2891" s="15" t="s">
        <v>58</v>
      </c>
      <c r="E2891" s="15" t="s">
        <v>54</v>
      </c>
      <c r="F2891" s="15" t="s">
        <v>52</v>
      </c>
      <c r="G2891" s="15" t="s">
        <v>64</v>
      </c>
      <c r="H2891" s="15" t="s">
        <v>45</v>
      </c>
      <c r="I2891">
        <v>50</v>
      </c>
      <c r="J2891">
        <v>60</v>
      </c>
      <c r="K2891">
        <v>40</v>
      </c>
      <c r="L2891">
        <v>110</v>
      </c>
      <c r="M2891">
        <v>68</v>
      </c>
      <c r="N2891">
        <v>998</v>
      </c>
      <c r="O2891">
        <v>80</v>
      </c>
      <c r="P2891">
        <v>21</v>
      </c>
      <c r="Q2891">
        <v>52</v>
      </c>
      <c r="R2891">
        <v>147</v>
      </c>
      <c r="S2891">
        <v>1.3363636363636364</v>
      </c>
      <c r="T2891">
        <v>1.3</v>
      </c>
      <c r="U2891">
        <v>1.36</v>
      </c>
    </row>
    <row r="2892" spans="1:21" x14ac:dyDescent="0.35">
      <c r="A2892">
        <v>475</v>
      </c>
      <c r="B2892" s="16">
        <v>40664</v>
      </c>
      <c r="C2892" s="15" t="s">
        <v>63</v>
      </c>
      <c r="D2892" s="15" t="s">
        <v>58</v>
      </c>
      <c r="E2892" s="15" t="s">
        <v>55</v>
      </c>
      <c r="F2892" s="15" t="s">
        <v>47</v>
      </c>
      <c r="G2892" s="15" t="s">
        <v>64</v>
      </c>
      <c r="H2892" s="15" t="s">
        <v>42</v>
      </c>
      <c r="I2892">
        <v>40</v>
      </c>
      <c r="J2892">
        <v>70</v>
      </c>
      <c r="K2892">
        <v>50</v>
      </c>
      <c r="L2892">
        <v>110</v>
      </c>
      <c r="M2892">
        <v>44</v>
      </c>
      <c r="N2892">
        <v>844</v>
      </c>
      <c r="O2892">
        <v>65</v>
      </c>
      <c r="P2892">
        <v>12</v>
      </c>
      <c r="Q2892">
        <v>58</v>
      </c>
      <c r="R2892">
        <v>108</v>
      </c>
      <c r="S2892">
        <v>0.98181818181818181</v>
      </c>
      <c r="T2892">
        <v>1.1599999999999999</v>
      </c>
      <c r="U2892">
        <v>1.1000000000000001</v>
      </c>
    </row>
    <row r="2893" spans="1:21" x14ac:dyDescent="0.35">
      <c r="A2893">
        <v>860</v>
      </c>
      <c r="B2893" s="16">
        <v>40664</v>
      </c>
      <c r="C2893" s="15" t="s">
        <v>63</v>
      </c>
      <c r="D2893" s="15" t="s">
        <v>58</v>
      </c>
      <c r="E2893" s="15" t="s">
        <v>46</v>
      </c>
      <c r="F2893" s="15" t="s">
        <v>47</v>
      </c>
      <c r="G2893" s="15" t="s">
        <v>64</v>
      </c>
      <c r="H2893" s="15" t="s">
        <v>42</v>
      </c>
      <c r="I2893">
        <v>20</v>
      </c>
      <c r="J2893">
        <v>40</v>
      </c>
      <c r="K2893">
        <v>30</v>
      </c>
      <c r="L2893">
        <v>60</v>
      </c>
      <c r="M2893">
        <v>23</v>
      </c>
      <c r="N2893">
        <v>787</v>
      </c>
      <c r="O2893">
        <v>34</v>
      </c>
      <c r="P2893">
        <v>6</v>
      </c>
      <c r="Q2893">
        <v>23</v>
      </c>
      <c r="R2893">
        <v>56</v>
      </c>
      <c r="S2893">
        <v>0.93333333333333335</v>
      </c>
      <c r="T2893">
        <v>0.76666666666666672</v>
      </c>
      <c r="U2893">
        <v>1.1499999999999999</v>
      </c>
    </row>
    <row r="2894" spans="1:21" x14ac:dyDescent="0.35">
      <c r="A2894">
        <v>475</v>
      </c>
      <c r="B2894" s="16">
        <v>40664</v>
      </c>
      <c r="C2894" s="15" t="s">
        <v>63</v>
      </c>
      <c r="D2894" s="15" t="s">
        <v>58</v>
      </c>
      <c r="E2894" s="15" t="s">
        <v>43</v>
      </c>
      <c r="F2894" s="15" t="s">
        <v>40</v>
      </c>
      <c r="G2894" s="15" t="s">
        <v>64</v>
      </c>
      <c r="H2894" s="15" t="s">
        <v>42</v>
      </c>
      <c r="I2894">
        <v>100</v>
      </c>
      <c r="J2894">
        <v>160</v>
      </c>
      <c r="K2894">
        <v>110</v>
      </c>
      <c r="L2894">
        <v>260</v>
      </c>
      <c r="M2894">
        <v>110</v>
      </c>
      <c r="N2894">
        <v>1020</v>
      </c>
      <c r="O2894">
        <v>165</v>
      </c>
      <c r="P2894">
        <v>36</v>
      </c>
      <c r="Q2894">
        <v>135</v>
      </c>
      <c r="R2894">
        <v>273</v>
      </c>
      <c r="S2894">
        <v>1.05</v>
      </c>
      <c r="T2894">
        <v>1.2272727272727273</v>
      </c>
      <c r="U2894">
        <v>1.1000000000000001</v>
      </c>
    </row>
    <row r="2895" spans="1:21" x14ac:dyDescent="0.35">
      <c r="A2895">
        <v>203</v>
      </c>
      <c r="B2895" s="16">
        <v>40664</v>
      </c>
      <c r="C2895" s="15" t="s">
        <v>63</v>
      </c>
      <c r="D2895" s="15" t="s">
        <v>58</v>
      </c>
      <c r="E2895" s="15" t="s">
        <v>48</v>
      </c>
      <c r="F2895" s="15" t="s">
        <v>49</v>
      </c>
      <c r="G2895" s="15" t="s">
        <v>64</v>
      </c>
      <c r="H2895" s="15" t="s">
        <v>42</v>
      </c>
      <c r="I2895">
        <v>60</v>
      </c>
      <c r="J2895">
        <v>90</v>
      </c>
      <c r="K2895">
        <v>20</v>
      </c>
      <c r="L2895">
        <v>150</v>
      </c>
      <c r="M2895">
        <v>64</v>
      </c>
      <c r="N2895">
        <v>551</v>
      </c>
      <c r="O2895">
        <v>90</v>
      </c>
      <c r="P2895">
        <v>58</v>
      </c>
      <c r="Q2895">
        <v>4</v>
      </c>
      <c r="R2895">
        <v>153</v>
      </c>
      <c r="S2895">
        <v>1.02</v>
      </c>
      <c r="T2895">
        <v>0.2</v>
      </c>
      <c r="U2895">
        <v>1.0666666666666667</v>
      </c>
    </row>
    <row r="2896" spans="1:21" x14ac:dyDescent="0.35">
      <c r="A2896">
        <v>860</v>
      </c>
      <c r="B2896" s="16">
        <v>40664</v>
      </c>
      <c r="C2896" s="15" t="s">
        <v>63</v>
      </c>
      <c r="D2896" s="15" t="s">
        <v>58</v>
      </c>
      <c r="E2896" s="15" t="s">
        <v>50</v>
      </c>
      <c r="F2896" s="15" t="s">
        <v>49</v>
      </c>
      <c r="G2896" s="15" t="s">
        <v>64</v>
      </c>
      <c r="H2896" s="15" t="s">
        <v>45</v>
      </c>
      <c r="I2896">
        <v>40</v>
      </c>
      <c r="J2896">
        <v>70</v>
      </c>
      <c r="K2896">
        <v>40</v>
      </c>
      <c r="L2896">
        <v>110</v>
      </c>
      <c r="M2896">
        <v>48</v>
      </c>
      <c r="N2896">
        <v>334</v>
      </c>
      <c r="O2896">
        <v>65</v>
      </c>
      <c r="P2896">
        <v>15</v>
      </c>
      <c r="Q2896">
        <v>30</v>
      </c>
      <c r="R2896">
        <v>112</v>
      </c>
      <c r="S2896">
        <v>1.0181818181818181</v>
      </c>
      <c r="T2896">
        <v>0.75</v>
      </c>
      <c r="U2896">
        <v>1.2</v>
      </c>
    </row>
    <row r="2897" spans="1:21" x14ac:dyDescent="0.35">
      <c r="A2897">
        <v>786</v>
      </c>
      <c r="B2897" s="16">
        <v>40664</v>
      </c>
      <c r="C2897" s="15" t="s">
        <v>63</v>
      </c>
      <c r="D2897" s="15" t="s">
        <v>38</v>
      </c>
      <c r="E2897" s="15" t="s">
        <v>51</v>
      </c>
      <c r="F2897" s="15" t="s">
        <v>52</v>
      </c>
      <c r="G2897" s="15" t="s">
        <v>65</v>
      </c>
      <c r="H2897" s="15" t="s">
        <v>45</v>
      </c>
      <c r="I2897">
        <v>30</v>
      </c>
      <c r="J2897">
        <v>50</v>
      </c>
      <c r="K2897">
        <v>30</v>
      </c>
      <c r="L2897">
        <v>80</v>
      </c>
      <c r="M2897">
        <v>48</v>
      </c>
      <c r="N2897">
        <v>599</v>
      </c>
      <c r="O2897">
        <v>62</v>
      </c>
      <c r="P2897">
        <v>15</v>
      </c>
      <c r="Q2897">
        <v>48</v>
      </c>
      <c r="R2897">
        <v>109</v>
      </c>
      <c r="S2897">
        <v>1.3625</v>
      </c>
      <c r="T2897">
        <v>1.6</v>
      </c>
      <c r="U2897">
        <v>1.6</v>
      </c>
    </row>
    <row r="2898" spans="1:21" x14ac:dyDescent="0.35">
      <c r="A2898">
        <v>904</v>
      </c>
      <c r="B2898" s="16">
        <v>40664</v>
      </c>
      <c r="C2898" s="15" t="s">
        <v>63</v>
      </c>
      <c r="D2898" s="15" t="s">
        <v>38</v>
      </c>
      <c r="E2898" s="15" t="s">
        <v>53</v>
      </c>
      <c r="F2898" s="15" t="s">
        <v>52</v>
      </c>
      <c r="G2898" s="15" t="s">
        <v>65</v>
      </c>
      <c r="H2898" s="15" t="s">
        <v>45</v>
      </c>
      <c r="I2898">
        <v>40</v>
      </c>
      <c r="J2898">
        <v>60</v>
      </c>
      <c r="K2898">
        <v>30</v>
      </c>
      <c r="L2898">
        <v>100</v>
      </c>
      <c r="M2898">
        <v>58</v>
      </c>
      <c r="N2898">
        <v>338</v>
      </c>
      <c r="O2898">
        <v>72</v>
      </c>
      <c r="P2898">
        <v>22</v>
      </c>
      <c r="Q2898">
        <v>23</v>
      </c>
      <c r="R2898">
        <v>129</v>
      </c>
      <c r="S2898">
        <v>1.29</v>
      </c>
      <c r="T2898">
        <v>0.76666666666666672</v>
      </c>
      <c r="U2898">
        <v>1.45</v>
      </c>
    </row>
    <row r="2899" spans="1:21" x14ac:dyDescent="0.35">
      <c r="A2899">
        <v>941</v>
      </c>
      <c r="B2899" s="16">
        <v>40664</v>
      </c>
      <c r="C2899" s="15" t="s">
        <v>63</v>
      </c>
      <c r="D2899" s="15" t="s">
        <v>38</v>
      </c>
      <c r="E2899" s="15" t="s">
        <v>54</v>
      </c>
      <c r="F2899" s="15" t="s">
        <v>52</v>
      </c>
      <c r="G2899" s="15" t="s">
        <v>65</v>
      </c>
      <c r="H2899" s="15" t="s">
        <v>45</v>
      </c>
      <c r="I2899">
        <v>50</v>
      </c>
      <c r="J2899">
        <v>80</v>
      </c>
      <c r="K2899">
        <v>50</v>
      </c>
      <c r="L2899">
        <v>130</v>
      </c>
      <c r="M2899">
        <v>78</v>
      </c>
      <c r="N2899">
        <v>995</v>
      </c>
      <c r="O2899">
        <v>92</v>
      </c>
      <c r="P2899">
        <v>24</v>
      </c>
      <c r="Q2899">
        <v>65</v>
      </c>
      <c r="R2899">
        <v>168</v>
      </c>
      <c r="S2899">
        <v>1.2923076923076924</v>
      </c>
      <c r="T2899">
        <v>1.3</v>
      </c>
      <c r="U2899">
        <v>1.56</v>
      </c>
    </row>
    <row r="2900" spans="1:21" x14ac:dyDescent="0.35">
      <c r="A2900">
        <v>863</v>
      </c>
      <c r="B2900" s="16">
        <v>40664</v>
      </c>
      <c r="C2900" s="15" t="s">
        <v>63</v>
      </c>
      <c r="D2900" s="15" t="s">
        <v>38</v>
      </c>
      <c r="E2900" s="15" t="s">
        <v>55</v>
      </c>
      <c r="F2900" s="15" t="s">
        <v>47</v>
      </c>
      <c r="G2900" s="15" t="s">
        <v>65</v>
      </c>
      <c r="H2900" s="15" t="s">
        <v>42</v>
      </c>
      <c r="I2900">
        <v>30</v>
      </c>
      <c r="J2900">
        <v>60</v>
      </c>
      <c r="K2900">
        <v>40</v>
      </c>
      <c r="L2900">
        <v>90</v>
      </c>
      <c r="M2900">
        <v>36</v>
      </c>
      <c r="N2900">
        <v>838</v>
      </c>
      <c r="O2900">
        <v>53</v>
      </c>
      <c r="P2900">
        <v>10</v>
      </c>
      <c r="Q2900">
        <v>44</v>
      </c>
      <c r="R2900">
        <v>88</v>
      </c>
      <c r="S2900">
        <v>0.97777777777777775</v>
      </c>
      <c r="T2900">
        <v>1.1000000000000001</v>
      </c>
      <c r="U2900">
        <v>1.2</v>
      </c>
    </row>
    <row r="2901" spans="1:21" x14ac:dyDescent="0.35">
      <c r="A2901">
        <v>321</v>
      </c>
      <c r="B2901" s="16">
        <v>40664</v>
      </c>
      <c r="C2901" s="15" t="s">
        <v>63</v>
      </c>
      <c r="D2901" s="15" t="s">
        <v>38</v>
      </c>
      <c r="E2901" s="15" t="s">
        <v>46</v>
      </c>
      <c r="F2901" s="15" t="s">
        <v>47</v>
      </c>
      <c r="G2901" s="15" t="s">
        <v>65</v>
      </c>
      <c r="H2901" s="15" t="s">
        <v>42</v>
      </c>
      <c r="I2901">
        <v>50</v>
      </c>
      <c r="J2901">
        <v>90</v>
      </c>
      <c r="K2901">
        <v>70</v>
      </c>
      <c r="L2901">
        <v>140</v>
      </c>
      <c r="M2901">
        <v>53</v>
      </c>
      <c r="N2901">
        <v>803</v>
      </c>
      <c r="O2901">
        <v>77</v>
      </c>
      <c r="P2901">
        <v>14</v>
      </c>
      <c r="Q2901">
        <v>72</v>
      </c>
      <c r="R2901">
        <v>129</v>
      </c>
      <c r="S2901">
        <v>0.92142857142857137</v>
      </c>
      <c r="T2901">
        <v>1.0285714285714285</v>
      </c>
      <c r="U2901">
        <v>1.06</v>
      </c>
    </row>
    <row r="2902" spans="1:21" x14ac:dyDescent="0.35">
      <c r="A2902">
        <v>754</v>
      </c>
      <c r="B2902" s="16">
        <v>40664</v>
      </c>
      <c r="C2902" s="15" t="s">
        <v>63</v>
      </c>
      <c r="D2902" s="15" t="s">
        <v>38</v>
      </c>
      <c r="E2902" s="15" t="s">
        <v>43</v>
      </c>
      <c r="F2902" s="15" t="s">
        <v>40</v>
      </c>
      <c r="G2902" s="15" t="s">
        <v>65</v>
      </c>
      <c r="H2902" s="15" t="s">
        <v>42</v>
      </c>
      <c r="I2902">
        <v>90</v>
      </c>
      <c r="J2902">
        <v>130</v>
      </c>
      <c r="K2902">
        <v>90</v>
      </c>
      <c r="L2902">
        <v>220</v>
      </c>
      <c r="M2902">
        <v>94</v>
      </c>
      <c r="N2902">
        <v>697</v>
      </c>
      <c r="O2902">
        <v>141</v>
      </c>
      <c r="P2902">
        <v>31</v>
      </c>
      <c r="Q2902">
        <v>108</v>
      </c>
      <c r="R2902">
        <v>233</v>
      </c>
      <c r="S2902">
        <v>1.0590909090909091</v>
      </c>
      <c r="T2902">
        <v>1.2</v>
      </c>
      <c r="U2902">
        <v>1.0444444444444445</v>
      </c>
    </row>
    <row r="2903" spans="1:21" x14ac:dyDescent="0.35">
      <c r="A2903">
        <v>863</v>
      </c>
      <c r="B2903" s="16">
        <v>40664</v>
      </c>
      <c r="C2903" s="15" t="s">
        <v>63</v>
      </c>
      <c r="D2903" s="15" t="s">
        <v>38</v>
      </c>
      <c r="E2903" s="15" t="s">
        <v>44</v>
      </c>
      <c r="F2903" s="15" t="s">
        <v>40</v>
      </c>
      <c r="G2903" s="15" t="s">
        <v>65</v>
      </c>
      <c r="H2903" s="15" t="s">
        <v>45</v>
      </c>
      <c r="I2903">
        <v>100</v>
      </c>
      <c r="J2903">
        <v>150</v>
      </c>
      <c r="K2903">
        <v>100</v>
      </c>
      <c r="L2903">
        <v>250</v>
      </c>
      <c r="M2903">
        <v>114</v>
      </c>
      <c r="N2903">
        <v>555</v>
      </c>
      <c r="O2903">
        <v>159</v>
      </c>
      <c r="P2903">
        <v>35</v>
      </c>
      <c r="Q2903">
        <v>138</v>
      </c>
      <c r="R2903">
        <v>271</v>
      </c>
      <c r="S2903">
        <v>1.0840000000000001</v>
      </c>
      <c r="T2903">
        <v>1.38</v>
      </c>
      <c r="U2903">
        <v>1.1399999999999999</v>
      </c>
    </row>
    <row r="2904" spans="1:21" x14ac:dyDescent="0.35">
      <c r="A2904">
        <v>850</v>
      </c>
      <c r="B2904" s="16">
        <v>40664</v>
      </c>
      <c r="C2904" s="15" t="s">
        <v>63</v>
      </c>
      <c r="D2904" s="15" t="s">
        <v>38</v>
      </c>
      <c r="E2904" s="15" t="s">
        <v>48</v>
      </c>
      <c r="F2904" s="15" t="s">
        <v>49</v>
      </c>
      <c r="G2904" s="15" t="s">
        <v>65</v>
      </c>
      <c r="H2904" s="15" t="s">
        <v>42</v>
      </c>
      <c r="I2904">
        <v>80</v>
      </c>
      <c r="J2904">
        <v>130</v>
      </c>
      <c r="K2904">
        <v>40</v>
      </c>
      <c r="L2904">
        <v>210</v>
      </c>
      <c r="M2904">
        <v>92</v>
      </c>
      <c r="N2904">
        <v>599</v>
      </c>
      <c r="O2904">
        <v>129</v>
      </c>
      <c r="P2904">
        <v>83</v>
      </c>
      <c r="Q2904">
        <v>23</v>
      </c>
      <c r="R2904">
        <v>219</v>
      </c>
      <c r="S2904">
        <v>1.0428571428571429</v>
      </c>
      <c r="T2904">
        <v>0.57499999999999996</v>
      </c>
      <c r="U2904">
        <v>1.1499999999999999</v>
      </c>
    </row>
    <row r="2905" spans="1:21" x14ac:dyDescent="0.35">
      <c r="A2905">
        <v>786</v>
      </c>
      <c r="B2905" s="16">
        <v>40664</v>
      </c>
      <c r="C2905" s="15" t="s">
        <v>63</v>
      </c>
      <c r="D2905" s="15" t="s">
        <v>38</v>
      </c>
      <c r="E2905" s="15" t="s">
        <v>50</v>
      </c>
      <c r="F2905" s="15" t="s">
        <v>49</v>
      </c>
      <c r="G2905" s="15" t="s">
        <v>65</v>
      </c>
      <c r="H2905" s="15" t="s">
        <v>45</v>
      </c>
      <c r="I2905">
        <v>80</v>
      </c>
      <c r="J2905">
        <v>110</v>
      </c>
      <c r="K2905">
        <v>70</v>
      </c>
      <c r="L2905">
        <v>190</v>
      </c>
      <c r="M2905">
        <v>87</v>
      </c>
      <c r="N2905">
        <v>472</v>
      </c>
      <c r="O2905">
        <v>117</v>
      </c>
      <c r="P2905">
        <v>28</v>
      </c>
      <c r="Q2905">
        <v>86</v>
      </c>
      <c r="R2905">
        <v>202</v>
      </c>
      <c r="S2905">
        <v>1.0631578947368421</v>
      </c>
      <c r="T2905">
        <v>1.2285714285714286</v>
      </c>
      <c r="U2905">
        <v>1.0874999999999999</v>
      </c>
    </row>
    <row r="2906" spans="1:21" x14ac:dyDescent="0.35">
      <c r="A2906">
        <v>413</v>
      </c>
      <c r="B2906" s="16">
        <v>40664</v>
      </c>
      <c r="C2906" s="15" t="s">
        <v>63</v>
      </c>
      <c r="D2906" s="15" t="s">
        <v>38</v>
      </c>
      <c r="E2906" s="15" t="s">
        <v>53</v>
      </c>
      <c r="F2906" s="15" t="s">
        <v>52</v>
      </c>
      <c r="G2906" s="15" t="s">
        <v>66</v>
      </c>
      <c r="H2906" s="15" t="s">
        <v>45</v>
      </c>
      <c r="I2906">
        <v>40</v>
      </c>
      <c r="J2906">
        <v>50</v>
      </c>
      <c r="K2906">
        <v>20</v>
      </c>
      <c r="L2906">
        <v>90</v>
      </c>
      <c r="M2906">
        <v>53</v>
      </c>
      <c r="N2906">
        <v>361</v>
      </c>
      <c r="O2906">
        <v>65</v>
      </c>
      <c r="P2906">
        <v>20</v>
      </c>
      <c r="Q2906">
        <v>17</v>
      </c>
      <c r="R2906">
        <v>117</v>
      </c>
      <c r="S2906">
        <v>1.3</v>
      </c>
      <c r="T2906">
        <v>0.85</v>
      </c>
      <c r="U2906">
        <v>1.325</v>
      </c>
    </row>
    <row r="2907" spans="1:21" x14ac:dyDescent="0.35">
      <c r="A2907">
        <v>774</v>
      </c>
      <c r="B2907" s="16">
        <v>40664</v>
      </c>
      <c r="C2907" s="15" t="s">
        <v>63</v>
      </c>
      <c r="D2907" s="15" t="s">
        <v>38</v>
      </c>
      <c r="E2907" s="15" t="s">
        <v>55</v>
      </c>
      <c r="F2907" s="15" t="s">
        <v>47</v>
      </c>
      <c r="G2907" s="15" t="s">
        <v>66</v>
      </c>
      <c r="H2907" s="15" t="s">
        <v>42</v>
      </c>
      <c r="I2907">
        <v>30</v>
      </c>
      <c r="J2907">
        <v>40</v>
      </c>
      <c r="K2907">
        <v>30</v>
      </c>
      <c r="L2907">
        <v>70</v>
      </c>
      <c r="M2907">
        <v>29</v>
      </c>
      <c r="N2907">
        <v>835</v>
      </c>
      <c r="O2907">
        <v>42</v>
      </c>
      <c r="P2907">
        <v>8</v>
      </c>
      <c r="Q2907">
        <v>30</v>
      </c>
      <c r="R2907">
        <v>70</v>
      </c>
      <c r="S2907">
        <v>1</v>
      </c>
      <c r="T2907">
        <v>1</v>
      </c>
      <c r="U2907">
        <v>0.96666666666666667</v>
      </c>
    </row>
    <row r="2908" spans="1:21" x14ac:dyDescent="0.35">
      <c r="A2908">
        <v>781</v>
      </c>
      <c r="B2908" s="16">
        <v>40664</v>
      </c>
      <c r="C2908" s="15" t="s">
        <v>63</v>
      </c>
      <c r="D2908" s="15" t="s">
        <v>38</v>
      </c>
      <c r="E2908" s="15" t="s">
        <v>46</v>
      </c>
      <c r="F2908" s="15" t="s">
        <v>47</v>
      </c>
      <c r="G2908" s="15" t="s">
        <v>66</v>
      </c>
      <c r="H2908" s="15" t="s">
        <v>42</v>
      </c>
      <c r="I2908">
        <v>20</v>
      </c>
      <c r="J2908">
        <v>30</v>
      </c>
      <c r="K2908">
        <v>20</v>
      </c>
      <c r="L2908">
        <v>50</v>
      </c>
      <c r="M2908">
        <v>20</v>
      </c>
      <c r="N2908">
        <v>464</v>
      </c>
      <c r="O2908">
        <v>29</v>
      </c>
      <c r="P2908">
        <v>5</v>
      </c>
      <c r="Q2908">
        <v>17</v>
      </c>
      <c r="R2908">
        <v>49</v>
      </c>
      <c r="S2908">
        <v>0.98</v>
      </c>
      <c r="T2908">
        <v>0.85</v>
      </c>
      <c r="U2908">
        <v>1</v>
      </c>
    </row>
    <row r="2909" spans="1:21" x14ac:dyDescent="0.35">
      <c r="A2909">
        <v>351</v>
      </c>
      <c r="B2909" s="16">
        <v>40664</v>
      </c>
      <c r="C2909" s="15" t="s">
        <v>63</v>
      </c>
      <c r="D2909" s="15" t="s">
        <v>38</v>
      </c>
      <c r="E2909" s="15" t="s">
        <v>43</v>
      </c>
      <c r="F2909" s="15" t="s">
        <v>40</v>
      </c>
      <c r="G2909" s="15" t="s">
        <v>66</v>
      </c>
      <c r="H2909" s="15" t="s">
        <v>42</v>
      </c>
      <c r="I2909">
        <v>60</v>
      </c>
      <c r="J2909">
        <v>460</v>
      </c>
      <c r="K2909">
        <v>430</v>
      </c>
      <c r="L2909">
        <v>520</v>
      </c>
      <c r="M2909">
        <v>64</v>
      </c>
      <c r="N2909">
        <v>-663</v>
      </c>
      <c r="O2909">
        <v>487</v>
      </c>
      <c r="P2909">
        <v>21</v>
      </c>
      <c r="Q2909">
        <v>599</v>
      </c>
      <c r="R2909">
        <v>546</v>
      </c>
      <c r="S2909">
        <v>1.05</v>
      </c>
      <c r="T2909">
        <v>1.3930232558139535</v>
      </c>
      <c r="U2909">
        <v>1.0666666666666667</v>
      </c>
    </row>
    <row r="2910" spans="1:21" x14ac:dyDescent="0.35">
      <c r="A2910">
        <v>413</v>
      </c>
      <c r="B2910" s="16">
        <v>40664</v>
      </c>
      <c r="C2910" s="15" t="s">
        <v>63</v>
      </c>
      <c r="D2910" s="15" t="s">
        <v>38</v>
      </c>
      <c r="E2910" s="15" t="s">
        <v>48</v>
      </c>
      <c r="F2910" s="15" t="s">
        <v>49</v>
      </c>
      <c r="G2910" s="15" t="s">
        <v>66</v>
      </c>
      <c r="H2910" s="15" t="s">
        <v>42</v>
      </c>
      <c r="I2910">
        <v>50</v>
      </c>
      <c r="J2910">
        <v>60</v>
      </c>
      <c r="K2910">
        <v>0</v>
      </c>
      <c r="L2910">
        <v>110</v>
      </c>
      <c r="M2910">
        <v>53</v>
      </c>
      <c r="N2910">
        <v>491</v>
      </c>
      <c r="O2910">
        <v>61</v>
      </c>
      <c r="P2910">
        <v>48</v>
      </c>
      <c r="Q2910">
        <v>-22</v>
      </c>
      <c r="R2910">
        <v>113</v>
      </c>
      <c r="S2910">
        <v>1.0272727272727273</v>
      </c>
      <c r="U2910">
        <v>1.06</v>
      </c>
    </row>
    <row r="2911" spans="1:21" x14ac:dyDescent="0.35">
      <c r="A2911">
        <v>781</v>
      </c>
      <c r="B2911" s="16">
        <v>40664</v>
      </c>
      <c r="C2911" s="15" t="s">
        <v>63</v>
      </c>
      <c r="D2911" s="15" t="s">
        <v>38</v>
      </c>
      <c r="E2911" s="15" t="s">
        <v>67</v>
      </c>
      <c r="F2911" s="15" t="s">
        <v>49</v>
      </c>
      <c r="G2911" s="15" t="s">
        <v>66</v>
      </c>
      <c r="H2911" s="15" t="s">
        <v>42</v>
      </c>
      <c r="I2911">
        <v>140</v>
      </c>
      <c r="J2911">
        <v>150</v>
      </c>
      <c r="K2911">
        <v>100</v>
      </c>
      <c r="L2911">
        <v>290</v>
      </c>
      <c r="M2911">
        <v>149</v>
      </c>
      <c r="N2911">
        <v>1156</v>
      </c>
      <c r="O2911">
        <v>149</v>
      </c>
      <c r="P2911">
        <v>41</v>
      </c>
      <c r="Q2911">
        <v>116</v>
      </c>
      <c r="R2911">
        <v>295</v>
      </c>
      <c r="S2911">
        <v>1.0172413793103448</v>
      </c>
      <c r="T2911">
        <v>1.1599999999999999</v>
      </c>
      <c r="U2911">
        <v>1.0642857142857143</v>
      </c>
    </row>
    <row r="2912" spans="1:21" x14ac:dyDescent="0.35">
      <c r="A2912">
        <v>603</v>
      </c>
      <c r="B2912" s="16">
        <v>40664</v>
      </c>
      <c r="C2912" s="15" t="s">
        <v>63</v>
      </c>
      <c r="D2912" s="15" t="s">
        <v>58</v>
      </c>
      <c r="E2912" s="15" t="s">
        <v>46</v>
      </c>
      <c r="F2912" s="15" t="s">
        <v>47</v>
      </c>
      <c r="G2912" s="15" t="s">
        <v>68</v>
      </c>
      <c r="H2912" s="15" t="s">
        <v>42</v>
      </c>
      <c r="I2912">
        <v>0</v>
      </c>
      <c r="J2912">
        <v>40</v>
      </c>
      <c r="K2912">
        <v>30</v>
      </c>
      <c r="L2912">
        <v>40</v>
      </c>
      <c r="M2912">
        <v>0</v>
      </c>
      <c r="N2912">
        <v>645</v>
      </c>
      <c r="O2912">
        <v>43</v>
      </c>
      <c r="P2912">
        <v>0</v>
      </c>
      <c r="Q2912">
        <v>44</v>
      </c>
      <c r="R2912">
        <v>43</v>
      </c>
      <c r="S2912">
        <v>1.075</v>
      </c>
      <c r="T2912">
        <v>1.4666666666666666</v>
      </c>
    </row>
    <row r="2913" spans="1:21" x14ac:dyDescent="0.35">
      <c r="A2913">
        <v>603</v>
      </c>
      <c r="B2913" s="16">
        <v>40664</v>
      </c>
      <c r="C2913" s="15" t="s">
        <v>63</v>
      </c>
      <c r="D2913" s="15" t="s">
        <v>58</v>
      </c>
      <c r="E2913" s="15" t="s">
        <v>53</v>
      </c>
      <c r="F2913" s="15" t="s">
        <v>52</v>
      </c>
      <c r="G2913" s="15" t="s">
        <v>68</v>
      </c>
      <c r="H2913" s="15" t="s">
        <v>45</v>
      </c>
      <c r="I2913">
        <v>20</v>
      </c>
      <c r="J2913">
        <v>40</v>
      </c>
      <c r="K2913">
        <v>10</v>
      </c>
      <c r="L2913">
        <v>60</v>
      </c>
      <c r="M2913">
        <v>36</v>
      </c>
      <c r="N2913">
        <v>212</v>
      </c>
      <c r="O2913">
        <v>45</v>
      </c>
      <c r="P2913">
        <v>13</v>
      </c>
      <c r="Q2913">
        <v>-1</v>
      </c>
      <c r="R2913">
        <v>80</v>
      </c>
      <c r="S2913">
        <v>1.3333333333333333</v>
      </c>
      <c r="T2913">
        <v>-0.1</v>
      </c>
      <c r="U2913">
        <v>1.8</v>
      </c>
    </row>
    <row r="2914" spans="1:21" x14ac:dyDescent="0.35">
      <c r="A2914">
        <v>603</v>
      </c>
      <c r="B2914" s="16">
        <v>40664</v>
      </c>
      <c r="C2914" s="15" t="s">
        <v>63</v>
      </c>
      <c r="D2914" s="15" t="s">
        <v>58</v>
      </c>
      <c r="E2914" s="15" t="s">
        <v>55</v>
      </c>
      <c r="F2914" s="15" t="s">
        <v>47</v>
      </c>
      <c r="G2914" s="15" t="s">
        <v>68</v>
      </c>
      <c r="H2914" s="15" t="s">
        <v>42</v>
      </c>
      <c r="I2914">
        <v>20</v>
      </c>
      <c r="J2914">
        <v>30</v>
      </c>
      <c r="K2914">
        <v>20</v>
      </c>
      <c r="L2914">
        <v>50</v>
      </c>
      <c r="M2914">
        <v>20</v>
      </c>
      <c r="N2914">
        <v>829</v>
      </c>
      <c r="O2914">
        <v>29</v>
      </c>
      <c r="P2914">
        <v>5</v>
      </c>
      <c r="Q2914">
        <v>17</v>
      </c>
      <c r="R2914">
        <v>49</v>
      </c>
      <c r="S2914">
        <v>0.98</v>
      </c>
      <c r="T2914">
        <v>0.85</v>
      </c>
      <c r="U2914">
        <v>1</v>
      </c>
    </row>
    <row r="2915" spans="1:21" x14ac:dyDescent="0.35">
      <c r="A2915">
        <v>603</v>
      </c>
      <c r="B2915" s="16">
        <v>40664</v>
      </c>
      <c r="C2915" s="15" t="s">
        <v>63</v>
      </c>
      <c r="D2915" s="15" t="s">
        <v>58</v>
      </c>
      <c r="E2915" s="15" t="s">
        <v>39</v>
      </c>
      <c r="F2915" s="15" t="s">
        <v>40</v>
      </c>
      <c r="G2915" s="15" t="s">
        <v>68</v>
      </c>
      <c r="H2915" s="15" t="s">
        <v>42</v>
      </c>
      <c r="I2915">
        <v>40</v>
      </c>
      <c r="J2915">
        <v>70</v>
      </c>
      <c r="K2915">
        <v>40</v>
      </c>
      <c r="L2915">
        <v>110</v>
      </c>
      <c r="M2915">
        <v>51</v>
      </c>
      <c r="N2915">
        <v>265</v>
      </c>
      <c r="O2915">
        <v>74</v>
      </c>
      <c r="P2915">
        <v>16</v>
      </c>
      <c r="Q2915">
        <v>48</v>
      </c>
      <c r="R2915">
        <v>124</v>
      </c>
      <c r="S2915">
        <v>1.1272727272727272</v>
      </c>
      <c r="T2915">
        <v>1.2</v>
      </c>
      <c r="U2915">
        <v>1.2749999999999999</v>
      </c>
    </row>
    <row r="2916" spans="1:21" x14ac:dyDescent="0.35">
      <c r="A2916">
        <v>603</v>
      </c>
      <c r="B2916" s="16">
        <v>40664</v>
      </c>
      <c r="C2916" s="15" t="s">
        <v>63</v>
      </c>
      <c r="D2916" s="15" t="s">
        <v>58</v>
      </c>
      <c r="E2916" s="15" t="s">
        <v>43</v>
      </c>
      <c r="F2916" s="15" t="s">
        <v>40</v>
      </c>
      <c r="G2916" s="15" t="s">
        <v>68</v>
      </c>
      <c r="H2916" s="15" t="s">
        <v>42</v>
      </c>
      <c r="I2916">
        <v>40</v>
      </c>
      <c r="J2916">
        <v>80</v>
      </c>
      <c r="K2916">
        <v>50</v>
      </c>
      <c r="L2916">
        <v>120</v>
      </c>
      <c r="M2916">
        <v>52</v>
      </c>
      <c r="N2916">
        <v>397</v>
      </c>
      <c r="O2916">
        <v>80</v>
      </c>
      <c r="P2916">
        <v>17</v>
      </c>
      <c r="Q2916">
        <v>43</v>
      </c>
      <c r="R2916">
        <v>131</v>
      </c>
      <c r="S2916">
        <v>1.0916666666666666</v>
      </c>
      <c r="T2916">
        <v>0.86</v>
      </c>
      <c r="U2916">
        <v>1.3</v>
      </c>
    </row>
    <row r="2917" spans="1:21" x14ac:dyDescent="0.35">
      <c r="A2917">
        <v>603</v>
      </c>
      <c r="B2917" s="16">
        <v>40664</v>
      </c>
      <c r="C2917" s="15" t="s">
        <v>63</v>
      </c>
      <c r="D2917" s="15" t="s">
        <v>58</v>
      </c>
      <c r="E2917" s="15" t="s">
        <v>48</v>
      </c>
      <c r="F2917" s="15" t="s">
        <v>49</v>
      </c>
      <c r="G2917" s="15" t="s">
        <v>68</v>
      </c>
      <c r="H2917" s="15" t="s">
        <v>42</v>
      </c>
      <c r="I2917">
        <v>40</v>
      </c>
      <c r="J2917">
        <v>60</v>
      </c>
      <c r="K2917">
        <v>10</v>
      </c>
      <c r="L2917">
        <v>100</v>
      </c>
      <c r="M2917">
        <v>43</v>
      </c>
      <c r="N2917">
        <v>282</v>
      </c>
      <c r="O2917">
        <v>61</v>
      </c>
      <c r="P2917">
        <v>39</v>
      </c>
      <c r="Q2917">
        <v>-10</v>
      </c>
      <c r="R2917">
        <v>103</v>
      </c>
      <c r="S2917">
        <v>1.03</v>
      </c>
      <c r="T2917">
        <v>-1</v>
      </c>
      <c r="U2917">
        <v>1.075</v>
      </c>
    </row>
    <row r="2918" spans="1:21" x14ac:dyDescent="0.35">
      <c r="A2918">
        <v>603</v>
      </c>
      <c r="B2918" s="16">
        <v>40664</v>
      </c>
      <c r="C2918" s="15" t="s">
        <v>63</v>
      </c>
      <c r="D2918" s="15" t="s">
        <v>58</v>
      </c>
      <c r="E2918" s="15" t="s">
        <v>67</v>
      </c>
      <c r="F2918" s="15" t="s">
        <v>49</v>
      </c>
      <c r="G2918" s="15" t="s">
        <v>68</v>
      </c>
      <c r="H2918" s="15" t="s">
        <v>42</v>
      </c>
      <c r="I2918">
        <v>30</v>
      </c>
      <c r="J2918">
        <v>40</v>
      </c>
      <c r="K2918">
        <v>0</v>
      </c>
      <c r="L2918">
        <v>70</v>
      </c>
      <c r="M2918">
        <v>34</v>
      </c>
      <c r="N2918">
        <v>182</v>
      </c>
      <c r="O2918">
        <v>42</v>
      </c>
      <c r="P2918">
        <v>12</v>
      </c>
      <c r="Q2918">
        <v>-4</v>
      </c>
      <c r="R2918">
        <v>75</v>
      </c>
      <c r="S2918">
        <v>1.0714285714285714</v>
      </c>
      <c r="U2918">
        <v>1.1333333333333333</v>
      </c>
    </row>
    <row r="2919" spans="1:21" x14ac:dyDescent="0.35">
      <c r="A2919">
        <v>212</v>
      </c>
      <c r="B2919" s="16">
        <v>40664</v>
      </c>
      <c r="C2919" s="15" t="s">
        <v>63</v>
      </c>
      <c r="D2919" s="15" t="s">
        <v>38</v>
      </c>
      <c r="E2919" s="15" t="s">
        <v>46</v>
      </c>
      <c r="F2919" s="15" t="s">
        <v>47</v>
      </c>
      <c r="G2919" s="15" t="s">
        <v>69</v>
      </c>
      <c r="H2919" s="15" t="s">
        <v>42</v>
      </c>
      <c r="I2919">
        <v>90</v>
      </c>
      <c r="J2919">
        <v>130</v>
      </c>
      <c r="K2919">
        <v>100</v>
      </c>
      <c r="L2919">
        <v>220</v>
      </c>
      <c r="M2919">
        <v>86</v>
      </c>
      <c r="N2919">
        <v>499</v>
      </c>
      <c r="O2919">
        <v>124</v>
      </c>
      <c r="P2919">
        <v>24</v>
      </c>
      <c r="Q2919">
        <v>123</v>
      </c>
      <c r="R2919">
        <v>208</v>
      </c>
      <c r="S2919">
        <v>0.94545454545454544</v>
      </c>
      <c r="T2919">
        <v>1.23</v>
      </c>
      <c r="U2919">
        <v>0.9555555555555556</v>
      </c>
    </row>
    <row r="2920" spans="1:21" x14ac:dyDescent="0.35">
      <c r="A2920">
        <v>518</v>
      </c>
      <c r="B2920" s="16">
        <v>40664</v>
      </c>
      <c r="C2920" s="15" t="s">
        <v>63</v>
      </c>
      <c r="D2920" s="15" t="s">
        <v>38</v>
      </c>
      <c r="E2920" s="15" t="s">
        <v>53</v>
      </c>
      <c r="F2920" s="15" t="s">
        <v>52</v>
      </c>
      <c r="G2920" s="15" t="s">
        <v>69</v>
      </c>
      <c r="H2920" s="15" t="s">
        <v>45</v>
      </c>
      <c r="I2920">
        <v>200</v>
      </c>
      <c r="J2920">
        <v>300</v>
      </c>
      <c r="K2920">
        <v>200</v>
      </c>
      <c r="L2920">
        <v>500</v>
      </c>
      <c r="M2920">
        <v>265</v>
      </c>
      <c r="N2920">
        <v>1613</v>
      </c>
      <c r="O2920">
        <v>386</v>
      </c>
      <c r="P2920">
        <v>100</v>
      </c>
      <c r="Q2920">
        <v>348</v>
      </c>
      <c r="R2920">
        <v>645</v>
      </c>
      <c r="S2920">
        <v>1.29</v>
      </c>
      <c r="T2920">
        <v>1.74</v>
      </c>
      <c r="U2920">
        <v>1.325</v>
      </c>
    </row>
    <row r="2921" spans="1:21" x14ac:dyDescent="0.35">
      <c r="A2921">
        <v>607</v>
      </c>
      <c r="B2921" s="16">
        <v>40664</v>
      </c>
      <c r="C2921" s="15" t="s">
        <v>63</v>
      </c>
      <c r="D2921" s="15" t="s">
        <v>38</v>
      </c>
      <c r="E2921" s="15" t="s">
        <v>54</v>
      </c>
      <c r="F2921" s="15" t="s">
        <v>52</v>
      </c>
      <c r="G2921" s="15" t="s">
        <v>69</v>
      </c>
      <c r="H2921" s="15" t="s">
        <v>45</v>
      </c>
      <c r="I2921">
        <v>170</v>
      </c>
      <c r="J2921">
        <v>-20</v>
      </c>
      <c r="K2921">
        <v>-90</v>
      </c>
      <c r="L2921">
        <v>150</v>
      </c>
      <c r="M2921">
        <v>235</v>
      </c>
      <c r="N2921">
        <v>2169</v>
      </c>
      <c r="O2921">
        <v>-37</v>
      </c>
      <c r="P2921">
        <v>72</v>
      </c>
      <c r="Q2921">
        <v>-181</v>
      </c>
      <c r="R2921">
        <v>196</v>
      </c>
      <c r="S2921">
        <v>1.3066666666666666</v>
      </c>
      <c r="T2921">
        <v>2.0111111111111111</v>
      </c>
      <c r="U2921">
        <v>1.3823529411764706</v>
      </c>
    </row>
    <row r="2922" spans="1:21" x14ac:dyDescent="0.35">
      <c r="A2922">
        <v>516</v>
      </c>
      <c r="B2922" s="16">
        <v>40664</v>
      </c>
      <c r="C2922" s="15" t="s">
        <v>63</v>
      </c>
      <c r="D2922" s="15" t="s">
        <v>38</v>
      </c>
      <c r="E2922" s="15" t="s">
        <v>55</v>
      </c>
      <c r="F2922" s="15" t="s">
        <v>47</v>
      </c>
      <c r="G2922" s="15" t="s">
        <v>69</v>
      </c>
      <c r="H2922" s="15" t="s">
        <v>42</v>
      </c>
      <c r="I2922">
        <v>110</v>
      </c>
      <c r="J2922">
        <v>160</v>
      </c>
      <c r="K2922">
        <v>120</v>
      </c>
      <c r="L2922">
        <v>270</v>
      </c>
      <c r="M2922">
        <v>104</v>
      </c>
      <c r="N2922">
        <v>871</v>
      </c>
      <c r="O2922">
        <v>152</v>
      </c>
      <c r="P2922">
        <v>29</v>
      </c>
      <c r="Q2922">
        <v>155</v>
      </c>
      <c r="R2922">
        <v>254</v>
      </c>
      <c r="S2922">
        <v>0.94074074074074077</v>
      </c>
      <c r="T2922">
        <v>1.2916666666666667</v>
      </c>
      <c r="U2922">
        <v>0.94545454545454544</v>
      </c>
    </row>
    <row r="2923" spans="1:21" x14ac:dyDescent="0.35">
      <c r="A2923">
        <v>646</v>
      </c>
      <c r="B2923" s="16">
        <v>40664</v>
      </c>
      <c r="C2923" s="15" t="s">
        <v>63</v>
      </c>
      <c r="D2923" s="15" t="s">
        <v>38</v>
      </c>
      <c r="E2923" s="15" t="s">
        <v>56</v>
      </c>
      <c r="F2923" s="15" t="s">
        <v>47</v>
      </c>
      <c r="G2923" s="15" t="s">
        <v>69</v>
      </c>
      <c r="H2923" s="15" t="s">
        <v>42</v>
      </c>
      <c r="I2923">
        <v>110</v>
      </c>
      <c r="J2923">
        <v>160</v>
      </c>
      <c r="K2923">
        <v>120</v>
      </c>
      <c r="L2923">
        <v>270</v>
      </c>
      <c r="M2923">
        <v>104</v>
      </c>
      <c r="N2923">
        <v>821</v>
      </c>
      <c r="O2923">
        <v>152</v>
      </c>
      <c r="P2923">
        <v>29</v>
      </c>
      <c r="Q2923">
        <v>153</v>
      </c>
      <c r="R2923">
        <v>254</v>
      </c>
      <c r="S2923">
        <v>0.94074074074074077</v>
      </c>
      <c r="T2923">
        <v>1.2749999999999999</v>
      </c>
      <c r="U2923">
        <v>0.94545454545454544</v>
      </c>
    </row>
    <row r="2924" spans="1:21" x14ac:dyDescent="0.35">
      <c r="A2924">
        <v>646</v>
      </c>
      <c r="B2924" s="16">
        <v>40664</v>
      </c>
      <c r="C2924" s="15" t="s">
        <v>63</v>
      </c>
      <c r="D2924" s="15" t="s">
        <v>38</v>
      </c>
      <c r="E2924" s="15" t="s">
        <v>43</v>
      </c>
      <c r="F2924" s="15" t="s">
        <v>40</v>
      </c>
      <c r="G2924" s="15" t="s">
        <v>69</v>
      </c>
      <c r="H2924" s="15" t="s">
        <v>42</v>
      </c>
      <c r="I2924">
        <v>280</v>
      </c>
      <c r="J2924">
        <v>430</v>
      </c>
      <c r="K2924">
        <v>300</v>
      </c>
      <c r="L2924">
        <v>710</v>
      </c>
      <c r="M2924">
        <v>302</v>
      </c>
      <c r="N2924">
        <v>2250</v>
      </c>
      <c r="O2924">
        <v>454</v>
      </c>
      <c r="P2924">
        <v>105</v>
      </c>
      <c r="Q2924">
        <v>407</v>
      </c>
      <c r="R2924">
        <v>749</v>
      </c>
      <c r="S2924">
        <v>1.0549295774647887</v>
      </c>
      <c r="T2924">
        <v>1.3566666666666667</v>
      </c>
      <c r="U2924">
        <v>1.0785714285714285</v>
      </c>
    </row>
    <row r="2925" spans="1:21" x14ac:dyDescent="0.35">
      <c r="A2925">
        <v>646</v>
      </c>
      <c r="B2925" s="16">
        <v>40664</v>
      </c>
      <c r="C2925" s="15" t="s">
        <v>63</v>
      </c>
      <c r="D2925" s="15" t="s">
        <v>38</v>
      </c>
      <c r="E2925" s="15" t="s">
        <v>48</v>
      </c>
      <c r="F2925" s="15" t="s">
        <v>49</v>
      </c>
      <c r="G2925" s="15" t="s">
        <v>69</v>
      </c>
      <c r="H2925" s="15" t="s">
        <v>42</v>
      </c>
      <c r="I2925">
        <v>110</v>
      </c>
      <c r="J2925">
        <v>-50</v>
      </c>
      <c r="K2925">
        <v>-180</v>
      </c>
      <c r="L2925">
        <v>60</v>
      </c>
      <c r="M2925">
        <v>121</v>
      </c>
      <c r="N2925">
        <v>1673</v>
      </c>
      <c r="O2925">
        <v>-52</v>
      </c>
      <c r="P2925">
        <v>109</v>
      </c>
      <c r="Q2925">
        <v>-269</v>
      </c>
      <c r="R2925">
        <v>68</v>
      </c>
      <c r="S2925">
        <v>1.1333333333333333</v>
      </c>
      <c r="T2925">
        <v>1.4944444444444445</v>
      </c>
      <c r="U2925">
        <v>1.1000000000000001</v>
      </c>
    </row>
    <row r="2926" spans="1:21" x14ac:dyDescent="0.35">
      <c r="A2926">
        <v>516</v>
      </c>
      <c r="B2926" s="16">
        <v>40664</v>
      </c>
      <c r="C2926" s="15" t="s">
        <v>63</v>
      </c>
      <c r="D2926" s="15" t="s">
        <v>38</v>
      </c>
      <c r="E2926" s="15" t="s">
        <v>67</v>
      </c>
      <c r="F2926" s="15" t="s">
        <v>49</v>
      </c>
      <c r="G2926" s="15" t="s">
        <v>69</v>
      </c>
      <c r="H2926" s="15" t="s">
        <v>42</v>
      </c>
      <c r="I2926">
        <v>240</v>
      </c>
      <c r="J2926">
        <v>290</v>
      </c>
      <c r="K2926">
        <v>210</v>
      </c>
      <c r="L2926">
        <v>530</v>
      </c>
      <c r="M2926">
        <v>260</v>
      </c>
      <c r="N2926">
        <v>1271</v>
      </c>
      <c r="O2926">
        <v>283</v>
      </c>
      <c r="P2926">
        <v>72</v>
      </c>
      <c r="Q2926">
        <v>258</v>
      </c>
      <c r="R2926">
        <v>538</v>
      </c>
      <c r="S2926">
        <v>1.0150943396226415</v>
      </c>
      <c r="T2926">
        <v>1.2285714285714286</v>
      </c>
      <c r="U2926">
        <v>1.0833333333333333</v>
      </c>
    </row>
    <row r="2927" spans="1:21" x14ac:dyDescent="0.35">
      <c r="A2927">
        <v>985</v>
      </c>
      <c r="B2927" s="16">
        <v>40664</v>
      </c>
      <c r="C2927" s="15" t="s">
        <v>70</v>
      </c>
      <c r="D2927" s="15" t="s">
        <v>58</v>
      </c>
      <c r="E2927" s="15" t="s">
        <v>51</v>
      </c>
      <c r="F2927" s="15" t="s">
        <v>52</v>
      </c>
      <c r="G2927" s="15" t="s">
        <v>71</v>
      </c>
      <c r="H2927" s="15" t="s">
        <v>45</v>
      </c>
      <c r="I2927">
        <v>40</v>
      </c>
      <c r="J2927">
        <v>60</v>
      </c>
      <c r="K2927">
        <v>40</v>
      </c>
      <c r="L2927">
        <v>100</v>
      </c>
      <c r="M2927">
        <v>48</v>
      </c>
      <c r="N2927">
        <v>599</v>
      </c>
      <c r="O2927">
        <v>63</v>
      </c>
      <c r="P2927">
        <v>15</v>
      </c>
      <c r="Q2927">
        <v>48</v>
      </c>
      <c r="R2927">
        <v>110</v>
      </c>
      <c r="S2927">
        <v>1.1000000000000001</v>
      </c>
      <c r="T2927">
        <v>1.2</v>
      </c>
      <c r="U2927">
        <v>1.2</v>
      </c>
    </row>
    <row r="2928" spans="1:21" x14ac:dyDescent="0.35">
      <c r="A2928">
        <v>337</v>
      </c>
      <c r="B2928" s="16">
        <v>40664</v>
      </c>
      <c r="C2928" s="15" t="s">
        <v>70</v>
      </c>
      <c r="D2928" s="15" t="s">
        <v>58</v>
      </c>
      <c r="E2928" s="15" t="s">
        <v>53</v>
      </c>
      <c r="F2928" s="15" t="s">
        <v>52</v>
      </c>
      <c r="G2928" s="15" t="s">
        <v>71</v>
      </c>
      <c r="H2928" s="15" t="s">
        <v>45</v>
      </c>
      <c r="I2928">
        <v>70</v>
      </c>
      <c r="J2928">
        <v>90</v>
      </c>
      <c r="K2928">
        <v>40</v>
      </c>
      <c r="L2928">
        <v>160</v>
      </c>
      <c r="M2928">
        <v>77</v>
      </c>
      <c r="N2928">
        <v>529</v>
      </c>
      <c r="O2928">
        <v>96</v>
      </c>
      <c r="P2928">
        <v>29</v>
      </c>
      <c r="Q2928">
        <v>46</v>
      </c>
      <c r="R2928">
        <v>171</v>
      </c>
      <c r="S2928">
        <v>1.0687500000000001</v>
      </c>
      <c r="T2928">
        <v>1.1499999999999999</v>
      </c>
      <c r="U2928">
        <v>1.1000000000000001</v>
      </c>
    </row>
    <row r="2929" spans="1:21" x14ac:dyDescent="0.35">
      <c r="A2929">
        <v>318</v>
      </c>
      <c r="B2929" s="16">
        <v>40664</v>
      </c>
      <c r="C2929" s="15" t="s">
        <v>70</v>
      </c>
      <c r="D2929" s="15" t="s">
        <v>58</v>
      </c>
      <c r="E2929" s="15" t="s">
        <v>43</v>
      </c>
      <c r="F2929" s="15" t="s">
        <v>40</v>
      </c>
      <c r="G2929" s="15" t="s">
        <v>71</v>
      </c>
      <c r="H2929" s="15" t="s">
        <v>42</v>
      </c>
      <c r="I2929">
        <v>50</v>
      </c>
      <c r="J2929">
        <v>70</v>
      </c>
      <c r="K2929">
        <v>50</v>
      </c>
      <c r="L2929">
        <v>120</v>
      </c>
      <c r="M2929">
        <v>40</v>
      </c>
      <c r="N2929">
        <v>793</v>
      </c>
      <c r="O2929">
        <v>59</v>
      </c>
      <c r="P2929">
        <v>11</v>
      </c>
      <c r="Q2929">
        <v>50</v>
      </c>
      <c r="R2929">
        <v>98</v>
      </c>
      <c r="S2929">
        <v>0.81666666666666665</v>
      </c>
      <c r="T2929">
        <v>1</v>
      </c>
      <c r="U2929">
        <v>0.8</v>
      </c>
    </row>
    <row r="2930" spans="1:21" x14ac:dyDescent="0.35">
      <c r="A2930">
        <v>337</v>
      </c>
      <c r="B2930" s="16">
        <v>40664</v>
      </c>
      <c r="C2930" s="15" t="s">
        <v>70</v>
      </c>
      <c r="D2930" s="15" t="s">
        <v>58</v>
      </c>
      <c r="E2930" s="15" t="s">
        <v>44</v>
      </c>
      <c r="F2930" s="15" t="s">
        <v>40</v>
      </c>
      <c r="G2930" s="15" t="s">
        <v>71</v>
      </c>
      <c r="H2930" s="15" t="s">
        <v>45</v>
      </c>
      <c r="I2930">
        <v>60</v>
      </c>
      <c r="J2930">
        <v>100</v>
      </c>
      <c r="K2930">
        <v>80</v>
      </c>
      <c r="L2930">
        <v>160</v>
      </c>
      <c r="M2930">
        <v>53</v>
      </c>
      <c r="N2930">
        <v>803</v>
      </c>
      <c r="O2930">
        <v>77</v>
      </c>
      <c r="P2930">
        <v>14</v>
      </c>
      <c r="Q2930">
        <v>72</v>
      </c>
      <c r="R2930">
        <v>129</v>
      </c>
      <c r="S2930">
        <v>0.80625000000000002</v>
      </c>
      <c r="T2930">
        <v>0.9</v>
      </c>
      <c r="U2930">
        <v>0.8833333333333333</v>
      </c>
    </row>
    <row r="2931" spans="1:21" x14ac:dyDescent="0.35">
      <c r="A2931">
        <v>985</v>
      </c>
      <c r="B2931" s="16">
        <v>40664</v>
      </c>
      <c r="C2931" s="15" t="s">
        <v>70</v>
      </c>
      <c r="D2931" s="15" t="s">
        <v>58</v>
      </c>
      <c r="E2931" s="15" t="s">
        <v>72</v>
      </c>
      <c r="F2931" s="15" t="s">
        <v>49</v>
      </c>
      <c r="G2931" s="15" t="s">
        <v>71</v>
      </c>
      <c r="H2931" s="15" t="s">
        <v>42</v>
      </c>
      <c r="I2931">
        <v>50</v>
      </c>
      <c r="J2931">
        <v>80</v>
      </c>
      <c r="K2931">
        <v>10</v>
      </c>
      <c r="L2931">
        <v>130</v>
      </c>
      <c r="M2931">
        <v>64</v>
      </c>
      <c r="N2931">
        <v>-113</v>
      </c>
      <c r="O2931">
        <v>90</v>
      </c>
      <c r="P2931">
        <v>58</v>
      </c>
      <c r="Q2931">
        <v>4</v>
      </c>
      <c r="R2931">
        <v>153</v>
      </c>
      <c r="S2931">
        <v>1.176923076923077</v>
      </c>
      <c r="T2931">
        <v>0.4</v>
      </c>
      <c r="U2931">
        <v>1.28</v>
      </c>
    </row>
    <row r="2932" spans="1:21" x14ac:dyDescent="0.35">
      <c r="A2932">
        <v>985</v>
      </c>
      <c r="B2932" s="16">
        <v>40664</v>
      </c>
      <c r="C2932" s="15" t="s">
        <v>70</v>
      </c>
      <c r="D2932" s="15" t="s">
        <v>58</v>
      </c>
      <c r="E2932" s="15" t="s">
        <v>48</v>
      </c>
      <c r="F2932" s="15" t="s">
        <v>49</v>
      </c>
      <c r="G2932" s="15" t="s">
        <v>71</v>
      </c>
      <c r="H2932" s="15" t="s">
        <v>42</v>
      </c>
      <c r="I2932">
        <v>40</v>
      </c>
      <c r="J2932">
        <v>70</v>
      </c>
      <c r="K2932">
        <v>50</v>
      </c>
      <c r="L2932">
        <v>110</v>
      </c>
      <c r="M2932">
        <v>48</v>
      </c>
      <c r="N2932">
        <v>351</v>
      </c>
      <c r="O2932">
        <v>82</v>
      </c>
      <c r="P2932">
        <v>14</v>
      </c>
      <c r="Q2932">
        <v>61</v>
      </c>
      <c r="R2932">
        <v>129</v>
      </c>
      <c r="S2932">
        <v>1.1727272727272726</v>
      </c>
      <c r="T2932">
        <v>1.22</v>
      </c>
      <c r="U2932">
        <v>1.2</v>
      </c>
    </row>
    <row r="2933" spans="1:21" x14ac:dyDescent="0.35">
      <c r="A2933">
        <v>225</v>
      </c>
      <c r="B2933" s="16">
        <v>40664</v>
      </c>
      <c r="C2933" s="15" t="s">
        <v>70</v>
      </c>
      <c r="D2933" s="15" t="s">
        <v>58</v>
      </c>
      <c r="E2933" s="15" t="s">
        <v>50</v>
      </c>
      <c r="F2933" s="15" t="s">
        <v>49</v>
      </c>
      <c r="G2933" s="15" t="s">
        <v>71</v>
      </c>
      <c r="H2933" s="15" t="s">
        <v>45</v>
      </c>
      <c r="I2933">
        <v>30</v>
      </c>
      <c r="J2933">
        <v>60</v>
      </c>
      <c r="K2933">
        <v>40</v>
      </c>
      <c r="L2933">
        <v>90</v>
      </c>
      <c r="M2933">
        <v>45</v>
      </c>
      <c r="N2933">
        <v>410</v>
      </c>
      <c r="O2933">
        <v>65</v>
      </c>
      <c r="P2933">
        <v>14</v>
      </c>
      <c r="Q2933">
        <v>39</v>
      </c>
      <c r="R2933">
        <v>109</v>
      </c>
      <c r="S2933">
        <v>1.211111111111111</v>
      </c>
      <c r="T2933">
        <v>0.97499999999999998</v>
      </c>
      <c r="U2933">
        <v>1.5</v>
      </c>
    </row>
    <row r="2934" spans="1:21" x14ac:dyDescent="0.35">
      <c r="A2934">
        <v>505</v>
      </c>
      <c r="B2934" s="16">
        <v>40664</v>
      </c>
      <c r="C2934" s="15" t="s">
        <v>70</v>
      </c>
      <c r="D2934" s="15" t="s">
        <v>58</v>
      </c>
      <c r="E2934" s="15" t="s">
        <v>51</v>
      </c>
      <c r="F2934" s="15" t="s">
        <v>52</v>
      </c>
      <c r="G2934" s="15" t="s">
        <v>73</v>
      </c>
      <c r="H2934" s="15" t="s">
        <v>45</v>
      </c>
      <c r="I2934">
        <v>10</v>
      </c>
      <c r="J2934">
        <v>30</v>
      </c>
      <c r="K2934">
        <v>20</v>
      </c>
      <c r="L2934">
        <v>40</v>
      </c>
      <c r="M2934">
        <v>20</v>
      </c>
      <c r="N2934">
        <v>829</v>
      </c>
      <c r="O2934">
        <v>29</v>
      </c>
      <c r="P2934">
        <v>5</v>
      </c>
      <c r="Q2934">
        <v>17</v>
      </c>
      <c r="R2934">
        <v>49</v>
      </c>
      <c r="S2934">
        <v>1.2250000000000001</v>
      </c>
      <c r="T2934">
        <v>0.85</v>
      </c>
      <c r="U2934">
        <v>2</v>
      </c>
    </row>
    <row r="2935" spans="1:21" x14ac:dyDescent="0.35">
      <c r="A2935">
        <v>505</v>
      </c>
      <c r="B2935" s="16">
        <v>40664</v>
      </c>
      <c r="C2935" s="15" t="s">
        <v>70</v>
      </c>
      <c r="D2935" s="15" t="s">
        <v>58</v>
      </c>
      <c r="E2935" s="15" t="s">
        <v>53</v>
      </c>
      <c r="F2935" s="15" t="s">
        <v>52</v>
      </c>
      <c r="G2935" s="15" t="s">
        <v>73</v>
      </c>
      <c r="H2935" s="15" t="s">
        <v>45</v>
      </c>
      <c r="I2935">
        <v>20</v>
      </c>
      <c r="J2935">
        <v>40</v>
      </c>
      <c r="K2935">
        <v>20</v>
      </c>
      <c r="L2935">
        <v>60</v>
      </c>
      <c r="M2935">
        <v>31</v>
      </c>
      <c r="N2935">
        <v>976</v>
      </c>
      <c r="O2935">
        <v>37</v>
      </c>
      <c r="P2935">
        <v>9</v>
      </c>
      <c r="Q2935">
        <v>10</v>
      </c>
      <c r="R2935">
        <v>67</v>
      </c>
      <c r="S2935">
        <v>1.1166666666666667</v>
      </c>
      <c r="T2935">
        <v>0.5</v>
      </c>
      <c r="U2935">
        <v>1.55</v>
      </c>
    </row>
    <row r="2936" spans="1:21" x14ac:dyDescent="0.35">
      <c r="A2936">
        <v>505</v>
      </c>
      <c r="B2936" s="16">
        <v>40664</v>
      </c>
      <c r="C2936" s="15" t="s">
        <v>70</v>
      </c>
      <c r="D2936" s="15" t="s">
        <v>58</v>
      </c>
      <c r="E2936" s="15" t="s">
        <v>43</v>
      </c>
      <c r="F2936" s="15" t="s">
        <v>40</v>
      </c>
      <c r="G2936" s="15" t="s">
        <v>73</v>
      </c>
      <c r="H2936" s="15" t="s">
        <v>42</v>
      </c>
      <c r="I2936">
        <v>60</v>
      </c>
      <c r="J2936">
        <v>100</v>
      </c>
      <c r="K2936">
        <v>60</v>
      </c>
      <c r="L2936">
        <v>160</v>
      </c>
      <c r="M2936">
        <v>52</v>
      </c>
      <c r="N2936">
        <v>397</v>
      </c>
      <c r="O2936">
        <v>80</v>
      </c>
      <c r="P2936">
        <v>17</v>
      </c>
      <c r="Q2936">
        <v>43</v>
      </c>
      <c r="R2936">
        <v>131</v>
      </c>
      <c r="S2936">
        <v>0.81874999999999998</v>
      </c>
      <c r="T2936">
        <v>0.71666666666666667</v>
      </c>
      <c r="U2936">
        <v>0.8666666666666667</v>
      </c>
    </row>
    <row r="2937" spans="1:21" x14ac:dyDescent="0.35">
      <c r="A2937">
        <v>505</v>
      </c>
      <c r="B2937" s="16">
        <v>40664</v>
      </c>
      <c r="C2937" s="15" t="s">
        <v>70</v>
      </c>
      <c r="D2937" s="15" t="s">
        <v>58</v>
      </c>
      <c r="E2937" s="15" t="s">
        <v>44</v>
      </c>
      <c r="F2937" s="15" t="s">
        <v>40</v>
      </c>
      <c r="G2937" s="15" t="s">
        <v>73</v>
      </c>
      <c r="H2937" s="15" t="s">
        <v>45</v>
      </c>
      <c r="I2937">
        <v>120</v>
      </c>
      <c r="J2937">
        <v>50</v>
      </c>
      <c r="K2937">
        <v>10</v>
      </c>
      <c r="L2937">
        <v>170</v>
      </c>
      <c r="M2937">
        <v>98</v>
      </c>
      <c r="N2937">
        <v>973</v>
      </c>
      <c r="O2937">
        <v>38</v>
      </c>
      <c r="P2937">
        <v>30</v>
      </c>
      <c r="Q2937">
        <v>-21</v>
      </c>
      <c r="R2937">
        <v>135</v>
      </c>
      <c r="S2937">
        <v>0.79411764705882348</v>
      </c>
      <c r="T2937">
        <v>-2.1</v>
      </c>
      <c r="U2937">
        <v>0.81666666666666665</v>
      </c>
    </row>
    <row r="2938" spans="1:21" x14ac:dyDescent="0.35">
      <c r="A2938">
        <v>505</v>
      </c>
      <c r="B2938" s="16">
        <v>40664</v>
      </c>
      <c r="C2938" s="15" t="s">
        <v>70</v>
      </c>
      <c r="D2938" s="15" t="s">
        <v>58</v>
      </c>
      <c r="E2938" s="15" t="s">
        <v>72</v>
      </c>
      <c r="F2938" s="15" t="s">
        <v>49</v>
      </c>
      <c r="G2938" s="15" t="s">
        <v>73</v>
      </c>
      <c r="H2938" s="15" t="s">
        <v>42</v>
      </c>
      <c r="I2938">
        <v>20</v>
      </c>
      <c r="J2938">
        <v>40</v>
      </c>
      <c r="K2938">
        <v>10</v>
      </c>
      <c r="L2938">
        <v>60</v>
      </c>
      <c r="M2938">
        <v>34</v>
      </c>
      <c r="N2938">
        <v>-104</v>
      </c>
      <c r="O2938">
        <v>42</v>
      </c>
      <c r="P2938">
        <v>12</v>
      </c>
      <c r="Q2938">
        <v>-6</v>
      </c>
      <c r="R2938">
        <v>75</v>
      </c>
      <c r="S2938">
        <v>1.25</v>
      </c>
      <c r="T2938">
        <v>-0.6</v>
      </c>
      <c r="U2938">
        <v>1.7</v>
      </c>
    </row>
    <row r="2939" spans="1:21" x14ac:dyDescent="0.35">
      <c r="A2939">
        <v>505</v>
      </c>
      <c r="B2939" s="16">
        <v>40664</v>
      </c>
      <c r="C2939" s="15" t="s">
        <v>70</v>
      </c>
      <c r="D2939" s="15" t="s">
        <v>58</v>
      </c>
      <c r="E2939" s="15" t="s">
        <v>48</v>
      </c>
      <c r="F2939" s="15" t="s">
        <v>49</v>
      </c>
      <c r="G2939" s="15" t="s">
        <v>73</v>
      </c>
      <c r="H2939" s="15" t="s">
        <v>42</v>
      </c>
      <c r="I2939">
        <v>30</v>
      </c>
      <c r="J2939">
        <v>50</v>
      </c>
      <c r="K2939">
        <v>0</v>
      </c>
      <c r="L2939">
        <v>80</v>
      </c>
      <c r="M2939">
        <v>43</v>
      </c>
      <c r="N2939">
        <v>282</v>
      </c>
      <c r="O2939">
        <v>61</v>
      </c>
      <c r="P2939">
        <v>39</v>
      </c>
      <c r="Q2939">
        <v>-10</v>
      </c>
      <c r="R2939">
        <v>103</v>
      </c>
      <c r="S2939">
        <v>1.2875000000000001</v>
      </c>
      <c r="U2939">
        <v>1.4333333333333333</v>
      </c>
    </row>
    <row r="2940" spans="1:21" x14ac:dyDescent="0.35">
      <c r="A2940">
        <v>505</v>
      </c>
      <c r="B2940" s="16">
        <v>40664</v>
      </c>
      <c r="C2940" s="15" t="s">
        <v>70</v>
      </c>
      <c r="D2940" s="15" t="s">
        <v>58</v>
      </c>
      <c r="E2940" s="15" t="s">
        <v>50</v>
      </c>
      <c r="F2940" s="15" t="s">
        <v>49</v>
      </c>
      <c r="G2940" s="15" t="s">
        <v>73</v>
      </c>
      <c r="H2940" s="15" t="s">
        <v>45</v>
      </c>
      <c r="I2940">
        <v>30</v>
      </c>
      <c r="J2940">
        <v>40</v>
      </c>
      <c r="K2940">
        <v>10</v>
      </c>
      <c r="L2940">
        <v>70</v>
      </c>
      <c r="M2940">
        <v>39</v>
      </c>
      <c r="N2940">
        <v>212</v>
      </c>
      <c r="O2940">
        <v>53</v>
      </c>
      <c r="P2940">
        <v>12</v>
      </c>
      <c r="Q2940">
        <v>19</v>
      </c>
      <c r="R2940">
        <v>91</v>
      </c>
      <c r="S2940">
        <v>1.3</v>
      </c>
      <c r="T2940">
        <v>1.9</v>
      </c>
      <c r="U2940">
        <v>1.3</v>
      </c>
    </row>
    <row r="2941" spans="1:21" x14ac:dyDescent="0.35">
      <c r="A2941">
        <v>405</v>
      </c>
      <c r="B2941" s="16">
        <v>40664</v>
      </c>
      <c r="C2941" s="15" t="s">
        <v>70</v>
      </c>
      <c r="D2941" s="15" t="s">
        <v>58</v>
      </c>
      <c r="E2941" s="15" t="s">
        <v>51</v>
      </c>
      <c r="F2941" s="15" t="s">
        <v>52</v>
      </c>
      <c r="G2941" s="15" t="s">
        <v>74</v>
      </c>
      <c r="H2941" s="15" t="s">
        <v>45</v>
      </c>
      <c r="I2941">
        <v>50</v>
      </c>
      <c r="J2941">
        <v>70</v>
      </c>
      <c r="K2941">
        <v>20</v>
      </c>
      <c r="L2941">
        <v>120</v>
      </c>
      <c r="M2941">
        <v>58</v>
      </c>
      <c r="N2941">
        <v>338</v>
      </c>
      <c r="O2941">
        <v>72</v>
      </c>
      <c r="P2941">
        <v>22</v>
      </c>
      <c r="Q2941">
        <v>23</v>
      </c>
      <c r="R2941">
        <v>129</v>
      </c>
      <c r="S2941">
        <v>1.075</v>
      </c>
      <c r="T2941">
        <v>1.1499999999999999</v>
      </c>
      <c r="U2941">
        <v>1.1599999999999999</v>
      </c>
    </row>
    <row r="2942" spans="1:21" x14ac:dyDescent="0.35">
      <c r="A2942">
        <v>580</v>
      </c>
      <c r="B2942" s="16">
        <v>40664</v>
      </c>
      <c r="C2942" s="15" t="s">
        <v>70</v>
      </c>
      <c r="D2942" s="15" t="s">
        <v>58</v>
      </c>
      <c r="E2942" s="15" t="s">
        <v>53</v>
      </c>
      <c r="F2942" s="15" t="s">
        <v>52</v>
      </c>
      <c r="G2942" s="15" t="s">
        <v>74</v>
      </c>
      <c r="H2942" s="15" t="s">
        <v>45</v>
      </c>
      <c r="I2942">
        <v>80</v>
      </c>
      <c r="J2942">
        <v>130</v>
      </c>
      <c r="K2942">
        <v>40</v>
      </c>
      <c r="L2942">
        <v>210</v>
      </c>
      <c r="M2942">
        <v>92</v>
      </c>
      <c r="N2942">
        <v>599</v>
      </c>
      <c r="O2942">
        <v>129</v>
      </c>
      <c r="P2942">
        <v>83</v>
      </c>
      <c r="Q2942">
        <v>23</v>
      </c>
      <c r="R2942">
        <v>219</v>
      </c>
      <c r="S2942">
        <v>1.0428571428571429</v>
      </c>
      <c r="T2942">
        <v>0.57499999999999996</v>
      </c>
      <c r="U2942">
        <v>1.1499999999999999</v>
      </c>
    </row>
    <row r="2943" spans="1:21" x14ac:dyDescent="0.35">
      <c r="A2943">
        <v>918</v>
      </c>
      <c r="B2943" s="16">
        <v>40664</v>
      </c>
      <c r="C2943" s="15" t="s">
        <v>70</v>
      </c>
      <c r="D2943" s="15" t="s">
        <v>58</v>
      </c>
      <c r="E2943" s="15" t="s">
        <v>43</v>
      </c>
      <c r="F2943" s="15" t="s">
        <v>40</v>
      </c>
      <c r="G2943" s="15" t="s">
        <v>74</v>
      </c>
      <c r="H2943" s="15" t="s">
        <v>42</v>
      </c>
      <c r="I2943">
        <v>50</v>
      </c>
      <c r="J2943">
        <v>70</v>
      </c>
      <c r="K2943">
        <v>50</v>
      </c>
      <c r="L2943">
        <v>120</v>
      </c>
      <c r="M2943">
        <v>43</v>
      </c>
      <c r="N2943">
        <v>602</v>
      </c>
      <c r="O2943">
        <v>56</v>
      </c>
      <c r="P2943">
        <v>14</v>
      </c>
      <c r="Q2943">
        <v>41</v>
      </c>
      <c r="R2943">
        <v>98</v>
      </c>
      <c r="S2943">
        <v>0.81666666666666665</v>
      </c>
      <c r="T2943">
        <v>0.82</v>
      </c>
      <c r="U2943">
        <v>0.86</v>
      </c>
    </row>
    <row r="2944" spans="1:21" x14ac:dyDescent="0.35">
      <c r="A2944">
        <v>918</v>
      </c>
      <c r="B2944" s="16">
        <v>40664</v>
      </c>
      <c r="C2944" s="15" t="s">
        <v>70</v>
      </c>
      <c r="D2944" s="15" t="s">
        <v>58</v>
      </c>
      <c r="E2944" s="15" t="s">
        <v>44</v>
      </c>
      <c r="F2944" s="15" t="s">
        <v>40</v>
      </c>
      <c r="G2944" s="15" t="s">
        <v>74</v>
      </c>
      <c r="H2944" s="15" t="s">
        <v>45</v>
      </c>
      <c r="I2944">
        <v>30</v>
      </c>
      <c r="J2944">
        <v>50</v>
      </c>
      <c r="K2944">
        <v>40</v>
      </c>
      <c r="L2944">
        <v>80</v>
      </c>
      <c r="M2944">
        <v>29</v>
      </c>
      <c r="N2944">
        <v>835</v>
      </c>
      <c r="O2944">
        <v>42</v>
      </c>
      <c r="P2944">
        <v>8</v>
      </c>
      <c r="Q2944">
        <v>30</v>
      </c>
      <c r="R2944">
        <v>70</v>
      </c>
      <c r="S2944">
        <v>0.875</v>
      </c>
      <c r="T2944">
        <v>0.75</v>
      </c>
      <c r="U2944">
        <v>0.96666666666666667</v>
      </c>
    </row>
    <row r="2945" spans="1:21" x14ac:dyDescent="0.35">
      <c r="A2945">
        <v>918</v>
      </c>
      <c r="B2945" s="16">
        <v>40664</v>
      </c>
      <c r="C2945" s="15" t="s">
        <v>70</v>
      </c>
      <c r="D2945" s="15" t="s">
        <v>58</v>
      </c>
      <c r="E2945" s="15" t="s">
        <v>72</v>
      </c>
      <c r="F2945" s="15" t="s">
        <v>49</v>
      </c>
      <c r="G2945" s="15" t="s">
        <v>74</v>
      </c>
      <c r="H2945" s="15" t="s">
        <v>42</v>
      </c>
      <c r="I2945">
        <v>90</v>
      </c>
      <c r="J2945">
        <v>140</v>
      </c>
      <c r="K2945">
        <v>100</v>
      </c>
      <c r="L2945">
        <v>230</v>
      </c>
      <c r="M2945">
        <v>114</v>
      </c>
      <c r="N2945">
        <v>-387</v>
      </c>
      <c r="O2945">
        <v>159</v>
      </c>
      <c r="P2945">
        <v>35</v>
      </c>
      <c r="Q2945">
        <v>139</v>
      </c>
      <c r="R2945">
        <v>271</v>
      </c>
      <c r="S2945">
        <v>1.1782608695652175</v>
      </c>
      <c r="T2945">
        <v>1.39</v>
      </c>
      <c r="U2945">
        <v>1.2666666666666666</v>
      </c>
    </row>
    <row r="2946" spans="1:21" x14ac:dyDescent="0.35">
      <c r="A2946">
        <v>918</v>
      </c>
      <c r="B2946" s="16">
        <v>40664</v>
      </c>
      <c r="C2946" s="15" t="s">
        <v>70</v>
      </c>
      <c r="D2946" s="15" t="s">
        <v>58</v>
      </c>
      <c r="E2946" s="15" t="s">
        <v>48</v>
      </c>
      <c r="F2946" s="15" t="s">
        <v>49</v>
      </c>
      <c r="G2946" s="15" t="s">
        <v>74</v>
      </c>
      <c r="H2946" s="15" t="s">
        <v>42</v>
      </c>
      <c r="I2946">
        <v>10</v>
      </c>
      <c r="J2946">
        <v>30</v>
      </c>
      <c r="K2946">
        <v>30</v>
      </c>
      <c r="L2946">
        <v>40</v>
      </c>
      <c r="M2946">
        <v>20</v>
      </c>
      <c r="N2946">
        <v>464</v>
      </c>
      <c r="O2946">
        <v>29</v>
      </c>
      <c r="P2946">
        <v>5</v>
      </c>
      <c r="Q2946">
        <v>18</v>
      </c>
      <c r="R2946">
        <v>49</v>
      </c>
      <c r="S2946">
        <v>1.2250000000000001</v>
      </c>
      <c r="T2946">
        <v>0.6</v>
      </c>
      <c r="U2946">
        <v>2</v>
      </c>
    </row>
    <row r="2947" spans="1:21" x14ac:dyDescent="0.35">
      <c r="A2947">
        <v>580</v>
      </c>
      <c r="B2947" s="16">
        <v>40664</v>
      </c>
      <c r="C2947" s="15" t="s">
        <v>70</v>
      </c>
      <c r="D2947" s="15" t="s">
        <v>58</v>
      </c>
      <c r="E2947" s="15" t="s">
        <v>50</v>
      </c>
      <c r="F2947" s="15" t="s">
        <v>49</v>
      </c>
      <c r="G2947" s="15" t="s">
        <v>74</v>
      </c>
      <c r="H2947" s="15" t="s">
        <v>45</v>
      </c>
      <c r="I2947">
        <v>80</v>
      </c>
      <c r="J2947">
        <v>120</v>
      </c>
      <c r="K2947">
        <v>80</v>
      </c>
      <c r="L2947">
        <v>200</v>
      </c>
      <c r="M2947">
        <v>94</v>
      </c>
      <c r="N2947">
        <v>697</v>
      </c>
      <c r="O2947">
        <v>141</v>
      </c>
      <c r="P2947">
        <v>31</v>
      </c>
      <c r="Q2947">
        <v>109</v>
      </c>
      <c r="R2947">
        <v>233</v>
      </c>
      <c r="S2947">
        <v>1.165</v>
      </c>
      <c r="T2947">
        <v>1.3625</v>
      </c>
      <c r="U2947">
        <v>1.175</v>
      </c>
    </row>
    <row r="2948" spans="1:21" x14ac:dyDescent="0.35">
      <c r="A2948">
        <v>915</v>
      </c>
      <c r="B2948" s="16">
        <v>40664</v>
      </c>
      <c r="C2948" s="15" t="s">
        <v>70</v>
      </c>
      <c r="D2948" s="15" t="s">
        <v>38</v>
      </c>
      <c r="E2948" s="15" t="s">
        <v>51</v>
      </c>
      <c r="F2948" s="15" t="s">
        <v>52</v>
      </c>
      <c r="G2948" s="15" t="s">
        <v>75</v>
      </c>
      <c r="H2948" s="15" t="s">
        <v>45</v>
      </c>
      <c r="I2948">
        <v>40</v>
      </c>
      <c r="J2948">
        <v>80</v>
      </c>
      <c r="K2948">
        <v>50</v>
      </c>
      <c r="L2948">
        <v>120</v>
      </c>
      <c r="M2948">
        <v>52</v>
      </c>
      <c r="N2948">
        <v>361</v>
      </c>
      <c r="O2948">
        <v>71</v>
      </c>
      <c r="P2948">
        <v>17</v>
      </c>
      <c r="Q2948">
        <v>37</v>
      </c>
      <c r="R2948">
        <v>122</v>
      </c>
      <c r="S2948">
        <v>1.0166666666666666</v>
      </c>
      <c r="T2948">
        <v>0.74</v>
      </c>
      <c r="U2948">
        <v>1.3</v>
      </c>
    </row>
    <row r="2949" spans="1:21" x14ac:dyDescent="0.35">
      <c r="A2949">
        <v>254</v>
      </c>
      <c r="B2949" s="16">
        <v>40664</v>
      </c>
      <c r="C2949" s="15" t="s">
        <v>70</v>
      </c>
      <c r="D2949" s="15" t="s">
        <v>38</v>
      </c>
      <c r="E2949" s="15" t="s">
        <v>53</v>
      </c>
      <c r="F2949" s="15" t="s">
        <v>52</v>
      </c>
      <c r="G2949" s="15" t="s">
        <v>75</v>
      </c>
      <c r="H2949" s="15" t="s">
        <v>45</v>
      </c>
      <c r="I2949">
        <v>40</v>
      </c>
      <c r="J2949">
        <v>60</v>
      </c>
      <c r="K2949">
        <v>30</v>
      </c>
      <c r="L2949">
        <v>100</v>
      </c>
      <c r="M2949">
        <v>42</v>
      </c>
      <c r="N2949">
        <v>384</v>
      </c>
      <c r="O2949">
        <v>61</v>
      </c>
      <c r="P2949">
        <v>13</v>
      </c>
      <c r="Q2949">
        <v>35</v>
      </c>
      <c r="R2949">
        <v>102</v>
      </c>
      <c r="S2949">
        <v>1.02</v>
      </c>
      <c r="T2949">
        <v>1.1666666666666667</v>
      </c>
      <c r="U2949">
        <v>1.05</v>
      </c>
    </row>
    <row r="2950" spans="1:21" x14ac:dyDescent="0.35">
      <c r="A2950">
        <v>817</v>
      </c>
      <c r="B2950" s="16">
        <v>40664</v>
      </c>
      <c r="C2950" s="15" t="s">
        <v>70</v>
      </c>
      <c r="D2950" s="15" t="s">
        <v>38</v>
      </c>
      <c r="E2950" s="15" t="s">
        <v>43</v>
      </c>
      <c r="F2950" s="15" t="s">
        <v>40</v>
      </c>
      <c r="G2950" s="15" t="s">
        <v>75</v>
      </c>
      <c r="H2950" s="15" t="s">
        <v>42</v>
      </c>
      <c r="I2950">
        <v>290</v>
      </c>
      <c r="J2950">
        <v>350</v>
      </c>
      <c r="K2950">
        <v>270</v>
      </c>
      <c r="L2950">
        <v>640</v>
      </c>
      <c r="M2950">
        <v>235</v>
      </c>
      <c r="N2950">
        <v>1060</v>
      </c>
      <c r="O2950">
        <v>277</v>
      </c>
      <c r="P2950">
        <v>72</v>
      </c>
      <c r="Q2950">
        <v>253</v>
      </c>
      <c r="R2950">
        <v>507</v>
      </c>
      <c r="S2950">
        <v>0.79218750000000004</v>
      </c>
      <c r="T2950">
        <v>0.937037037037037</v>
      </c>
      <c r="U2950">
        <v>0.81034482758620685</v>
      </c>
    </row>
    <row r="2951" spans="1:21" x14ac:dyDescent="0.35">
      <c r="A2951">
        <v>281</v>
      </c>
      <c r="B2951" s="16">
        <v>40664</v>
      </c>
      <c r="C2951" s="15" t="s">
        <v>70</v>
      </c>
      <c r="D2951" s="15" t="s">
        <v>38</v>
      </c>
      <c r="E2951" s="15" t="s">
        <v>44</v>
      </c>
      <c r="F2951" s="15" t="s">
        <v>40</v>
      </c>
      <c r="G2951" s="15" t="s">
        <v>75</v>
      </c>
      <c r="H2951" s="15" t="s">
        <v>45</v>
      </c>
      <c r="I2951">
        <v>100</v>
      </c>
      <c r="J2951">
        <v>130</v>
      </c>
      <c r="K2951">
        <v>100</v>
      </c>
      <c r="L2951">
        <v>230</v>
      </c>
      <c r="M2951">
        <v>83</v>
      </c>
      <c r="N2951">
        <v>584</v>
      </c>
      <c r="O2951">
        <v>107</v>
      </c>
      <c r="P2951">
        <v>27</v>
      </c>
      <c r="Q2951">
        <v>94</v>
      </c>
      <c r="R2951">
        <v>188</v>
      </c>
      <c r="S2951">
        <v>0.81739130434782614</v>
      </c>
      <c r="T2951">
        <v>0.94</v>
      </c>
      <c r="U2951">
        <v>0.83</v>
      </c>
    </row>
    <row r="2952" spans="1:21" x14ac:dyDescent="0.35">
      <c r="A2952">
        <v>409</v>
      </c>
      <c r="B2952" s="16">
        <v>40664</v>
      </c>
      <c r="C2952" s="15" t="s">
        <v>70</v>
      </c>
      <c r="D2952" s="15" t="s">
        <v>38</v>
      </c>
      <c r="E2952" s="15" t="s">
        <v>72</v>
      </c>
      <c r="F2952" s="15" t="s">
        <v>49</v>
      </c>
      <c r="G2952" s="15" t="s">
        <v>75</v>
      </c>
      <c r="H2952" s="15" t="s">
        <v>42</v>
      </c>
      <c r="I2952">
        <v>50</v>
      </c>
      <c r="J2952">
        <v>80</v>
      </c>
      <c r="K2952">
        <v>50</v>
      </c>
      <c r="L2952">
        <v>130</v>
      </c>
      <c r="M2952">
        <v>64</v>
      </c>
      <c r="N2952">
        <v>-161</v>
      </c>
      <c r="O2952">
        <v>96</v>
      </c>
      <c r="P2952">
        <v>21</v>
      </c>
      <c r="Q2952">
        <v>61</v>
      </c>
      <c r="R2952">
        <v>159</v>
      </c>
      <c r="S2952">
        <v>1.2230769230769232</v>
      </c>
      <c r="T2952">
        <v>1.22</v>
      </c>
      <c r="U2952">
        <v>1.28</v>
      </c>
    </row>
    <row r="2953" spans="1:21" x14ac:dyDescent="0.35">
      <c r="A2953">
        <v>830</v>
      </c>
      <c r="B2953" s="16">
        <v>40664</v>
      </c>
      <c r="C2953" s="15" t="s">
        <v>70</v>
      </c>
      <c r="D2953" s="15" t="s">
        <v>38</v>
      </c>
      <c r="E2953" s="15" t="s">
        <v>48</v>
      </c>
      <c r="F2953" s="15" t="s">
        <v>49</v>
      </c>
      <c r="G2953" s="15" t="s">
        <v>75</v>
      </c>
      <c r="H2953" s="15" t="s">
        <v>42</v>
      </c>
      <c r="I2953">
        <v>80</v>
      </c>
      <c r="J2953">
        <v>140</v>
      </c>
      <c r="K2953">
        <v>120</v>
      </c>
      <c r="L2953">
        <v>220</v>
      </c>
      <c r="M2953">
        <v>104</v>
      </c>
      <c r="N2953">
        <v>821</v>
      </c>
      <c r="O2953">
        <v>152</v>
      </c>
      <c r="P2953">
        <v>29</v>
      </c>
      <c r="Q2953">
        <v>155</v>
      </c>
      <c r="R2953">
        <v>254</v>
      </c>
      <c r="S2953">
        <v>1.1545454545454545</v>
      </c>
      <c r="T2953">
        <v>1.2916666666666667</v>
      </c>
      <c r="U2953">
        <v>1.3</v>
      </c>
    </row>
    <row r="2954" spans="1:21" x14ac:dyDescent="0.35">
      <c r="A2954">
        <v>254</v>
      </c>
      <c r="B2954" s="16">
        <v>40664</v>
      </c>
      <c r="C2954" s="15" t="s">
        <v>70</v>
      </c>
      <c r="D2954" s="15" t="s">
        <v>38</v>
      </c>
      <c r="E2954" s="15" t="s">
        <v>50</v>
      </c>
      <c r="F2954" s="15" t="s">
        <v>49</v>
      </c>
      <c r="G2954" s="15" t="s">
        <v>75</v>
      </c>
      <c r="H2954" s="15" t="s">
        <v>45</v>
      </c>
      <c r="I2954">
        <v>70</v>
      </c>
      <c r="J2954">
        <v>110</v>
      </c>
      <c r="K2954">
        <v>90</v>
      </c>
      <c r="L2954">
        <v>180</v>
      </c>
      <c r="M2954">
        <v>86</v>
      </c>
      <c r="N2954">
        <v>499</v>
      </c>
      <c r="O2954">
        <v>124</v>
      </c>
      <c r="P2954">
        <v>24</v>
      </c>
      <c r="Q2954">
        <v>121</v>
      </c>
      <c r="R2954">
        <v>208</v>
      </c>
      <c r="S2954">
        <v>1.1555555555555554</v>
      </c>
      <c r="T2954">
        <v>1.3444444444444446</v>
      </c>
      <c r="U2954">
        <v>1.2285714285714286</v>
      </c>
    </row>
    <row r="2955" spans="1:21" x14ac:dyDescent="0.35">
      <c r="A2955">
        <v>435</v>
      </c>
      <c r="B2955" s="16">
        <v>40664</v>
      </c>
      <c r="C2955" s="15" t="s">
        <v>76</v>
      </c>
      <c r="D2955" s="15" t="s">
        <v>58</v>
      </c>
      <c r="E2955" s="15" t="s">
        <v>51</v>
      </c>
      <c r="F2955" s="15" t="s">
        <v>52</v>
      </c>
      <c r="G2955" s="15" t="s">
        <v>77</v>
      </c>
      <c r="H2955" s="15" t="s">
        <v>45</v>
      </c>
      <c r="I2955">
        <v>40</v>
      </c>
      <c r="J2955">
        <v>70</v>
      </c>
      <c r="K2955">
        <v>40</v>
      </c>
      <c r="L2955">
        <v>110</v>
      </c>
      <c r="M2955">
        <v>51</v>
      </c>
      <c r="N2955">
        <v>265</v>
      </c>
      <c r="O2955">
        <v>74</v>
      </c>
      <c r="P2955">
        <v>16</v>
      </c>
      <c r="Q2955">
        <v>47</v>
      </c>
      <c r="R2955">
        <v>124</v>
      </c>
      <c r="S2955">
        <v>1.1272727272727272</v>
      </c>
      <c r="T2955">
        <v>1.175</v>
      </c>
      <c r="U2955">
        <v>1.2749999999999999</v>
      </c>
    </row>
    <row r="2956" spans="1:21" x14ac:dyDescent="0.35">
      <c r="A2956">
        <v>435</v>
      </c>
      <c r="B2956" s="16">
        <v>40664</v>
      </c>
      <c r="C2956" s="15" t="s">
        <v>76</v>
      </c>
      <c r="D2956" s="15" t="s">
        <v>58</v>
      </c>
      <c r="E2956" s="15" t="s">
        <v>53</v>
      </c>
      <c r="F2956" s="15" t="s">
        <v>52</v>
      </c>
      <c r="G2956" s="15" t="s">
        <v>77</v>
      </c>
      <c r="H2956" s="15" t="s">
        <v>45</v>
      </c>
      <c r="I2956">
        <v>40</v>
      </c>
      <c r="J2956">
        <v>70</v>
      </c>
      <c r="K2956">
        <v>40</v>
      </c>
      <c r="L2956">
        <v>110</v>
      </c>
      <c r="M2956">
        <v>52</v>
      </c>
      <c r="N2956">
        <v>397</v>
      </c>
      <c r="O2956">
        <v>80</v>
      </c>
      <c r="P2956">
        <v>17</v>
      </c>
      <c r="Q2956">
        <v>44</v>
      </c>
      <c r="R2956">
        <v>131</v>
      </c>
      <c r="S2956">
        <v>1.1909090909090909</v>
      </c>
      <c r="T2956">
        <v>1.1000000000000001</v>
      </c>
      <c r="U2956">
        <v>1.3</v>
      </c>
    </row>
    <row r="2957" spans="1:21" x14ac:dyDescent="0.35">
      <c r="A2957">
        <v>801</v>
      </c>
      <c r="B2957" s="16">
        <v>40664</v>
      </c>
      <c r="C2957" s="15" t="s">
        <v>76</v>
      </c>
      <c r="D2957" s="15" t="s">
        <v>58</v>
      </c>
      <c r="E2957" s="15" t="s">
        <v>54</v>
      </c>
      <c r="F2957" s="15" t="s">
        <v>52</v>
      </c>
      <c r="G2957" s="15" t="s">
        <v>77</v>
      </c>
      <c r="H2957" s="15" t="s">
        <v>45</v>
      </c>
      <c r="I2957">
        <v>80</v>
      </c>
      <c r="J2957">
        <v>30</v>
      </c>
      <c r="K2957">
        <v>-10</v>
      </c>
      <c r="L2957">
        <v>110</v>
      </c>
      <c r="M2957">
        <v>98</v>
      </c>
      <c r="N2957">
        <v>973</v>
      </c>
      <c r="O2957">
        <v>38</v>
      </c>
      <c r="P2957">
        <v>30</v>
      </c>
      <c r="Q2957">
        <v>-21</v>
      </c>
      <c r="R2957">
        <v>135</v>
      </c>
      <c r="S2957">
        <v>1.2272727272727273</v>
      </c>
      <c r="T2957">
        <v>2.1</v>
      </c>
      <c r="U2957">
        <v>1.2250000000000001</v>
      </c>
    </row>
    <row r="2958" spans="1:21" x14ac:dyDescent="0.35">
      <c r="A2958">
        <v>435</v>
      </c>
      <c r="B2958" s="16">
        <v>40664</v>
      </c>
      <c r="C2958" s="15" t="s">
        <v>76</v>
      </c>
      <c r="D2958" s="15" t="s">
        <v>58</v>
      </c>
      <c r="E2958" s="15" t="s">
        <v>55</v>
      </c>
      <c r="F2958" s="15" t="s">
        <v>47</v>
      </c>
      <c r="G2958" s="15" t="s">
        <v>77</v>
      </c>
      <c r="H2958" s="15" t="s">
        <v>42</v>
      </c>
      <c r="I2958">
        <v>20</v>
      </c>
      <c r="J2958">
        <v>50</v>
      </c>
      <c r="K2958">
        <v>10</v>
      </c>
      <c r="L2958">
        <v>70</v>
      </c>
      <c r="M2958">
        <v>43</v>
      </c>
      <c r="N2958">
        <v>282</v>
      </c>
      <c r="O2958">
        <v>61</v>
      </c>
      <c r="P2958">
        <v>39</v>
      </c>
      <c r="Q2958">
        <v>-11</v>
      </c>
      <c r="R2958">
        <v>103</v>
      </c>
      <c r="S2958">
        <v>1.4714285714285715</v>
      </c>
      <c r="T2958">
        <v>-1.1000000000000001</v>
      </c>
      <c r="U2958">
        <v>2.15</v>
      </c>
    </row>
    <row r="2959" spans="1:21" x14ac:dyDescent="0.35">
      <c r="A2959">
        <v>435</v>
      </c>
      <c r="B2959" s="16">
        <v>40664</v>
      </c>
      <c r="C2959" s="15" t="s">
        <v>76</v>
      </c>
      <c r="D2959" s="15" t="s">
        <v>58</v>
      </c>
      <c r="E2959" s="15" t="s">
        <v>56</v>
      </c>
      <c r="F2959" s="15" t="s">
        <v>47</v>
      </c>
      <c r="G2959" s="15" t="s">
        <v>77</v>
      </c>
      <c r="H2959" s="15" t="s">
        <v>42</v>
      </c>
      <c r="I2959">
        <v>20</v>
      </c>
      <c r="J2959">
        <v>40</v>
      </c>
      <c r="K2959">
        <v>20</v>
      </c>
      <c r="L2959">
        <v>60</v>
      </c>
      <c r="M2959">
        <v>39</v>
      </c>
      <c r="N2959">
        <v>212</v>
      </c>
      <c r="O2959">
        <v>53</v>
      </c>
      <c r="P2959">
        <v>12</v>
      </c>
      <c r="Q2959">
        <v>19</v>
      </c>
      <c r="R2959">
        <v>91</v>
      </c>
      <c r="S2959">
        <v>1.5166666666666666</v>
      </c>
      <c r="T2959">
        <v>0.95</v>
      </c>
      <c r="U2959">
        <v>1.95</v>
      </c>
    </row>
    <row r="2960" spans="1:21" x14ac:dyDescent="0.35">
      <c r="A2960">
        <v>801</v>
      </c>
      <c r="B2960" s="16">
        <v>40664</v>
      </c>
      <c r="C2960" s="15" t="s">
        <v>76</v>
      </c>
      <c r="D2960" s="15" t="s">
        <v>58</v>
      </c>
      <c r="E2960" s="15" t="s">
        <v>46</v>
      </c>
      <c r="F2960" s="15" t="s">
        <v>47</v>
      </c>
      <c r="G2960" s="15" t="s">
        <v>77</v>
      </c>
      <c r="H2960" s="15" t="s">
        <v>42</v>
      </c>
      <c r="I2960">
        <v>20</v>
      </c>
      <c r="J2960">
        <v>30</v>
      </c>
      <c r="K2960">
        <v>10</v>
      </c>
      <c r="L2960">
        <v>50</v>
      </c>
      <c r="M2960">
        <v>34</v>
      </c>
      <c r="N2960">
        <v>182</v>
      </c>
      <c r="O2960">
        <v>42</v>
      </c>
      <c r="P2960">
        <v>12</v>
      </c>
      <c r="Q2960">
        <v>-4</v>
      </c>
      <c r="R2960">
        <v>75</v>
      </c>
      <c r="S2960">
        <v>1.5</v>
      </c>
      <c r="T2960">
        <v>-0.4</v>
      </c>
      <c r="U2960">
        <v>1.7</v>
      </c>
    </row>
    <row r="2961" spans="1:21" x14ac:dyDescent="0.35">
      <c r="A2961">
        <v>435</v>
      </c>
      <c r="B2961" s="16">
        <v>40664</v>
      </c>
      <c r="C2961" s="15" t="s">
        <v>76</v>
      </c>
      <c r="D2961" s="15" t="s">
        <v>58</v>
      </c>
      <c r="E2961" s="15" t="s">
        <v>72</v>
      </c>
      <c r="F2961" s="15" t="s">
        <v>49</v>
      </c>
      <c r="G2961" s="15" t="s">
        <v>77</v>
      </c>
      <c r="H2961" s="15" t="s">
        <v>42</v>
      </c>
      <c r="I2961">
        <v>30</v>
      </c>
      <c r="J2961">
        <v>60</v>
      </c>
      <c r="K2961">
        <v>50</v>
      </c>
      <c r="L2961">
        <v>90</v>
      </c>
      <c r="M2961">
        <v>39</v>
      </c>
      <c r="N2961">
        <v>799</v>
      </c>
      <c r="O2961">
        <v>58</v>
      </c>
      <c r="P2961">
        <v>10</v>
      </c>
      <c r="Q2961">
        <v>50</v>
      </c>
      <c r="R2961">
        <v>96</v>
      </c>
      <c r="S2961">
        <v>1.0666666666666667</v>
      </c>
      <c r="T2961">
        <v>1</v>
      </c>
      <c r="U2961">
        <v>1.3</v>
      </c>
    </row>
    <row r="2962" spans="1:21" x14ac:dyDescent="0.35">
      <c r="A2962">
        <v>435</v>
      </c>
      <c r="B2962" s="16">
        <v>40664</v>
      </c>
      <c r="C2962" s="15" t="s">
        <v>76</v>
      </c>
      <c r="D2962" s="15" t="s">
        <v>58</v>
      </c>
      <c r="E2962" s="15" t="s">
        <v>48</v>
      </c>
      <c r="F2962" s="15" t="s">
        <v>49</v>
      </c>
      <c r="G2962" s="15" t="s">
        <v>77</v>
      </c>
      <c r="H2962" s="15" t="s">
        <v>42</v>
      </c>
      <c r="I2962">
        <v>40</v>
      </c>
      <c r="J2962">
        <v>60</v>
      </c>
      <c r="K2962">
        <v>40</v>
      </c>
      <c r="L2962">
        <v>100</v>
      </c>
      <c r="M2962">
        <v>48</v>
      </c>
      <c r="N2962">
        <v>599</v>
      </c>
      <c r="O2962">
        <v>63</v>
      </c>
      <c r="P2962">
        <v>15</v>
      </c>
      <c r="Q2962">
        <v>50</v>
      </c>
      <c r="R2962">
        <v>110</v>
      </c>
      <c r="S2962">
        <v>1.1000000000000001</v>
      </c>
      <c r="T2962">
        <v>1.25</v>
      </c>
      <c r="U2962">
        <v>1.2</v>
      </c>
    </row>
    <row r="2963" spans="1:21" x14ac:dyDescent="0.35">
      <c r="A2963">
        <v>435</v>
      </c>
      <c r="B2963" s="16">
        <v>40664</v>
      </c>
      <c r="C2963" s="15" t="s">
        <v>76</v>
      </c>
      <c r="D2963" s="15" t="s">
        <v>58</v>
      </c>
      <c r="E2963" s="15" t="s">
        <v>50</v>
      </c>
      <c r="F2963" s="15" t="s">
        <v>49</v>
      </c>
      <c r="G2963" s="15" t="s">
        <v>77</v>
      </c>
      <c r="H2963" s="15" t="s">
        <v>45</v>
      </c>
      <c r="I2963">
        <v>40</v>
      </c>
      <c r="J2963">
        <v>60</v>
      </c>
      <c r="K2963">
        <v>40</v>
      </c>
      <c r="L2963">
        <v>100</v>
      </c>
      <c r="M2963">
        <v>44</v>
      </c>
      <c r="N2963">
        <v>844</v>
      </c>
      <c r="O2963">
        <v>65</v>
      </c>
      <c r="P2963">
        <v>12</v>
      </c>
      <c r="Q2963">
        <v>58</v>
      </c>
      <c r="R2963">
        <v>108</v>
      </c>
      <c r="S2963">
        <v>1.08</v>
      </c>
      <c r="T2963">
        <v>1.45</v>
      </c>
      <c r="U2963">
        <v>1.1000000000000001</v>
      </c>
    </row>
    <row r="2964" spans="1:21" x14ac:dyDescent="0.35">
      <c r="A2964">
        <v>435</v>
      </c>
      <c r="B2964" s="16">
        <v>40664</v>
      </c>
      <c r="C2964" s="15" t="s">
        <v>76</v>
      </c>
      <c r="D2964" s="15" t="s">
        <v>58</v>
      </c>
      <c r="E2964" s="15" t="s">
        <v>39</v>
      </c>
      <c r="F2964" s="15" t="s">
        <v>40</v>
      </c>
      <c r="G2964" s="15" t="s">
        <v>77</v>
      </c>
      <c r="H2964" s="15" t="s">
        <v>42</v>
      </c>
      <c r="I2964">
        <v>80</v>
      </c>
      <c r="J2964">
        <v>100</v>
      </c>
      <c r="K2964">
        <v>60</v>
      </c>
      <c r="L2964">
        <v>180</v>
      </c>
      <c r="M2964">
        <v>68</v>
      </c>
      <c r="N2964">
        <v>998</v>
      </c>
      <c r="O2964">
        <v>80</v>
      </c>
      <c r="P2964">
        <v>21</v>
      </c>
      <c r="Q2964">
        <v>52</v>
      </c>
      <c r="R2964">
        <v>147</v>
      </c>
      <c r="S2964">
        <v>0.81666666666666665</v>
      </c>
      <c r="T2964">
        <v>0.8666666666666667</v>
      </c>
      <c r="U2964">
        <v>0.85</v>
      </c>
    </row>
    <row r="2965" spans="1:21" x14ac:dyDescent="0.35">
      <c r="A2965">
        <v>435</v>
      </c>
      <c r="B2965" s="16">
        <v>40664</v>
      </c>
      <c r="C2965" s="15" t="s">
        <v>76</v>
      </c>
      <c r="D2965" s="15" t="s">
        <v>58</v>
      </c>
      <c r="E2965" s="15" t="s">
        <v>43</v>
      </c>
      <c r="F2965" s="15" t="s">
        <v>40</v>
      </c>
      <c r="G2965" s="15" t="s">
        <v>77</v>
      </c>
      <c r="H2965" s="15" t="s">
        <v>42</v>
      </c>
      <c r="I2965">
        <v>60</v>
      </c>
      <c r="J2965">
        <v>80</v>
      </c>
      <c r="K2965">
        <v>50</v>
      </c>
      <c r="L2965">
        <v>140</v>
      </c>
      <c r="M2965">
        <v>48</v>
      </c>
      <c r="N2965">
        <v>334</v>
      </c>
      <c r="O2965">
        <v>65</v>
      </c>
      <c r="P2965">
        <v>15</v>
      </c>
      <c r="Q2965">
        <v>30</v>
      </c>
      <c r="R2965">
        <v>112</v>
      </c>
      <c r="S2965">
        <v>0.8</v>
      </c>
      <c r="T2965">
        <v>0.6</v>
      </c>
      <c r="U2965">
        <v>0.8</v>
      </c>
    </row>
    <row r="2966" spans="1:21" x14ac:dyDescent="0.35">
      <c r="A2966">
        <v>435</v>
      </c>
      <c r="B2966" s="16">
        <v>40664</v>
      </c>
      <c r="C2966" s="15" t="s">
        <v>76</v>
      </c>
      <c r="D2966" s="15" t="s">
        <v>58</v>
      </c>
      <c r="E2966" s="15" t="s">
        <v>44</v>
      </c>
      <c r="F2966" s="15" t="s">
        <v>40</v>
      </c>
      <c r="G2966" s="15" t="s">
        <v>77</v>
      </c>
      <c r="H2966" s="15" t="s">
        <v>45</v>
      </c>
      <c r="I2966">
        <v>90</v>
      </c>
      <c r="J2966">
        <v>120</v>
      </c>
      <c r="K2966">
        <v>70</v>
      </c>
      <c r="L2966">
        <v>210</v>
      </c>
      <c r="M2966">
        <v>77</v>
      </c>
      <c r="N2966">
        <v>529</v>
      </c>
      <c r="O2966">
        <v>96</v>
      </c>
      <c r="P2966">
        <v>29</v>
      </c>
      <c r="Q2966">
        <v>47</v>
      </c>
      <c r="R2966">
        <v>171</v>
      </c>
      <c r="S2966">
        <v>0.81428571428571428</v>
      </c>
      <c r="T2966">
        <v>0.67142857142857137</v>
      </c>
      <c r="U2966">
        <v>0.85555555555555551</v>
      </c>
    </row>
    <row r="2967" spans="1:21" x14ac:dyDescent="0.35">
      <c r="A2967">
        <v>619</v>
      </c>
      <c r="B2967" s="16">
        <v>40664</v>
      </c>
      <c r="C2967" s="15" t="s">
        <v>76</v>
      </c>
      <c r="D2967" s="15" t="s">
        <v>38</v>
      </c>
      <c r="E2967" s="15" t="s">
        <v>51</v>
      </c>
      <c r="F2967" s="15" t="s">
        <v>52</v>
      </c>
      <c r="G2967" s="15" t="s">
        <v>78</v>
      </c>
      <c r="H2967" s="15" t="s">
        <v>45</v>
      </c>
      <c r="I2967">
        <v>80</v>
      </c>
      <c r="J2967">
        <v>140</v>
      </c>
      <c r="K2967">
        <v>120</v>
      </c>
      <c r="L2967">
        <v>220</v>
      </c>
      <c r="M2967">
        <v>104</v>
      </c>
      <c r="N2967">
        <v>871</v>
      </c>
      <c r="O2967">
        <v>152</v>
      </c>
      <c r="P2967">
        <v>29</v>
      </c>
      <c r="Q2967">
        <v>153</v>
      </c>
      <c r="R2967">
        <v>254</v>
      </c>
      <c r="S2967">
        <v>1.1545454545454545</v>
      </c>
      <c r="T2967">
        <v>1.2749999999999999</v>
      </c>
      <c r="U2967">
        <v>1.3</v>
      </c>
    </row>
    <row r="2968" spans="1:21" x14ac:dyDescent="0.35">
      <c r="A2968">
        <v>559</v>
      </c>
      <c r="B2968" s="16">
        <v>40664</v>
      </c>
      <c r="C2968" s="15" t="s">
        <v>76</v>
      </c>
      <c r="D2968" s="15" t="s">
        <v>38</v>
      </c>
      <c r="E2968" s="15" t="s">
        <v>53</v>
      </c>
      <c r="F2968" s="15" t="s">
        <v>52</v>
      </c>
      <c r="G2968" s="15" t="s">
        <v>78</v>
      </c>
      <c r="H2968" s="15" t="s">
        <v>45</v>
      </c>
      <c r="I2968">
        <v>200</v>
      </c>
      <c r="J2968">
        <v>250</v>
      </c>
      <c r="K2968">
        <v>180</v>
      </c>
      <c r="L2968">
        <v>450</v>
      </c>
      <c r="M2968">
        <v>235</v>
      </c>
      <c r="N2968">
        <v>1060</v>
      </c>
      <c r="O2968">
        <v>277</v>
      </c>
      <c r="P2968">
        <v>72</v>
      </c>
      <c r="Q2968">
        <v>253</v>
      </c>
      <c r="R2968">
        <v>507</v>
      </c>
      <c r="S2968">
        <v>1.1266666666666667</v>
      </c>
      <c r="T2968">
        <v>1.4055555555555554</v>
      </c>
      <c r="U2968">
        <v>1.175</v>
      </c>
    </row>
    <row r="2969" spans="1:21" x14ac:dyDescent="0.35">
      <c r="A2969">
        <v>530</v>
      </c>
      <c r="B2969" s="16">
        <v>40664</v>
      </c>
      <c r="C2969" s="15" t="s">
        <v>76</v>
      </c>
      <c r="D2969" s="15" t="s">
        <v>38</v>
      </c>
      <c r="E2969" s="15" t="s">
        <v>54</v>
      </c>
      <c r="F2969" s="15" t="s">
        <v>52</v>
      </c>
      <c r="G2969" s="15" t="s">
        <v>78</v>
      </c>
      <c r="H2969" s="15" t="s">
        <v>45</v>
      </c>
      <c r="I2969">
        <v>70</v>
      </c>
      <c r="J2969">
        <v>90</v>
      </c>
      <c r="K2969">
        <v>60</v>
      </c>
      <c r="L2969">
        <v>160</v>
      </c>
      <c r="M2969">
        <v>83</v>
      </c>
      <c r="N2969">
        <v>584</v>
      </c>
      <c r="O2969">
        <v>107</v>
      </c>
      <c r="P2969">
        <v>27</v>
      </c>
      <c r="Q2969">
        <v>92</v>
      </c>
      <c r="R2969">
        <v>188</v>
      </c>
      <c r="S2969">
        <v>1.175</v>
      </c>
      <c r="T2969">
        <v>1.5333333333333334</v>
      </c>
      <c r="U2969">
        <v>1.1857142857142857</v>
      </c>
    </row>
    <row r="2970" spans="1:21" x14ac:dyDescent="0.35">
      <c r="A2970">
        <v>530</v>
      </c>
      <c r="B2970" s="16">
        <v>40664</v>
      </c>
      <c r="C2970" s="15" t="s">
        <v>76</v>
      </c>
      <c r="D2970" s="15" t="s">
        <v>38</v>
      </c>
      <c r="E2970" s="15" t="s">
        <v>55</v>
      </c>
      <c r="F2970" s="15" t="s">
        <v>47</v>
      </c>
      <c r="G2970" s="15" t="s">
        <v>78</v>
      </c>
      <c r="H2970" s="15" t="s">
        <v>42</v>
      </c>
      <c r="I2970">
        <v>60</v>
      </c>
      <c r="J2970">
        <v>110</v>
      </c>
      <c r="K2970">
        <v>100</v>
      </c>
      <c r="L2970">
        <v>170</v>
      </c>
      <c r="M2970">
        <v>104</v>
      </c>
      <c r="N2970">
        <v>821</v>
      </c>
      <c r="O2970">
        <v>152</v>
      </c>
      <c r="P2970">
        <v>29</v>
      </c>
      <c r="Q2970">
        <v>153</v>
      </c>
      <c r="R2970">
        <v>254</v>
      </c>
      <c r="S2970">
        <v>1.4941176470588236</v>
      </c>
      <c r="T2970">
        <v>1.53</v>
      </c>
      <c r="U2970">
        <v>1.7333333333333334</v>
      </c>
    </row>
    <row r="2971" spans="1:21" x14ac:dyDescent="0.35">
      <c r="A2971">
        <v>562</v>
      </c>
      <c r="B2971" s="16">
        <v>40664</v>
      </c>
      <c r="C2971" s="15" t="s">
        <v>76</v>
      </c>
      <c r="D2971" s="15" t="s">
        <v>38</v>
      </c>
      <c r="E2971" s="15" t="s">
        <v>56</v>
      </c>
      <c r="F2971" s="15" t="s">
        <v>47</v>
      </c>
      <c r="G2971" s="15" t="s">
        <v>78</v>
      </c>
      <c r="H2971" s="15" t="s">
        <v>42</v>
      </c>
      <c r="I2971">
        <v>50</v>
      </c>
      <c r="J2971">
        <v>90</v>
      </c>
      <c r="K2971">
        <v>80</v>
      </c>
      <c r="L2971">
        <v>140</v>
      </c>
      <c r="M2971">
        <v>86</v>
      </c>
      <c r="N2971">
        <v>499</v>
      </c>
      <c r="O2971">
        <v>124</v>
      </c>
      <c r="P2971">
        <v>24</v>
      </c>
      <c r="Q2971">
        <v>123</v>
      </c>
      <c r="R2971">
        <v>208</v>
      </c>
      <c r="S2971">
        <v>1.4857142857142858</v>
      </c>
      <c r="T2971">
        <v>1.5375000000000001</v>
      </c>
      <c r="U2971">
        <v>1.72</v>
      </c>
    </row>
    <row r="2972" spans="1:21" x14ac:dyDescent="0.35">
      <c r="A2972">
        <v>310</v>
      </c>
      <c r="B2972" s="16">
        <v>40664</v>
      </c>
      <c r="C2972" s="15" t="s">
        <v>76</v>
      </c>
      <c r="D2972" s="15" t="s">
        <v>38</v>
      </c>
      <c r="E2972" s="15" t="s">
        <v>46</v>
      </c>
      <c r="F2972" s="15" t="s">
        <v>47</v>
      </c>
      <c r="G2972" s="15" t="s">
        <v>78</v>
      </c>
      <c r="H2972" s="15" t="s">
        <v>42</v>
      </c>
      <c r="I2972">
        <v>40</v>
      </c>
      <c r="J2972">
        <v>60</v>
      </c>
      <c r="K2972">
        <v>30</v>
      </c>
      <c r="L2972">
        <v>100</v>
      </c>
      <c r="M2972">
        <v>64</v>
      </c>
      <c r="N2972">
        <v>593</v>
      </c>
      <c r="O2972">
        <v>96</v>
      </c>
      <c r="P2972">
        <v>21</v>
      </c>
      <c r="Q2972">
        <v>59</v>
      </c>
      <c r="R2972">
        <v>159</v>
      </c>
      <c r="S2972">
        <v>1.59</v>
      </c>
      <c r="T2972">
        <v>1.9666666666666666</v>
      </c>
      <c r="U2972">
        <v>1.6</v>
      </c>
    </row>
    <row r="2973" spans="1:21" x14ac:dyDescent="0.35">
      <c r="A2973">
        <v>650</v>
      </c>
      <c r="B2973" s="16">
        <v>40664</v>
      </c>
      <c r="C2973" s="15" t="s">
        <v>76</v>
      </c>
      <c r="D2973" s="15" t="s">
        <v>38</v>
      </c>
      <c r="E2973" s="15" t="s">
        <v>72</v>
      </c>
      <c r="F2973" s="15" t="s">
        <v>49</v>
      </c>
      <c r="G2973" s="15" t="s">
        <v>78</v>
      </c>
      <c r="H2973" s="15" t="s">
        <v>42</v>
      </c>
      <c r="I2973">
        <v>240</v>
      </c>
      <c r="J2973">
        <v>260</v>
      </c>
      <c r="K2973">
        <v>180</v>
      </c>
      <c r="L2973">
        <v>500</v>
      </c>
      <c r="M2973">
        <v>260</v>
      </c>
      <c r="N2973">
        <v>1559</v>
      </c>
      <c r="O2973">
        <v>261</v>
      </c>
      <c r="P2973">
        <v>72</v>
      </c>
      <c r="Q2973">
        <v>228</v>
      </c>
      <c r="R2973">
        <v>516</v>
      </c>
      <c r="S2973">
        <v>1.032</v>
      </c>
      <c r="T2973">
        <v>1.2666666666666666</v>
      </c>
      <c r="U2973">
        <v>1.0833333333333333</v>
      </c>
    </row>
    <row r="2974" spans="1:21" x14ac:dyDescent="0.35">
      <c r="A2974">
        <v>707</v>
      </c>
      <c r="B2974" s="16">
        <v>40664</v>
      </c>
      <c r="C2974" s="15" t="s">
        <v>76</v>
      </c>
      <c r="D2974" s="15" t="s">
        <v>38</v>
      </c>
      <c r="E2974" s="15" t="s">
        <v>48</v>
      </c>
      <c r="F2974" s="15" t="s">
        <v>49</v>
      </c>
      <c r="G2974" s="15" t="s">
        <v>78</v>
      </c>
      <c r="H2974" s="15" t="s">
        <v>42</v>
      </c>
      <c r="I2974">
        <v>110</v>
      </c>
      <c r="J2974">
        <v>160</v>
      </c>
      <c r="K2974">
        <v>30</v>
      </c>
      <c r="L2974">
        <v>270</v>
      </c>
      <c r="M2974">
        <v>121</v>
      </c>
      <c r="N2974">
        <v>788</v>
      </c>
      <c r="O2974">
        <v>168</v>
      </c>
      <c r="P2974">
        <v>109</v>
      </c>
      <c r="Q2974">
        <v>35</v>
      </c>
      <c r="R2974">
        <v>286</v>
      </c>
      <c r="S2974">
        <v>1.0592592592592593</v>
      </c>
      <c r="T2974">
        <v>1.1666666666666667</v>
      </c>
      <c r="U2974">
        <v>1.1000000000000001</v>
      </c>
    </row>
    <row r="2975" spans="1:21" x14ac:dyDescent="0.35">
      <c r="A2975">
        <v>310</v>
      </c>
      <c r="B2975" s="16">
        <v>40664</v>
      </c>
      <c r="C2975" s="15" t="s">
        <v>76</v>
      </c>
      <c r="D2975" s="15" t="s">
        <v>38</v>
      </c>
      <c r="E2975" s="15" t="s">
        <v>50</v>
      </c>
      <c r="F2975" s="15" t="s">
        <v>49</v>
      </c>
      <c r="G2975" s="15" t="s">
        <v>78</v>
      </c>
      <c r="H2975" s="15" t="s">
        <v>45</v>
      </c>
      <c r="I2975">
        <v>250</v>
      </c>
      <c r="J2975">
        <v>330</v>
      </c>
      <c r="K2975">
        <v>220</v>
      </c>
      <c r="L2975">
        <v>580</v>
      </c>
      <c r="M2975">
        <v>263</v>
      </c>
      <c r="N2975">
        <v>1433</v>
      </c>
      <c r="O2975">
        <v>349</v>
      </c>
      <c r="P2975">
        <v>86</v>
      </c>
      <c r="Q2975">
        <v>317</v>
      </c>
      <c r="R2975">
        <v>607</v>
      </c>
      <c r="S2975">
        <v>1.046551724137931</v>
      </c>
      <c r="T2975">
        <v>1.4409090909090909</v>
      </c>
      <c r="U2975">
        <v>1.052</v>
      </c>
    </row>
    <row r="2976" spans="1:21" x14ac:dyDescent="0.35">
      <c r="A2976">
        <v>805</v>
      </c>
      <c r="B2976" s="16">
        <v>40664</v>
      </c>
      <c r="C2976" s="15" t="s">
        <v>76</v>
      </c>
      <c r="D2976" s="15" t="s">
        <v>38</v>
      </c>
      <c r="E2976" s="15" t="s">
        <v>39</v>
      </c>
      <c r="F2976" s="15" t="s">
        <v>40</v>
      </c>
      <c r="G2976" s="15" t="s">
        <v>78</v>
      </c>
      <c r="H2976" s="15" t="s">
        <v>42</v>
      </c>
      <c r="I2976">
        <v>160</v>
      </c>
      <c r="J2976">
        <v>-30</v>
      </c>
      <c r="K2976">
        <v>-80</v>
      </c>
      <c r="L2976">
        <v>130</v>
      </c>
      <c r="M2976">
        <v>127</v>
      </c>
      <c r="N2976">
        <v>1215</v>
      </c>
      <c r="O2976">
        <v>-21</v>
      </c>
      <c r="P2976">
        <v>40</v>
      </c>
      <c r="Q2976">
        <v>-116</v>
      </c>
      <c r="R2976">
        <v>105</v>
      </c>
      <c r="S2976">
        <v>0.80769230769230771</v>
      </c>
      <c r="T2976">
        <v>1.45</v>
      </c>
      <c r="U2976">
        <v>0.79374999999999996</v>
      </c>
    </row>
    <row r="2977" spans="1:21" x14ac:dyDescent="0.35">
      <c r="A2977">
        <v>707</v>
      </c>
      <c r="B2977" s="16">
        <v>40664</v>
      </c>
      <c r="C2977" s="15" t="s">
        <v>76</v>
      </c>
      <c r="D2977" s="15" t="s">
        <v>38</v>
      </c>
      <c r="E2977" s="15" t="s">
        <v>43</v>
      </c>
      <c r="F2977" s="15" t="s">
        <v>40</v>
      </c>
      <c r="G2977" s="15" t="s">
        <v>78</v>
      </c>
      <c r="H2977" s="15" t="s">
        <v>42</v>
      </c>
      <c r="I2977">
        <v>380</v>
      </c>
      <c r="J2977">
        <v>560</v>
      </c>
      <c r="K2977">
        <v>410</v>
      </c>
      <c r="L2977">
        <v>940</v>
      </c>
      <c r="M2977">
        <v>302</v>
      </c>
      <c r="N2977">
        <v>2250</v>
      </c>
      <c r="O2977">
        <v>454</v>
      </c>
      <c r="P2977">
        <v>105</v>
      </c>
      <c r="Q2977">
        <v>407</v>
      </c>
      <c r="R2977">
        <v>749</v>
      </c>
      <c r="S2977">
        <v>0.79680851063829783</v>
      </c>
      <c r="T2977">
        <v>0.99268292682926829</v>
      </c>
      <c r="U2977">
        <v>0.79473684210526319</v>
      </c>
    </row>
    <row r="2978" spans="1:21" x14ac:dyDescent="0.35">
      <c r="A2978">
        <v>925</v>
      </c>
      <c r="B2978" s="16">
        <v>40664</v>
      </c>
      <c r="C2978" s="15" t="s">
        <v>76</v>
      </c>
      <c r="D2978" s="15" t="s">
        <v>38</v>
      </c>
      <c r="E2978" s="15" t="s">
        <v>44</v>
      </c>
      <c r="F2978" s="15" t="s">
        <v>40</v>
      </c>
      <c r="G2978" s="15" t="s">
        <v>78</v>
      </c>
      <c r="H2978" s="15" t="s">
        <v>45</v>
      </c>
      <c r="I2978">
        <v>240</v>
      </c>
      <c r="J2978">
        <v>-40</v>
      </c>
      <c r="K2978">
        <v>-140</v>
      </c>
      <c r="L2978">
        <v>200</v>
      </c>
      <c r="M2978">
        <v>195</v>
      </c>
      <c r="N2978">
        <v>1952</v>
      </c>
      <c r="O2978">
        <v>-32</v>
      </c>
      <c r="P2978">
        <v>64</v>
      </c>
      <c r="Q2978">
        <v>-196</v>
      </c>
      <c r="R2978">
        <v>162</v>
      </c>
      <c r="S2978">
        <v>0.81</v>
      </c>
      <c r="T2978">
        <v>1.4</v>
      </c>
      <c r="U2978">
        <v>0.8125</v>
      </c>
    </row>
    <row r="2979" spans="1:21" x14ac:dyDescent="0.35">
      <c r="A2979">
        <v>775</v>
      </c>
      <c r="B2979" s="16">
        <v>40664</v>
      </c>
      <c r="C2979" s="15" t="s">
        <v>76</v>
      </c>
      <c r="D2979" s="15" t="s">
        <v>58</v>
      </c>
      <c r="E2979" s="15" t="s">
        <v>51</v>
      </c>
      <c r="F2979" s="15" t="s">
        <v>52</v>
      </c>
      <c r="G2979" s="15" t="s">
        <v>79</v>
      </c>
      <c r="H2979" s="15" t="s">
        <v>45</v>
      </c>
      <c r="I2979">
        <v>100</v>
      </c>
      <c r="J2979">
        <v>150</v>
      </c>
      <c r="K2979">
        <v>40</v>
      </c>
      <c r="L2979">
        <v>250</v>
      </c>
      <c r="M2979">
        <v>121</v>
      </c>
      <c r="N2979">
        <v>788</v>
      </c>
      <c r="O2979">
        <v>168</v>
      </c>
      <c r="P2979">
        <v>109</v>
      </c>
      <c r="Q2979">
        <v>35</v>
      </c>
      <c r="R2979">
        <v>286</v>
      </c>
      <c r="S2979">
        <v>1.1439999999999999</v>
      </c>
      <c r="T2979">
        <v>0.875</v>
      </c>
      <c r="U2979">
        <v>1.21</v>
      </c>
    </row>
    <row r="2980" spans="1:21" x14ac:dyDescent="0.35">
      <c r="A2980">
        <v>702</v>
      </c>
      <c r="B2980" s="16">
        <v>40664</v>
      </c>
      <c r="C2980" s="15" t="s">
        <v>76</v>
      </c>
      <c r="D2980" s="15" t="s">
        <v>58</v>
      </c>
      <c r="E2980" s="15" t="s">
        <v>53</v>
      </c>
      <c r="F2980" s="15" t="s">
        <v>52</v>
      </c>
      <c r="G2980" s="15" t="s">
        <v>79</v>
      </c>
      <c r="H2980" s="15" t="s">
        <v>45</v>
      </c>
      <c r="I2980">
        <v>160</v>
      </c>
      <c r="J2980">
        <v>240</v>
      </c>
      <c r="K2980">
        <v>160</v>
      </c>
      <c r="L2980">
        <v>400</v>
      </c>
      <c r="M2980">
        <v>195</v>
      </c>
      <c r="N2980">
        <v>956</v>
      </c>
      <c r="O2980">
        <v>270</v>
      </c>
      <c r="P2980">
        <v>64</v>
      </c>
      <c r="Q2980">
        <v>221</v>
      </c>
      <c r="R2980">
        <v>461</v>
      </c>
      <c r="S2980">
        <v>1.1525000000000001</v>
      </c>
      <c r="T2980">
        <v>1.3812500000000001</v>
      </c>
      <c r="U2980">
        <v>1.21875</v>
      </c>
    </row>
    <row r="2981" spans="1:21" x14ac:dyDescent="0.35">
      <c r="A2981">
        <v>702</v>
      </c>
      <c r="B2981" s="16">
        <v>40664</v>
      </c>
      <c r="C2981" s="15" t="s">
        <v>76</v>
      </c>
      <c r="D2981" s="15" t="s">
        <v>58</v>
      </c>
      <c r="E2981" s="15" t="s">
        <v>54</v>
      </c>
      <c r="F2981" s="15" t="s">
        <v>52</v>
      </c>
      <c r="G2981" s="15" t="s">
        <v>79</v>
      </c>
      <c r="H2981" s="15" t="s">
        <v>45</v>
      </c>
      <c r="I2981">
        <v>100</v>
      </c>
      <c r="J2981">
        <v>170</v>
      </c>
      <c r="K2981">
        <v>120</v>
      </c>
      <c r="L2981">
        <v>270</v>
      </c>
      <c r="M2981">
        <v>127</v>
      </c>
      <c r="N2981">
        <v>671</v>
      </c>
      <c r="O2981">
        <v>185</v>
      </c>
      <c r="P2981">
        <v>40</v>
      </c>
      <c r="Q2981">
        <v>167</v>
      </c>
      <c r="R2981">
        <v>309</v>
      </c>
      <c r="S2981">
        <v>1.1444444444444444</v>
      </c>
      <c r="T2981">
        <v>1.3916666666666666</v>
      </c>
      <c r="U2981">
        <v>1.27</v>
      </c>
    </row>
    <row r="2982" spans="1:21" x14ac:dyDescent="0.35">
      <c r="A2982">
        <v>775</v>
      </c>
      <c r="B2982" s="16">
        <v>40664</v>
      </c>
      <c r="C2982" s="15" t="s">
        <v>76</v>
      </c>
      <c r="D2982" s="15" t="s">
        <v>58</v>
      </c>
      <c r="E2982" s="15" t="s">
        <v>55</v>
      </c>
      <c r="F2982" s="15" t="s">
        <v>47</v>
      </c>
      <c r="G2982" s="15" t="s">
        <v>79</v>
      </c>
      <c r="H2982" s="15" t="s">
        <v>42</v>
      </c>
      <c r="I2982">
        <v>170</v>
      </c>
      <c r="J2982">
        <v>240</v>
      </c>
      <c r="K2982">
        <v>170</v>
      </c>
      <c r="L2982">
        <v>410</v>
      </c>
      <c r="M2982">
        <v>263</v>
      </c>
      <c r="N2982">
        <v>1433</v>
      </c>
      <c r="O2982">
        <v>349</v>
      </c>
      <c r="P2982">
        <v>86</v>
      </c>
      <c r="Q2982">
        <v>319</v>
      </c>
      <c r="R2982">
        <v>607</v>
      </c>
      <c r="S2982">
        <v>1.4804878048780488</v>
      </c>
      <c r="T2982">
        <v>1.8764705882352941</v>
      </c>
      <c r="U2982">
        <v>1.5470588235294118</v>
      </c>
    </row>
    <row r="2983" spans="1:21" x14ac:dyDescent="0.35">
      <c r="A2983">
        <v>775</v>
      </c>
      <c r="B2983" s="16">
        <v>40664</v>
      </c>
      <c r="C2983" s="15" t="s">
        <v>76</v>
      </c>
      <c r="D2983" s="15" t="s">
        <v>58</v>
      </c>
      <c r="E2983" s="15" t="s">
        <v>56</v>
      </c>
      <c r="F2983" s="15" t="s">
        <v>47</v>
      </c>
      <c r="G2983" s="15" t="s">
        <v>79</v>
      </c>
      <c r="H2983" s="15" t="s">
        <v>42</v>
      </c>
      <c r="I2983">
        <v>170</v>
      </c>
      <c r="J2983">
        <v>180</v>
      </c>
      <c r="K2983">
        <v>120</v>
      </c>
      <c r="L2983">
        <v>350</v>
      </c>
      <c r="M2983">
        <v>260</v>
      </c>
      <c r="N2983">
        <v>1559</v>
      </c>
      <c r="O2983">
        <v>261</v>
      </c>
      <c r="P2983">
        <v>72</v>
      </c>
      <c r="Q2983">
        <v>226</v>
      </c>
      <c r="R2983">
        <v>516</v>
      </c>
      <c r="S2983">
        <v>1.4742857142857142</v>
      </c>
      <c r="T2983">
        <v>1.8833333333333333</v>
      </c>
      <c r="U2983">
        <v>1.5294117647058822</v>
      </c>
    </row>
    <row r="2984" spans="1:21" x14ac:dyDescent="0.35">
      <c r="A2984">
        <v>702</v>
      </c>
      <c r="B2984" s="16">
        <v>40664</v>
      </c>
      <c r="C2984" s="15" t="s">
        <v>76</v>
      </c>
      <c r="D2984" s="15" t="s">
        <v>58</v>
      </c>
      <c r="E2984" s="15" t="s">
        <v>46</v>
      </c>
      <c r="F2984" s="15" t="s">
        <v>47</v>
      </c>
      <c r="G2984" s="15" t="s">
        <v>79</v>
      </c>
      <c r="H2984" s="15" t="s">
        <v>42</v>
      </c>
      <c r="I2984">
        <v>170</v>
      </c>
      <c r="J2984">
        <v>-170</v>
      </c>
      <c r="K2984">
        <v>-250</v>
      </c>
      <c r="L2984">
        <v>0</v>
      </c>
      <c r="M2984">
        <v>265</v>
      </c>
      <c r="N2984">
        <v>3742</v>
      </c>
      <c r="O2984">
        <v>-265</v>
      </c>
      <c r="P2984">
        <v>100</v>
      </c>
      <c r="Q2984">
        <v>-524</v>
      </c>
      <c r="R2984">
        <v>18</v>
      </c>
      <c r="T2984">
        <v>2.0960000000000001</v>
      </c>
      <c r="U2984">
        <v>1.5588235294117647</v>
      </c>
    </row>
    <row r="2985" spans="1:21" x14ac:dyDescent="0.35">
      <c r="A2985">
        <v>775</v>
      </c>
      <c r="B2985" s="16">
        <v>40664</v>
      </c>
      <c r="C2985" s="15" t="s">
        <v>76</v>
      </c>
      <c r="D2985" s="15" t="s">
        <v>58</v>
      </c>
      <c r="E2985" s="15" t="s">
        <v>72</v>
      </c>
      <c r="F2985" s="15" t="s">
        <v>49</v>
      </c>
      <c r="G2985" s="15" t="s">
        <v>79</v>
      </c>
      <c r="H2985" s="15" t="s">
        <v>42</v>
      </c>
      <c r="I2985">
        <v>0</v>
      </c>
      <c r="J2985">
        <v>40</v>
      </c>
      <c r="K2985">
        <v>30</v>
      </c>
      <c r="L2985">
        <v>40</v>
      </c>
      <c r="M2985">
        <v>0</v>
      </c>
      <c r="N2985">
        <v>645</v>
      </c>
      <c r="O2985">
        <v>43</v>
      </c>
      <c r="P2985">
        <v>0</v>
      </c>
      <c r="Q2985">
        <v>43</v>
      </c>
      <c r="R2985">
        <v>43</v>
      </c>
      <c r="S2985">
        <v>1.075</v>
      </c>
      <c r="T2985">
        <v>1.4333333333333333</v>
      </c>
    </row>
    <row r="2986" spans="1:21" x14ac:dyDescent="0.35">
      <c r="A2986">
        <v>775</v>
      </c>
      <c r="B2986" s="16">
        <v>40664</v>
      </c>
      <c r="C2986" s="15" t="s">
        <v>76</v>
      </c>
      <c r="D2986" s="15" t="s">
        <v>58</v>
      </c>
      <c r="E2986" s="15" t="s">
        <v>48</v>
      </c>
      <c r="F2986" s="15" t="s">
        <v>49</v>
      </c>
      <c r="G2986" s="15" t="s">
        <v>79</v>
      </c>
      <c r="H2986" s="15" t="s">
        <v>42</v>
      </c>
      <c r="I2986">
        <v>10</v>
      </c>
      <c r="J2986">
        <v>30</v>
      </c>
      <c r="K2986">
        <v>20</v>
      </c>
      <c r="L2986">
        <v>40</v>
      </c>
      <c r="M2986">
        <v>20</v>
      </c>
      <c r="N2986">
        <v>829</v>
      </c>
      <c r="O2986">
        <v>29</v>
      </c>
      <c r="P2986">
        <v>5</v>
      </c>
      <c r="Q2986">
        <v>18</v>
      </c>
      <c r="R2986">
        <v>49</v>
      </c>
      <c r="S2986">
        <v>1.2250000000000001</v>
      </c>
      <c r="T2986">
        <v>0.9</v>
      </c>
      <c r="U2986">
        <v>2</v>
      </c>
    </row>
    <row r="2987" spans="1:21" x14ac:dyDescent="0.35">
      <c r="A2987">
        <v>702</v>
      </c>
      <c r="B2987" s="16">
        <v>40664</v>
      </c>
      <c r="C2987" s="15" t="s">
        <v>76</v>
      </c>
      <c r="D2987" s="15" t="s">
        <v>58</v>
      </c>
      <c r="E2987" s="15" t="s">
        <v>50</v>
      </c>
      <c r="F2987" s="15" t="s">
        <v>49</v>
      </c>
      <c r="G2987" s="15" t="s">
        <v>79</v>
      </c>
      <c r="H2987" s="15" t="s">
        <v>45</v>
      </c>
      <c r="I2987">
        <v>10</v>
      </c>
      <c r="J2987">
        <v>30</v>
      </c>
      <c r="K2987">
        <v>20</v>
      </c>
      <c r="L2987">
        <v>40</v>
      </c>
      <c r="M2987">
        <v>20</v>
      </c>
      <c r="N2987">
        <v>784</v>
      </c>
      <c r="O2987">
        <v>29</v>
      </c>
      <c r="P2987">
        <v>5</v>
      </c>
      <c r="Q2987">
        <v>18</v>
      </c>
      <c r="R2987">
        <v>49</v>
      </c>
      <c r="S2987">
        <v>1.2250000000000001</v>
      </c>
      <c r="T2987">
        <v>0.9</v>
      </c>
      <c r="U2987">
        <v>2</v>
      </c>
    </row>
    <row r="2988" spans="1:21" x14ac:dyDescent="0.35">
      <c r="A2988">
        <v>702</v>
      </c>
      <c r="B2988" s="16">
        <v>40664</v>
      </c>
      <c r="C2988" s="15" t="s">
        <v>76</v>
      </c>
      <c r="D2988" s="15" t="s">
        <v>58</v>
      </c>
      <c r="E2988" s="15" t="s">
        <v>43</v>
      </c>
      <c r="F2988" s="15" t="s">
        <v>40</v>
      </c>
      <c r="G2988" s="15" t="s">
        <v>79</v>
      </c>
      <c r="H2988" s="15" t="s">
        <v>42</v>
      </c>
      <c r="I2988">
        <v>40</v>
      </c>
      <c r="J2988">
        <v>60</v>
      </c>
      <c r="K2988">
        <v>20</v>
      </c>
      <c r="L2988">
        <v>100</v>
      </c>
      <c r="M2988">
        <v>36</v>
      </c>
      <c r="N2988">
        <v>212</v>
      </c>
      <c r="O2988">
        <v>45</v>
      </c>
      <c r="P2988">
        <v>13</v>
      </c>
      <c r="Q2988">
        <v>-1</v>
      </c>
      <c r="R2988">
        <v>80</v>
      </c>
      <c r="S2988">
        <v>0.8</v>
      </c>
      <c r="T2988">
        <v>-0.05</v>
      </c>
      <c r="U2988">
        <v>0.9</v>
      </c>
    </row>
    <row r="2989" spans="1:21" x14ac:dyDescent="0.35">
      <c r="A2989">
        <v>775</v>
      </c>
      <c r="B2989" s="16">
        <v>40664</v>
      </c>
      <c r="C2989" s="15" t="s">
        <v>76</v>
      </c>
      <c r="D2989" s="15" t="s">
        <v>58</v>
      </c>
      <c r="E2989" s="15" t="s">
        <v>44</v>
      </c>
      <c r="F2989" s="15" t="s">
        <v>40</v>
      </c>
      <c r="G2989" s="15" t="s">
        <v>79</v>
      </c>
      <c r="H2989" s="15" t="s">
        <v>45</v>
      </c>
      <c r="I2989">
        <v>30</v>
      </c>
      <c r="J2989">
        <v>50</v>
      </c>
      <c r="K2989">
        <v>30</v>
      </c>
      <c r="L2989">
        <v>80</v>
      </c>
      <c r="M2989">
        <v>31</v>
      </c>
      <c r="N2989">
        <v>976</v>
      </c>
      <c r="O2989">
        <v>37</v>
      </c>
      <c r="P2989">
        <v>9</v>
      </c>
      <c r="Q2989">
        <v>8</v>
      </c>
      <c r="R2989">
        <v>67</v>
      </c>
      <c r="S2989">
        <v>0.83750000000000002</v>
      </c>
      <c r="T2989">
        <v>0.26666666666666666</v>
      </c>
      <c r="U2989">
        <v>1.0333333333333334</v>
      </c>
    </row>
    <row r="2990" spans="1:21" x14ac:dyDescent="0.35">
      <c r="A2990">
        <v>503</v>
      </c>
      <c r="B2990" s="16">
        <v>40664</v>
      </c>
      <c r="C2990" s="15" t="s">
        <v>76</v>
      </c>
      <c r="D2990" s="15" t="s">
        <v>58</v>
      </c>
      <c r="E2990" s="15" t="s">
        <v>51</v>
      </c>
      <c r="F2990" s="15" t="s">
        <v>52</v>
      </c>
      <c r="G2990" s="15" t="s">
        <v>80</v>
      </c>
      <c r="H2990" s="15" t="s">
        <v>45</v>
      </c>
      <c r="I2990">
        <v>20</v>
      </c>
      <c r="J2990">
        <v>40</v>
      </c>
      <c r="K2990">
        <v>40</v>
      </c>
      <c r="L2990">
        <v>60</v>
      </c>
      <c r="M2990">
        <v>30</v>
      </c>
      <c r="N2990">
        <v>794</v>
      </c>
      <c r="O2990">
        <v>45</v>
      </c>
      <c r="P2990">
        <v>8</v>
      </c>
      <c r="Q2990">
        <v>36</v>
      </c>
      <c r="R2990">
        <v>74</v>
      </c>
      <c r="S2990">
        <v>1.2333333333333334</v>
      </c>
      <c r="T2990">
        <v>0.9</v>
      </c>
      <c r="U2990">
        <v>1.5</v>
      </c>
    </row>
    <row r="2991" spans="1:21" x14ac:dyDescent="0.35">
      <c r="A2991">
        <v>541</v>
      </c>
      <c r="B2991" s="16">
        <v>40664</v>
      </c>
      <c r="C2991" s="15" t="s">
        <v>76</v>
      </c>
      <c r="D2991" s="15" t="s">
        <v>58</v>
      </c>
      <c r="E2991" s="15" t="s">
        <v>53</v>
      </c>
      <c r="F2991" s="15" t="s">
        <v>52</v>
      </c>
      <c r="G2991" s="15" t="s">
        <v>80</v>
      </c>
      <c r="H2991" s="15" t="s">
        <v>45</v>
      </c>
      <c r="I2991">
        <v>30</v>
      </c>
      <c r="J2991">
        <v>50</v>
      </c>
      <c r="K2991">
        <v>30</v>
      </c>
      <c r="L2991">
        <v>80</v>
      </c>
      <c r="M2991">
        <v>43</v>
      </c>
      <c r="N2991">
        <v>602</v>
      </c>
      <c r="O2991">
        <v>56</v>
      </c>
      <c r="P2991">
        <v>14</v>
      </c>
      <c r="Q2991">
        <v>41</v>
      </c>
      <c r="R2991">
        <v>98</v>
      </c>
      <c r="S2991">
        <v>1.2250000000000001</v>
      </c>
      <c r="T2991">
        <v>1.3666666666666667</v>
      </c>
      <c r="U2991">
        <v>1.4333333333333333</v>
      </c>
    </row>
    <row r="2992" spans="1:21" x14ac:dyDescent="0.35">
      <c r="A2992">
        <v>503</v>
      </c>
      <c r="B2992" s="16">
        <v>40664</v>
      </c>
      <c r="C2992" s="15" t="s">
        <v>76</v>
      </c>
      <c r="D2992" s="15" t="s">
        <v>58</v>
      </c>
      <c r="E2992" s="15" t="s">
        <v>55</v>
      </c>
      <c r="F2992" s="15" t="s">
        <v>47</v>
      </c>
      <c r="G2992" s="15" t="s">
        <v>80</v>
      </c>
      <c r="H2992" s="15" t="s">
        <v>42</v>
      </c>
      <c r="I2992">
        <v>10</v>
      </c>
      <c r="J2992">
        <v>20</v>
      </c>
      <c r="K2992">
        <v>20</v>
      </c>
      <c r="L2992">
        <v>30</v>
      </c>
      <c r="M2992">
        <v>20</v>
      </c>
      <c r="N2992">
        <v>464</v>
      </c>
      <c r="O2992">
        <v>29</v>
      </c>
      <c r="P2992">
        <v>5</v>
      </c>
      <c r="Q2992">
        <v>17</v>
      </c>
      <c r="R2992">
        <v>49</v>
      </c>
      <c r="S2992">
        <v>1.6333333333333333</v>
      </c>
      <c r="T2992">
        <v>0.85</v>
      </c>
      <c r="U2992">
        <v>2</v>
      </c>
    </row>
    <row r="2993" spans="1:21" x14ac:dyDescent="0.35">
      <c r="A2993">
        <v>503</v>
      </c>
      <c r="B2993" s="16">
        <v>40664</v>
      </c>
      <c r="C2993" s="15" t="s">
        <v>76</v>
      </c>
      <c r="D2993" s="15" t="s">
        <v>58</v>
      </c>
      <c r="E2993" s="15" t="s">
        <v>56</v>
      </c>
      <c r="F2993" s="15" t="s">
        <v>47</v>
      </c>
      <c r="G2993" s="15" t="s">
        <v>80</v>
      </c>
      <c r="H2993" s="15" t="s">
        <v>42</v>
      </c>
      <c r="I2993">
        <v>60</v>
      </c>
      <c r="J2993">
        <v>90</v>
      </c>
      <c r="K2993">
        <v>50</v>
      </c>
      <c r="L2993">
        <v>150</v>
      </c>
      <c r="M2993">
        <v>94</v>
      </c>
      <c r="N2993">
        <v>697</v>
      </c>
      <c r="O2993">
        <v>141</v>
      </c>
      <c r="P2993">
        <v>31</v>
      </c>
      <c r="Q2993">
        <v>109</v>
      </c>
      <c r="R2993">
        <v>233</v>
      </c>
      <c r="S2993">
        <v>1.5533333333333332</v>
      </c>
      <c r="T2993">
        <v>2.1800000000000002</v>
      </c>
      <c r="U2993">
        <v>1.5666666666666667</v>
      </c>
    </row>
    <row r="2994" spans="1:21" x14ac:dyDescent="0.35">
      <c r="A2994">
        <v>541</v>
      </c>
      <c r="B2994" s="16">
        <v>40664</v>
      </c>
      <c r="C2994" s="15" t="s">
        <v>76</v>
      </c>
      <c r="D2994" s="15" t="s">
        <v>58</v>
      </c>
      <c r="E2994" s="15" t="s">
        <v>46</v>
      </c>
      <c r="F2994" s="15" t="s">
        <v>47</v>
      </c>
      <c r="G2994" s="15" t="s">
        <v>80</v>
      </c>
      <c r="H2994" s="15" t="s">
        <v>42</v>
      </c>
      <c r="I2994">
        <v>70</v>
      </c>
      <c r="J2994">
        <v>110</v>
      </c>
      <c r="K2994">
        <v>70</v>
      </c>
      <c r="L2994">
        <v>180</v>
      </c>
      <c r="M2994">
        <v>114</v>
      </c>
      <c r="N2994">
        <v>555</v>
      </c>
      <c r="O2994">
        <v>159</v>
      </c>
      <c r="P2994">
        <v>35</v>
      </c>
      <c r="Q2994">
        <v>139</v>
      </c>
      <c r="R2994">
        <v>271</v>
      </c>
      <c r="S2994">
        <v>1.5055555555555555</v>
      </c>
      <c r="T2994">
        <v>1.9857142857142858</v>
      </c>
      <c r="U2994">
        <v>1.6285714285714286</v>
      </c>
    </row>
    <row r="2995" spans="1:21" x14ac:dyDescent="0.35">
      <c r="A2995">
        <v>541</v>
      </c>
      <c r="B2995" s="16">
        <v>40664</v>
      </c>
      <c r="C2995" s="15" t="s">
        <v>76</v>
      </c>
      <c r="D2995" s="15" t="s">
        <v>58</v>
      </c>
      <c r="E2995" s="15" t="s">
        <v>72</v>
      </c>
      <c r="F2995" s="15" t="s">
        <v>49</v>
      </c>
      <c r="G2995" s="15" t="s">
        <v>80</v>
      </c>
      <c r="H2995" s="15" t="s">
        <v>42</v>
      </c>
      <c r="I2995">
        <v>50</v>
      </c>
      <c r="J2995">
        <v>60</v>
      </c>
      <c r="K2995">
        <v>20</v>
      </c>
      <c r="L2995">
        <v>110</v>
      </c>
      <c r="M2995">
        <v>53</v>
      </c>
      <c r="N2995">
        <v>361</v>
      </c>
      <c r="O2995">
        <v>65</v>
      </c>
      <c r="P2995">
        <v>20</v>
      </c>
      <c r="Q2995">
        <v>15</v>
      </c>
      <c r="R2995">
        <v>117</v>
      </c>
      <c r="S2995">
        <v>1.0636363636363637</v>
      </c>
      <c r="T2995">
        <v>0.75</v>
      </c>
      <c r="U2995">
        <v>1.06</v>
      </c>
    </row>
    <row r="2996" spans="1:21" x14ac:dyDescent="0.35">
      <c r="A2996">
        <v>971</v>
      </c>
      <c r="B2996" s="16">
        <v>40664</v>
      </c>
      <c r="C2996" s="15" t="s">
        <v>76</v>
      </c>
      <c r="D2996" s="15" t="s">
        <v>58</v>
      </c>
      <c r="E2996" s="15" t="s">
        <v>48</v>
      </c>
      <c r="F2996" s="15" t="s">
        <v>49</v>
      </c>
      <c r="G2996" s="15" t="s">
        <v>80</v>
      </c>
      <c r="H2996" s="15" t="s">
        <v>42</v>
      </c>
      <c r="I2996">
        <v>40</v>
      </c>
      <c r="J2996">
        <v>70</v>
      </c>
      <c r="K2996">
        <v>40</v>
      </c>
      <c r="L2996">
        <v>110</v>
      </c>
      <c r="M2996">
        <v>52</v>
      </c>
      <c r="N2996">
        <v>361</v>
      </c>
      <c r="O2996">
        <v>71</v>
      </c>
      <c r="P2996">
        <v>17</v>
      </c>
      <c r="Q2996">
        <v>37</v>
      </c>
      <c r="R2996">
        <v>122</v>
      </c>
      <c r="S2996">
        <v>1.1090909090909091</v>
      </c>
      <c r="T2996">
        <v>0.92500000000000004</v>
      </c>
      <c r="U2996">
        <v>1.3</v>
      </c>
    </row>
    <row r="2997" spans="1:21" x14ac:dyDescent="0.35">
      <c r="A2997">
        <v>541</v>
      </c>
      <c r="B2997" s="16">
        <v>40664</v>
      </c>
      <c r="C2997" s="15" t="s">
        <v>76</v>
      </c>
      <c r="D2997" s="15" t="s">
        <v>58</v>
      </c>
      <c r="E2997" s="15" t="s">
        <v>50</v>
      </c>
      <c r="F2997" s="15" t="s">
        <v>49</v>
      </c>
      <c r="G2997" s="15" t="s">
        <v>80</v>
      </c>
      <c r="H2997" s="15" t="s">
        <v>45</v>
      </c>
      <c r="I2997">
        <v>140</v>
      </c>
      <c r="J2997">
        <v>140</v>
      </c>
      <c r="K2997">
        <v>90</v>
      </c>
      <c r="L2997">
        <v>280</v>
      </c>
      <c r="M2997">
        <v>149</v>
      </c>
      <c r="N2997">
        <v>1156</v>
      </c>
      <c r="O2997">
        <v>149</v>
      </c>
      <c r="P2997">
        <v>41</v>
      </c>
      <c r="Q2997">
        <v>115</v>
      </c>
      <c r="R2997">
        <v>295</v>
      </c>
      <c r="S2997">
        <v>1.0535714285714286</v>
      </c>
      <c r="T2997">
        <v>1.2777777777777777</v>
      </c>
      <c r="U2997">
        <v>1.0642857142857143</v>
      </c>
    </row>
    <row r="2998" spans="1:21" x14ac:dyDescent="0.35">
      <c r="A2998">
        <v>971</v>
      </c>
      <c r="B2998" s="16">
        <v>40664</v>
      </c>
      <c r="C2998" s="15" t="s">
        <v>76</v>
      </c>
      <c r="D2998" s="15" t="s">
        <v>58</v>
      </c>
      <c r="E2998" s="15" t="s">
        <v>39</v>
      </c>
      <c r="F2998" s="15" t="s">
        <v>40</v>
      </c>
      <c r="G2998" s="15" t="s">
        <v>80</v>
      </c>
      <c r="H2998" s="15" t="s">
        <v>42</v>
      </c>
      <c r="I2998">
        <v>60</v>
      </c>
      <c r="J2998">
        <v>100</v>
      </c>
      <c r="K2998">
        <v>40</v>
      </c>
      <c r="L2998">
        <v>160</v>
      </c>
      <c r="M2998">
        <v>53</v>
      </c>
      <c r="N2998">
        <v>458</v>
      </c>
      <c r="O2998">
        <v>75</v>
      </c>
      <c r="P2998">
        <v>48</v>
      </c>
      <c r="Q2998">
        <v>-3</v>
      </c>
      <c r="R2998">
        <v>127</v>
      </c>
      <c r="S2998">
        <v>0.79374999999999996</v>
      </c>
      <c r="T2998">
        <v>-7.4999999999999997E-2</v>
      </c>
      <c r="U2998">
        <v>0.8833333333333333</v>
      </c>
    </row>
    <row r="2999" spans="1:21" x14ac:dyDescent="0.35">
      <c r="A2999">
        <v>971</v>
      </c>
      <c r="B2999" s="16">
        <v>40664</v>
      </c>
      <c r="C2999" s="15" t="s">
        <v>76</v>
      </c>
      <c r="D2999" s="15" t="s">
        <v>58</v>
      </c>
      <c r="E2999" s="15" t="s">
        <v>43</v>
      </c>
      <c r="F2999" s="15" t="s">
        <v>40</v>
      </c>
      <c r="G2999" s="15" t="s">
        <v>80</v>
      </c>
      <c r="H2999" s="15" t="s">
        <v>42</v>
      </c>
      <c r="I2999">
        <v>60</v>
      </c>
      <c r="J2999">
        <v>80</v>
      </c>
      <c r="K2999">
        <v>30</v>
      </c>
      <c r="L2999">
        <v>140</v>
      </c>
      <c r="M2999">
        <v>48</v>
      </c>
      <c r="N2999">
        <v>422</v>
      </c>
      <c r="O2999">
        <v>68</v>
      </c>
      <c r="P2999">
        <v>15</v>
      </c>
      <c r="Q2999">
        <v>11</v>
      </c>
      <c r="R2999">
        <v>115</v>
      </c>
      <c r="S2999">
        <v>0.8214285714285714</v>
      </c>
      <c r="T2999">
        <v>0.36666666666666664</v>
      </c>
      <c r="U2999">
        <v>0.8</v>
      </c>
    </row>
    <row r="3000" spans="1:21" x14ac:dyDescent="0.35">
      <c r="A3000">
        <v>971</v>
      </c>
      <c r="B3000" s="16">
        <v>40664</v>
      </c>
      <c r="C3000" s="15" t="s">
        <v>76</v>
      </c>
      <c r="D3000" s="15" t="s">
        <v>58</v>
      </c>
      <c r="E3000" s="15" t="s">
        <v>44</v>
      </c>
      <c r="F3000" s="15" t="s">
        <v>40</v>
      </c>
      <c r="G3000" s="15" t="s">
        <v>80</v>
      </c>
      <c r="H3000" s="15" t="s">
        <v>45</v>
      </c>
      <c r="I3000">
        <v>50</v>
      </c>
      <c r="J3000">
        <v>70</v>
      </c>
      <c r="K3000">
        <v>40</v>
      </c>
      <c r="L3000">
        <v>120</v>
      </c>
      <c r="M3000">
        <v>42</v>
      </c>
      <c r="N3000">
        <v>384</v>
      </c>
      <c r="O3000">
        <v>61</v>
      </c>
      <c r="P3000">
        <v>13</v>
      </c>
      <c r="Q3000">
        <v>35</v>
      </c>
      <c r="R3000">
        <v>102</v>
      </c>
      <c r="S3000">
        <v>0.85</v>
      </c>
      <c r="T3000">
        <v>0.875</v>
      </c>
      <c r="U3000">
        <v>0.84</v>
      </c>
    </row>
    <row r="3001" spans="1:21" x14ac:dyDescent="0.35">
      <c r="A3001">
        <v>509</v>
      </c>
      <c r="B3001" s="16">
        <v>40664</v>
      </c>
      <c r="C3001" s="15" t="s">
        <v>76</v>
      </c>
      <c r="D3001" s="15" t="s">
        <v>58</v>
      </c>
      <c r="E3001" s="15" t="s">
        <v>51</v>
      </c>
      <c r="F3001" s="15" t="s">
        <v>52</v>
      </c>
      <c r="G3001" s="15" t="s">
        <v>81</v>
      </c>
      <c r="H3001" s="15" t="s">
        <v>45</v>
      </c>
      <c r="I3001">
        <v>90</v>
      </c>
      <c r="J3001">
        <v>150</v>
      </c>
      <c r="K3001">
        <v>100</v>
      </c>
      <c r="L3001">
        <v>240</v>
      </c>
      <c r="M3001">
        <v>110</v>
      </c>
      <c r="N3001">
        <v>1020</v>
      </c>
      <c r="O3001">
        <v>165</v>
      </c>
      <c r="P3001">
        <v>36</v>
      </c>
      <c r="Q3001">
        <v>135</v>
      </c>
      <c r="R3001">
        <v>273</v>
      </c>
      <c r="S3001">
        <v>1.1375</v>
      </c>
      <c r="T3001">
        <v>1.35</v>
      </c>
      <c r="U3001">
        <v>1.2222222222222223</v>
      </c>
    </row>
    <row r="3002" spans="1:21" x14ac:dyDescent="0.35">
      <c r="A3002">
        <v>206</v>
      </c>
      <c r="B3002" s="16">
        <v>40664</v>
      </c>
      <c r="C3002" s="15" t="s">
        <v>76</v>
      </c>
      <c r="D3002" s="15" t="s">
        <v>58</v>
      </c>
      <c r="E3002" s="15" t="s">
        <v>53</v>
      </c>
      <c r="F3002" s="15" t="s">
        <v>52</v>
      </c>
      <c r="G3002" s="15" t="s">
        <v>81</v>
      </c>
      <c r="H3002" s="15" t="s">
        <v>45</v>
      </c>
      <c r="I3002">
        <v>30</v>
      </c>
      <c r="J3002">
        <v>50</v>
      </c>
      <c r="K3002">
        <v>50</v>
      </c>
      <c r="L3002">
        <v>80</v>
      </c>
      <c r="M3002">
        <v>40</v>
      </c>
      <c r="N3002">
        <v>793</v>
      </c>
      <c r="O3002">
        <v>59</v>
      </c>
      <c r="P3002">
        <v>11</v>
      </c>
      <c r="Q3002">
        <v>50</v>
      </c>
      <c r="R3002">
        <v>98</v>
      </c>
      <c r="S3002">
        <v>1.2250000000000001</v>
      </c>
      <c r="T3002">
        <v>1</v>
      </c>
      <c r="U3002">
        <v>1.3333333333333333</v>
      </c>
    </row>
    <row r="3003" spans="1:21" x14ac:dyDescent="0.35">
      <c r="A3003">
        <v>425</v>
      </c>
      <c r="B3003" s="16">
        <v>40664</v>
      </c>
      <c r="C3003" s="15" t="s">
        <v>76</v>
      </c>
      <c r="D3003" s="15" t="s">
        <v>58</v>
      </c>
      <c r="E3003" s="15" t="s">
        <v>55</v>
      </c>
      <c r="F3003" s="15" t="s">
        <v>47</v>
      </c>
      <c r="G3003" s="15" t="s">
        <v>81</v>
      </c>
      <c r="H3003" s="15" t="s">
        <v>42</v>
      </c>
      <c r="I3003">
        <v>30</v>
      </c>
      <c r="J3003">
        <v>50</v>
      </c>
      <c r="K3003">
        <v>30</v>
      </c>
      <c r="L3003">
        <v>80</v>
      </c>
      <c r="M3003">
        <v>48</v>
      </c>
      <c r="N3003">
        <v>351</v>
      </c>
      <c r="O3003">
        <v>82</v>
      </c>
      <c r="P3003">
        <v>14</v>
      </c>
      <c r="Q3003">
        <v>61</v>
      </c>
      <c r="R3003">
        <v>129</v>
      </c>
      <c r="S3003">
        <v>1.6125</v>
      </c>
      <c r="T3003">
        <v>2.0333333333333332</v>
      </c>
      <c r="U3003">
        <v>1.6</v>
      </c>
    </row>
    <row r="3004" spans="1:21" x14ac:dyDescent="0.35">
      <c r="A3004">
        <v>425</v>
      </c>
      <c r="B3004" s="16">
        <v>40664</v>
      </c>
      <c r="C3004" s="15" t="s">
        <v>76</v>
      </c>
      <c r="D3004" s="15" t="s">
        <v>58</v>
      </c>
      <c r="E3004" s="15" t="s">
        <v>56</v>
      </c>
      <c r="F3004" s="15" t="s">
        <v>47</v>
      </c>
      <c r="G3004" s="15" t="s">
        <v>81</v>
      </c>
      <c r="H3004" s="15" t="s">
        <v>42</v>
      </c>
      <c r="I3004">
        <v>20</v>
      </c>
      <c r="J3004">
        <v>50</v>
      </c>
      <c r="K3004">
        <v>30</v>
      </c>
      <c r="L3004">
        <v>70</v>
      </c>
      <c r="M3004">
        <v>45</v>
      </c>
      <c r="N3004">
        <v>410</v>
      </c>
      <c r="O3004">
        <v>65</v>
      </c>
      <c r="P3004">
        <v>14</v>
      </c>
      <c r="Q3004">
        <v>37</v>
      </c>
      <c r="R3004">
        <v>109</v>
      </c>
      <c r="S3004">
        <v>1.5571428571428572</v>
      </c>
      <c r="T3004">
        <v>1.2333333333333334</v>
      </c>
      <c r="U3004">
        <v>2.25</v>
      </c>
    </row>
    <row r="3005" spans="1:21" x14ac:dyDescent="0.35">
      <c r="A3005">
        <v>206</v>
      </c>
      <c r="B3005" s="16">
        <v>40664</v>
      </c>
      <c r="C3005" s="15" t="s">
        <v>76</v>
      </c>
      <c r="D3005" s="15" t="s">
        <v>58</v>
      </c>
      <c r="E3005" s="15" t="s">
        <v>46</v>
      </c>
      <c r="F3005" s="15" t="s">
        <v>47</v>
      </c>
      <c r="G3005" s="15" t="s">
        <v>81</v>
      </c>
      <c r="H3005" s="15" t="s">
        <v>42</v>
      </c>
      <c r="I3005">
        <v>40</v>
      </c>
      <c r="J3005">
        <v>60</v>
      </c>
      <c r="K3005">
        <v>10</v>
      </c>
      <c r="L3005">
        <v>100</v>
      </c>
      <c r="M3005">
        <v>64</v>
      </c>
      <c r="N3005">
        <v>551</v>
      </c>
      <c r="O3005">
        <v>90</v>
      </c>
      <c r="P3005">
        <v>58</v>
      </c>
      <c r="Q3005">
        <v>3</v>
      </c>
      <c r="R3005">
        <v>153</v>
      </c>
      <c r="S3005">
        <v>1.53</v>
      </c>
      <c r="T3005">
        <v>0.3</v>
      </c>
      <c r="U3005">
        <v>1.6</v>
      </c>
    </row>
    <row r="3006" spans="1:21" x14ac:dyDescent="0.35">
      <c r="A3006">
        <v>206</v>
      </c>
      <c r="B3006" s="16">
        <v>40664</v>
      </c>
      <c r="C3006" s="15" t="s">
        <v>76</v>
      </c>
      <c r="D3006" s="15" t="s">
        <v>58</v>
      </c>
      <c r="E3006" s="15" t="s">
        <v>72</v>
      </c>
      <c r="F3006" s="15" t="s">
        <v>49</v>
      </c>
      <c r="G3006" s="15" t="s">
        <v>81</v>
      </c>
      <c r="H3006" s="15" t="s">
        <v>42</v>
      </c>
      <c r="I3006">
        <v>40</v>
      </c>
      <c r="J3006">
        <v>60</v>
      </c>
      <c r="K3006">
        <v>40</v>
      </c>
      <c r="L3006">
        <v>100</v>
      </c>
      <c r="M3006">
        <v>48</v>
      </c>
      <c r="N3006">
        <v>599</v>
      </c>
      <c r="O3006">
        <v>62</v>
      </c>
      <c r="P3006">
        <v>15</v>
      </c>
      <c r="Q3006">
        <v>47</v>
      </c>
      <c r="R3006">
        <v>109</v>
      </c>
      <c r="S3006">
        <v>1.0900000000000001</v>
      </c>
      <c r="T3006">
        <v>1.175</v>
      </c>
      <c r="U3006">
        <v>1.2</v>
      </c>
    </row>
    <row r="3007" spans="1:21" x14ac:dyDescent="0.35">
      <c r="A3007">
        <v>360</v>
      </c>
      <c r="B3007" s="16">
        <v>40664</v>
      </c>
      <c r="C3007" s="15" t="s">
        <v>76</v>
      </c>
      <c r="D3007" s="15" t="s">
        <v>58</v>
      </c>
      <c r="E3007" s="15" t="s">
        <v>48</v>
      </c>
      <c r="F3007" s="15" t="s">
        <v>49</v>
      </c>
      <c r="G3007" s="15" t="s">
        <v>81</v>
      </c>
      <c r="H3007" s="15" t="s">
        <v>42</v>
      </c>
      <c r="I3007">
        <v>50</v>
      </c>
      <c r="J3007">
        <v>70</v>
      </c>
      <c r="K3007">
        <v>20</v>
      </c>
      <c r="L3007">
        <v>120</v>
      </c>
      <c r="M3007">
        <v>58</v>
      </c>
      <c r="N3007">
        <v>338</v>
      </c>
      <c r="O3007">
        <v>72</v>
      </c>
      <c r="P3007">
        <v>22</v>
      </c>
      <c r="Q3007">
        <v>22</v>
      </c>
      <c r="R3007">
        <v>129</v>
      </c>
      <c r="S3007">
        <v>1.075</v>
      </c>
      <c r="T3007">
        <v>1.1000000000000001</v>
      </c>
      <c r="U3007">
        <v>1.1599999999999999</v>
      </c>
    </row>
    <row r="3008" spans="1:21" x14ac:dyDescent="0.35">
      <c r="A3008">
        <v>206</v>
      </c>
      <c r="B3008" s="16">
        <v>40664</v>
      </c>
      <c r="C3008" s="15" t="s">
        <v>76</v>
      </c>
      <c r="D3008" s="15" t="s">
        <v>58</v>
      </c>
      <c r="E3008" s="15" t="s">
        <v>50</v>
      </c>
      <c r="F3008" s="15" t="s">
        <v>49</v>
      </c>
      <c r="G3008" s="15" t="s">
        <v>81</v>
      </c>
      <c r="H3008" s="15" t="s">
        <v>45</v>
      </c>
      <c r="I3008">
        <v>70</v>
      </c>
      <c r="J3008">
        <v>90</v>
      </c>
      <c r="K3008">
        <v>60</v>
      </c>
      <c r="L3008">
        <v>160</v>
      </c>
      <c r="M3008">
        <v>78</v>
      </c>
      <c r="N3008">
        <v>995</v>
      </c>
      <c r="O3008">
        <v>92</v>
      </c>
      <c r="P3008">
        <v>24</v>
      </c>
      <c r="Q3008">
        <v>65</v>
      </c>
      <c r="R3008">
        <v>168</v>
      </c>
      <c r="S3008">
        <v>1.05</v>
      </c>
      <c r="T3008">
        <v>1.0833333333333333</v>
      </c>
      <c r="U3008">
        <v>1.1142857142857143</v>
      </c>
    </row>
    <row r="3009" spans="1:21" x14ac:dyDescent="0.35">
      <c r="A3009">
        <v>253</v>
      </c>
      <c r="B3009" s="16">
        <v>40664</v>
      </c>
      <c r="C3009" s="15" t="s">
        <v>76</v>
      </c>
      <c r="D3009" s="15" t="s">
        <v>58</v>
      </c>
      <c r="E3009" s="15" t="s">
        <v>43</v>
      </c>
      <c r="F3009" s="15" t="s">
        <v>40</v>
      </c>
      <c r="G3009" s="15" t="s">
        <v>81</v>
      </c>
      <c r="H3009" s="15" t="s">
        <v>42</v>
      </c>
      <c r="I3009">
        <v>80</v>
      </c>
      <c r="J3009">
        <v>130</v>
      </c>
      <c r="K3009">
        <v>90</v>
      </c>
      <c r="L3009">
        <v>210</v>
      </c>
      <c r="M3009">
        <v>71</v>
      </c>
      <c r="N3009">
        <v>373</v>
      </c>
      <c r="O3009">
        <v>104</v>
      </c>
      <c r="P3009">
        <v>22</v>
      </c>
      <c r="Q3009">
        <v>80</v>
      </c>
      <c r="R3009">
        <v>173</v>
      </c>
      <c r="S3009">
        <v>0.82380952380952377</v>
      </c>
      <c r="T3009">
        <v>0.88888888888888884</v>
      </c>
      <c r="U3009">
        <v>0.88749999999999996</v>
      </c>
    </row>
    <row r="3010" spans="1:21" x14ac:dyDescent="0.35">
      <c r="A3010">
        <v>253</v>
      </c>
      <c r="B3010" s="16">
        <v>40664</v>
      </c>
      <c r="C3010" s="15" t="s">
        <v>76</v>
      </c>
      <c r="D3010" s="15" t="s">
        <v>58</v>
      </c>
      <c r="E3010" s="15" t="s">
        <v>44</v>
      </c>
      <c r="F3010" s="15" t="s">
        <v>40</v>
      </c>
      <c r="G3010" s="15" t="s">
        <v>81</v>
      </c>
      <c r="H3010" s="15" t="s">
        <v>45</v>
      </c>
      <c r="I3010">
        <v>110</v>
      </c>
      <c r="J3010">
        <v>160</v>
      </c>
      <c r="K3010">
        <v>60</v>
      </c>
      <c r="L3010">
        <v>270</v>
      </c>
      <c r="M3010">
        <v>92</v>
      </c>
      <c r="N3010">
        <v>599</v>
      </c>
      <c r="O3010">
        <v>129</v>
      </c>
      <c r="P3010">
        <v>83</v>
      </c>
      <c r="Q3010">
        <v>22</v>
      </c>
      <c r="R3010">
        <v>219</v>
      </c>
      <c r="S3010">
        <v>0.81111111111111112</v>
      </c>
      <c r="T3010">
        <v>0.36666666666666664</v>
      </c>
      <c r="U3010">
        <v>0.83636363636363631</v>
      </c>
    </row>
    <row r="3011" spans="1:21" x14ac:dyDescent="0.35">
      <c r="A3011">
        <v>720</v>
      </c>
      <c r="B3011" s="16">
        <v>40695</v>
      </c>
      <c r="C3011" s="15" t="s">
        <v>37</v>
      </c>
      <c r="D3011" s="15" t="s">
        <v>38</v>
      </c>
      <c r="E3011" s="15" t="s">
        <v>51</v>
      </c>
      <c r="F3011" s="15" t="s">
        <v>52</v>
      </c>
      <c r="G3011" s="15" t="s">
        <v>41</v>
      </c>
      <c r="H3011" s="15" t="s">
        <v>45</v>
      </c>
      <c r="I3011">
        <v>120</v>
      </c>
      <c r="J3011">
        <v>140</v>
      </c>
      <c r="K3011">
        <v>90</v>
      </c>
      <c r="L3011">
        <v>260</v>
      </c>
      <c r="M3011">
        <v>149</v>
      </c>
      <c r="N3011">
        <v>1245</v>
      </c>
      <c r="O3011">
        <v>149</v>
      </c>
      <c r="P3011">
        <v>41</v>
      </c>
      <c r="Q3011">
        <v>115</v>
      </c>
      <c r="R3011">
        <v>295</v>
      </c>
      <c r="S3011">
        <v>1.1346153846153846</v>
      </c>
      <c r="T3011">
        <v>1.2777777777777777</v>
      </c>
      <c r="U3011">
        <v>1.2416666666666667</v>
      </c>
    </row>
    <row r="3012" spans="1:21" x14ac:dyDescent="0.35">
      <c r="A3012">
        <v>303</v>
      </c>
      <c r="B3012" s="16">
        <v>40695</v>
      </c>
      <c r="C3012" s="15" t="s">
        <v>37</v>
      </c>
      <c r="D3012" s="15" t="s">
        <v>38</v>
      </c>
      <c r="E3012" s="15" t="s">
        <v>53</v>
      </c>
      <c r="F3012" s="15" t="s">
        <v>52</v>
      </c>
      <c r="G3012" s="15" t="s">
        <v>41</v>
      </c>
      <c r="H3012" s="15" t="s">
        <v>45</v>
      </c>
      <c r="I3012">
        <v>30</v>
      </c>
      <c r="J3012">
        <v>60</v>
      </c>
      <c r="K3012">
        <v>10</v>
      </c>
      <c r="L3012">
        <v>90</v>
      </c>
      <c r="M3012">
        <v>44</v>
      </c>
      <c r="N3012">
        <v>496</v>
      </c>
      <c r="O3012">
        <v>63</v>
      </c>
      <c r="P3012">
        <v>40</v>
      </c>
      <c r="Q3012">
        <v>-10</v>
      </c>
      <c r="R3012">
        <v>106</v>
      </c>
      <c r="S3012">
        <v>1.1777777777777778</v>
      </c>
      <c r="T3012">
        <v>-1</v>
      </c>
      <c r="U3012">
        <v>1.4666666666666666</v>
      </c>
    </row>
    <row r="3013" spans="1:21" x14ac:dyDescent="0.35">
      <c r="A3013">
        <v>720</v>
      </c>
      <c r="B3013" s="16">
        <v>40695</v>
      </c>
      <c r="C3013" s="15" t="s">
        <v>37</v>
      </c>
      <c r="D3013" s="15" t="s">
        <v>38</v>
      </c>
      <c r="E3013" s="15" t="s">
        <v>54</v>
      </c>
      <c r="F3013" s="15" t="s">
        <v>52</v>
      </c>
      <c r="G3013" s="15" t="s">
        <v>41</v>
      </c>
      <c r="H3013" s="15" t="s">
        <v>45</v>
      </c>
      <c r="I3013">
        <v>40</v>
      </c>
      <c r="J3013">
        <v>60</v>
      </c>
      <c r="K3013">
        <v>30</v>
      </c>
      <c r="L3013">
        <v>100</v>
      </c>
      <c r="M3013">
        <v>50</v>
      </c>
      <c r="N3013">
        <v>397</v>
      </c>
      <c r="O3013">
        <v>68</v>
      </c>
      <c r="P3013">
        <v>16</v>
      </c>
      <c r="Q3013">
        <v>33</v>
      </c>
      <c r="R3013">
        <v>117</v>
      </c>
      <c r="S3013">
        <v>1.17</v>
      </c>
      <c r="T3013">
        <v>1.1000000000000001</v>
      </c>
      <c r="U3013">
        <v>1.25</v>
      </c>
    </row>
    <row r="3014" spans="1:21" x14ac:dyDescent="0.35">
      <c r="A3014">
        <v>970</v>
      </c>
      <c r="B3014" s="16">
        <v>40695</v>
      </c>
      <c r="C3014" s="15" t="s">
        <v>37</v>
      </c>
      <c r="D3014" s="15" t="s">
        <v>38</v>
      </c>
      <c r="E3014" s="15" t="s">
        <v>55</v>
      </c>
      <c r="F3014" s="15" t="s">
        <v>47</v>
      </c>
      <c r="G3014" s="15" t="s">
        <v>41</v>
      </c>
      <c r="H3014" s="15" t="s">
        <v>42</v>
      </c>
      <c r="I3014">
        <v>40</v>
      </c>
      <c r="J3014">
        <v>60</v>
      </c>
      <c r="K3014">
        <v>20</v>
      </c>
      <c r="L3014">
        <v>100</v>
      </c>
      <c r="M3014">
        <v>51</v>
      </c>
      <c r="N3014">
        <v>396</v>
      </c>
      <c r="O3014">
        <v>64</v>
      </c>
      <c r="P3014">
        <v>19</v>
      </c>
      <c r="Q3014">
        <v>15</v>
      </c>
      <c r="R3014">
        <v>114</v>
      </c>
      <c r="S3014">
        <v>1.1399999999999999</v>
      </c>
      <c r="T3014">
        <v>0.75</v>
      </c>
      <c r="U3014">
        <v>1.2749999999999999</v>
      </c>
    </row>
    <row r="3015" spans="1:21" x14ac:dyDescent="0.35">
      <c r="A3015">
        <v>719</v>
      </c>
      <c r="B3015" s="16">
        <v>40695</v>
      </c>
      <c r="C3015" s="15" t="s">
        <v>37</v>
      </c>
      <c r="D3015" s="15" t="s">
        <v>38</v>
      </c>
      <c r="E3015" s="15" t="s">
        <v>56</v>
      </c>
      <c r="F3015" s="15" t="s">
        <v>47</v>
      </c>
      <c r="G3015" s="15" t="s">
        <v>41</v>
      </c>
      <c r="H3015" s="15" t="s">
        <v>42</v>
      </c>
      <c r="I3015">
        <v>40</v>
      </c>
      <c r="J3015">
        <v>60</v>
      </c>
      <c r="K3015">
        <v>30</v>
      </c>
      <c r="L3015">
        <v>100</v>
      </c>
      <c r="M3015">
        <v>53</v>
      </c>
      <c r="N3015">
        <v>1028</v>
      </c>
      <c r="O3015">
        <v>64</v>
      </c>
      <c r="P3015">
        <v>16</v>
      </c>
      <c r="Q3015">
        <v>37</v>
      </c>
      <c r="R3015">
        <v>116</v>
      </c>
      <c r="S3015">
        <v>1.1599999999999999</v>
      </c>
      <c r="T3015">
        <v>1.2333333333333334</v>
      </c>
      <c r="U3015">
        <v>1.325</v>
      </c>
    </row>
    <row r="3016" spans="1:21" x14ac:dyDescent="0.35">
      <c r="A3016">
        <v>970</v>
      </c>
      <c r="B3016" s="16">
        <v>40695</v>
      </c>
      <c r="C3016" s="15" t="s">
        <v>37</v>
      </c>
      <c r="D3016" s="15" t="s">
        <v>38</v>
      </c>
      <c r="E3016" s="15" t="s">
        <v>46</v>
      </c>
      <c r="F3016" s="15" t="s">
        <v>47</v>
      </c>
      <c r="G3016" s="15" t="s">
        <v>41</v>
      </c>
      <c r="H3016" s="15" t="s">
        <v>42</v>
      </c>
      <c r="I3016">
        <v>30</v>
      </c>
      <c r="J3016">
        <v>50</v>
      </c>
      <c r="K3016">
        <v>30</v>
      </c>
      <c r="L3016">
        <v>80</v>
      </c>
      <c r="M3016">
        <v>43</v>
      </c>
      <c r="N3016">
        <v>597</v>
      </c>
      <c r="O3016">
        <v>56</v>
      </c>
      <c r="P3016">
        <v>14</v>
      </c>
      <c r="Q3016">
        <v>40</v>
      </c>
      <c r="R3016">
        <v>98</v>
      </c>
      <c r="S3016">
        <v>1.2250000000000001</v>
      </c>
      <c r="T3016">
        <v>1.3333333333333333</v>
      </c>
      <c r="U3016">
        <v>1.4333333333333333</v>
      </c>
    </row>
    <row r="3017" spans="1:21" x14ac:dyDescent="0.35">
      <c r="A3017">
        <v>303</v>
      </c>
      <c r="B3017" s="16">
        <v>40695</v>
      </c>
      <c r="C3017" s="15" t="s">
        <v>37</v>
      </c>
      <c r="D3017" s="15" t="s">
        <v>38</v>
      </c>
      <c r="E3017" s="15" t="s">
        <v>48</v>
      </c>
      <c r="F3017" s="15" t="s">
        <v>49</v>
      </c>
      <c r="G3017" s="15" t="s">
        <v>41</v>
      </c>
      <c r="H3017" s="15" t="s">
        <v>42</v>
      </c>
      <c r="I3017">
        <v>100</v>
      </c>
      <c r="J3017">
        <v>170</v>
      </c>
      <c r="K3017">
        <v>140</v>
      </c>
      <c r="L3017">
        <v>270</v>
      </c>
      <c r="M3017">
        <v>94</v>
      </c>
      <c r="N3017">
        <v>562</v>
      </c>
      <c r="O3017">
        <v>136</v>
      </c>
      <c r="P3017">
        <v>26</v>
      </c>
      <c r="Q3017">
        <v>137</v>
      </c>
      <c r="R3017">
        <v>228</v>
      </c>
      <c r="S3017">
        <v>0.84444444444444444</v>
      </c>
      <c r="T3017">
        <v>0.97857142857142854</v>
      </c>
      <c r="U3017">
        <v>0.94</v>
      </c>
    </row>
    <row r="3018" spans="1:21" x14ac:dyDescent="0.35">
      <c r="A3018">
        <v>970</v>
      </c>
      <c r="B3018" s="16">
        <v>40695</v>
      </c>
      <c r="C3018" s="15" t="s">
        <v>37</v>
      </c>
      <c r="D3018" s="15" t="s">
        <v>38</v>
      </c>
      <c r="E3018" s="15" t="s">
        <v>50</v>
      </c>
      <c r="F3018" s="15" t="s">
        <v>49</v>
      </c>
      <c r="G3018" s="15" t="s">
        <v>41</v>
      </c>
      <c r="H3018" s="15" t="s">
        <v>45</v>
      </c>
      <c r="I3018">
        <v>60</v>
      </c>
      <c r="J3018">
        <v>90</v>
      </c>
      <c r="K3018">
        <v>50</v>
      </c>
      <c r="L3018">
        <v>150</v>
      </c>
      <c r="M3018">
        <v>54</v>
      </c>
      <c r="N3018">
        <v>641</v>
      </c>
      <c r="O3018">
        <v>81</v>
      </c>
      <c r="P3018">
        <v>17</v>
      </c>
      <c r="Q3018">
        <v>46</v>
      </c>
      <c r="R3018">
        <v>134</v>
      </c>
      <c r="S3018">
        <v>0.89333333333333331</v>
      </c>
      <c r="T3018">
        <v>0.92</v>
      </c>
      <c r="U3018">
        <v>0.9</v>
      </c>
    </row>
    <row r="3019" spans="1:21" x14ac:dyDescent="0.35">
      <c r="A3019">
        <v>719</v>
      </c>
      <c r="B3019" s="16">
        <v>40695</v>
      </c>
      <c r="C3019" s="15" t="s">
        <v>37</v>
      </c>
      <c r="D3019" s="15" t="s">
        <v>38</v>
      </c>
      <c r="E3019" s="15" t="s">
        <v>39</v>
      </c>
      <c r="F3019" s="15" t="s">
        <v>40</v>
      </c>
      <c r="G3019" s="15" t="s">
        <v>41</v>
      </c>
      <c r="H3019" s="15" t="s">
        <v>42</v>
      </c>
      <c r="I3019">
        <v>110</v>
      </c>
      <c r="J3019">
        <v>170</v>
      </c>
      <c r="K3019">
        <v>130</v>
      </c>
      <c r="L3019">
        <v>280</v>
      </c>
      <c r="M3019">
        <v>113</v>
      </c>
      <c r="N3019">
        <v>897</v>
      </c>
      <c r="O3019">
        <v>163</v>
      </c>
      <c r="P3019">
        <v>31</v>
      </c>
      <c r="Q3019">
        <v>167</v>
      </c>
      <c r="R3019">
        <v>274</v>
      </c>
      <c r="S3019">
        <v>0.97857142857142854</v>
      </c>
      <c r="T3019">
        <v>1.2846153846153847</v>
      </c>
      <c r="U3019">
        <v>1.0272727272727273</v>
      </c>
    </row>
    <row r="3020" spans="1:21" x14ac:dyDescent="0.35">
      <c r="A3020">
        <v>970</v>
      </c>
      <c r="B3020" s="16">
        <v>40695</v>
      </c>
      <c r="C3020" s="15" t="s">
        <v>37</v>
      </c>
      <c r="D3020" s="15" t="s">
        <v>38</v>
      </c>
      <c r="E3020" s="15" t="s">
        <v>43</v>
      </c>
      <c r="F3020" s="15" t="s">
        <v>40</v>
      </c>
      <c r="G3020" s="15" t="s">
        <v>41</v>
      </c>
      <c r="H3020" s="15" t="s">
        <v>42</v>
      </c>
      <c r="I3020">
        <v>80</v>
      </c>
      <c r="J3020">
        <v>110</v>
      </c>
      <c r="K3020">
        <v>80</v>
      </c>
      <c r="L3020">
        <v>190</v>
      </c>
      <c r="M3020">
        <v>83</v>
      </c>
      <c r="N3020">
        <v>574</v>
      </c>
      <c r="O3020">
        <v>107</v>
      </c>
      <c r="P3020">
        <v>27</v>
      </c>
      <c r="Q3020">
        <v>94</v>
      </c>
      <c r="R3020">
        <v>188</v>
      </c>
      <c r="S3020">
        <v>0.98947368421052628</v>
      </c>
      <c r="T3020">
        <v>1.175</v>
      </c>
      <c r="U3020">
        <v>1.0375000000000001</v>
      </c>
    </row>
    <row r="3021" spans="1:21" x14ac:dyDescent="0.35">
      <c r="A3021">
        <v>720</v>
      </c>
      <c r="B3021" s="16">
        <v>40695</v>
      </c>
      <c r="C3021" s="15" t="s">
        <v>37</v>
      </c>
      <c r="D3021" s="15" t="s">
        <v>38</v>
      </c>
      <c r="E3021" s="15" t="s">
        <v>44</v>
      </c>
      <c r="F3021" s="15" t="s">
        <v>40</v>
      </c>
      <c r="G3021" s="15" t="s">
        <v>41</v>
      </c>
      <c r="H3021" s="15" t="s">
        <v>45</v>
      </c>
      <c r="I3021">
        <v>130</v>
      </c>
      <c r="J3021">
        <v>180</v>
      </c>
      <c r="K3021">
        <v>140</v>
      </c>
      <c r="L3021">
        <v>310</v>
      </c>
      <c r="M3021">
        <v>123</v>
      </c>
      <c r="N3021">
        <v>947</v>
      </c>
      <c r="O3021">
        <v>178</v>
      </c>
      <c r="P3021">
        <v>34</v>
      </c>
      <c r="Q3021">
        <v>182</v>
      </c>
      <c r="R3021">
        <v>298</v>
      </c>
      <c r="S3021">
        <v>0.96129032258064517</v>
      </c>
      <c r="T3021">
        <v>1.3</v>
      </c>
      <c r="U3021">
        <v>0.94615384615384612</v>
      </c>
    </row>
    <row r="3022" spans="1:21" x14ac:dyDescent="0.35">
      <c r="A3022">
        <v>630</v>
      </c>
      <c r="B3022" s="16">
        <v>40695</v>
      </c>
      <c r="C3022" s="15" t="s">
        <v>37</v>
      </c>
      <c r="D3022" s="15" t="s">
        <v>38</v>
      </c>
      <c r="E3022" s="15" t="s">
        <v>51</v>
      </c>
      <c r="F3022" s="15" t="s">
        <v>52</v>
      </c>
      <c r="G3022" s="15" t="s">
        <v>57</v>
      </c>
      <c r="H3022" s="15" t="s">
        <v>45</v>
      </c>
      <c r="I3022">
        <v>90</v>
      </c>
      <c r="J3022">
        <v>150</v>
      </c>
      <c r="K3022">
        <v>130</v>
      </c>
      <c r="L3022">
        <v>240</v>
      </c>
      <c r="M3022">
        <v>113</v>
      </c>
      <c r="N3022">
        <v>897</v>
      </c>
      <c r="O3022">
        <v>163</v>
      </c>
      <c r="P3022">
        <v>31</v>
      </c>
      <c r="Q3022">
        <v>167</v>
      </c>
      <c r="R3022">
        <v>274</v>
      </c>
      <c r="S3022">
        <v>1.1416666666666666</v>
      </c>
      <c r="T3022">
        <v>1.2846153846153847</v>
      </c>
      <c r="U3022">
        <v>1.2555555555555555</v>
      </c>
    </row>
    <row r="3023" spans="1:21" x14ac:dyDescent="0.35">
      <c r="A3023">
        <v>773</v>
      </c>
      <c r="B3023" s="16">
        <v>40695</v>
      </c>
      <c r="C3023" s="15" t="s">
        <v>37</v>
      </c>
      <c r="D3023" s="15" t="s">
        <v>38</v>
      </c>
      <c r="E3023" s="15" t="s">
        <v>53</v>
      </c>
      <c r="F3023" s="15" t="s">
        <v>52</v>
      </c>
      <c r="G3023" s="15" t="s">
        <v>57</v>
      </c>
      <c r="H3023" s="15" t="s">
        <v>45</v>
      </c>
      <c r="I3023">
        <v>70</v>
      </c>
      <c r="J3023">
        <v>90</v>
      </c>
      <c r="K3023">
        <v>60</v>
      </c>
      <c r="L3023">
        <v>160</v>
      </c>
      <c r="M3023">
        <v>83</v>
      </c>
      <c r="N3023">
        <v>574</v>
      </c>
      <c r="O3023">
        <v>107</v>
      </c>
      <c r="P3023">
        <v>27</v>
      </c>
      <c r="Q3023">
        <v>92</v>
      </c>
      <c r="R3023">
        <v>188</v>
      </c>
      <c r="S3023">
        <v>1.175</v>
      </c>
      <c r="T3023">
        <v>1.5333333333333334</v>
      </c>
      <c r="U3023">
        <v>1.1857142857142857</v>
      </c>
    </row>
    <row r="3024" spans="1:21" x14ac:dyDescent="0.35">
      <c r="A3024">
        <v>630</v>
      </c>
      <c r="B3024" s="16">
        <v>40695</v>
      </c>
      <c r="C3024" s="15" t="s">
        <v>37</v>
      </c>
      <c r="D3024" s="15" t="s">
        <v>38</v>
      </c>
      <c r="E3024" s="15" t="s">
        <v>54</v>
      </c>
      <c r="F3024" s="15" t="s">
        <v>52</v>
      </c>
      <c r="G3024" s="15" t="s">
        <v>57</v>
      </c>
      <c r="H3024" s="15" t="s">
        <v>45</v>
      </c>
      <c r="I3024">
        <v>100</v>
      </c>
      <c r="J3024">
        <v>160</v>
      </c>
      <c r="K3024">
        <v>140</v>
      </c>
      <c r="L3024">
        <v>260</v>
      </c>
      <c r="M3024">
        <v>123</v>
      </c>
      <c r="N3024">
        <v>947</v>
      </c>
      <c r="O3024">
        <v>178</v>
      </c>
      <c r="P3024">
        <v>34</v>
      </c>
      <c r="Q3024">
        <v>184</v>
      </c>
      <c r="R3024">
        <v>298</v>
      </c>
      <c r="S3024">
        <v>1.1461538461538461</v>
      </c>
      <c r="T3024">
        <v>1.3142857142857143</v>
      </c>
      <c r="U3024">
        <v>1.23</v>
      </c>
    </row>
    <row r="3025" spans="1:21" x14ac:dyDescent="0.35">
      <c r="A3025">
        <v>618</v>
      </c>
      <c r="B3025" s="16">
        <v>40695</v>
      </c>
      <c r="C3025" s="15" t="s">
        <v>37</v>
      </c>
      <c r="D3025" s="15" t="s">
        <v>38</v>
      </c>
      <c r="E3025" s="15" t="s">
        <v>55</v>
      </c>
      <c r="F3025" s="15" t="s">
        <v>47</v>
      </c>
      <c r="G3025" s="15" t="s">
        <v>57</v>
      </c>
      <c r="H3025" s="15" t="s">
        <v>42</v>
      </c>
      <c r="I3025">
        <v>80</v>
      </c>
      <c r="J3025">
        <v>120</v>
      </c>
      <c r="K3025">
        <v>90</v>
      </c>
      <c r="L3025">
        <v>200</v>
      </c>
      <c r="M3025">
        <v>94</v>
      </c>
      <c r="N3025">
        <v>562</v>
      </c>
      <c r="O3025">
        <v>136</v>
      </c>
      <c r="P3025">
        <v>26</v>
      </c>
      <c r="Q3025">
        <v>137</v>
      </c>
      <c r="R3025">
        <v>228</v>
      </c>
      <c r="S3025">
        <v>1.1399999999999999</v>
      </c>
      <c r="T3025">
        <v>1.5222222222222221</v>
      </c>
      <c r="U3025">
        <v>1.175</v>
      </c>
    </row>
    <row r="3026" spans="1:21" x14ac:dyDescent="0.35">
      <c r="A3026">
        <v>309</v>
      </c>
      <c r="B3026" s="16">
        <v>40695</v>
      </c>
      <c r="C3026" s="15" t="s">
        <v>37</v>
      </c>
      <c r="D3026" s="15" t="s">
        <v>38</v>
      </c>
      <c r="E3026" s="15" t="s">
        <v>56</v>
      </c>
      <c r="F3026" s="15" t="s">
        <v>47</v>
      </c>
      <c r="G3026" s="15" t="s">
        <v>57</v>
      </c>
      <c r="H3026" s="15" t="s">
        <v>42</v>
      </c>
      <c r="I3026">
        <v>40</v>
      </c>
      <c r="J3026">
        <v>70</v>
      </c>
      <c r="K3026">
        <v>30</v>
      </c>
      <c r="L3026">
        <v>110</v>
      </c>
      <c r="M3026">
        <v>54</v>
      </c>
      <c r="N3026">
        <v>641</v>
      </c>
      <c r="O3026">
        <v>81</v>
      </c>
      <c r="P3026">
        <v>17</v>
      </c>
      <c r="Q3026">
        <v>46</v>
      </c>
      <c r="R3026">
        <v>134</v>
      </c>
      <c r="S3026">
        <v>1.2181818181818183</v>
      </c>
      <c r="T3026">
        <v>1.5333333333333334</v>
      </c>
      <c r="U3026">
        <v>1.35</v>
      </c>
    </row>
    <row r="3027" spans="1:21" x14ac:dyDescent="0.35">
      <c r="A3027">
        <v>773</v>
      </c>
      <c r="B3027" s="16">
        <v>40695</v>
      </c>
      <c r="C3027" s="15" t="s">
        <v>37</v>
      </c>
      <c r="D3027" s="15" t="s">
        <v>38</v>
      </c>
      <c r="E3027" s="15" t="s">
        <v>48</v>
      </c>
      <c r="F3027" s="15" t="s">
        <v>49</v>
      </c>
      <c r="G3027" s="15" t="s">
        <v>57</v>
      </c>
      <c r="H3027" s="15" t="s">
        <v>42</v>
      </c>
      <c r="I3027">
        <v>310</v>
      </c>
      <c r="J3027">
        <v>430</v>
      </c>
      <c r="K3027">
        <v>300</v>
      </c>
      <c r="L3027">
        <v>740</v>
      </c>
      <c r="M3027">
        <v>272</v>
      </c>
      <c r="N3027">
        <v>1616</v>
      </c>
      <c r="O3027">
        <v>362</v>
      </c>
      <c r="P3027">
        <v>89</v>
      </c>
      <c r="Q3027">
        <v>333</v>
      </c>
      <c r="R3027">
        <v>628</v>
      </c>
      <c r="S3027">
        <v>0.84864864864864864</v>
      </c>
      <c r="T3027">
        <v>1.1100000000000001</v>
      </c>
      <c r="U3027">
        <v>0.8774193548387097</v>
      </c>
    </row>
    <row r="3028" spans="1:21" x14ac:dyDescent="0.35">
      <c r="A3028">
        <v>309</v>
      </c>
      <c r="B3028" s="16">
        <v>40695</v>
      </c>
      <c r="C3028" s="15" t="s">
        <v>37</v>
      </c>
      <c r="D3028" s="15" t="s">
        <v>38</v>
      </c>
      <c r="E3028" s="15" t="s">
        <v>50</v>
      </c>
      <c r="F3028" s="15" t="s">
        <v>49</v>
      </c>
      <c r="G3028" s="15" t="s">
        <v>57</v>
      </c>
      <c r="H3028" s="15" t="s">
        <v>45</v>
      </c>
      <c r="I3028">
        <v>300</v>
      </c>
      <c r="J3028">
        <v>310</v>
      </c>
      <c r="K3028">
        <v>210</v>
      </c>
      <c r="L3028">
        <v>610</v>
      </c>
      <c r="M3028">
        <v>260</v>
      </c>
      <c r="N3028">
        <v>1715</v>
      </c>
      <c r="O3028">
        <v>261</v>
      </c>
      <c r="P3028">
        <v>72</v>
      </c>
      <c r="Q3028">
        <v>226</v>
      </c>
      <c r="R3028">
        <v>516</v>
      </c>
      <c r="S3028">
        <v>0.84590163934426232</v>
      </c>
      <c r="T3028">
        <v>1.0761904761904761</v>
      </c>
      <c r="U3028">
        <v>0.8666666666666667</v>
      </c>
    </row>
    <row r="3029" spans="1:21" x14ac:dyDescent="0.35">
      <c r="A3029">
        <v>312</v>
      </c>
      <c r="B3029" s="16">
        <v>40695</v>
      </c>
      <c r="C3029" s="15" t="s">
        <v>37</v>
      </c>
      <c r="D3029" s="15" t="s">
        <v>38</v>
      </c>
      <c r="E3029" s="15" t="s">
        <v>43</v>
      </c>
      <c r="F3029" s="15" t="s">
        <v>40</v>
      </c>
      <c r="G3029" s="15" t="s">
        <v>57</v>
      </c>
      <c r="H3029" s="15" t="s">
        <v>42</v>
      </c>
      <c r="I3029">
        <v>210</v>
      </c>
      <c r="J3029">
        <v>290</v>
      </c>
      <c r="K3029">
        <v>190</v>
      </c>
      <c r="L3029">
        <v>500</v>
      </c>
      <c r="M3029">
        <v>200</v>
      </c>
      <c r="N3029">
        <v>1095</v>
      </c>
      <c r="O3029">
        <v>278</v>
      </c>
      <c r="P3029">
        <v>66</v>
      </c>
      <c r="Q3029">
        <v>230</v>
      </c>
      <c r="R3029">
        <v>474</v>
      </c>
      <c r="S3029">
        <v>0.94799999999999995</v>
      </c>
      <c r="T3029">
        <v>1.2105263157894737</v>
      </c>
      <c r="U3029">
        <v>0.95238095238095233</v>
      </c>
    </row>
    <row r="3030" spans="1:21" x14ac:dyDescent="0.35">
      <c r="A3030">
        <v>815</v>
      </c>
      <c r="B3030" s="16">
        <v>40695</v>
      </c>
      <c r="C3030" s="15" t="s">
        <v>37</v>
      </c>
      <c r="D3030" s="15" t="s">
        <v>38</v>
      </c>
      <c r="E3030" s="15" t="s">
        <v>44</v>
      </c>
      <c r="F3030" s="15" t="s">
        <v>40</v>
      </c>
      <c r="G3030" s="15" t="s">
        <v>57</v>
      </c>
      <c r="H3030" s="15" t="s">
        <v>45</v>
      </c>
      <c r="I3030">
        <v>140</v>
      </c>
      <c r="J3030">
        <v>220</v>
      </c>
      <c r="K3030">
        <v>160</v>
      </c>
      <c r="L3030">
        <v>360</v>
      </c>
      <c r="M3030">
        <v>141</v>
      </c>
      <c r="N3030">
        <v>764</v>
      </c>
      <c r="O3030">
        <v>204</v>
      </c>
      <c r="P3030">
        <v>45</v>
      </c>
      <c r="Q3030">
        <v>186</v>
      </c>
      <c r="R3030">
        <v>342</v>
      </c>
      <c r="S3030">
        <v>0.95</v>
      </c>
      <c r="T3030">
        <v>1.1625000000000001</v>
      </c>
      <c r="U3030">
        <v>1.0071428571428571</v>
      </c>
    </row>
    <row r="3031" spans="1:21" x14ac:dyDescent="0.35">
      <c r="A3031">
        <v>563</v>
      </c>
      <c r="B3031" s="16">
        <v>40695</v>
      </c>
      <c r="C3031" s="15" t="s">
        <v>37</v>
      </c>
      <c r="D3031" s="15" t="s">
        <v>58</v>
      </c>
      <c r="E3031" s="15" t="s">
        <v>51</v>
      </c>
      <c r="F3031" s="15" t="s">
        <v>52</v>
      </c>
      <c r="G3031" s="15" t="s">
        <v>59</v>
      </c>
      <c r="H3031" s="15" t="s">
        <v>45</v>
      </c>
      <c r="I3031">
        <v>230</v>
      </c>
      <c r="J3031">
        <v>320</v>
      </c>
      <c r="K3031">
        <v>230</v>
      </c>
      <c r="L3031">
        <v>550</v>
      </c>
      <c r="M3031">
        <v>272</v>
      </c>
      <c r="N3031">
        <v>1616</v>
      </c>
      <c r="O3031">
        <v>362</v>
      </c>
      <c r="P3031">
        <v>89</v>
      </c>
      <c r="Q3031">
        <v>333</v>
      </c>
      <c r="R3031">
        <v>628</v>
      </c>
      <c r="S3031">
        <v>1.1418181818181818</v>
      </c>
      <c r="T3031">
        <v>1.4478260869565218</v>
      </c>
      <c r="U3031">
        <v>1.182608695652174</v>
      </c>
    </row>
    <row r="3032" spans="1:21" x14ac:dyDescent="0.35">
      <c r="A3032">
        <v>712</v>
      </c>
      <c r="B3032" s="16">
        <v>40695</v>
      </c>
      <c r="C3032" s="15" t="s">
        <v>37</v>
      </c>
      <c r="D3032" s="15" t="s">
        <v>58</v>
      </c>
      <c r="E3032" s="15" t="s">
        <v>53</v>
      </c>
      <c r="F3032" s="15" t="s">
        <v>52</v>
      </c>
      <c r="G3032" s="15" t="s">
        <v>59</v>
      </c>
      <c r="H3032" s="15" t="s">
        <v>45</v>
      </c>
      <c r="I3032">
        <v>120</v>
      </c>
      <c r="J3032">
        <v>180</v>
      </c>
      <c r="K3032">
        <v>140</v>
      </c>
      <c r="L3032">
        <v>300</v>
      </c>
      <c r="M3032">
        <v>141</v>
      </c>
      <c r="N3032">
        <v>764</v>
      </c>
      <c r="O3032">
        <v>204</v>
      </c>
      <c r="P3032">
        <v>45</v>
      </c>
      <c r="Q3032">
        <v>188</v>
      </c>
      <c r="R3032">
        <v>342</v>
      </c>
      <c r="S3032">
        <v>1.1399999999999999</v>
      </c>
      <c r="T3032">
        <v>1.3428571428571427</v>
      </c>
      <c r="U3032">
        <v>1.175</v>
      </c>
    </row>
    <row r="3033" spans="1:21" x14ac:dyDescent="0.35">
      <c r="A3033">
        <v>563</v>
      </c>
      <c r="B3033" s="16">
        <v>40695</v>
      </c>
      <c r="C3033" s="15" t="s">
        <v>37</v>
      </c>
      <c r="D3033" s="15" t="s">
        <v>58</v>
      </c>
      <c r="E3033" s="15" t="s">
        <v>55</v>
      </c>
      <c r="F3033" s="15" t="s">
        <v>47</v>
      </c>
      <c r="G3033" s="15" t="s">
        <v>59</v>
      </c>
      <c r="H3033" s="15" t="s">
        <v>42</v>
      </c>
      <c r="I3033">
        <v>220</v>
      </c>
      <c r="J3033">
        <v>230</v>
      </c>
      <c r="K3033">
        <v>150</v>
      </c>
      <c r="L3033">
        <v>450</v>
      </c>
      <c r="M3033">
        <v>260</v>
      </c>
      <c r="N3033">
        <v>1715</v>
      </c>
      <c r="O3033">
        <v>261</v>
      </c>
      <c r="P3033">
        <v>72</v>
      </c>
      <c r="Q3033">
        <v>226</v>
      </c>
      <c r="R3033">
        <v>516</v>
      </c>
      <c r="S3033">
        <v>1.1466666666666667</v>
      </c>
      <c r="T3033">
        <v>1.5066666666666666</v>
      </c>
      <c r="U3033">
        <v>1.1818181818181819</v>
      </c>
    </row>
    <row r="3034" spans="1:21" x14ac:dyDescent="0.35">
      <c r="A3034">
        <v>515</v>
      </c>
      <c r="B3034" s="16">
        <v>40695</v>
      </c>
      <c r="C3034" s="15" t="s">
        <v>37</v>
      </c>
      <c r="D3034" s="15" t="s">
        <v>58</v>
      </c>
      <c r="E3034" s="15" t="s">
        <v>56</v>
      </c>
      <c r="F3034" s="15" t="s">
        <v>47</v>
      </c>
      <c r="G3034" s="15" t="s">
        <v>59</v>
      </c>
      <c r="H3034" s="15" t="s">
        <v>42</v>
      </c>
      <c r="I3034">
        <v>230</v>
      </c>
      <c r="J3034">
        <v>300</v>
      </c>
      <c r="K3034">
        <v>180</v>
      </c>
      <c r="L3034">
        <v>530</v>
      </c>
      <c r="M3034">
        <v>271</v>
      </c>
      <c r="N3034">
        <v>1714</v>
      </c>
      <c r="O3034">
        <v>332</v>
      </c>
      <c r="P3034">
        <v>102</v>
      </c>
      <c r="Q3034">
        <v>272</v>
      </c>
      <c r="R3034">
        <v>598</v>
      </c>
      <c r="S3034">
        <v>1.1283018867924528</v>
      </c>
      <c r="T3034">
        <v>1.5111111111111111</v>
      </c>
      <c r="U3034">
        <v>1.1782608695652175</v>
      </c>
    </row>
    <row r="3035" spans="1:21" x14ac:dyDescent="0.35">
      <c r="A3035">
        <v>563</v>
      </c>
      <c r="B3035" s="16">
        <v>40695</v>
      </c>
      <c r="C3035" s="15" t="s">
        <v>37</v>
      </c>
      <c r="D3035" s="15" t="s">
        <v>58</v>
      </c>
      <c r="E3035" s="15" t="s">
        <v>48</v>
      </c>
      <c r="F3035" s="15" t="s">
        <v>49</v>
      </c>
      <c r="G3035" s="15" t="s">
        <v>59</v>
      </c>
      <c r="H3035" s="15" t="s">
        <v>42</v>
      </c>
      <c r="I3035">
        <v>20</v>
      </c>
      <c r="J3035">
        <v>40</v>
      </c>
      <c r="K3035">
        <v>30</v>
      </c>
      <c r="L3035">
        <v>60</v>
      </c>
      <c r="M3035">
        <v>21</v>
      </c>
      <c r="N3035">
        <v>798</v>
      </c>
      <c r="O3035">
        <v>32</v>
      </c>
      <c r="P3035">
        <v>5</v>
      </c>
      <c r="Q3035">
        <v>21</v>
      </c>
      <c r="R3035">
        <v>53</v>
      </c>
      <c r="S3035">
        <v>0.8833333333333333</v>
      </c>
      <c r="T3035">
        <v>0.7</v>
      </c>
      <c r="U3035">
        <v>1.05</v>
      </c>
    </row>
    <row r="3036" spans="1:21" x14ac:dyDescent="0.35">
      <c r="A3036">
        <v>563</v>
      </c>
      <c r="B3036" s="16">
        <v>40695</v>
      </c>
      <c r="C3036" s="15" t="s">
        <v>37</v>
      </c>
      <c r="D3036" s="15" t="s">
        <v>58</v>
      </c>
      <c r="E3036" s="15" t="s">
        <v>50</v>
      </c>
      <c r="F3036" s="15" t="s">
        <v>49</v>
      </c>
      <c r="G3036" s="15" t="s">
        <v>59</v>
      </c>
      <c r="H3036" s="15" t="s">
        <v>45</v>
      </c>
      <c r="I3036">
        <v>0</v>
      </c>
      <c r="J3036">
        <v>50</v>
      </c>
      <c r="K3036">
        <v>40</v>
      </c>
      <c r="L3036">
        <v>50</v>
      </c>
      <c r="M3036">
        <v>0</v>
      </c>
      <c r="N3036">
        <v>602</v>
      </c>
      <c r="O3036">
        <v>43</v>
      </c>
      <c r="P3036">
        <v>0</v>
      </c>
      <c r="Q3036">
        <v>43</v>
      </c>
      <c r="R3036">
        <v>43</v>
      </c>
      <c r="S3036">
        <v>0.86</v>
      </c>
      <c r="T3036">
        <v>1.075</v>
      </c>
    </row>
    <row r="3037" spans="1:21" x14ac:dyDescent="0.35">
      <c r="A3037">
        <v>319</v>
      </c>
      <c r="B3037" s="16">
        <v>40695</v>
      </c>
      <c r="C3037" s="15" t="s">
        <v>37</v>
      </c>
      <c r="D3037" s="15" t="s">
        <v>58</v>
      </c>
      <c r="E3037" s="15" t="s">
        <v>39</v>
      </c>
      <c r="F3037" s="15" t="s">
        <v>40</v>
      </c>
      <c r="G3037" s="15" t="s">
        <v>59</v>
      </c>
      <c r="H3037" s="15" t="s">
        <v>42</v>
      </c>
      <c r="I3037">
        <v>20</v>
      </c>
      <c r="J3037">
        <v>40</v>
      </c>
      <c r="K3037">
        <v>30</v>
      </c>
      <c r="L3037">
        <v>60</v>
      </c>
      <c r="M3037">
        <v>23</v>
      </c>
      <c r="N3037">
        <v>843</v>
      </c>
      <c r="O3037">
        <v>35</v>
      </c>
      <c r="P3037">
        <v>6</v>
      </c>
      <c r="Q3037">
        <v>25</v>
      </c>
      <c r="R3037">
        <v>57</v>
      </c>
      <c r="S3037">
        <v>0.95</v>
      </c>
      <c r="T3037">
        <v>0.83333333333333337</v>
      </c>
      <c r="U3037">
        <v>1.1499999999999999</v>
      </c>
    </row>
    <row r="3038" spans="1:21" x14ac:dyDescent="0.35">
      <c r="A3038">
        <v>641</v>
      </c>
      <c r="B3038" s="16">
        <v>40695</v>
      </c>
      <c r="C3038" s="15" t="s">
        <v>37</v>
      </c>
      <c r="D3038" s="15" t="s">
        <v>58</v>
      </c>
      <c r="E3038" s="15" t="s">
        <v>43</v>
      </c>
      <c r="F3038" s="15" t="s">
        <v>40</v>
      </c>
      <c r="G3038" s="15" t="s">
        <v>59</v>
      </c>
      <c r="H3038" s="15" t="s">
        <v>42</v>
      </c>
      <c r="I3038">
        <v>30</v>
      </c>
      <c r="J3038">
        <v>40</v>
      </c>
      <c r="K3038">
        <v>20</v>
      </c>
      <c r="L3038">
        <v>70</v>
      </c>
      <c r="M3038">
        <v>32</v>
      </c>
      <c r="N3038">
        <v>996</v>
      </c>
      <c r="O3038">
        <v>38</v>
      </c>
      <c r="P3038">
        <v>9</v>
      </c>
      <c r="Q3038">
        <v>11</v>
      </c>
      <c r="R3038">
        <v>69</v>
      </c>
      <c r="S3038">
        <v>0.98571428571428577</v>
      </c>
      <c r="T3038">
        <v>0.55000000000000004</v>
      </c>
      <c r="U3038">
        <v>1.0666666666666667</v>
      </c>
    </row>
    <row r="3039" spans="1:21" x14ac:dyDescent="0.35">
      <c r="A3039">
        <v>515</v>
      </c>
      <c r="B3039" s="16">
        <v>40695</v>
      </c>
      <c r="C3039" s="15" t="s">
        <v>37</v>
      </c>
      <c r="D3039" s="15" t="s">
        <v>58</v>
      </c>
      <c r="E3039" s="15" t="s">
        <v>44</v>
      </c>
      <c r="F3039" s="15" t="s">
        <v>40</v>
      </c>
      <c r="G3039" s="15" t="s">
        <v>59</v>
      </c>
      <c r="H3039" s="15" t="s">
        <v>45</v>
      </c>
      <c r="I3039">
        <v>20</v>
      </c>
      <c r="J3039">
        <v>30</v>
      </c>
      <c r="K3039">
        <v>20</v>
      </c>
      <c r="L3039">
        <v>50</v>
      </c>
      <c r="M3039">
        <v>22</v>
      </c>
      <c r="N3039">
        <v>608</v>
      </c>
      <c r="O3039">
        <v>30</v>
      </c>
      <c r="P3039">
        <v>7</v>
      </c>
      <c r="Q3039">
        <v>15</v>
      </c>
      <c r="R3039">
        <v>52</v>
      </c>
      <c r="S3039">
        <v>1.04</v>
      </c>
      <c r="T3039">
        <v>0.75</v>
      </c>
      <c r="U3039">
        <v>1.1000000000000001</v>
      </c>
    </row>
    <row r="3040" spans="1:21" x14ac:dyDescent="0.35">
      <c r="A3040">
        <v>816</v>
      </c>
      <c r="B3040" s="16">
        <v>40695</v>
      </c>
      <c r="C3040" s="15" t="s">
        <v>37</v>
      </c>
      <c r="D3040" s="15" t="s">
        <v>58</v>
      </c>
      <c r="E3040" s="15" t="s">
        <v>51</v>
      </c>
      <c r="F3040" s="15" t="s">
        <v>52</v>
      </c>
      <c r="G3040" s="15" t="s">
        <v>60</v>
      </c>
      <c r="H3040" s="15" t="s">
        <v>45</v>
      </c>
      <c r="I3040">
        <v>40</v>
      </c>
      <c r="J3040">
        <v>70</v>
      </c>
      <c r="K3040">
        <v>20</v>
      </c>
      <c r="L3040">
        <v>110</v>
      </c>
      <c r="M3040">
        <v>52</v>
      </c>
      <c r="N3040">
        <v>313</v>
      </c>
      <c r="O3040">
        <v>73</v>
      </c>
      <c r="P3040">
        <v>47</v>
      </c>
      <c r="Q3040">
        <v>-6</v>
      </c>
      <c r="R3040">
        <v>124</v>
      </c>
      <c r="S3040">
        <v>1.1272727272727272</v>
      </c>
      <c r="T3040">
        <v>-0.3</v>
      </c>
      <c r="U3040">
        <v>1.3</v>
      </c>
    </row>
    <row r="3041" spans="1:21" x14ac:dyDescent="0.35">
      <c r="A3041">
        <v>314</v>
      </c>
      <c r="B3041" s="16">
        <v>40695</v>
      </c>
      <c r="C3041" s="15" t="s">
        <v>37</v>
      </c>
      <c r="D3041" s="15" t="s">
        <v>58</v>
      </c>
      <c r="E3041" s="15" t="s">
        <v>53</v>
      </c>
      <c r="F3041" s="15" t="s">
        <v>52</v>
      </c>
      <c r="G3041" s="15" t="s">
        <v>60</v>
      </c>
      <c r="H3041" s="15" t="s">
        <v>45</v>
      </c>
      <c r="I3041">
        <v>90</v>
      </c>
      <c r="J3041">
        <v>30</v>
      </c>
      <c r="K3041">
        <v>0</v>
      </c>
      <c r="L3041">
        <v>120</v>
      </c>
      <c r="M3041">
        <v>116</v>
      </c>
      <c r="N3041">
        <v>1142</v>
      </c>
      <c r="O3041">
        <v>25</v>
      </c>
      <c r="P3041">
        <v>35</v>
      </c>
      <c r="Q3041">
        <v>-46</v>
      </c>
      <c r="R3041">
        <v>140</v>
      </c>
      <c r="S3041">
        <v>1.1666666666666667</v>
      </c>
      <c r="U3041">
        <v>1.288888888888889</v>
      </c>
    </row>
    <row r="3042" spans="1:21" x14ac:dyDescent="0.35">
      <c r="A3042">
        <v>816</v>
      </c>
      <c r="B3042" s="16">
        <v>40695</v>
      </c>
      <c r="C3042" s="15" t="s">
        <v>37</v>
      </c>
      <c r="D3042" s="15" t="s">
        <v>58</v>
      </c>
      <c r="E3042" s="15" t="s">
        <v>55</v>
      </c>
      <c r="F3042" s="15" t="s">
        <v>47</v>
      </c>
      <c r="G3042" s="15" t="s">
        <v>60</v>
      </c>
      <c r="H3042" s="15" t="s">
        <v>42</v>
      </c>
      <c r="I3042">
        <v>30</v>
      </c>
      <c r="J3042">
        <v>50</v>
      </c>
      <c r="K3042">
        <v>20</v>
      </c>
      <c r="L3042">
        <v>80</v>
      </c>
      <c r="M3042">
        <v>41</v>
      </c>
      <c r="N3042">
        <v>239</v>
      </c>
      <c r="O3042">
        <v>55</v>
      </c>
      <c r="P3042">
        <v>13</v>
      </c>
      <c r="Q3042">
        <v>19</v>
      </c>
      <c r="R3042">
        <v>95</v>
      </c>
      <c r="S3042">
        <v>1.1875</v>
      </c>
      <c r="T3042">
        <v>0.95</v>
      </c>
      <c r="U3042">
        <v>1.3666666666666667</v>
      </c>
    </row>
    <row r="3043" spans="1:21" x14ac:dyDescent="0.35">
      <c r="A3043">
        <v>660</v>
      </c>
      <c r="B3043" s="16">
        <v>40695</v>
      </c>
      <c r="C3043" s="15" t="s">
        <v>37</v>
      </c>
      <c r="D3043" s="15" t="s">
        <v>58</v>
      </c>
      <c r="E3043" s="15" t="s">
        <v>56</v>
      </c>
      <c r="F3043" s="15" t="s">
        <v>47</v>
      </c>
      <c r="G3043" s="15" t="s">
        <v>60</v>
      </c>
      <c r="H3043" s="15" t="s">
        <v>42</v>
      </c>
      <c r="I3043">
        <v>30</v>
      </c>
      <c r="J3043">
        <v>30</v>
      </c>
      <c r="K3043">
        <v>-10</v>
      </c>
      <c r="L3043">
        <v>60</v>
      </c>
      <c r="M3043">
        <v>35</v>
      </c>
      <c r="N3043">
        <v>204</v>
      </c>
      <c r="O3043">
        <v>43</v>
      </c>
      <c r="P3043">
        <v>13</v>
      </c>
      <c r="Q3043">
        <v>-4</v>
      </c>
      <c r="R3043">
        <v>77</v>
      </c>
      <c r="S3043">
        <v>1.2833333333333334</v>
      </c>
      <c r="T3043">
        <v>0.4</v>
      </c>
      <c r="U3043">
        <v>1.1666666666666667</v>
      </c>
    </row>
    <row r="3044" spans="1:21" x14ac:dyDescent="0.35">
      <c r="A3044">
        <v>816</v>
      </c>
      <c r="B3044" s="16">
        <v>40695</v>
      </c>
      <c r="C3044" s="15" t="s">
        <v>37</v>
      </c>
      <c r="D3044" s="15" t="s">
        <v>58</v>
      </c>
      <c r="E3044" s="15" t="s">
        <v>46</v>
      </c>
      <c r="F3044" s="15" t="s">
        <v>47</v>
      </c>
      <c r="G3044" s="15" t="s">
        <v>60</v>
      </c>
      <c r="H3044" s="15" t="s">
        <v>42</v>
      </c>
      <c r="I3044">
        <v>30</v>
      </c>
      <c r="J3044">
        <v>40</v>
      </c>
      <c r="K3044">
        <v>0</v>
      </c>
      <c r="L3044">
        <v>70</v>
      </c>
      <c r="M3044">
        <v>36</v>
      </c>
      <c r="N3044">
        <v>236</v>
      </c>
      <c r="O3044">
        <v>46</v>
      </c>
      <c r="P3044">
        <v>13</v>
      </c>
      <c r="Q3044">
        <v>0</v>
      </c>
      <c r="R3044">
        <v>81</v>
      </c>
      <c r="S3044">
        <v>1.1571428571428573</v>
      </c>
      <c r="U3044">
        <v>1.2</v>
      </c>
    </row>
    <row r="3045" spans="1:21" x14ac:dyDescent="0.35">
      <c r="A3045">
        <v>314</v>
      </c>
      <c r="B3045" s="16">
        <v>40695</v>
      </c>
      <c r="C3045" s="15" t="s">
        <v>37</v>
      </c>
      <c r="D3045" s="15" t="s">
        <v>58</v>
      </c>
      <c r="E3045" s="15" t="s">
        <v>48</v>
      </c>
      <c r="F3045" s="15" t="s">
        <v>49</v>
      </c>
      <c r="G3045" s="15" t="s">
        <v>60</v>
      </c>
      <c r="H3045" s="15" t="s">
        <v>42</v>
      </c>
      <c r="I3045">
        <v>40</v>
      </c>
      <c r="J3045">
        <v>60</v>
      </c>
      <c r="K3045">
        <v>40</v>
      </c>
      <c r="L3045">
        <v>100</v>
      </c>
      <c r="M3045">
        <v>37</v>
      </c>
      <c r="N3045">
        <v>876</v>
      </c>
      <c r="O3045">
        <v>55</v>
      </c>
      <c r="P3045">
        <v>10</v>
      </c>
      <c r="Q3045">
        <v>46</v>
      </c>
      <c r="R3045">
        <v>91</v>
      </c>
      <c r="S3045">
        <v>0.91</v>
      </c>
      <c r="T3045">
        <v>1.1499999999999999</v>
      </c>
      <c r="U3045">
        <v>0.92500000000000004</v>
      </c>
    </row>
    <row r="3046" spans="1:21" x14ac:dyDescent="0.35">
      <c r="A3046">
        <v>636</v>
      </c>
      <c r="B3046" s="16">
        <v>40695</v>
      </c>
      <c r="C3046" s="15" t="s">
        <v>37</v>
      </c>
      <c r="D3046" s="15" t="s">
        <v>58</v>
      </c>
      <c r="E3046" s="15" t="s">
        <v>50</v>
      </c>
      <c r="F3046" s="15" t="s">
        <v>49</v>
      </c>
      <c r="G3046" s="15" t="s">
        <v>60</v>
      </c>
      <c r="H3046" s="15" t="s">
        <v>45</v>
      </c>
      <c r="I3046">
        <v>40</v>
      </c>
      <c r="J3046">
        <v>60</v>
      </c>
      <c r="K3046">
        <v>40</v>
      </c>
      <c r="L3046">
        <v>100</v>
      </c>
      <c r="M3046">
        <v>36</v>
      </c>
      <c r="N3046">
        <v>828</v>
      </c>
      <c r="O3046">
        <v>53</v>
      </c>
      <c r="P3046">
        <v>10</v>
      </c>
      <c r="Q3046">
        <v>43</v>
      </c>
      <c r="R3046">
        <v>88</v>
      </c>
      <c r="S3046">
        <v>0.88</v>
      </c>
      <c r="T3046">
        <v>1.075</v>
      </c>
      <c r="U3046">
        <v>0.9</v>
      </c>
    </row>
    <row r="3047" spans="1:21" x14ac:dyDescent="0.35">
      <c r="A3047">
        <v>573</v>
      </c>
      <c r="B3047" s="16">
        <v>40695</v>
      </c>
      <c r="C3047" s="15" t="s">
        <v>37</v>
      </c>
      <c r="D3047" s="15" t="s">
        <v>58</v>
      </c>
      <c r="E3047" s="15" t="s">
        <v>43</v>
      </c>
      <c r="F3047" s="15" t="s">
        <v>40</v>
      </c>
      <c r="G3047" s="15" t="s">
        <v>60</v>
      </c>
      <c r="H3047" s="15" t="s">
        <v>42</v>
      </c>
      <c r="I3047">
        <v>80</v>
      </c>
      <c r="J3047">
        <v>90</v>
      </c>
      <c r="K3047">
        <v>40</v>
      </c>
      <c r="L3047">
        <v>170</v>
      </c>
      <c r="M3047">
        <v>76</v>
      </c>
      <c r="N3047">
        <v>580</v>
      </c>
      <c r="O3047">
        <v>93</v>
      </c>
      <c r="P3047">
        <v>28</v>
      </c>
      <c r="Q3047">
        <v>43</v>
      </c>
      <c r="R3047">
        <v>167</v>
      </c>
      <c r="S3047">
        <v>0.98235294117647054</v>
      </c>
      <c r="T3047">
        <v>1.075</v>
      </c>
      <c r="U3047">
        <v>0.95</v>
      </c>
    </row>
    <row r="3048" spans="1:21" x14ac:dyDescent="0.35">
      <c r="A3048">
        <v>660</v>
      </c>
      <c r="B3048" s="16">
        <v>40695</v>
      </c>
      <c r="C3048" s="15" t="s">
        <v>37</v>
      </c>
      <c r="D3048" s="15" t="s">
        <v>58</v>
      </c>
      <c r="E3048" s="15" t="s">
        <v>44</v>
      </c>
      <c r="F3048" s="15" t="s">
        <v>40</v>
      </c>
      <c r="G3048" s="15" t="s">
        <v>60</v>
      </c>
      <c r="H3048" s="15" t="s">
        <v>45</v>
      </c>
      <c r="I3048">
        <v>60</v>
      </c>
      <c r="J3048">
        <v>80</v>
      </c>
      <c r="K3048">
        <v>50</v>
      </c>
      <c r="L3048">
        <v>140</v>
      </c>
      <c r="M3048">
        <v>65</v>
      </c>
      <c r="N3048">
        <v>1042</v>
      </c>
      <c r="O3048">
        <v>77</v>
      </c>
      <c r="P3048">
        <v>20</v>
      </c>
      <c r="Q3048">
        <v>48</v>
      </c>
      <c r="R3048">
        <v>141</v>
      </c>
      <c r="S3048">
        <v>1.0071428571428571</v>
      </c>
      <c r="T3048">
        <v>0.96</v>
      </c>
      <c r="U3048">
        <v>1.0833333333333333</v>
      </c>
    </row>
    <row r="3049" spans="1:21" x14ac:dyDescent="0.35">
      <c r="A3049">
        <v>216</v>
      </c>
      <c r="B3049" s="16">
        <v>40695</v>
      </c>
      <c r="C3049" s="15" t="s">
        <v>37</v>
      </c>
      <c r="D3049" s="15" t="s">
        <v>38</v>
      </c>
      <c r="E3049" s="15" t="s">
        <v>51</v>
      </c>
      <c r="F3049" s="15" t="s">
        <v>52</v>
      </c>
      <c r="G3049" s="15" t="s">
        <v>61</v>
      </c>
      <c r="H3049" s="15" t="s">
        <v>45</v>
      </c>
      <c r="I3049">
        <v>10</v>
      </c>
      <c r="J3049">
        <v>20</v>
      </c>
      <c r="K3049">
        <v>20</v>
      </c>
      <c r="L3049">
        <v>30</v>
      </c>
      <c r="M3049">
        <v>18</v>
      </c>
      <c r="N3049">
        <v>478</v>
      </c>
      <c r="O3049">
        <v>26</v>
      </c>
      <c r="P3049">
        <v>5</v>
      </c>
      <c r="Q3049">
        <v>12</v>
      </c>
      <c r="R3049">
        <v>44</v>
      </c>
      <c r="S3049">
        <v>1.4666666666666666</v>
      </c>
      <c r="T3049">
        <v>0.6</v>
      </c>
      <c r="U3049">
        <v>1.8</v>
      </c>
    </row>
    <row r="3050" spans="1:21" x14ac:dyDescent="0.35">
      <c r="A3050">
        <v>513</v>
      </c>
      <c r="B3050" s="16">
        <v>40695</v>
      </c>
      <c r="C3050" s="15" t="s">
        <v>37</v>
      </c>
      <c r="D3050" s="15" t="s">
        <v>38</v>
      </c>
      <c r="E3050" s="15" t="s">
        <v>53</v>
      </c>
      <c r="F3050" s="15" t="s">
        <v>52</v>
      </c>
      <c r="G3050" s="15" t="s">
        <v>61</v>
      </c>
      <c r="H3050" s="15" t="s">
        <v>45</v>
      </c>
      <c r="I3050">
        <v>20</v>
      </c>
      <c r="J3050">
        <v>30</v>
      </c>
      <c r="K3050">
        <v>30</v>
      </c>
      <c r="L3050">
        <v>50</v>
      </c>
      <c r="M3050">
        <v>24</v>
      </c>
      <c r="N3050">
        <v>856</v>
      </c>
      <c r="O3050">
        <v>36</v>
      </c>
      <c r="P3050">
        <v>6</v>
      </c>
      <c r="Q3050">
        <v>25</v>
      </c>
      <c r="R3050">
        <v>59</v>
      </c>
      <c r="S3050">
        <v>1.18</v>
      </c>
      <c r="T3050">
        <v>0.83333333333333337</v>
      </c>
      <c r="U3050">
        <v>1.2</v>
      </c>
    </row>
    <row r="3051" spans="1:21" x14ac:dyDescent="0.35">
      <c r="A3051">
        <v>330</v>
      </c>
      <c r="B3051" s="16">
        <v>40695</v>
      </c>
      <c r="C3051" s="15" t="s">
        <v>37</v>
      </c>
      <c r="D3051" s="15" t="s">
        <v>38</v>
      </c>
      <c r="E3051" s="15" t="s">
        <v>55</v>
      </c>
      <c r="F3051" s="15" t="s">
        <v>47</v>
      </c>
      <c r="G3051" s="15" t="s">
        <v>61</v>
      </c>
      <c r="H3051" s="15" t="s">
        <v>42</v>
      </c>
      <c r="I3051">
        <v>90</v>
      </c>
      <c r="J3051">
        <v>150</v>
      </c>
      <c r="K3051">
        <v>90</v>
      </c>
      <c r="L3051">
        <v>240</v>
      </c>
      <c r="M3051">
        <v>111</v>
      </c>
      <c r="N3051">
        <v>767</v>
      </c>
      <c r="O3051">
        <v>167</v>
      </c>
      <c r="P3051">
        <v>36</v>
      </c>
      <c r="Q3051">
        <v>137</v>
      </c>
      <c r="R3051">
        <v>276</v>
      </c>
      <c r="S3051">
        <v>1.1499999999999999</v>
      </c>
      <c r="T3051">
        <v>1.5222222222222221</v>
      </c>
      <c r="U3051">
        <v>1.2333333333333334</v>
      </c>
    </row>
    <row r="3052" spans="1:21" x14ac:dyDescent="0.35">
      <c r="A3052">
        <v>567</v>
      </c>
      <c r="B3052" s="16">
        <v>40695</v>
      </c>
      <c r="C3052" s="15" t="s">
        <v>37</v>
      </c>
      <c r="D3052" s="15" t="s">
        <v>38</v>
      </c>
      <c r="E3052" s="15" t="s">
        <v>56</v>
      </c>
      <c r="F3052" s="15" t="s">
        <v>47</v>
      </c>
      <c r="G3052" s="15" t="s">
        <v>61</v>
      </c>
      <c r="H3052" s="15" t="s">
        <v>42</v>
      </c>
      <c r="I3052">
        <v>100</v>
      </c>
      <c r="J3052">
        <v>140</v>
      </c>
      <c r="K3052">
        <v>90</v>
      </c>
      <c r="L3052">
        <v>240</v>
      </c>
      <c r="M3052">
        <v>118</v>
      </c>
      <c r="N3052">
        <v>636</v>
      </c>
      <c r="O3052">
        <v>164</v>
      </c>
      <c r="P3052">
        <v>36</v>
      </c>
      <c r="Q3052">
        <v>145</v>
      </c>
      <c r="R3052">
        <v>279</v>
      </c>
      <c r="S3052">
        <v>1.1625000000000001</v>
      </c>
      <c r="T3052">
        <v>1.6111111111111112</v>
      </c>
      <c r="U3052">
        <v>1.18</v>
      </c>
    </row>
    <row r="3053" spans="1:21" x14ac:dyDescent="0.35">
      <c r="A3053">
        <v>440</v>
      </c>
      <c r="B3053" s="16">
        <v>40695</v>
      </c>
      <c r="C3053" s="15" t="s">
        <v>37</v>
      </c>
      <c r="D3053" s="15" t="s">
        <v>38</v>
      </c>
      <c r="E3053" s="15" t="s">
        <v>48</v>
      </c>
      <c r="F3053" s="15" t="s">
        <v>49</v>
      </c>
      <c r="G3053" s="15" t="s">
        <v>61</v>
      </c>
      <c r="H3053" s="15" t="s">
        <v>42</v>
      </c>
      <c r="I3053">
        <v>170</v>
      </c>
      <c r="J3053">
        <v>180</v>
      </c>
      <c r="K3053">
        <v>120</v>
      </c>
      <c r="L3053">
        <v>350</v>
      </c>
      <c r="M3053">
        <v>149</v>
      </c>
      <c r="N3053">
        <v>1245</v>
      </c>
      <c r="O3053">
        <v>149</v>
      </c>
      <c r="P3053">
        <v>41</v>
      </c>
      <c r="Q3053">
        <v>115</v>
      </c>
      <c r="R3053">
        <v>295</v>
      </c>
      <c r="S3053">
        <v>0.84285714285714286</v>
      </c>
      <c r="T3053">
        <v>0.95833333333333337</v>
      </c>
      <c r="U3053">
        <v>0.87647058823529411</v>
      </c>
    </row>
    <row r="3054" spans="1:21" x14ac:dyDescent="0.35">
      <c r="A3054">
        <v>740</v>
      </c>
      <c r="B3054" s="16">
        <v>40695</v>
      </c>
      <c r="C3054" s="15" t="s">
        <v>37</v>
      </c>
      <c r="D3054" s="15" t="s">
        <v>38</v>
      </c>
      <c r="E3054" s="15" t="s">
        <v>50</v>
      </c>
      <c r="F3054" s="15" t="s">
        <v>49</v>
      </c>
      <c r="G3054" s="15" t="s">
        <v>61</v>
      </c>
      <c r="H3054" s="15" t="s">
        <v>45</v>
      </c>
      <c r="I3054">
        <v>50</v>
      </c>
      <c r="J3054">
        <v>80</v>
      </c>
      <c r="K3054">
        <v>30</v>
      </c>
      <c r="L3054">
        <v>130</v>
      </c>
      <c r="M3054">
        <v>51</v>
      </c>
      <c r="N3054">
        <v>396</v>
      </c>
      <c r="O3054">
        <v>64</v>
      </c>
      <c r="P3054">
        <v>19</v>
      </c>
      <c r="Q3054">
        <v>17</v>
      </c>
      <c r="R3054">
        <v>114</v>
      </c>
      <c r="S3054">
        <v>0.87692307692307692</v>
      </c>
      <c r="T3054">
        <v>0.56666666666666665</v>
      </c>
      <c r="U3054">
        <v>1.02</v>
      </c>
    </row>
    <row r="3055" spans="1:21" x14ac:dyDescent="0.35">
      <c r="A3055">
        <v>513</v>
      </c>
      <c r="B3055" s="16">
        <v>40695</v>
      </c>
      <c r="C3055" s="15" t="s">
        <v>37</v>
      </c>
      <c r="D3055" s="15" t="s">
        <v>38</v>
      </c>
      <c r="E3055" s="15" t="s">
        <v>39</v>
      </c>
      <c r="F3055" s="15" t="s">
        <v>40</v>
      </c>
      <c r="G3055" s="15" t="s">
        <v>61</v>
      </c>
      <c r="H3055" s="15" t="s">
        <v>42</v>
      </c>
      <c r="I3055">
        <v>50</v>
      </c>
      <c r="J3055">
        <v>70</v>
      </c>
      <c r="K3055">
        <v>40</v>
      </c>
      <c r="L3055">
        <v>120</v>
      </c>
      <c r="M3055">
        <v>50</v>
      </c>
      <c r="N3055">
        <v>397</v>
      </c>
      <c r="O3055">
        <v>68</v>
      </c>
      <c r="P3055">
        <v>16</v>
      </c>
      <c r="Q3055">
        <v>33</v>
      </c>
      <c r="R3055">
        <v>117</v>
      </c>
      <c r="S3055">
        <v>0.97499999999999998</v>
      </c>
      <c r="T3055">
        <v>0.82499999999999996</v>
      </c>
      <c r="U3055">
        <v>1</v>
      </c>
    </row>
    <row r="3056" spans="1:21" x14ac:dyDescent="0.35">
      <c r="A3056">
        <v>234</v>
      </c>
      <c r="B3056" s="16">
        <v>40695</v>
      </c>
      <c r="C3056" s="15" t="s">
        <v>37</v>
      </c>
      <c r="D3056" s="15" t="s">
        <v>38</v>
      </c>
      <c r="E3056" s="15" t="s">
        <v>43</v>
      </c>
      <c r="F3056" s="15" t="s">
        <v>40</v>
      </c>
      <c r="G3056" s="15" t="s">
        <v>61</v>
      </c>
      <c r="H3056" s="15" t="s">
        <v>42</v>
      </c>
      <c r="I3056">
        <v>40</v>
      </c>
      <c r="J3056">
        <v>50</v>
      </c>
      <c r="K3056">
        <v>20</v>
      </c>
      <c r="L3056">
        <v>90</v>
      </c>
      <c r="M3056">
        <v>38</v>
      </c>
      <c r="N3056">
        <v>414</v>
      </c>
      <c r="O3056">
        <v>55</v>
      </c>
      <c r="P3056">
        <v>12</v>
      </c>
      <c r="Q3056">
        <v>26</v>
      </c>
      <c r="R3056">
        <v>92</v>
      </c>
      <c r="S3056">
        <v>1.0222222222222221</v>
      </c>
      <c r="T3056">
        <v>1.3</v>
      </c>
      <c r="U3056">
        <v>0.95</v>
      </c>
    </row>
    <row r="3057" spans="1:21" x14ac:dyDescent="0.35">
      <c r="A3057">
        <v>234</v>
      </c>
      <c r="B3057" s="16">
        <v>40695</v>
      </c>
      <c r="C3057" s="15" t="s">
        <v>37</v>
      </c>
      <c r="D3057" s="15" t="s">
        <v>38</v>
      </c>
      <c r="E3057" s="15" t="s">
        <v>44</v>
      </c>
      <c r="F3057" s="15" t="s">
        <v>40</v>
      </c>
      <c r="G3057" s="15" t="s">
        <v>61</v>
      </c>
      <c r="H3057" s="15" t="s">
        <v>45</v>
      </c>
      <c r="I3057">
        <v>40</v>
      </c>
      <c r="J3057">
        <v>70</v>
      </c>
      <c r="K3057">
        <v>20</v>
      </c>
      <c r="L3057">
        <v>110</v>
      </c>
      <c r="M3057">
        <v>44</v>
      </c>
      <c r="N3057">
        <v>496</v>
      </c>
      <c r="O3057">
        <v>63</v>
      </c>
      <c r="P3057">
        <v>40</v>
      </c>
      <c r="Q3057">
        <v>-8</v>
      </c>
      <c r="R3057">
        <v>106</v>
      </c>
      <c r="S3057">
        <v>0.96363636363636362</v>
      </c>
      <c r="T3057">
        <v>-0.4</v>
      </c>
      <c r="U3057">
        <v>1.1000000000000001</v>
      </c>
    </row>
    <row r="3058" spans="1:21" x14ac:dyDescent="0.35">
      <c r="A3058">
        <v>414</v>
      </c>
      <c r="B3058" s="16">
        <v>40695</v>
      </c>
      <c r="C3058" s="15" t="s">
        <v>37</v>
      </c>
      <c r="D3058" s="15" t="s">
        <v>58</v>
      </c>
      <c r="E3058" s="15" t="s">
        <v>51</v>
      </c>
      <c r="F3058" s="15" t="s">
        <v>52</v>
      </c>
      <c r="G3058" s="15" t="s">
        <v>62</v>
      </c>
      <c r="H3058" s="15" t="s">
        <v>45</v>
      </c>
      <c r="I3058">
        <v>40</v>
      </c>
      <c r="J3058">
        <v>70</v>
      </c>
      <c r="K3058">
        <v>50</v>
      </c>
      <c r="L3058">
        <v>110</v>
      </c>
      <c r="M3058">
        <v>47</v>
      </c>
      <c r="N3058">
        <v>371</v>
      </c>
      <c r="O3058">
        <v>78</v>
      </c>
      <c r="P3058">
        <v>14</v>
      </c>
      <c r="Q3058">
        <v>55</v>
      </c>
      <c r="R3058">
        <v>124</v>
      </c>
      <c r="S3058">
        <v>1.1272727272727272</v>
      </c>
      <c r="T3058">
        <v>1.1000000000000001</v>
      </c>
      <c r="U3058">
        <v>1.175</v>
      </c>
    </row>
    <row r="3059" spans="1:21" x14ac:dyDescent="0.35">
      <c r="A3059">
        <v>715</v>
      </c>
      <c r="B3059" s="16">
        <v>40695</v>
      </c>
      <c r="C3059" s="15" t="s">
        <v>37</v>
      </c>
      <c r="D3059" s="15" t="s">
        <v>58</v>
      </c>
      <c r="E3059" s="15" t="s">
        <v>53</v>
      </c>
      <c r="F3059" s="15" t="s">
        <v>52</v>
      </c>
      <c r="G3059" s="15" t="s">
        <v>62</v>
      </c>
      <c r="H3059" s="15" t="s">
        <v>45</v>
      </c>
      <c r="I3059">
        <v>50</v>
      </c>
      <c r="J3059">
        <v>70</v>
      </c>
      <c r="K3059">
        <v>60</v>
      </c>
      <c r="L3059">
        <v>120</v>
      </c>
      <c r="M3059">
        <v>59</v>
      </c>
      <c r="N3059">
        <v>842</v>
      </c>
      <c r="O3059">
        <v>85</v>
      </c>
      <c r="P3059">
        <v>16</v>
      </c>
      <c r="Q3059">
        <v>80</v>
      </c>
      <c r="R3059">
        <v>143</v>
      </c>
      <c r="S3059">
        <v>1.1916666666666667</v>
      </c>
      <c r="T3059">
        <v>1.3333333333333333</v>
      </c>
      <c r="U3059">
        <v>1.18</v>
      </c>
    </row>
    <row r="3060" spans="1:21" x14ac:dyDescent="0.35">
      <c r="A3060">
        <v>262</v>
      </c>
      <c r="B3060" s="16">
        <v>40695</v>
      </c>
      <c r="C3060" s="15" t="s">
        <v>37</v>
      </c>
      <c r="D3060" s="15" t="s">
        <v>58</v>
      </c>
      <c r="E3060" s="15" t="s">
        <v>55</v>
      </c>
      <c r="F3060" s="15" t="s">
        <v>47</v>
      </c>
      <c r="G3060" s="15" t="s">
        <v>62</v>
      </c>
      <c r="H3060" s="15" t="s">
        <v>42</v>
      </c>
      <c r="I3060">
        <v>30</v>
      </c>
      <c r="J3060">
        <v>50</v>
      </c>
      <c r="K3060">
        <v>20</v>
      </c>
      <c r="L3060">
        <v>80</v>
      </c>
      <c r="M3060">
        <v>40</v>
      </c>
      <c r="N3060">
        <v>443</v>
      </c>
      <c r="O3060">
        <v>59</v>
      </c>
      <c r="P3060">
        <v>12</v>
      </c>
      <c r="Q3060">
        <v>33</v>
      </c>
      <c r="R3060">
        <v>98</v>
      </c>
      <c r="S3060">
        <v>1.2250000000000001</v>
      </c>
      <c r="T3060">
        <v>1.65</v>
      </c>
      <c r="U3060">
        <v>1.3333333333333333</v>
      </c>
    </row>
    <row r="3061" spans="1:21" x14ac:dyDescent="0.35">
      <c r="A3061">
        <v>414</v>
      </c>
      <c r="B3061" s="16">
        <v>40695</v>
      </c>
      <c r="C3061" s="15" t="s">
        <v>37</v>
      </c>
      <c r="D3061" s="15" t="s">
        <v>58</v>
      </c>
      <c r="E3061" s="15" t="s">
        <v>56</v>
      </c>
      <c r="F3061" s="15" t="s">
        <v>47</v>
      </c>
      <c r="G3061" s="15" t="s">
        <v>62</v>
      </c>
      <c r="H3061" s="15" t="s">
        <v>42</v>
      </c>
      <c r="I3061">
        <v>40</v>
      </c>
      <c r="J3061">
        <v>70</v>
      </c>
      <c r="K3061">
        <v>10</v>
      </c>
      <c r="L3061">
        <v>110</v>
      </c>
      <c r="M3061">
        <v>53</v>
      </c>
      <c r="N3061">
        <v>597</v>
      </c>
      <c r="O3061">
        <v>75</v>
      </c>
      <c r="P3061">
        <v>48</v>
      </c>
      <c r="Q3061">
        <v>-3</v>
      </c>
      <c r="R3061">
        <v>127</v>
      </c>
      <c r="S3061">
        <v>1.1545454545454545</v>
      </c>
      <c r="T3061">
        <v>-0.3</v>
      </c>
      <c r="U3061">
        <v>1.325</v>
      </c>
    </row>
    <row r="3062" spans="1:21" x14ac:dyDescent="0.35">
      <c r="A3062">
        <v>715</v>
      </c>
      <c r="B3062" s="16">
        <v>40695</v>
      </c>
      <c r="C3062" s="15" t="s">
        <v>37</v>
      </c>
      <c r="D3062" s="15" t="s">
        <v>58</v>
      </c>
      <c r="E3062" s="15" t="s">
        <v>48</v>
      </c>
      <c r="F3062" s="15" t="s">
        <v>49</v>
      </c>
      <c r="G3062" s="15" t="s">
        <v>62</v>
      </c>
      <c r="H3062" s="15" t="s">
        <v>42</v>
      </c>
      <c r="I3062">
        <v>90</v>
      </c>
      <c r="J3062">
        <v>110</v>
      </c>
      <c r="K3062">
        <v>70</v>
      </c>
      <c r="L3062">
        <v>200</v>
      </c>
      <c r="M3062">
        <v>81</v>
      </c>
      <c r="N3062">
        <v>1046</v>
      </c>
      <c r="O3062">
        <v>96</v>
      </c>
      <c r="P3062">
        <v>25</v>
      </c>
      <c r="Q3062">
        <v>69</v>
      </c>
      <c r="R3062">
        <v>175</v>
      </c>
      <c r="S3062">
        <v>0.875</v>
      </c>
      <c r="T3062">
        <v>0.98571428571428577</v>
      </c>
      <c r="U3062">
        <v>0.9</v>
      </c>
    </row>
    <row r="3063" spans="1:21" x14ac:dyDescent="0.35">
      <c r="A3063">
        <v>414</v>
      </c>
      <c r="B3063" s="16">
        <v>40695</v>
      </c>
      <c r="C3063" s="15" t="s">
        <v>37</v>
      </c>
      <c r="D3063" s="15" t="s">
        <v>58</v>
      </c>
      <c r="E3063" s="15" t="s">
        <v>50</v>
      </c>
      <c r="F3063" s="15" t="s">
        <v>49</v>
      </c>
      <c r="G3063" s="15" t="s">
        <v>62</v>
      </c>
      <c r="H3063" s="15" t="s">
        <v>45</v>
      </c>
      <c r="I3063">
        <v>50</v>
      </c>
      <c r="J3063">
        <v>70</v>
      </c>
      <c r="K3063">
        <v>50</v>
      </c>
      <c r="L3063">
        <v>120</v>
      </c>
      <c r="M3063">
        <v>48</v>
      </c>
      <c r="N3063">
        <v>593</v>
      </c>
      <c r="O3063">
        <v>62</v>
      </c>
      <c r="P3063">
        <v>15</v>
      </c>
      <c r="Q3063">
        <v>47</v>
      </c>
      <c r="R3063">
        <v>109</v>
      </c>
      <c r="S3063">
        <v>0.90833333333333333</v>
      </c>
      <c r="T3063">
        <v>0.94</v>
      </c>
      <c r="U3063">
        <v>0.96</v>
      </c>
    </row>
    <row r="3064" spans="1:21" x14ac:dyDescent="0.35">
      <c r="A3064">
        <v>715</v>
      </c>
      <c r="B3064" s="16">
        <v>40695</v>
      </c>
      <c r="C3064" s="15" t="s">
        <v>37</v>
      </c>
      <c r="D3064" s="15" t="s">
        <v>58</v>
      </c>
      <c r="E3064" s="15" t="s">
        <v>39</v>
      </c>
      <c r="F3064" s="15" t="s">
        <v>40</v>
      </c>
      <c r="G3064" s="15" t="s">
        <v>62</v>
      </c>
      <c r="H3064" s="15" t="s">
        <v>42</v>
      </c>
      <c r="I3064">
        <v>60</v>
      </c>
      <c r="J3064">
        <v>70</v>
      </c>
      <c r="K3064">
        <v>20</v>
      </c>
      <c r="L3064">
        <v>130</v>
      </c>
      <c r="M3064">
        <v>59</v>
      </c>
      <c r="N3064">
        <v>377</v>
      </c>
      <c r="O3064">
        <v>74</v>
      </c>
      <c r="P3064">
        <v>22</v>
      </c>
      <c r="Q3064">
        <v>26</v>
      </c>
      <c r="R3064">
        <v>132</v>
      </c>
      <c r="S3064">
        <v>1.0153846153846153</v>
      </c>
      <c r="T3064">
        <v>1.3</v>
      </c>
      <c r="U3064">
        <v>0.98333333333333328</v>
      </c>
    </row>
    <row r="3065" spans="1:21" x14ac:dyDescent="0.35">
      <c r="A3065">
        <v>262</v>
      </c>
      <c r="B3065" s="16">
        <v>40695</v>
      </c>
      <c r="C3065" s="15" t="s">
        <v>37</v>
      </c>
      <c r="D3065" s="15" t="s">
        <v>58</v>
      </c>
      <c r="E3065" s="15" t="s">
        <v>43</v>
      </c>
      <c r="F3065" s="15" t="s">
        <v>40</v>
      </c>
      <c r="G3065" s="15" t="s">
        <v>62</v>
      </c>
      <c r="H3065" s="15" t="s">
        <v>42</v>
      </c>
      <c r="I3065">
        <v>110</v>
      </c>
      <c r="J3065">
        <v>160</v>
      </c>
      <c r="K3065">
        <v>50</v>
      </c>
      <c r="L3065">
        <v>270</v>
      </c>
      <c r="M3065">
        <v>110</v>
      </c>
      <c r="N3065">
        <v>665</v>
      </c>
      <c r="O3065">
        <v>154</v>
      </c>
      <c r="P3065">
        <v>100</v>
      </c>
      <c r="Q3065">
        <v>33</v>
      </c>
      <c r="R3065">
        <v>262</v>
      </c>
      <c r="S3065">
        <v>0.97037037037037033</v>
      </c>
      <c r="T3065">
        <v>0.66</v>
      </c>
      <c r="U3065">
        <v>1</v>
      </c>
    </row>
    <row r="3066" spans="1:21" x14ac:dyDescent="0.35">
      <c r="A3066">
        <v>262</v>
      </c>
      <c r="B3066" s="16">
        <v>40695</v>
      </c>
      <c r="C3066" s="15" t="s">
        <v>37</v>
      </c>
      <c r="D3066" s="15" t="s">
        <v>58</v>
      </c>
      <c r="E3066" s="15" t="s">
        <v>44</v>
      </c>
      <c r="F3066" s="15" t="s">
        <v>40</v>
      </c>
      <c r="G3066" s="15" t="s">
        <v>62</v>
      </c>
      <c r="H3066" s="15" t="s">
        <v>45</v>
      </c>
      <c r="I3066">
        <v>90</v>
      </c>
      <c r="J3066">
        <v>130</v>
      </c>
      <c r="K3066">
        <v>90</v>
      </c>
      <c r="L3066">
        <v>220</v>
      </c>
      <c r="M3066">
        <v>91</v>
      </c>
      <c r="N3066">
        <v>533</v>
      </c>
      <c r="O3066">
        <v>121</v>
      </c>
      <c r="P3066">
        <v>30</v>
      </c>
      <c r="Q3066">
        <v>87</v>
      </c>
      <c r="R3066">
        <v>210</v>
      </c>
      <c r="S3066">
        <v>0.95454545454545459</v>
      </c>
      <c r="T3066">
        <v>0.96666666666666667</v>
      </c>
      <c r="U3066">
        <v>1.0111111111111111</v>
      </c>
    </row>
    <row r="3067" spans="1:21" x14ac:dyDescent="0.35">
      <c r="A3067">
        <v>475</v>
      </c>
      <c r="B3067" s="16">
        <v>40695</v>
      </c>
      <c r="C3067" s="15" t="s">
        <v>63</v>
      </c>
      <c r="D3067" s="15" t="s">
        <v>58</v>
      </c>
      <c r="E3067" s="15" t="s">
        <v>46</v>
      </c>
      <c r="F3067" s="15" t="s">
        <v>47</v>
      </c>
      <c r="G3067" s="15" t="s">
        <v>64</v>
      </c>
      <c r="H3067" s="15" t="s">
        <v>42</v>
      </c>
      <c r="I3067">
        <v>20</v>
      </c>
      <c r="J3067">
        <v>30</v>
      </c>
      <c r="K3067">
        <v>20</v>
      </c>
      <c r="L3067">
        <v>50</v>
      </c>
      <c r="M3067">
        <v>20</v>
      </c>
      <c r="N3067">
        <v>804</v>
      </c>
      <c r="O3067">
        <v>31</v>
      </c>
      <c r="P3067">
        <v>5</v>
      </c>
      <c r="Q3067">
        <v>21</v>
      </c>
      <c r="R3067">
        <v>51</v>
      </c>
      <c r="S3067">
        <v>1.02</v>
      </c>
      <c r="T3067">
        <v>1.05</v>
      </c>
      <c r="U3067">
        <v>1</v>
      </c>
    </row>
    <row r="3068" spans="1:21" x14ac:dyDescent="0.35">
      <c r="A3068">
        <v>860</v>
      </c>
      <c r="B3068" s="16">
        <v>40695</v>
      </c>
      <c r="C3068" s="15" t="s">
        <v>63</v>
      </c>
      <c r="D3068" s="15" t="s">
        <v>58</v>
      </c>
      <c r="E3068" s="15" t="s">
        <v>53</v>
      </c>
      <c r="F3068" s="15" t="s">
        <v>52</v>
      </c>
      <c r="G3068" s="15" t="s">
        <v>64</v>
      </c>
      <c r="H3068" s="15" t="s">
        <v>45</v>
      </c>
      <c r="I3068">
        <v>50</v>
      </c>
      <c r="J3068">
        <v>80</v>
      </c>
      <c r="K3068">
        <v>40</v>
      </c>
      <c r="L3068">
        <v>130</v>
      </c>
      <c r="M3068">
        <v>76</v>
      </c>
      <c r="N3068">
        <v>580</v>
      </c>
      <c r="O3068">
        <v>93</v>
      </c>
      <c r="P3068">
        <v>28</v>
      </c>
      <c r="Q3068">
        <v>44</v>
      </c>
      <c r="R3068">
        <v>167</v>
      </c>
      <c r="S3068">
        <v>1.2846153846153847</v>
      </c>
      <c r="T3068">
        <v>1.1000000000000001</v>
      </c>
      <c r="U3068">
        <v>1.52</v>
      </c>
    </row>
    <row r="3069" spans="1:21" x14ac:dyDescent="0.35">
      <c r="A3069">
        <v>959</v>
      </c>
      <c r="B3069" s="16">
        <v>40695</v>
      </c>
      <c r="C3069" s="15" t="s">
        <v>63</v>
      </c>
      <c r="D3069" s="15" t="s">
        <v>58</v>
      </c>
      <c r="E3069" s="15" t="s">
        <v>54</v>
      </c>
      <c r="F3069" s="15" t="s">
        <v>52</v>
      </c>
      <c r="G3069" s="15" t="s">
        <v>64</v>
      </c>
      <c r="H3069" s="15" t="s">
        <v>45</v>
      </c>
      <c r="I3069">
        <v>40</v>
      </c>
      <c r="J3069">
        <v>70</v>
      </c>
      <c r="K3069">
        <v>50</v>
      </c>
      <c r="L3069">
        <v>110</v>
      </c>
      <c r="M3069">
        <v>65</v>
      </c>
      <c r="N3069">
        <v>1042</v>
      </c>
      <c r="O3069">
        <v>77</v>
      </c>
      <c r="P3069">
        <v>20</v>
      </c>
      <c r="Q3069">
        <v>50</v>
      </c>
      <c r="R3069">
        <v>141</v>
      </c>
      <c r="S3069">
        <v>1.2818181818181817</v>
      </c>
      <c r="T3069">
        <v>1</v>
      </c>
      <c r="U3069">
        <v>1.625</v>
      </c>
    </row>
    <row r="3070" spans="1:21" x14ac:dyDescent="0.35">
      <c r="A3070">
        <v>203</v>
      </c>
      <c r="B3070" s="16">
        <v>40695</v>
      </c>
      <c r="C3070" s="15" t="s">
        <v>63</v>
      </c>
      <c r="D3070" s="15" t="s">
        <v>58</v>
      </c>
      <c r="E3070" s="15" t="s">
        <v>55</v>
      </c>
      <c r="F3070" s="15" t="s">
        <v>47</v>
      </c>
      <c r="G3070" s="15" t="s">
        <v>64</v>
      </c>
      <c r="H3070" s="15" t="s">
        <v>42</v>
      </c>
      <c r="I3070">
        <v>30</v>
      </c>
      <c r="J3070">
        <v>60</v>
      </c>
      <c r="K3070">
        <v>40</v>
      </c>
      <c r="L3070">
        <v>90</v>
      </c>
      <c r="M3070">
        <v>37</v>
      </c>
      <c r="N3070">
        <v>876</v>
      </c>
      <c r="O3070">
        <v>55</v>
      </c>
      <c r="P3070">
        <v>10</v>
      </c>
      <c r="Q3070">
        <v>46</v>
      </c>
      <c r="R3070">
        <v>91</v>
      </c>
      <c r="S3070">
        <v>1.0111111111111111</v>
      </c>
      <c r="T3070">
        <v>1.1499999999999999</v>
      </c>
      <c r="U3070">
        <v>1.2333333333333334</v>
      </c>
    </row>
    <row r="3071" spans="1:21" x14ac:dyDescent="0.35">
      <c r="A3071">
        <v>959</v>
      </c>
      <c r="B3071" s="16">
        <v>40695</v>
      </c>
      <c r="C3071" s="15" t="s">
        <v>63</v>
      </c>
      <c r="D3071" s="15" t="s">
        <v>58</v>
      </c>
      <c r="E3071" s="15" t="s">
        <v>43</v>
      </c>
      <c r="F3071" s="15" t="s">
        <v>40</v>
      </c>
      <c r="G3071" s="15" t="s">
        <v>64</v>
      </c>
      <c r="H3071" s="15" t="s">
        <v>42</v>
      </c>
      <c r="I3071">
        <v>80</v>
      </c>
      <c r="J3071">
        <v>140</v>
      </c>
      <c r="K3071">
        <v>100</v>
      </c>
      <c r="L3071">
        <v>220</v>
      </c>
      <c r="M3071">
        <v>92</v>
      </c>
      <c r="N3071">
        <v>1102</v>
      </c>
      <c r="O3071">
        <v>140</v>
      </c>
      <c r="P3071">
        <v>30</v>
      </c>
      <c r="Q3071">
        <v>109</v>
      </c>
      <c r="R3071">
        <v>230</v>
      </c>
      <c r="S3071">
        <v>1.0454545454545454</v>
      </c>
      <c r="T3071">
        <v>1.0900000000000001</v>
      </c>
      <c r="U3071">
        <v>1.1499999999999999</v>
      </c>
    </row>
    <row r="3072" spans="1:21" x14ac:dyDescent="0.35">
      <c r="A3072">
        <v>860</v>
      </c>
      <c r="B3072" s="16">
        <v>40695</v>
      </c>
      <c r="C3072" s="15" t="s">
        <v>63</v>
      </c>
      <c r="D3072" s="15" t="s">
        <v>58</v>
      </c>
      <c r="E3072" s="15" t="s">
        <v>48</v>
      </c>
      <c r="F3072" s="15" t="s">
        <v>49</v>
      </c>
      <c r="G3072" s="15" t="s">
        <v>64</v>
      </c>
      <c r="H3072" s="15" t="s">
        <v>42</v>
      </c>
      <c r="I3072">
        <v>50</v>
      </c>
      <c r="J3072">
        <v>70</v>
      </c>
      <c r="K3072">
        <v>10</v>
      </c>
      <c r="L3072">
        <v>120</v>
      </c>
      <c r="M3072">
        <v>53</v>
      </c>
      <c r="N3072">
        <v>597</v>
      </c>
      <c r="O3072">
        <v>75</v>
      </c>
      <c r="P3072">
        <v>48</v>
      </c>
      <c r="Q3072">
        <v>-3</v>
      </c>
      <c r="R3072">
        <v>127</v>
      </c>
      <c r="S3072">
        <v>1.0583333333333333</v>
      </c>
      <c r="T3072">
        <v>-0.3</v>
      </c>
      <c r="U3072">
        <v>1.06</v>
      </c>
    </row>
    <row r="3073" spans="1:21" x14ac:dyDescent="0.35">
      <c r="A3073">
        <v>959</v>
      </c>
      <c r="B3073" s="16">
        <v>40695</v>
      </c>
      <c r="C3073" s="15" t="s">
        <v>63</v>
      </c>
      <c r="D3073" s="15" t="s">
        <v>58</v>
      </c>
      <c r="E3073" s="15" t="s">
        <v>50</v>
      </c>
      <c r="F3073" s="15" t="s">
        <v>49</v>
      </c>
      <c r="G3073" s="15" t="s">
        <v>64</v>
      </c>
      <c r="H3073" s="15" t="s">
        <v>45</v>
      </c>
      <c r="I3073">
        <v>40</v>
      </c>
      <c r="J3073">
        <v>60</v>
      </c>
      <c r="K3073">
        <v>30</v>
      </c>
      <c r="L3073">
        <v>100</v>
      </c>
      <c r="M3073">
        <v>46</v>
      </c>
      <c r="N3073">
        <v>367</v>
      </c>
      <c r="O3073">
        <v>62</v>
      </c>
      <c r="P3073">
        <v>15</v>
      </c>
      <c r="Q3073">
        <v>26</v>
      </c>
      <c r="R3073">
        <v>107</v>
      </c>
      <c r="S3073">
        <v>1.07</v>
      </c>
      <c r="T3073">
        <v>0.8666666666666667</v>
      </c>
      <c r="U3073">
        <v>1.1499999999999999</v>
      </c>
    </row>
    <row r="3074" spans="1:21" x14ac:dyDescent="0.35">
      <c r="A3074">
        <v>239</v>
      </c>
      <c r="B3074" s="16">
        <v>40695</v>
      </c>
      <c r="C3074" s="15" t="s">
        <v>63</v>
      </c>
      <c r="D3074" s="15" t="s">
        <v>38</v>
      </c>
      <c r="E3074" s="15" t="s">
        <v>46</v>
      </c>
      <c r="F3074" s="15" t="s">
        <v>47</v>
      </c>
      <c r="G3074" s="15" t="s">
        <v>65</v>
      </c>
      <c r="H3074" s="15" t="s">
        <v>42</v>
      </c>
      <c r="I3074">
        <v>60</v>
      </c>
      <c r="J3074">
        <v>90</v>
      </c>
      <c r="K3074">
        <v>70</v>
      </c>
      <c r="L3074">
        <v>150</v>
      </c>
      <c r="M3074">
        <v>59</v>
      </c>
      <c r="N3074">
        <v>842</v>
      </c>
      <c r="O3074">
        <v>85</v>
      </c>
      <c r="P3074">
        <v>16</v>
      </c>
      <c r="Q3074">
        <v>80</v>
      </c>
      <c r="R3074">
        <v>143</v>
      </c>
      <c r="S3074">
        <v>0.95333333333333337</v>
      </c>
      <c r="T3074">
        <v>1.1428571428571428</v>
      </c>
      <c r="U3074">
        <v>0.98333333333333328</v>
      </c>
    </row>
    <row r="3075" spans="1:21" x14ac:dyDescent="0.35">
      <c r="A3075">
        <v>239</v>
      </c>
      <c r="B3075" s="16">
        <v>40695</v>
      </c>
      <c r="C3075" s="15" t="s">
        <v>63</v>
      </c>
      <c r="D3075" s="15" t="s">
        <v>38</v>
      </c>
      <c r="E3075" s="15" t="s">
        <v>51</v>
      </c>
      <c r="F3075" s="15" t="s">
        <v>52</v>
      </c>
      <c r="G3075" s="15" t="s">
        <v>65</v>
      </c>
      <c r="H3075" s="15" t="s">
        <v>45</v>
      </c>
      <c r="I3075">
        <v>30</v>
      </c>
      <c r="J3075">
        <v>50</v>
      </c>
      <c r="K3075">
        <v>30</v>
      </c>
      <c r="L3075">
        <v>80</v>
      </c>
      <c r="M3075">
        <v>48</v>
      </c>
      <c r="N3075">
        <v>593</v>
      </c>
      <c r="O3075">
        <v>62</v>
      </c>
      <c r="P3075">
        <v>15</v>
      </c>
      <c r="Q3075">
        <v>48</v>
      </c>
      <c r="R3075">
        <v>109</v>
      </c>
      <c r="S3075">
        <v>1.3625</v>
      </c>
      <c r="T3075">
        <v>1.6</v>
      </c>
      <c r="U3075">
        <v>1.6</v>
      </c>
    </row>
    <row r="3076" spans="1:21" x14ac:dyDescent="0.35">
      <c r="A3076">
        <v>754</v>
      </c>
      <c r="B3076" s="16">
        <v>40695</v>
      </c>
      <c r="C3076" s="15" t="s">
        <v>63</v>
      </c>
      <c r="D3076" s="15" t="s">
        <v>38</v>
      </c>
      <c r="E3076" s="15" t="s">
        <v>53</v>
      </c>
      <c r="F3076" s="15" t="s">
        <v>52</v>
      </c>
      <c r="G3076" s="15" t="s">
        <v>65</v>
      </c>
      <c r="H3076" s="15" t="s">
        <v>45</v>
      </c>
      <c r="I3076">
        <v>40</v>
      </c>
      <c r="J3076">
        <v>60</v>
      </c>
      <c r="K3076">
        <v>30</v>
      </c>
      <c r="L3076">
        <v>100</v>
      </c>
      <c r="M3076">
        <v>59</v>
      </c>
      <c r="N3076">
        <v>377</v>
      </c>
      <c r="O3076">
        <v>74</v>
      </c>
      <c r="P3076">
        <v>22</v>
      </c>
      <c r="Q3076">
        <v>26</v>
      </c>
      <c r="R3076">
        <v>132</v>
      </c>
      <c r="S3076">
        <v>1.32</v>
      </c>
      <c r="T3076">
        <v>0.8666666666666667</v>
      </c>
      <c r="U3076">
        <v>1.4750000000000001</v>
      </c>
    </row>
    <row r="3077" spans="1:21" x14ac:dyDescent="0.35">
      <c r="A3077">
        <v>786</v>
      </c>
      <c r="B3077" s="16">
        <v>40695</v>
      </c>
      <c r="C3077" s="15" t="s">
        <v>63</v>
      </c>
      <c r="D3077" s="15" t="s">
        <v>38</v>
      </c>
      <c r="E3077" s="15" t="s">
        <v>54</v>
      </c>
      <c r="F3077" s="15" t="s">
        <v>52</v>
      </c>
      <c r="G3077" s="15" t="s">
        <v>65</v>
      </c>
      <c r="H3077" s="15" t="s">
        <v>45</v>
      </c>
      <c r="I3077">
        <v>60</v>
      </c>
      <c r="J3077">
        <v>70</v>
      </c>
      <c r="K3077">
        <v>40</v>
      </c>
      <c r="L3077">
        <v>130</v>
      </c>
      <c r="M3077">
        <v>81</v>
      </c>
      <c r="N3077">
        <v>1046</v>
      </c>
      <c r="O3077">
        <v>96</v>
      </c>
      <c r="P3077">
        <v>25</v>
      </c>
      <c r="Q3077">
        <v>68</v>
      </c>
      <c r="R3077">
        <v>175</v>
      </c>
      <c r="S3077">
        <v>1.3461538461538463</v>
      </c>
      <c r="T3077">
        <v>1.7</v>
      </c>
      <c r="U3077">
        <v>1.35</v>
      </c>
    </row>
    <row r="3078" spans="1:21" x14ac:dyDescent="0.35">
      <c r="A3078">
        <v>239</v>
      </c>
      <c r="B3078" s="16">
        <v>40695</v>
      </c>
      <c r="C3078" s="15" t="s">
        <v>63</v>
      </c>
      <c r="D3078" s="15" t="s">
        <v>38</v>
      </c>
      <c r="E3078" s="15" t="s">
        <v>55</v>
      </c>
      <c r="F3078" s="15" t="s">
        <v>47</v>
      </c>
      <c r="G3078" s="15" t="s">
        <v>65</v>
      </c>
      <c r="H3078" s="15" t="s">
        <v>42</v>
      </c>
      <c r="I3078">
        <v>40</v>
      </c>
      <c r="J3078">
        <v>70</v>
      </c>
      <c r="K3078">
        <v>50</v>
      </c>
      <c r="L3078">
        <v>110</v>
      </c>
      <c r="M3078">
        <v>43</v>
      </c>
      <c r="N3078">
        <v>864</v>
      </c>
      <c r="O3078">
        <v>62</v>
      </c>
      <c r="P3078">
        <v>12</v>
      </c>
      <c r="Q3078">
        <v>52</v>
      </c>
      <c r="R3078">
        <v>104</v>
      </c>
      <c r="S3078">
        <v>0.94545454545454544</v>
      </c>
      <c r="T3078">
        <v>1.04</v>
      </c>
      <c r="U3078">
        <v>1.075</v>
      </c>
    </row>
    <row r="3079" spans="1:21" x14ac:dyDescent="0.35">
      <c r="A3079">
        <v>941</v>
      </c>
      <c r="B3079" s="16">
        <v>40695</v>
      </c>
      <c r="C3079" s="15" t="s">
        <v>63</v>
      </c>
      <c r="D3079" s="15" t="s">
        <v>38</v>
      </c>
      <c r="E3079" s="15" t="s">
        <v>43</v>
      </c>
      <c r="F3079" s="15" t="s">
        <v>40</v>
      </c>
      <c r="G3079" s="15" t="s">
        <v>65</v>
      </c>
      <c r="H3079" s="15" t="s">
        <v>42</v>
      </c>
      <c r="I3079">
        <v>100</v>
      </c>
      <c r="J3079">
        <v>160</v>
      </c>
      <c r="K3079">
        <v>110</v>
      </c>
      <c r="L3079">
        <v>260</v>
      </c>
      <c r="M3079">
        <v>111</v>
      </c>
      <c r="N3079">
        <v>767</v>
      </c>
      <c r="O3079">
        <v>167</v>
      </c>
      <c r="P3079">
        <v>36</v>
      </c>
      <c r="Q3079">
        <v>137</v>
      </c>
      <c r="R3079">
        <v>276</v>
      </c>
      <c r="S3079">
        <v>1.0615384615384615</v>
      </c>
      <c r="T3079">
        <v>1.2454545454545454</v>
      </c>
      <c r="U3079">
        <v>1.1100000000000001</v>
      </c>
    </row>
    <row r="3080" spans="1:21" x14ac:dyDescent="0.35">
      <c r="A3080">
        <v>954</v>
      </c>
      <c r="B3080" s="16">
        <v>40695</v>
      </c>
      <c r="C3080" s="15" t="s">
        <v>63</v>
      </c>
      <c r="D3080" s="15" t="s">
        <v>38</v>
      </c>
      <c r="E3080" s="15" t="s">
        <v>44</v>
      </c>
      <c r="F3080" s="15" t="s">
        <v>40</v>
      </c>
      <c r="G3080" s="15" t="s">
        <v>65</v>
      </c>
      <c r="H3080" s="15" t="s">
        <v>45</v>
      </c>
      <c r="I3080">
        <v>110</v>
      </c>
      <c r="J3080">
        <v>150</v>
      </c>
      <c r="K3080">
        <v>100</v>
      </c>
      <c r="L3080">
        <v>260</v>
      </c>
      <c r="M3080">
        <v>118</v>
      </c>
      <c r="N3080">
        <v>636</v>
      </c>
      <c r="O3080">
        <v>164</v>
      </c>
      <c r="P3080">
        <v>36</v>
      </c>
      <c r="Q3080">
        <v>145</v>
      </c>
      <c r="R3080">
        <v>279</v>
      </c>
      <c r="S3080">
        <v>1.073076923076923</v>
      </c>
      <c r="T3080">
        <v>1.45</v>
      </c>
      <c r="U3080">
        <v>1.0727272727272728</v>
      </c>
    </row>
    <row r="3081" spans="1:21" x14ac:dyDescent="0.35">
      <c r="A3081">
        <v>772</v>
      </c>
      <c r="B3081" s="16">
        <v>40695</v>
      </c>
      <c r="C3081" s="15" t="s">
        <v>63</v>
      </c>
      <c r="D3081" s="15" t="s">
        <v>38</v>
      </c>
      <c r="E3081" s="15" t="s">
        <v>48</v>
      </c>
      <c r="F3081" s="15" t="s">
        <v>49</v>
      </c>
      <c r="G3081" s="15" t="s">
        <v>65</v>
      </c>
      <c r="H3081" s="15" t="s">
        <v>42</v>
      </c>
      <c r="I3081">
        <v>100</v>
      </c>
      <c r="J3081">
        <v>150</v>
      </c>
      <c r="K3081">
        <v>40</v>
      </c>
      <c r="L3081">
        <v>250</v>
      </c>
      <c r="M3081">
        <v>110</v>
      </c>
      <c r="N3081">
        <v>665</v>
      </c>
      <c r="O3081">
        <v>154</v>
      </c>
      <c r="P3081">
        <v>100</v>
      </c>
      <c r="Q3081">
        <v>35</v>
      </c>
      <c r="R3081">
        <v>262</v>
      </c>
      <c r="S3081">
        <v>1.048</v>
      </c>
      <c r="T3081">
        <v>0.875</v>
      </c>
      <c r="U3081">
        <v>1.1000000000000001</v>
      </c>
    </row>
    <row r="3082" spans="1:21" x14ac:dyDescent="0.35">
      <c r="A3082">
        <v>772</v>
      </c>
      <c r="B3082" s="16">
        <v>40695</v>
      </c>
      <c r="C3082" s="15" t="s">
        <v>63</v>
      </c>
      <c r="D3082" s="15" t="s">
        <v>38</v>
      </c>
      <c r="E3082" s="15" t="s">
        <v>50</v>
      </c>
      <c r="F3082" s="15" t="s">
        <v>49</v>
      </c>
      <c r="G3082" s="15" t="s">
        <v>65</v>
      </c>
      <c r="H3082" s="15" t="s">
        <v>45</v>
      </c>
      <c r="I3082">
        <v>80</v>
      </c>
      <c r="J3082">
        <v>120</v>
      </c>
      <c r="K3082">
        <v>80</v>
      </c>
      <c r="L3082">
        <v>200</v>
      </c>
      <c r="M3082">
        <v>91</v>
      </c>
      <c r="N3082">
        <v>533</v>
      </c>
      <c r="O3082">
        <v>121</v>
      </c>
      <c r="P3082">
        <v>30</v>
      </c>
      <c r="Q3082">
        <v>87</v>
      </c>
      <c r="R3082">
        <v>210</v>
      </c>
      <c r="S3082">
        <v>1.05</v>
      </c>
      <c r="T3082">
        <v>1.0874999999999999</v>
      </c>
      <c r="U3082">
        <v>1.1375</v>
      </c>
    </row>
    <row r="3083" spans="1:21" x14ac:dyDescent="0.35">
      <c r="A3083">
        <v>351</v>
      </c>
      <c r="B3083" s="16">
        <v>40695</v>
      </c>
      <c r="C3083" s="15" t="s">
        <v>63</v>
      </c>
      <c r="D3083" s="15" t="s">
        <v>38</v>
      </c>
      <c r="E3083" s="15" t="s">
        <v>46</v>
      </c>
      <c r="F3083" s="15" t="s">
        <v>47</v>
      </c>
      <c r="G3083" s="15" t="s">
        <v>66</v>
      </c>
      <c r="H3083" s="15" t="s">
        <v>42</v>
      </c>
      <c r="I3083">
        <v>10</v>
      </c>
      <c r="J3083">
        <v>30</v>
      </c>
      <c r="K3083">
        <v>20</v>
      </c>
      <c r="L3083">
        <v>40</v>
      </c>
      <c r="M3083">
        <v>18</v>
      </c>
      <c r="N3083">
        <v>478</v>
      </c>
      <c r="O3083">
        <v>26</v>
      </c>
      <c r="P3083">
        <v>5</v>
      </c>
      <c r="Q3083">
        <v>14</v>
      </c>
      <c r="R3083">
        <v>44</v>
      </c>
      <c r="S3083">
        <v>1.1000000000000001</v>
      </c>
      <c r="T3083">
        <v>0.7</v>
      </c>
      <c r="U3083">
        <v>1.8</v>
      </c>
    </row>
    <row r="3084" spans="1:21" x14ac:dyDescent="0.35">
      <c r="A3084">
        <v>781</v>
      </c>
      <c r="B3084" s="16">
        <v>40695</v>
      </c>
      <c r="C3084" s="15" t="s">
        <v>63</v>
      </c>
      <c r="D3084" s="15" t="s">
        <v>38</v>
      </c>
      <c r="E3084" s="15" t="s">
        <v>53</v>
      </c>
      <c r="F3084" s="15" t="s">
        <v>52</v>
      </c>
      <c r="G3084" s="15" t="s">
        <v>66</v>
      </c>
      <c r="H3084" s="15" t="s">
        <v>45</v>
      </c>
      <c r="I3084">
        <v>30</v>
      </c>
      <c r="J3084">
        <v>50</v>
      </c>
      <c r="K3084">
        <v>20</v>
      </c>
      <c r="L3084">
        <v>80</v>
      </c>
      <c r="M3084">
        <v>51</v>
      </c>
      <c r="N3084">
        <v>396</v>
      </c>
      <c r="O3084">
        <v>64</v>
      </c>
      <c r="P3084">
        <v>19</v>
      </c>
      <c r="Q3084">
        <v>17</v>
      </c>
      <c r="R3084">
        <v>114</v>
      </c>
      <c r="S3084">
        <v>1.425</v>
      </c>
      <c r="T3084">
        <v>0.85</v>
      </c>
      <c r="U3084">
        <v>1.7</v>
      </c>
    </row>
    <row r="3085" spans="1:21" x14ac:dyDescent="0.35">
      <c r="A3085">
        <v>857</v>
      </c>
      <c r="B3085" s="16">
        <v>40695</v>
      </c>
      <c r="C3085" s="15" t="s">
        <v>63</v>
      </c>
      <c r="D3085" s="15" t="s">
        <v>38</v>
      </c>
      <c r="E3085" s="15" t="s">
        <v>55</v>
      </c>
      <c r="F3085" s="15" t="s">
        <v>47</v>
      </c>
      <c r="G3085" s="15" t="s">
        <v>66</v>
      </c>
      <c r="H3085" s="15" t="s">
        <v>42</v>
      </c>
      <c r="I3085">
        <v>20</v>
      </c>
      <c r="J3085">
        <v>40</v>
      </c>
      <c r="K3085">
        <v>30</v>
      </c>
      <c r="L3085">
        <v>60</v>
      </c>
      <c r="M3085">
        <v>24</v>
      </c>
      <c r="N3085">
        <v>856</v>
      </c>
      <c r="O3085">
        <v>36</v>
      </c>
      <c r="P3085">
        <v>6</v>
      </c>
      <c r="Q3085">
        <v>26</v>
      </c>
      <c r="R3085">
        <v>59</v>
      </c>
      <c r="S3085">
        <v>0.98333333333333328</v>
      </c>
      <c r="T3085">
        <v>0.8666666666666667</v>
      </c>
      <c r="U3085">
        <v>1.2</v>
      </c>
    </row>
    <row r="3086" spans="1:21" x14ac:dyDescent="0.35">
      <c r="A3086">
        <v>774</v>
      </c>
      <c r="B3086" s="16">
        <v>40695</v>
      </c>
      <c r="C3086" s="15" t="s">
        <v>63</v>
      </c>
      <c r="D3086" s="15" t="s">
        <v>38</v>
      </c>
      <c r="E3086" s="15" t="s">
        <v>43</v>
      </c>
      <c r="F3086" s="15" t="s">
        <v>40</v>
      </c>
      <c r="G3086" s="15" t="s">
        <v>66</v>
      </c>
      <c r="H3086" s="15" t="s">
        <v>42</v>
      </c>
      <c r="I3086">
        <v>50</v>
      </c>
      <c r="J3086">
        <v>560</v>
      </c>
      <c r="K3086">
        <v>530</v>
      </c>
      <c r="L3086">
        <v>610</v>
      </c>
      <c r="M3086">
        <v>54</v>
      </c>
      <c r="N3086">
        <v>-1006</v>
      </c>
      <c r="O3086">
        <v>595</v>
      </c>
      <c r="P3086">
        <v>17</v>
      </c>
      <c r="Q3086">
        <v>755</v>
      </c>
      <c r="R3086">
        <v>643</v>
      </c>
      <c r="S3086">
        <v>1.0540983606557377</v>
      </c>
      <c r="T3086">
        <v>1.4245283018867925</v>
      </c>
      <c r="U3086">
        <v>1.08</v>
      </c>
    </row>
    <row r="3087" spans="1:21" x14ac:dyDescent="0.35">
      <c r="A3087">
        <v>781</v>
      </c>
      <c r="B3087" s="16">
        <v>40695</v>
      </c>
      <c r="C3087" s="15" t="s">
        <v>63</v>
      </c>
      <c r="D3087" s="15" t="s">
        <v>38</v>
      </c>
      <c r="E3087" s="15" t="s">
        <v>48</v>
      </c>
      <c r="F3087" s="15" t="s">
        <v>49</v>
      </c>
      <c r="G3087" s="15" t="s">
        <v>66</v>
      </c>
      <c r="H3087" s="15" t="s">
        <v>42</v>
      </c>
      <c r="I3087">
        <v>40</v>
      </c>
      <c r="J3087">
        <v>60</v>
      </c>
      <c r="K3087">
        <v>10</v>
      </c>
      <c r="L3087">
        <v>100</v>
      </c>
      <c r="M3087">
        <v>44</v>
      </c>
      <c r="N3087">
        <v>543</v>
      </c>
      <c r="O3087">
        <v>67</v>
      </c>
      <c r="P3087">
        <v>40</v>
      </c>
      <c r="Q3087">
        <v>-4</v>
      </c>
      <c r="R3087">
        <v>110</v>
      </c>
      <c r="S3087">
        <v>1.1000000000000001</v>
      </c>
      <c r="T3087">
        <v>-0.4</v>
      </c>
      <c r="U3087">
        <v>1.1000000000000001</v>
      </c>
    </row>
    <row r="3088" spans="1:21" x14ac:dyDescent="0.35">
      <c r="A3088">
        <v>413</v>
      </c>
      <c r="B3088" s="16">
        <v>40695</v>
      </c>
      <c r="C3088" s="15" t="s">
        <v>63</v>
      </c>
      <c r="D3088" s="15" t="s">
        <v>38</v>
      </c>
      <c r="E3088" s="15" t="s">
        <v>67</v>
      </c>
      <c r="F3088" s="15" t="s">
        <v>49</v>
      </c>
      <c r="G3088" s="15" t="s">
        <v>66</v>
      </c>
      <c r="H3088" s="15" t="s">
        <v>42</v>
      </c>
      <c r="I3088">
        <v>140</v>
      </c>
      <c r="J3088">
        <v>150</v>
      </c>
      <c r="K3088">
        <v>100</v>
      </c>
      <c r="L3088">
        <v>290</v>
      </c>
      <c r="M3088">
        <v>149</v>
      </c>
      <c r="N3088">
        <v>1245</v>
      </c>
      <c r="O3088">
        <v>149</v>
      </c>
      <c r="P3088">
        <v>41</v>
      </c>
      <c r="Q3088">
        <v>115</v>
      </c>
      <c r="R3088">
        <v>295</v>
      </c>
      <c r="S3088">
        <v>1.0172413793103448</v>
      </c>
      <c r="T3088">
        <v>1.1499999999999999</v>
      </c>
      <c r="U3088">
        <v>1.0642857142857143</v>
      </c>
    </row>
    <row r="3089" spans="1:21" x14ac:dyDescent="0.35">
      <c r="A3089">
        <v>603</v>
      </c>
      <c r="B3089" s="16">
        <v>40695</v>
      </c>
      <c r="C3089" s="15" t="s">
        <v>63</v>
      </c>
      <c r="D3089" s="15" t="s">
        <v>58</v>
      </c>
      <c r="E3089" s="15" t="s">
        <v>46</v>
      </c>
      <c r="F3089" s="15" t="s">
        <v>47</v>
      </c>
      <c r="G3089" s="15" t="s">
        <v>68</v>
      </c>
      <c r="H3089" s="15" t="s">
        <v>42</v>
      </c>
      <c r="I3089">
        <v>0</v>
      </c>
      <c r="J3089">
        <v>40</v>
      </c>
      <c r="K3089">
        <v>30</v>
      </c>
      <c r="L3089">
        <v>40</v>
      </c>
      <c r="M3089">
        <v>0</v>
      </c>
      <c r="N3089">
        <v>602</v>
      </c>
      <c r="O3089">
        <v>43</v>
      </c>
      <c r="P3089">
        <v>0</v>
      </c>
      <c r="Q3089">
        <v>44</v>
      </c>
      <c r="R3089">
        <v>43</v>
      </c>
      <c r="S3089">
        <v>1.075</v>
      </c>
      <c r="T3089">
        <v>1.4666666666666666</v>
      </c>
    </row>
    <row r="3090" spans="1:21" x14ac:dyDescent="0.35">
      <c r="A3090">
        <v>603</v>
      </c>
      <c r="B3090" s="16">
        <v>40695</v>
      </c>
      <c r="C3090" s="15" t="s">
        <v>63</v>
      </c>
      <c r="D3090" s="15" t="s">
        <v>58</v>
      </c>
      <c r="E3090" s="15" t="s">
        <v>53</v>
      </c>
      <c r="F3090" s="15" t="s">
        <v>52</v>
      </c>
      <c r="G3090" s="15" t="s">
        <v>68</v>
      </c>
      <c r="H3090" s="15" t="s">
        <v>45</v>
      </c>
      <c r="I3090">
        <v>20</v>
      </c>
      <c r="J3090">
        <v>40</v>
      </c>
      <c r="K3090">
        <v>10</v>
      </c>
      <c r="L3090">
        <v>60</v>
      </c>
      <c r="M3090">
        <v>36</v>
      </c>
      <c r="N3090">
        <v>236</v>
      </c>
      <c r="O3090">
        <v>46</v>
      </c>
      <c r="P3090">
        <v>13</v>
      </c>
      <c r="Q3090">
        <v>0</v>
      </c>
      <c r="R3090">
        <v>81</v>
      </c>
      <c r="S3090">
        <v>1.35</v>
      </c>
      <c r="T3090">
        <v>0</v>
      </c>
      <c r="U3090">
        <v>1.8</v>
      </c>
    </row>
    <row r="3091" spans="1:21" x14ac:dyDescent="0.35">
      <c r="A3091">
        <v>603</v>
      </c>
      <c r="B3091" s="16">
        <v>40695</v>
      </c>
      <c r="C3091" s="15" t="s">
        <v>63</v>
      </c>
      <c r="D3091" s="15" t="s">
        <v>58</v>
      </c>
      <c r="E3091" s="15" t="s">
        <v>55</v>
      </c>
      <c r="F3091" s="15" t="s">
        <v>47</v>
      </c>
      <c r="G3091" s="15" t="s">
        <v>68</v>
      </c>
      <c r="H3091" s="15" t="s">
        <v>42</v>
      </c>
      <c r="I3091">
        <v>20</v>
      </c>
      <c r="J3091">
        <v>40</v>
      </c>
      <c r="K3091">
        <v>30</v>
      </c>
      <c r="L3091">
        <v>60</v>
      </c>
      <c r="M3091">
        <v>23</v>
      </c>
      <c r="N3091">
        <v>843</v>
      </c>
      <c r="O3091">
        <v>35</v>
      </c>
      <c r="P3091">
        <v>6</v>
      </c>
      <c r="Q3091">
        <v>23</v>
      </c>
      <c r="R3091">
        <v>57</v>
      </c>
      <c r="S3091">
        <v>0.95</v>
      </c>
      <c r="T3091">
        <v>0.76666666666666672</v>
      </c>
      <c r="U3091">
        <v>1.1499999999999999</v>
      </c>
    </row>
    <row r="3092" spans="1:21" x14ac:dyDescent="0.35">
      <c r="A3092">
        <v>603</v>
      </c>
      <c r="B3092" s="16">
        <v>40695</v>
      </c>
      <c r="C3092" s="15" t="s">
        <v>63</v>
      </c>
      <c r="D3092" s="15" t="s">
        <v>58</v>
      </c>
      <c r="E3092" s="15" t="s">
        <v>39</v>
      </c>
      <c r="F3092" s="15" t="s">
        <v>40</v>
      </c>
      <c r="G3092" s="15" t="s">
        <v>68</v>
      </c>
      <c r="H3092" s="15" t="s">
        <v>42</v>
      </c>
      <c r="I3092">
        <v>50</v>
      </c>
      <c r="J3092">
        <v>80</v>
      </c>
      <c r="K3092">
        <v>50</v>
      </c>
      <c r="L3092">
        <v>130</v>
      </c>
      <c r="M3092">
        <v>56</v>
      </c>
      <c r="N3092">
        <v>302</v>
      </c>
      <c r="O3092">
        <v>82</v>
      </c>
      <c r="P3092">
        <v>17</v>
      </c>
      <c r="Q3092">
        <v>57</v>
      </c>
      <c r="R3092">
        <v>137</v>
      </c>
      <c r="S3092">
        <v>1.0538461538461539</v>
      </c>
      <c r="T3092">
        <v>1.1399999999999999</v>
      </c>
      <c r="U3092">
        <v>1.1200000000000001</v>
      </c>
    </row>
    <row r="3093" spans="1:21" x14ac:dyDescent="0.35">
      <c r="A3093">
        <v>603</v>
      </c>
      <c r="B3093" s="16">
        <v>40695</v>
      </c>
      <c r="C3093" s="15" t="s">
        <v>63</v>
      </c>
      <c r="D3093" s="15" t="s">
        <v>58</v>
      </c>
      <c r="E3093" s="15" t="s">
        <v>43</v>
      </c>
      <c r="F3093" s="15" t="s">
        <v>40</v>
      </c>
      <c r="G3093" s="15" t="s">
        <v>68</v>
      </c>
      <c r="H3093" s="15" t="s">
        <v>42</v>
      </c>
      <c r="I3093">
        <v>50</v>
      </c>
      <c r="J3093">
        <v>90</v>
      </c>
      <c r="K3093">
        <v>60</v>
      </c>
      <c r="L3093">
        <v>140</v>
      </c>
      <c r="M3093">
        <v>62</v>
      </c>
      <c r="N3093">
        <v>436</v>
      </c>
      <c r="O3093">
        <v>94</v>
      </c>
      <c r="P3093">
        <v>20</v>
      </c>
      <c r="Q3093">
        <v>58</v>
      </c>
      <c r="R3093">
        <v>155</v>
      </c>
      <c r="S3093">
        <v>1.1071428571428572</v>
      </c>
      <c r="T3093">
        <v>0.96666666666666667</v>
      </c>
      <c r="U3093">
        <v>1.24</v>
      </c>
    </row>
    <row r="3094" spans="1:21" x14ac:dyDescent="0.35">
      <c r="A3094">
        <v>603</v>
      </c>
      <c r="B3094" s="16">
        <v>40695</v>
      </c>
      <c r="C3094" s="15" t="s">
        <v>63</v>
      </c>
      <c r="D3094" s="15" t="s">
        <v>58</v>
      </c>
      <c r="E3094" s="15" t="s">
        <v>48</v>
      </c>
      <c r="F3094" s="15" t="s">
        <v>49</v>
      </c>
      <c r="G3094" s="15" t="s">
        <v>68</v>
      </c>
      <c r="H3094" s="15" t="s">
        <v>42</v>
      </c>
      <c r="I3094">
        <v>40</v>
      </c>
      <c r="J3094">
        <v>80</v>
      </c>
      <c r="K3094">
        <v>20</v>
      </c>
      <c r="L3094">
        <v>120</v>
      </c>
      <c r="M3094">
        <v>52</v>
      </c>
      <c r="N3094">
        <v>313</v>
      </c>
      <c r="O3094">
        <v>73</v>
      </c>
      <c r="P3094">
        <v>47</v>
      </c>
      <c r="Q3094">
        <v>-6</v>
      </c>
      <c r="R3094">
        <v>124</v>
      </c>
      <c r="S3094">
        <v>1.0333333333333334</v>
      </c>
      <c r="T3094">
        <v>-0.3</v>
      </c>
      <c r="U3094">
        <v>1.3</v>
      </c>
    </row>
    <row r="3095" spans="1:21" x14ac:dyDescent="0.35">
      <c r="A3095">
        <v>603</v>
      </c>
      <c r="B3095" s="16">
        <v>40695</v>
      </c>
      <c r="C3095" s="15" t="s">
        <v>63</v>
      </c>
      <c r="D3095" s="15" t="s">
        <v>58</v>
      </c>
      <c r="E3095" s="15" t="s">
        <v>67</v>
      </c>
      <c r="F3095" s="15" t="s">
        <v>49</v>
      </c>
      <c r="G3095" s="15" t="s">
        <v>68</v>
      </c>
      <c r="H3095" s="15" t="s">
        <v>42</v>
      </c>
      <c r="I3095">
        <v>30</v>
      </c>
      <c r="J3095">
        <v>40</v>
      </c>
      <c r="K3095">
        <v>0</v>
      </c>
      <c r="L3095">
        <v>70</v>
      </c>
      <c r="M3095">
        <v>35</v>
      </c>
      <c r="N3095">
        <v>204</v>
      </c>
      <c r="O3095">
        <v>43</v>
      </c>
      <c r="P3095">
        <v>13</v>
      </c>
      <c r="Q3095">
        <v>-4</v>
      </c>
      <c r="R3095">
        <v>77</v>
      </c>
      <c r="S3095">
        <v>1.1000000000000001</v>
      </c>
      <c r="U3095">
        <v>1.1666666666666667</v>
      </c>
    </row>
    <row r="3096" spans="1:21" x14ac:dyDescent="0.35">
      <c r="A3096">
        <v>347</v>
      </c>
      <c r="B3096" s="16">
        <v>40695</v>
      </c>
      <c r="C3096" s="15" t="s">
        <v>63</v>
      </c>
      <c r="D3096" s="15" t="s">
        <v>38</v>
      </c>
      <c r="E3096" s="15" t="s">
        <v>46</v>
      </c>
      <c r="F3096" s="15" t="s">
        <v>47</v>
      </c>
      <c r="G3096" s="15" t="s">
        <v>69</v>
      </c>
      <c r="H3096" s="15" t="s">
        <v>42</v>
      </c>
      <c r="I3096">
        <v>90</v>
      </c>
      <c r="J3096">
        <v>150</v>
      </c>
      <c r="K3096">
        <v>120</v>
      </c>
      <c r="L3096">
        <v>240</v>
      </c>
      <c r="M3096">
        <v>94</v>
      </c>
      <c r="N3096">
        <v>562</v>
      </c>
      <c r="O3096">
        <v>136</v>
      </c>
      <c r="P3096">
        <v>26</v>
      </c>
      <c r="Q3096">
        <v>137</v>
      </c>
      <c r="R3096">
        <v>228</v>
      </c>
      <c r="S3096">
        <v>0.95</v>
      </c>
      <c r="T3096">
        <v>1.1416666666666666</v>
      </c>
      <c r="U3096">
        <v>1.0444444444444445</v>
      </c>
    </row>
    <row r="3097" spans="1:21" x14ac:dyDescent="0.35">
      <c r="A3097">
        <v>315</v>
      </c>
      <c r="B3097" s="16">
        <v>40695</v>
      </c>
      <c r="C3097" s="15" t="s">
        <v>63</v>
      </c>
      <c r="D3097" s="15" t="s">
        <v>38</v>
      </c>
      <c r="E3097" s="15" t="s">
        <v>53</v>
      </c>
      <c r="F3097" s="15" t="s">
        <v>52</v>
      </c>
      <c r="G3097" s="15" t="s">
        <v>69</v>
      </c>
      <c r="H3097" s="15" t="s">
        <v>45</v>
      </c>
      <c r="I3097">
        <v>200</v>
      </c>
      <c r="J3097">
        <v>320</v>
      </c>
      <c r="K3097">
        <v>220</v>
      </c>
      <c r="L3097">
        <v>520</v>
      </c>
      <c r="M3097">
        <v>271</v>
      </c>
      <c r="N3097">
        <v>1727</v>
      </c>
      <c r="O3097">
        <v>398</v>
      </c>
      <c r="P3097">
        <v>102</v>
      </c>
      <c r="Q3097">
        <v>363</v>
      </c>
      <c r="R3097">
        <v>663</v>
      </c>
      <c r="S3097">
        <v>1.2749999999999999</v>
      </c>
      <c r="T3097">
        <v>1.65</v>
      </c>
      <c r="U3097">
        <v>1.355</v>
      </c>
    </row>
    <row r="3098" spans="1:21" x14ac:dyDescent="0.35">
      <c r="A3098">
        <v>914</v>
      </c>
      <c r="B3098" s="16">
        <v>40695</v>
      </c>
      <c r="C3098" s="15" t="s">
        <v>63</v>
      </c>
      <c r="D3098" s="15" t="s">
        <v>38</v>
      </c>
      <c r="E3098" s="15" t="s">
        <v>54</v>
      </c>
      <c r="F3098" s="15" t="s">
        <v>52</v>
      </c>
      <c r="G3098" s="15" t="s">
        <v>69</v>
      </c>
      <c r="H3098" s="15" t="s">
        <v>45</v>
      </c>
      <c r="I3098">
        <v>180</v>
      </c>
      <c r="J3098">
        <v>-30</v>
      </c>
      <c r="K3098">
        <v>-100</v>
      </c>
      <c r="L3098">
        <v>150</v>
      </c>
      <c r="M3098">
        <v>244</v>
      </c>
      <c r="N3098">
        <v>2636</v>
      </c>
      <c r="O3098">
        <v>-46</v>
      </c>
      <c r="P3098">
        <v>75</v>
      </c>
      <c r="Q3098">
        <v>-197</v>
      </c>
      <c r="R3098">
        <v>196</v>
      </c>
      <c r="S3098">
        <v>1.3066666666666666</v>
      </c>
      <c r="T3098">
        <v>1.97</v>
      </c>
      <c r="U3098">
        <v>1.3555555555555556</v>
      </c>
    </row>
    <row r="3099" spans="1:21" x14ac:dyDescent="0.35">
      <c r="A3099">
        <v>914</v>
      </c>
      <c r="B3099" s="16">
        <v>40695</v>
      </c>
      <c r="C3099" s="15" t="s">
        <v>63</v>
      </c>
      <c r="D3099" s="15" t="s">
        <v>38</v>
      </c>
      <c r="E3099" s="15" t="s">
        <v>55</v>
      </c>
      <c r="F3099" s="15" t="s">
        <v>47</v>
      </c>
      <c r="G3099" s="15" t="s">
        <v>69</v>
      </c>
      <c r="H3099" s="15" t="s">
        <v>42</v>
      </c>
      <c r="I3099">
        <v>130</v>
      </c>
      <c r="J3099">
        <v>190</v>
      </c>
      <c r="K3099">
        <v>150</v>
      </c>
      <c r="L3099">
        <v>320</v>
      </c>
      <c r="M3099">
        <v>123</v>
      </c>
      <c r="N3099">
        <v>947</v>
      </c>
      <c r="O3099">
        <v>178</v>
      </c>
      <c r="P3099">
        <v>34</v>
      </c>
      <c r="Q3099">
        <v>184</v>
      </c>
      <c r="R3099">
        <v>298</v>
      </c>
      <c r="S3099">
        <v>0.93125000000000002</v>
      </c>
      <c r="T3099">
        <v>1.2266666666666666</v>
      </c>
      <c r="U3099">
        <v>0.94615384615384612</v>
      </c>
    </row>
    <row r="3100" spans="1:21" x14ac:dyDescent="0.35">
      <c r="A3100">
        <v>347</v>
      </c>
      <c r="B3100" s="16">
        <v>40695</v>
      </c>
      <c r="C3100" s="15" t="s">
        <v>63</v>
      </c>
      <c r="D3100" s="15" t="s">
        <v>38</v>
      </c>
      <c r="E3100" s="15" t="s">
        <v>56</v>
      </c>
      <c r="F3100" s="15" t="s">
        <v>47</v>
      </c>
      <c r="G3100" s="15" t="s">
        <v>69</v>
      </c>
      <c r="H3100" s="15" t="s">
        <v>42</v>
      </c>
      <c r="I3100">
        <v>110</v>
      </c>
      <c r="J3100">
        <v>180</v>
      </c>
      <c r="K3100">
        <v>140</v>
      </c>
      <c r="L3100">
        <v>290</v>
      </c>
      <c r="M3100">
        <v>113</v>
      </c>
      <c r="N3100">
        <v>897</v>
      </c>
      <c r="O3100">
        <v>163</v>
      </c>
      <c r="P3100">
        <v>31</v>
      </c>
      <c r="Q3100">
        <v>167</v>
      </c>
      <c r="R3100">
        <v>274</v>
      </c>
      <c r="S3100">
        <v>0.94482758620689655</v>
      </c>
      <c r="T3100">
        <v>1.1928571428571428</v>
      </c>
      <c r="U3100">
        <v>1.0272727272727273</v>
      </c>
    </row>
    <row r="3101" spans="1:21" x14ac:dyDescent="0.35">
      <c r="A3101">
        <v>917</v>
      </c>
      <c r="B3101" s="16">
        <v>40695</v>
      </c>
      <c r="C3101" s="15" t="s">
        <v>63</v>
      </c>
      <c r="D3101" s="15" t="s">
        <v>38</v>
      </c>
      <c r="E3101" s="15" t="s">
        <v>43</v>
      </c>
      <c r="F3101" s="15" t="s">
        <v>40</v>
      </c>
      <c r="G3101" s="15" t="s">
        <v>69</v>
      </c>
      <c r="H3101" s="15" t="s">
        <v>42</v>
      </c>
      <c r="I3101">
        <v>340</v>
      </c>
      <c r="J3101">
        <v>500</v>
      </c>
      <c r="K3101">
        <v>350</v>
      </c>
      <c r="L3101">
        <v>840</v>
      </c>
      <c r="M3101">
        <v>356</v>
      </c>
      <c r="N3101">
        <v>2476</v>
      </c>
      <c r="O3101">
        <v>534</v>
      </c>
      <c r="P3101">
        <v>124</v>
      </c>
      <c r="Q3101">
        <v>493</v>
      </c>
      <c r="R3101">
        <v>882</v>
      </c>
      <c r="S3101">
        <v>1.05</v>
      </c>
      <c r="T3101">
        <v>1.4085714285714286</v>
      </c>
      <c r="U3101">
        <v>1.0470588235294118</v>
      </c>
    </row>
    <row r="3102" spans="1:21" x14ac:dyDescent="0.35">
      <c r="A3102">
        <v>845</v>
      </c>
      <c r="B3102" s="16">
        <v>40695</v>
      </c>
      <c r="C3102" s="15" t="s">
        <v>63</v>
      </c>
      <c r="D3102" s="15" t="s">
        <v>38</v>
      </c>
      <c r="E3102" s="15" t="s">
        <v>48</v>
      </c>
      <c r="F3102" s="15" t="s">
        <v>49</v>
      </c>
      <c r="G3102" s="15" t="s">
        <v>69</v>
      </c>
      <c r="H3102" s="15" t="s">
        <v>42</v>
      </c>
      <c r="I3102">
        <v>130</v>
      </c>
      <c r="J3102">
        <v>-60</v>
      </c>
      <c r="K3102">
        <v>-210</v>
      </c>
      <c r="L3102">
        <v>70</v>
      </c>
      <c r="M3102">
        <v>144</v>
      </c>
      <c r="N3102">
        <v>1979</v>
      </c>
      <c r="O3102">
        <v>-72</v>
      </c>
      <c r="P3102">
        <v>131</v>
      </c>
      <c r="Q3102">
        <v>-326</v>
      </c>
      <c r="R3102">
        <v>71</v>
      </c>
      <c r="S3102">
        <v>1.0142857142857142</v>
      </c>
      <c r="T3102">
        <v>1.5523809523809524</v>
      </c>
      <c r="U3102">
        <v>1.1076923076923078</v>
      </c>
    </row>
    <row r="3103" spans="1:21" x14ac:dyDescent="0.35">
      <c r="A3103">
        <v>718</v>
      </c>
      <c r="B3103" s="16">
        <v>40695</v>
      </c>
      <c r="C3103" s="15" t="s">
        <v>63</v>
      </c>
      <c r="D3103" s="15" t="s">
        <v>38</v>
      </c>
      <c r="E3103" s="15" t="s">
        <v>67</v>
      </c>
      <c r="F3103" s="15" t="s">
        <v>49</v>
      </c>
      <c r="G3103" s="15" t="s">
        <v>69</v>
      </c>
      <c r="H3103" s="15" t="s">
        <v>42</v>
      </c>
      <c r="I3103">
        <v>240</v>
      </c>
      <c r="J3103">
        <v>420</v>
      </c>
      <c r="K3103">
        <v>340</v>
      </c>
      <c r="L3103">
        <v>660</v>
      </c>
      <c r="M3103">
        <v>260</v>
      </c>
      <c r="N3103">
        <v>1405</v>
      </c>
      <c r="O3103">
        <v>415</v>
      </c>
      <c r="P3103">
        <v>72</v>
      </c>
      <c r="Q3103">
        <v>439</v>
      </c>
      <c r="R3103">
        <v>669</v>
      </c>
      <c r="S3103">
        <v>1.0136363636363637</v>
      </c>
      <c r="T3103">
        <v>1.2911764705882354</v>
      </c>
      <c r="U3103">
        <v>1.0833333333333333</v>
      </c>
    </row>
    <row r="3104" spans="1:21" x14ac:dyDescent="0.35">
      <c r="A3104">
        <v>337</v>
      </c>
      <c r="B3104" s="16">
        <v>40695</v>
      </c>
      <c r="C3104" s="15" t="s">
        <v>70</v>
      </c>
      <c r="D3104" s="15" t="s">
        <v>58</v>
      </c>
      <c r="E3104" s="15" t="s">
        <v>51</v>
      </c>
      <c r="F3104" s="15" t="s">
        <v>52</v>
      </c>
      <c r="G3104" s="15" t="s">
        <v>71</v>
      </c>
      <c r="H3104" s="15" t="s">
        <v>45</v>
      </c>
      <c r="I3104">
        <v>40</v>
      </c>
      <c r="J3104">
        <v>60</v>
      </c>
      <c r="K3104">
        <v>40</v>
      </c>
      <c r="L3104">
        <v>100</v>
      </c>
      <c r="M3104">
        <v>48</v>
      </c>
      <c r="N3104">
        <v>593</v>
      </c>
      <c r="O3104">
        <v>63</v>
      </c>
      <c r="P3104">
        <v>15</v>
      </c>
      <c r="Q3104">
        <v>50</v>
      </c>
      <c r="R3104">
        <v>110</v>
      </c>
      <c r="S3104">
        <v>1.1000000000000001</v>
      </c>
      <c r="T3104">
        <v>1.25</v>
      </c>
      <c r="U3104">
        <v>1.2</v>
      </c>
    </row>
    <row r="3105" spans="1:21" x14ac:dyDescent="0.35">
      <c r="A3105">
        <v>318</v>
      </c>
      <c r="B3105" s="16">
        <v>40695</v>
      </c>
      <c r="C3105" s="15" t="s">
        <v>70</v>
      </c>
      <c r="D3105" s="15" t="s">
        <v>58</v>
      </c>
      <c r="E3105" s="15" t="s">
        <v>53</v>
      </c>
      <c r="F3105" s="15" t="s">
        <v>52</v>
      </c>
      <c r="G3105" s="15" t="s">
        <v>71</v>
      </c>
      <c r="H3105" s="15" t="s">
        <v>45</v>
      </c>
      <c r="I3105">
        <v>70</v>
      </c>
      <c r="J3105">
        <v>90</v>
      </c>
      <c r="K3105">
        <v>40</v>
      </c>
      <c r="L3105">
        <v>160</v>
      </c>
      <c r="M3105">
        <v>76</v>
      </c>
      <c r="N3105">
        <v>580</v>
      </c>
      <c r="O3105">
        <v>93</v>
      </c>
      <c r="P3105">
        <v>28</v>
      </c>
      <c r="Q3105">
        <v>44</v>
      </c>
      <c r="R3105">
        <v>167</v>
      </c>
      <c r="S3105">
        <v>1.04375</v>
      </c>
      <c r="T3105">
        <v>1.1000000000000001</v>
      </c>
      <c r="U3105">
        <v>1.0857142857142856</v>
      </c>
    </row>
    <row r="3106" spans="1:21" x14ac:dyDescent="0.35">
      <c r="A3106">
        <v>225</v>
      </c>
      <c r="B3106" s="16">
        <v>40695</v>
      </c>
      <c r="C3106" s="15" t="s">
        <v>70</v>
      </c>
      <c r="D3106" s="15" t="s">
        <v>58</v>
      </c>
      <c r="E3106" s="15" t="s">
        <v>43</v>
      </c>
      <c r="F3106" s="15" t="s">
        <v>40</v>
      </c>
      <c r="G3106" s="15" t="s">
        <v>71</v>
      </c>
      <c r="H3106" s="15" t="s">
        <v>42</v>
      </c>
      <c r="I3106">
        <v>50</v>
      </c>
      <c r="J3106">
        <v>80</v>
      </c>
      <c r="K3106">
        <v>60</v>
      </c>
      <c r="L3106">
        <v>130</v>
      </c>
      <c r="M3106">
        <v>43</v>
      </c>
      <c r="N3106">
        <v>822</v>
      </c>
      <c r="O3106">
        <v>64</v>
      </c>
      <c r="P3106">
        <v>12</v>
      </c>
      <c r="Q3106">
        <v>55</v>
      </c>
      <c r="R3106">
        <v>106</v>
      </c>
      <c r="S3106">
        <v>0.81538461538461537</v>
      </c>
      <c r="T3106">
        <v>0.91666666666666663</v>
      </c>
      <c r="U3106">
        <v>0.86</v>
      </c>
    </row>
    <row r="3107" spans="1:21" x14ac:dyDescent="0.35">
      <c r="A3107">
        <v>225</v>
      </c>
      <c r="B3107" s="16">
        <v>40695</v>
      </c>
      <c r="C3107" s="15" t="s">
        <v>70</v>
      </c>
      <c r="D3107" s="15" t="s">
        <v>58</v>
      </c>
      <c r="E3107" s="15" t="s">
        <v>44</v>
      </c>
      <c r="F3107" s="15" t="s">
        <v>40</v>
      </c>
      <c r="G3107" s="15" t="s">
        <v>71</v>
      </c>
      <c r="H3107" s="15" t="s">
        <v>45</v>
      </c>
      <c r="I3107">
        <v>70</v>
      </c>
      <c r="J3107">
        <v>110</v>
      </c>
      <c r="K3107">
        <v>90</v>
      </c>
      <c r="L3107">
        <v>180</v>
      </c>
      <c r="M3107">
        <v>59</v>
      </c>
      <c r="N3107">
        <v>842</v>
      </c>
      <c r="O3107">
        <v>85</v>
      </c>
      <c r="P3107">
        <v>16</v>
      </c>
      <c r="Q3107">
        <v>80</v>
      </c>
      <c r="R3107">
        <v>143</v>
      </c>
      <c r="S3107">
        <v>0.7944444444444444</v>
      </c>
      <c r="T3107">
        <v>0.88888888888888884</v>
      </c>
      <c r="U3107">
        <v>0.84285714285714286</v>
      </c>
    </row>
    <row r="3108" spans="1:21" x14ac:dyDescent="0.35">
      <c r="A3108">
        <v>225</v>
      </c>
      <c r="B3108" s="16">
        <v>40695</v>
      </c>
      <c r="C3108" s="15" t="s">
        <v>70</v>
      </c>
      <c r="D3108" s="15" t="s">
        <v>58</v>
      </c>
      <c r="E3108" s="15" t="s">
        <v>72</v>
      </c>
      <c r="F3108" s="15" t="s">
        <v>49</v>
      </c>
      <c r="G3108" s="15" t="s">
        <v>71</v>
      </c>
      <c r="H3108" s="15" t="s">
        <v>42</v>
      </c>
      <c r="I3108">
        <v>40</v>
      </c>
      <c r="J3108">
        <v>70</v>
      </c>
      <c r="K3108">
        <v>10</v>
      </c>
      <c r="L3108">
        <v>110</v>
      </c>
      <c r="M3108">
        <v>53</v>
      </c>
      <c r="N3108">
        <v>-267</v>
      </c>
      <c r="O3108">
        <v>75</v>
      </c>
      <c r="P3108">
        <v>48</v>
      </c>
      <c r="Q3108">
        <v>-4</v>
      </c>
      <c r="R3108">
        <v>127</v>
      </c>
      <c r="S3108">
        <v>1.1545454545454545</v>
      </c>
      <c r="T3108">
        <v>-0.4</v>
      </c>
      <c r="U3108">
        <v>1.325</v>
      </c>
    </row>
    <row r="3109" spans="1:21" x14ac:dyDescent="0.35">
      <c r="A3109">
        <v>337</v>
      </c>
      <c r="B3109" s="16">
        <v>40695</v>
      </c>
      <c r="C3109" s="15" t="s">
        <v>70</v>
      </c>
      <c r="D3109" s="15" t="s">
        <v>58</v>
      </c>
      <c r="E3109" s="15" t="s">
        <v>48</v>
      </c>
      <c r="F3109" s="15" t="s">
        <v>49</v>
      </c>
      <c r="G3109" s="15" t="s">
        <v>71</v>
      </c>
      <c r="H3109" s="15" t="s">
        <v>42</v>
      </c>
      <c r="I3109">
        <v>40</v>
      </c>
      <c r="J3109">
        <v>60</v>
      </c>
      <c r="K3109">
        <v>40</v>
      </c>
      <c r="L3109">
        <v>100</v>
      </c>
      <c r="M3109">
        <v>47</v>
      </c>
      <c r="N3109">
        <v>371</v>
      </c>
      <c r="O3109">
        <v>78</v>
      </c>
      <c r="P3109">
        <v>14</v>
      </c>
      <c r="Q3109">
        <v>57</v>
      </c>
      <c r="R3109">
        <v>124</v>
      </c>
      <c r="S3109">
        <v>1.24</v>
      </c>
      <c r="T3109">
        <v>1.425</v>
      </c>
      <c r="U3109">
        <v>1.175</v>
      </c>
    </row>
    <row r="3110" spans="1:21" x14ac:dyDescent="0.35">
      <c r="A3110">
        <v>225</v>
      </c>
      <c r="B3110" s="16">
        <v>40695</v>
      </c>
      <c r="C3110" s="15" t="s">
        <v>70</v>
      </c>
      <c r="D3110" s="15" t="s">
        <v>58</v>
      </c>
      <c r="E3110" s="15" t="s">
        <v>50</v>
      </c>
      <c r="F3110" s="15" t="s">
        <v>49</v>
      </c>
      <c r="G3110" s="15" t="s">
        <v>71</v>
      </c>
      <c r="H3110" s="15" t="s">
        <v>45</v>
      </c>
      <c r="I3110">
        <v>30</v>
      </c>
      <c r="J3110">
        <v>50</v>
      </c>
      <c r="K3110">
        <v>30</v>
      </c>
      <c r="L3110">
        <v>80</v>
      </c>
      <c r="M3110">
        <v>40</v>
      </c>
      <c r="N3110">
        <v>443</v>
      </c>
      <c r="O3110">
        <v>59</v>
      </c>
      <c r="P3110">
        <v>12</v>
      </c>
      <c r="Q3110">
        <v>32</v>
      </c>
      <c r="R3110">
        <v>98</v>
      </c>
      <c r="S3110">
        <v>1.2250000000000001</v>
      </c>
      <c r="T3110">
        <v>1.0666666666666667</v>
      </c>
      <c r="U3110">
        <v>1.3333333333333333</v>
      </c>
    </row>
    <row r="3111" spans="1:21" x14ac:dyDescent="0.35">
      <c r="A3111">
        <v>505</v>
      </c>
      <c r="B3111" s="16">
        <v>40695</v>
      </c>
      <c r="C3111" s="15" t="s">
        <v>70</v>
      </c>
      <c r="D3111" s="15" t="s">
        <v>58</v>
      </c>
      <c r="E3111" s="15" t="s">
        <v>51</v>
      </c>
      <c r="F3111" s="15" t="s">
        <v>52</v>
      </c>
      <c r="G3111" s="15" t="s">
        <v>73</v>
      </c>
      <c r="H3111" s="15" t="s">
        <v>45</v>
      </c>
      <c r="I3111">
        <v>20</v>
      </c>
      <c r="J3111">
        <v>30</v>
      </c>
      <c r="K3111">
        <v>20</v>
      </c>
      <c r="L3111">
        <v>50</v>
      </c>
      <c r="M3111">
        <v>23</v>
      </c>
      <c r="N3111">
        <v>843</v>
      </c>
      <c r="O3111">
        <v>35</v>
      </c>
      <c r="P3111">
        <v>6</v>
      </c>
      <c r="Q3111">
        <v>25</v>
      </c>
      <c r="R3111">
        <v>57</v>
      </c>
      <c r="S3111">
        <v>1.1399999999999999</v>
      </c>
      <c r="T3111">
        <v>1.25</v>
      </c>
      <c r="U3111">
        <v>1.1499999999999999</v>
      </c>
    </row>
    <row r="3112" spans="1:21" x14ac:dyDescent="0.35">
      <c r="A3112">
        <v>505</v>
      </c>
      <c r="B3112" s="16">
        <v>40695</v>
      </c>
      <c r="C3112" s="15" t="s">
        <v>70</v>
      </c>
      <c r="D3112" s="15" t="s">
        <v>58</v>
      </c>
      <c r="E3112" s="15" t="s">
        <v>53</v>
      </c>
      <c r="F3112" s="15" t="s">
        <v>52</v>
      </c>
      <c r="G3112" s="15" t="s">
        <v>73</v>
      </c>
      <c r="H3112" s="15" t="s">
        <v>45</v>
      </c>
      <c r="I3112">
        <v>30</v>
      </c>
      <c r="J3112">
        <v>30</v>
      </c>
      <c r="K3112">
        <v>10</v>
      </c>
      <c r="L3112">
        <v>60</v>
      </c>
      <c r="M3112">
        <v>32</v>
      </c>
      <c r="N3112">
        <v>996</v>
      </c>
      <c r="O3112">
        <v>38</v>
      </c>
      <c r="P3112">
        <v>9</v>
      </c>
      <c r="Q3112">
        <v>11</v>
      </c>
      <c r="R3112">
        <v>69</v>
      </c>
      <c r="S3112">
        <v>1.1499999999999999</v>
      </c>
      <c r="T3112">
        <v>1.1000000000000001</v>
      </c>
      <c r="U3112">
        <v>1.0666666666666667</v>
      </c>
    </row>
    <row r="3113" spans="1:21" x14ac:dyDescent="0.35">
      <c r="A3113">
        <v>505</v>
      </c>
      <c r="B3113" s="16">
        <v>40695</v>
      </c>
      <c r="C3113" s="15" t="s">
        <v>70</v>
      </c>
      <c r="D3113" s="15" t="s">
        <v>58</v>
      </c>
      <c r="E3113" s="15" t="s">
        <v>43</v>
      </c>
      <c r="F3113" s="15" t="s">
        <v>40</v>
      </c>
      <c r="G3113" s="15" t="s">
        <v>73</v>
      </c>
      <c r="H3113" s="15" t="s">
        <v>42</v>
      </c>
      <c r="I3113">
        <v>70</v>
      </c>
      <c r="J3113">
        <v>120</v>
      </c>
      <c r="K3113">
        <v>80</v>
      </c>
      <c r="L3113">
        <v>190</v>
      </c>
      <c r="M3113">
        <v>62</v>
      </c>
      <c r="N3113">
        <v>436</v>
      </c>
      <c r="O3113">
        <v>94</v>
      </c>
      <c r="P3113">
        <v>20</v>
      </c>
      <c r="Q3113">
        <v>59</v>
      </c>
      <c r="R3113">
        <v>155</v>
      </c>
      <c r="S3113">
        <v>0.81578947368421051</v>
      </c>
      <c r="T3113">
        <v>0.73750000000000004</v>
      </c>
      <c r="U3113">
        <v>0.88571428571428568</v>
      </c>
    </row>
    <row r="3114" spans="1:21" x14ac:dyDescent="0.35">
      <c r="A3114">
        <v>505</v>
      </c>
      <c r="B3114" s="16">
        <v>40695</v>
      </c>
      <c r="C3114" s="15" t="s">
        <v>70</v>
      </c>
      <c r="D3114" s="15" t="s">
        <v>58</v>
      </c>
      <c r="E3114" s="15" t="s">
        <v>44</v>
      </c>
      <c r="F3114" s="15" t="s">
        <v>40</v>
      </c>
      <c r="G3114" s="15" t="s">
        <v>73</v>
      </c>
      <c r="H3114" s="15" t="s">
        <v>45</v>
      </c>
      <c r="I3114">
        <v>140</v>
      </c>
      <c r="J3114">
        <v>30</v>
      </c>
      <c r="K3114">
        <v>-20</v>
      </c>
      <c r="L3114">
        <v>170</v>
      </c>
      <c r="M3114">
        <v>116</v>
      </c>
      <c r="N3114">
        <v>1142</v>
      </c>
      <c r="O3114">
        <v>25</v>
      </c>
      <c r="P3114">
        <v>35</v>
      </c>
      <c r="Q3114">
        <v>-47</v>
      </c>
      <c r="R3114">
        <v>140</v>
      </c>
      <c r="S3114">
        <v>0.82352941176470584</v>
      </c>
      <c r="T3114">
        <v>2.35</v>
      </c>
      <c r="U3114">
        <v>0.82857142857142863</v>
      </c>
    </row>
    <row r="3115" spans="1:21" x14ac:dyDescent="0.35">
      <c r="A3115">
        <v>505</v>
      </c>
      <c r="B3115" s="16">
        <v>40695</v>
      </c>
      <c r="C3115" s="15" t="s">
        <v>70</v>
      </c>
      <c r="D3115" s="15" t="s">
        <v>58</v>
      </c>
      <c r="E3115" s="15" t="s">
        <v>72</v>
      </c>
      <c r="F3115" s="15" t="s">
        <v>49</v>
      </c>
      <c r="G3115" s="15" t="s">
        <v>73</v>
      </c>
      <c r="H3115" s="15" t="s">
        <v>42</v>
      </c>
      <c r="I3115">
        <v>30</v>
      </c>
      <c r="J3115">
        <v>30</v>
      </c>
      <c r="K3115">
        <v>0</v>
      </c>
      <c r="L3115">
        <v>60</v>
      </c>
      <c r="M3115">
        <v>35</v>
      </c>
      <c r="N3115">
        <v>-180</v>
      </c>
      <c r="O3115">
        <v>43</v>
      </c>
      <c r="P3115">
        <v>13</v>
      </c>
      <c r="Q3115">
        <v>-4</v>
      </c>
      <c r="R3115">
        <v>77</v>
      </c>
      <c r="S3115">
        <v>1.2833333333333334</v>
      </c>
      <c r="U3115">
        <v>1.1666666666666667</v>
      </c>
    </row>
    <row r="3116" spans="1:21" x14ac:dyDescent="0.35">
      <c r="A3116">
        <v>505</v>
      </c>
      <c r="B3116" s="16">
        <v>40695</v>
      </c>
      <c r="C3116" s="15" t="s">
        <v>70</v>
      </c>
      <c r="D3116" s="15" t="s">
        <v>58</v>
      </c>
      <c r="E3116" s="15" t="s">
        <v>48</v>
      </c>
      <c r="F3116" s="15" t="s">
        <v>49</v>
      </c>
      <c r="G3116" s="15" t="s">
        <v>73</v>
      </c>
      <c r="H3116" s="15" t="s">
        <v>42</v>
      </c>
      <c r="I3116">
        <v>40</v>
      </c>
      <c r="J3116">
        <v>60</v>
      </c>
      <c r="K3116">
        <v>0</v>
      </c>
      <c r="L3116">
        <v>100</v>
      </c>
      <c r="M3116">
        <v>52</v>
      </c>
      <c r="N3116">
        <v>313</v>
      </c>
      <c r="O3116">
        <v>73</v>
      </c>
      <c r="P3116">
        <v>47</v>
      </c>
      <c r="Q3116">
        <v>-4</v>
      </c>
      <c r="R3116">
        <v>124</v>
      </c>
      <c r="S3116">
        <v>1.24</v>
      </c>
      <c r="U3116">
        <v>1.3</v>
      </c>
    </row>
    <row r="3117" spans="1:21" x14ac:dyDescent="0.35">
      <c r="A3117">
        <v>505</v>
      </c>
      <c r="B3117" s="16">
        <v>40695</v>
      </c>
      <c r="C3117" s="15" t="s">
        <v>70</v>
      </c>
      <c r="D3117" s="15" t="s">
        <v>58</v>
      </c>
      <c r="E3117" s="15" t="s">
        <v>50</v>
      </c>
      <c r="F3117" s="15" t="s">
        <v>49</v>
      </c>
      <c r="G3117" s="15" t="s">
        <v>73</v>
      </c>
      <c r="H3117" s="15" t="s">
        <v>45</v>
      </c>
      <c r="I3117">
        <v>30</v>
      </c>
      <c r="J3117">
        <v>50</v>
      </c>
      <c r="K3117">
        <v>20</v>
      </c>
      <c r="L3117">
        <v>80</v>
      </c>
      <c r="M3117">
        <v>41</v>
      </c>
      <c r="N3117">
        <v>239</v>
      </c>
      <c r="O3117">
        <v>55</v>
      </c>
      <c r="P3117">
        <v>13</v>
      </c>
      <c r="Q3117">
        <v>19</v>
      </c>
      <c r="R3117">
        <v>95</v>
      </c>
      <c r="S3117">
        <v>1.1875</v>
      </c>
      <c r="T3117">
        <v>0.95</v>
      </c>
      <c r="U3117">
        <v>1.3666666666666667</v>
      </c>
    </row>
    <row r="3118" spans="1:21" x14ac:dyDescent="0.35">
      <c r="A3118">
        <v>580</v>
      </c>
      <c r="B3118" s="16">
        <v>40695</v>
      </c>
      <c r="C3118" s="15" t="s">
        <v>70</v>
      </c>
      <c r="D3118" s="15" t="s">
        <v>58</v>
      </c>
      <c r="E3118" s="15" t="s">
        <v>51</v>
      </c>
      <c r="F3118" s="15" t="s">
        <v>52</v>
      </c>
      <c r="G3118" s="15" t="s">
        <v>74</v>
      </c>
      <c r="H3118" s="15" t="s">
        <v>45</v>
      </c>
      <c r="I3118">
        <v>50</v>
      </c>
      <c r="J3118">
        <v>80</v>
      </c>
      <c r="K3118">
        <v>30</v>
      </c>
      <c r="L3118">
        <v>130</v>
      </c>
      <c r="M3118">
        <v>59</v>
      </c>
      <c r="N3118">
        <v>377</v>
      </c>
      <c r="O3118">
        <v>74</v>
      </c>
      <c r="P3118">
        <v>22</v>
      </c>
      <c r="Q3118">
        <v>26</v>
      </c>
      <c r="R3118">
        <v>132</v>
      </c>
      <c r="S3118">
        <v>1.0153846153846153</v>
      </c>
      <c r="T3118">
        <v>0.8666666666666667</v>
      </c>
      <c r="U3118">
        <v>1.18</v>
      </c>
    </row>
    <row r="3119" spans="1:21" x14ac:dyDescent="0.35">
      <c r="A3119">
        <v>918</v>
      </c>
      <c r="B3119" s="16">
        <v>40695</v>
      </c>
      <c r="C3119" s="15" t="s">
        <v>70</v>
      </c>
      <c r="D3119" s="15" t="s">
        <v>58</v>
      </c>
      <c r="E3119" s="15" t="s">
        <v>53</v>
      </c>
      <c r="F3119" s="15" t="s">
        <v>52</v>
      </c>
      <c r="G3119" s="15" t="s">
        <v>74</v>
      </c>
      <c r="H3119" s="15" t="s">
        <v>45</v>
      </c>
      <c r="I3119">
        <v>100</v>
      </c>
      <c r="J3119">
        <v>150</v>
      </c>
      <c r="K3119">
        <v>40</v>
      </c>
      <c r="L3119">
        <v>250</v>
      </c>
      <c r="M3119">
        <v>110</v>
      </c>
      <c r="N3119">
        <v>665</v>
      </c>
      <c r="O3119">
        <v>154</v>
      </c>
      <c r="P3119">
        <v>100</v>
      </c>
      <c r="Q3119">
        <v>35</v>
      </c>
      <c r="R3119">
        <v>262</v>
      </c>
      <c r="S3119">
        <v>1.048</v>
      </c>
      <c r="T3119">
        <v>0.875</v>
      </c>
      <c r="U3119">
        <v>1.1000000000000001</v>
      </c>
    </row>
    <row r="3120" spans="1:21" x14ac:dyDescent="0.35">
      <c r="A3120">
        <v>405</v>
      </c>
      <c r="B3120" s="16">
        <v>40695</v>
      </c>
      <c r="C3120" s="15" t="s">
        <v>70</v>
      </c>
      <c r="D3120" s="15" t="s">
        <v>58</v>
      </c>
      <c r="E3120" s="15" t="s">
        <v>43</v>
      </c>
      <c r="F3120" s="15" t="s">
        <v>40</v>
      </c>
      <c r="G3120" s="15" t="s">
        <v>74</v>
      </c>
      <c r="H3120" s="15" t="s">
        <v>42</v>
      </c>
      <c r="I3120">
        <v>50</v>
      </c>
      <c r="J3120">
        <v>70</v>
      </c>
      <c r="K3120">
        <v>50</v>
      </c>
      <c r="L3120">
        <v>120</v>
      </c>
      <c r="M3120">
        <v>43</v>
      </c>
      <c r="N3120">
        <v>597</v>
      </c>
      <c r="O3120">
        <v>56</v>
      </c>
      <c r="P3120">
        <v>14</v>
      </c>
      <c r="Q3120">
        <v>40</v>
      </c>
      <c r="R3120">
        <v>98</v>
      </c>
      <c r="S3120">
        <v>0.81666666666666665</v>
      </c>
      <c r="T3120">
        <v>0.8</v>
      </c>
      <c r="U3120">
        <v>0.86</v>
      </c>
    </row>
    <row r="3121" spans="1:21" x14ac:dyDescent="0.35">
      <c r="A3121">
        <v>918</v>
      </c>
      <c r="B3121" s="16">
        <v>40695</v>
      </c>
      <c r="C3121" s="15" t="s">
        <v>70</v>
      </c>
      <c r="D3121" s="15" t="s">
        <v>58</v>
      </c>
      <c r="E3121" s="15" t="s">
        <v>44</v>
      </c>
      <c r="F3121" s="15" t="s">
        <v>40</v>
      </c>
      <c r="G3121" s="15" t="s">
        <v>74</v>
      </c>
      <c r="H3121" s="15" t="s">
        <v>45</v>
      </c>
      <c r="I3121">
        <v>30</v>
      </c>
      <c r="J3121">
        <v>40</v>
      </c>
      <c r="K3121">
        <v>30</v>
      </c>
      <c r="L3121">
        <v>70</v>
      </c>
      <c r="M3121">
        <v>24</v>
      </c>
      <c r="N3121">
        <v>856</v>
      </c>
      <c r="O3121">
        <v>36</v>
      </c>
      <c r="P3121">
        <v>6</v>
      </c>
      <c r="Q3121">
        <v>26</v>
      </c>
      <c r="R3121">
        <v>59</v>
      </c>
      <c r="S3121">
        <v>0.84285714285714286</v>
      </c>
      <c r="T3121">
        <v>0.8666666666666667</v>
      </c>
      <c r="U3121">
        <v>0.8</v>
      </c>
    </row>
    <row r="3122" spans="1:21" x14ac:dyDescent="0.35">
      <c r="A3122">
        <v>405</v>
      </c>
      <c r="B3122" s="16">
        <v>40695</v>
      </c>
      <c r="C3122" s="15" t="s">
        <v>70</v>
      </c>
      <c r="D3122" s="15" t="s">
        <v>58</v>
      </c>
      <c r="E3122" s="15" t="s">
        <v>72</v>
      </c>
      <c r="F3122" s="15" t="s">
        <v>49</v>
      </c>
      <c r="G3122" s="15" t="s">
        <v>74</v>
      </c>
      <c r="H3122" s="15" t="s">
        <v>42</v>
      </c>
      <c r="I3122">
        <v>100</v>
      </c>
      <c r="J3122">
        <v>140</v>
      </c>
      <c r="K3122">
        <v>100</v>
      </c>
      <c r="L3122">
        <v>240</v>
      </c>
      <c r="M3122">
        <v>118</v>
      </c>
      <c r="N3122">
        <v>-660</v>
      </c>
      <c r="O3122">
        <v>164</v>
      </c>
      <c r="P3122">
        <v>36</v>
      </c>
      <c r="Q3122">
        <v>145</v>
      </c>
      <c r="R3122">
        <v>279</v>
      </c>
      <c r="S3122">
        <v>1.1625000000000001</v>
      </c>
      <c r="T3122">
        <v>1.45</v>
      </c>
      <c r="U3122">
        <v>1.18</v>
      </c>
    </row>
    <row r="3123" spans="1:21" x14ac:dyDescent="0.35">
      <c r="A3123">
        <v>918</v>
      </c>
      <c r="B3123" s="16">
        <v>40695</v>
      </c>
      <c r="C3123" s="15" t="s">
        <v>70</v>
      </c>
      <c r="D3123" s="15" t="s">
        <v>58</v>
      </c>
      <c r="E3123" s="15" t="s">
        <v>48</v>
      </c>
      <c r="F3123" s="15" t="s">
        <v>49</v>
      </c>
      <c r="G3123" s="15" t="s">
        <v>74</v>
      </c>
      <c r="H3123" s="15" t="s">
        <v>42</v>
      </c>
      <c r="I3123">
        <v>10</v>
      </c>
      <c r="J3123">
        <v>20</v>
      </c>
      <c r="K3123">
        <v>20</v>
      </c>
      <c r="L3123">
        <v>30</v>
      </c>
      <c r="M3123">
        <v>18</v>
      </c>
      <c r="N3123">
        <v>478</v>
      </c>
      <c r="O3123">
        <v>26</v>
      </c>
      <c r="P3123">
        <v>5</v>
      </c>
      <c r="Q3123">
        <v>14</v>
      </c>
      <c r="R3123">
        <v>44</v>
      </c>
      <c r="S3123">
        <v>1.4666666666666666</v>
      </c>
      <c r="T3123">
        <v>0.7</v>
      </c>
      <c r="U3123">
        <v>1.8</v>
      </c>
    </row>
    <row r="3124" spans="1:21" x14ac:dyDescent="0.35">
      <c r="A3124">
        <v>918</v>
      </c>
      <c r="B3124" s="16">
        <v>40695</v>
      </c>
      <c r="C3124" s="15" t="s">
        <v>70</v>
      </c>
      <c r="D3124" s="15" t="s">
        <v>58</v>
      </c>
      <c r="E3124" s="15" t="s">
        <v>50</v>
      </c>
      <c r="F3124" s="15" t="s">
        <v>49</v>
      </c>
      <c r="G3124" s="15" t="s">
        <v>74</v>
      </c>
      <c r="H3124" s="15" t="s">
        <v>45</v>
      </c>
      <c r="I3124">
        <v>90</v>
      </c>
      <c r="J3124">
        <v>140</v>
      </c>
      <c r="K3124">
        <v>90</v>
      </c>
      <c r="L3124">
        <v>230</v>
      </c>
      <c r="M3124">
        <v>111</v>
      </c>
      <c r="N3124">
        <v>767</v>
      </c>
      <c r="O3124">
        <v>167</v>
      </c>
      <c r="P3124">
        <v>36</v>
      </c>
      <c r="Q3124">
        <v>137</v>
      </c>
      <c r="R3124">
        <v>276</v>
      </c>
      <c r="S3124">
        <v>1.2</v>
      </c>
      <c r="T3124">
        <v>1.5222222222222221</v>
      </c>
      <c r="U3124">
        <v>1.2333333333333334</v>
      </c>
    </row>
    <row r="3125" spans="1:21" x14ac:dyDescent="0.35">
      <c r="A3125">
        <v>903</v>
      </c>
      <c r="B3125" s="16">
        <v>40695</v>
      </c>
      <c r="C3125" s="15" t="s">
        <v>70</v>
      </c>
      <c r="D3125" s="15" t="s">
        <v>38</v>
      </c>
      <c r="E3125" s="15" t="s">
        <v>51</v>
      </c>
      <c r="F3125" s="15" t="s">
        <v>52</v>
      </c>
      <c r="G3125" s="15" t="s">
        <v>75</v>
      </c>
      <c r="H3125" s="15" t="s">
        <v>45</v>
      </c>
      <c r="I3125">
        <v>40</v>
      </c>
      <c r="J3125">
        <v>70</v>
      </c>
      <c r="K3125">
        <v>40</v>
      </c>
      <c r="L3125">
        <v>110</v>
      </c>
      <c r="M3125">
        <v>50</v>
      </c>
      <c r="N3125">
        <v>397</v>
      </c>
      <c r="O3125">
        <v>68</v>
      </c>
      <c r="P3125">
        <v>16</v>
      </c>
      <c r="Q3125">
        <v>33</v>
      </c>
      <c r="R3125">
        <v>117</v>
      </c>
      <c r="S3125">
        <v>1.0636363636363637</v>
      </c>
      <c r="T3125">
        <v>0.82499999999999996</v>
      </c>
      <c r="U3125">
        <v>1.25</v>
      </c>
    </row>
    <row r="3126" spans="1:21" x14ac:dyDescent="0.35">
      <c r="A3126">
        <v>979</v>
      </c>
      <c r="B3126" s="16">
        <v>40695</v>
      </c>
      <c r="C3126" s="15" t="s">
        <v>70</v>
      </c>
      <c r="D3126" s="15" t="s">
        <v>38</v>
      </c>
      <c r="E3126" s="15" t="s">
        <v>53</v>
      </c>
      <c r="F3126" s="15" t="s">
        <v>52</v>
      </c>
      <c r="G3126" s="15" t="s">
        <v>75</v>
      </c>
      <c r="H3126" s="15" t="s">
        <v>45</v>
      </c>
      <c r="I3126">
        <v>30</v>
      </c>
      <c r="J3126">
        <v>60</v>
      </c>
      <c r="K3126">
        <v>30</v>
      </c>
      <c r="L3126">
        <v>90</v>
      </c>
      <c r="M3126">
        <v>38</v>
      </c>
      <c r="N3126">
        <v>414</v>
      </c>
      <c r="O3126">
        <v>55</v>
      </c>
      <c r="P3126">
        <v>12</v>
      </c>
      <c r="Q3126">
        <v>28</v>
      </c>
      <c r="R3126">
        <v>92</v>
      </c>
      <c r="S3126">
        <v>1.0222222222222221</v>
      </c>
      <c r="T3126">
        <v>0.93333333333333335</v>
      </c>
      <c r="U3126">
        <v>1.2666666666666666</v>
      </c>
    </row>
    <row r="3127" spans="1:21" x14ac:dyDescent="0.35">
      <c r="A3127">
        <v>469</v>
      </c>
      <c r="B3127" s="16">
        <v>40695</v>
      </c>
      <c r="C3127" s="15" t="s">
        <v>70</v>
      </c>
      <c r="D3127" s="15" t="s">
        <v>38</v>
      </c>
      <c r="E3127" s="15" t="s">
        <v>43</v>
      </c>
      <c r="F3127" s="15" t="s">
        <v>40</v>
      </c>
      <c r="G3127" s="15" t="s">
        <v>75</v>
      </c>
      <c r="H3127" s="15" t="s">
        <v>42</v>
      </c>
      <c r="I3127">
        <v>300</v>
      </c>
      <c r="J3127">
        <v>360</v>
      </c>
      <c r="K3127">
        <v>270</v>
      </c>
      <c r="L3127">
        <v>660</v>
      </c>
      <c r="M3127">
        <v>244</v>
      </c>
      <c r="N3127">
        <v>1213</v>
      </c>
      <c r="O3127">
        <v>288</v>
      </c>
      <c r="P3127">
        <v>75</v>
      </c>
      <c r="Q3127">
        <v>265</v>
      </c>
      <c r="R3127">
        <v>527</v>
      </c>
      <c r="S3127">
        <v>0.79848484848484846</v>
      </c>
      <c r="T3127">
        <v>0.98148148148148151</v>
      </c>
      <c r="U3127">
        <v>0.81333333333333335</v>
      </c>
    </row>
    <row r="3128" spans="1:21" x14ac:dyDescent="0.35">
      <c r="A3128">
        <v>430</v>
      </c>
      <c r="B3128" s="16">
        <v>40695</v>
      </c>
      <c r="C3128" s="15" t="s">
        <v>70</v>
      </c>
      <c r="D3128" s="15" t="s">
        <v>38</v>
      </c>
      <c r="E3128" s="15" t="s">
        <v>44</v>
      </c>
      <c r="F3128" s="15" t="s">
        <v>40</v>
      </c>
      <c r="G3128" s="15" t="s">
        <v>75</v>
      </c>
      <c r="H3128" s="15" t="s">
        <v>45</v>
      </c>
      <c r="I3128">
        <v>100</v>
      </c>
      <c r="J3128">
        <v>130</v>
      </c>
      <c r="K3128">
        <v>100</v>
      </c>
      <c r="L3128">
        <v>230</v>
      </c>
      <c r="M3128">
        <v>83</v>
      </c>
      <c r="N3128">
        <v>574</v>
      </c>
      <c r="O3128">
        <v>107</v>
      </c>
      <c r="P3128">
        <v>27</v>
      </c>
      <c r="Q3128">
        <v>94</v>
      </c>
      <c r="R3128">
        <v>188</v>
      </c>
      <c r="S3128">
        <v>0.81739130434782614</v>
      </c>
      <c r="T3128">
        <v>0.94</v>
      </c>
      <c r="U3128">
        <v>0.83</v>
      </c>
    </row>
    <row r="3129" spans="1:21" x14ac:dyDescent="0.35">
      <c r="A3129">
        <v>281</v>
      </c>
      <c r="B3129" s="16">
        <v>40695</v>
      </c>
      <c r="C3129" s="15" t="s">
        <v>70</v>
      </c>
      <c r="D3129" s="15" t="s">
        <v>38</v>
      </c>
      <c r="E3129" s="15" t="s">
        <v>72</v>
      </c>
      <c r="F3129" s="15" t="s">
        <v>49</v>
      </c>
      <c r="G3129" s="15" t="s">
        <v>75</v>
      </c>
      <c r="H3129" s="15" t="s">
        <v>42</v>
      </c>
      <c r="I3129">
        <v>40</v>
      </c>
      <c r="J3129">
        <v>70</v>
      </c>
      <c r="K3129">
        <v>40</v>
      </c>
      <c r="L3129">
        <v>110</v>
      </c>
      <c r="M3129">
        <v>54</v>
      </c>
      <c r="N3129">
        <v>-321</v>
      </c>
      <c r="O3129">
        <v>81</v>
      </c>
      <c r="P3129">
        <v>17</v>
      </c>
      <c r="Q3129">
        <v>46</v>
      </c>
      <c r="R3129">
        <v>134</v>
      </c>
      <c r="S3129">
        <v>1.2181818181818183</v>
      </c>
      <c r="T3129">
        <v>1.1499999999999999</v>
      </c>
      <c r="U3129">
        <v>1.35</v>
      </c>
    </row>
    <row r="3130" spans="1:21" x14ac:dyDescent="0.35">
      <c r="A3130">
        <v>432</v>
      </c>
      <c r="B3130" s="16">
        <v>40695</v>
      </c>
      <c r="C3130" s="15" t="s">
        <v>70</v>
      </c>
      <c r="D3130" s="15" t="s">
        <v>38</v>
      </c>
      <c r="E3130" s="15" t="s">
        <v>48</v>
      </c>
      <c r="F3130" s="15" t="s">
        <v>49</v>
      </c>
      <c r="G3130" s="15" t="s">
        <v>75</v>
      </c>
      <c r="H3130" s="15" t="s">
        <v>42</v>
      </c>
      <c r="I3130">
        <v>90</v>
      </c>
      <c r="J3130">
        <v>140</v>
      </c>
      <c r="K3130">
        <v>120</v>
      </c>
      <c r="L3130">
        <v>230</v>
      </c>
      <c r="M3130">
        <v>113</v>
      </c>
      <c r="N3130">
        <v>897</v>
      </c>
      <c r="O3130">
        <v>163</v>
      </c>
      <c r="P3130">
        <v>31</v>
      </c>
      <c r="Q3130">
        <v>166</v>
      </c>
      <c r="R3130">
        <v>274</v>
      </c>
      <c r="S3130">
        <v>1.191304347826087</v>
      </c>
      <c r="T3130">
        <v>1.3833333333333333</v>
      </c>
      <c r="U3130">
        <v>1.2555555555555555</v>
      </c>
    </row>
    <row r="3131" spans="1:21" x14ac:dyDescent="0.35">
      <c r="A3131">
        <v>409</v>
      </c>
      <c r="B3131" s="16">
        <v>40695</v>
      </c>
      <c r="C3131" s="15" t="s">
        <v>70</v>
      </c>
      <c r="D3131" s="15" t="s">
        <v>38</v>
      </c>
      <c r="E3131" s="15" t="s">
        <v>50</v>
      </c>
      <c r="F3131" s="15" t="s">
        <v>49</v>
      </c>
      <c r="G3131" s="15" t="s">
        <v>75</v>
      </c>
      <c r="H3131" s="15" t="s">
        <v>45</v>
      </c>
      <c r="I3131">
        <v>80</v>
      </c>
      <c r="J3131">
        <v>110</v>
      </c>
      <c r="K3131">
        <v>90</v>
      </c>
      <c r="L3131">
        <v>190</v>
      </c>
      <c r="M3131">
        <v>94</v>
      </c>
      <c r="N3131">
        <v>562</v>
      </c>
      <c r="O3131">
        <v>136</v>
      </c>
      <c r="P3131">
        <v>26</v>
      </c>
      <c r="Q3131">
        <v>137</v>
      </c>
      <c r="R3131">
        <v>228</v>
      </c>
      <c r="S3131">
        <v>1.2</v>
      </c>
      <c r="T3131">
        <v>1.5222222222222221</v>
      </c>
      <c r="U3131">
        <v>1.175</v>
      </c>
    </row>
    <row r="3132" spans="1:21" x14ac:dyDescent="0.35">
      <c r="A3132">
        <v>435</v>
      </c>
      <c r="B3132" s="16">
        <v>40695</v>
      </c>
      <c r="C3132" s="15" t="s">
        <v>76</v>
      </c>
      <c r="D3132" s="15" t="s">
        <v>58</v>
      </c>
      <c r="E3132" s="15" t="s">
        <v>51</v>
      </c>
      <c r="F3132" s="15" t="s">
        <v>52</v>
      </c>
      <c r="G3132" s="15" t="s">
        <v>77</v>
      </c>
      <c r="H3132" s="15" t="s">
        <v>45</v>
      </c>
      <c r="I3132">
        <v>40</v>
      </c>
      <c r="J3132">
        <v>80</v>
      </c>
      <c r="K3132">
        <v>50</v>
      </c>
      <c r="L3132">
        <v>120</v>
      </c>
      <c r="M3132">
        <v>56</v>
      </c>
      <c r="N3132">
        <v>302</v>
      </c>
      <c r="O3132">
        <v>82</v>
      </c>
      <c r="P3132">
        <v>17</v>
      </c>
      <c r="Q3132">
        <v>58</v>
      </c>
      <c r="R3132">
        <v>137</v>
      </c>
      <c r="S3132">
        <v>1.1416666666666666</v>
      </c>
      <c r="T3132">
        <v>1.1599999999999999</v>
      </c>
      <c r="U3132">
        <v>1.4</v>
      </c>
    </row>
    <row r="3133" spans="1:21" x14ac:dyDescent="0.35">
      <c r="A3133">
        <v>801</v>
      </c>
      <c r="B3133" s="16">
        <v>40695</v>
      </c>
      <c r="C3133" s="15" t="s">
        <v>76</v>
      </c>
      <c r="D3133" s="15" t="s">
        <v>58</v>
      </c>
      <c r="E3133" s="15" t="s">
        <v>53</v>
      </c>
      <c r="F3133" s="15" t="s">
        <v>52</v>
      </c>
      <c r="G3133" s="15" t="s">
        <v>77</v>
      </c>
      <c r="H3133" s="15" t="s">
        <v>45</v>
      </c>
      <c r="I3133">
        <v>50</v>
      </c>
      <c r="J3133">
        <v>80</v>
      </c>
      <c r="K3133">
        <v>50</v>
      </c>
      <c r="L3133">
        <v>130</v>
      </c>
      <c r="M3133">
        <v>62</v>
      </c>
      <c r="N3133">
        <v>436</v>
      </c>
      <c r="O3133">
        <v>94</v>
      </c>
      <c r="P3133">
        <v>20</v>
      </c>
      <c r="Q3133">
        <v>58</v>
      </c>
      <c r="R3133">
        <v>155</v>
      </c>
      <c r="S3133">
        <v>1.1923076923076923</v>
      </c>
      <c r="T3133">
        <v>1.1599999999999999</v>
      </c>
      <c r="U3133">
        <v>1.24</v>
      </c>
    </row>
    <row r="3134" spans="1:21" x14ac:dyDescent="0.35">
      <c r="A3134">
        <v>435</v>
      </c>
      <c r="B3134" s="16">
        <v>40695</v>
      </c>
      <c r="C3134" s="15" t="s">
        <v>76</v>
      </c>
      <c r="D3134" s="15" t="s">
        <v>58</v>
      </c>
      <c r="E3134" s="15" t="s">
        <v>54</v>
      </c>
      <c r="F3134" s="15" t="s">
        <v>52</v>
      </c>
      <c r="G3134" s="15" t="s">
        <v>77</v>
      </c>
      <c r="H3134" s="15" t="s">
        <v>45</v>
      </c>
      <c r="I3134">
        <v>90</v>
      </c>
      <c r="J3134">
        <v>30</v>
      </c>
      <c r="K3134">
        <v>-10</v>
      </c>
      <c r="L3134">
        <v>120</v>
      </c>
      <c r="M3134">
        <v>116</v>
      </c>
      <c r="N3134">
        <v>1142</v>
      </c>
      <c r="O3134">
        <v>25</v>
      </c>
      <c r="P3134">
        <v>35</v>
      </c>
      <c r="Q3134">
        <v>-46</v>
      </c>
      <c r="R3134">
        <v>140</v>
      </c>
      <c r="S3134">
        <v>1.1666666666666667</v>
      </c>
      <c r="T3134">
        <v>4.5999999999999996</v>
      </c>
      <c r="U3134">
        <v>1.288888888888889</v>
      </c>
    </row>
    <row r="3135" spans="1:21" x14ac:dyDescent="0.35">
      <c r="A3135">
        <v>435</v>
      </c>
      <c r="B3135" s="16">
        <v>40695</v>
      </c>
      <c r="C3135" s="15" t="s">
        <v>76</v>
      </c>
      <c r="D3135" s="15" t="s">
        <v>58</v>
      </c>
      <c r="E3135" s="15" t="s">
        <v>55</v>
      </c>
      <c r="F3135" s="15" t="s">
        <v>47</v>
      </c>
      <c r="G3135" s="15" t="s">
        <v>77</v>
      </c>
      <c r="H3135" s="15" t="s">
        <v>42</v>
      </c>
      <c r="I3135">
        <v>30</v>
      </c>
      <c r="J3135">
        <v>50</v>
      </c>
      <c r="K3135">
        <v>0</v>
      </c>
      <c r="L3135">
        <v>80</v>
      </c>
      <c r="M3135">
        <v>52</v>
      </c>
      <c r="N3135">
        <v>313</v>
      </c>
      <c r="O3135">
        <v>73</v>
      </c>
      <c r="P3135">
        <v>47</v>
      </c>
      <c r="Q3135">
        <v>-4</v>
      </c>
      <c r="R3135">
        <v>124</v>
      </c>
      <c r="S3135">
        <v>1.55</v>
      </c>
      <c r="U3135">
        <v>1.7333333333333334</v>
      </c>
    </row>
    <row r="3136" spans="1:21" x14ac:dyDescent="0.35">
      <c r="A3136">
        <v>435</v>
      </c>
      <c r="B3136" s="16">
        <v>40695</v>
      </c>
      <c r="C3136" s="15" t="s">
        <v>76</v>
      </c>
      <c r="D3136" s="15" t="s">
        <v>58</v>
      </c>
      <c r="E3136" s="15" t="s">
        <v>56</v>
      </c>
      <c r="F3136" s="15" t="s">
        <v>47</v>
      </c>
      <c r="G3136" s="15" t="s">
        <v>77</v>
      </c>
      <c r="H3136" s="15" t="s">
        <v>42</v>
      </c>
      <c r="I3136">
        <v>20</v>
      </c>
      <c r="J3136">
        <v>40</v>
      </c>
      <c r="K3136">
        <v>20</v>
      </c>
      <c r="L3136">
        <v>60</v>
      </c>
      <c r="M3136">
        <v>41</v>
      </c>
      <c r="N3136">
        <v>239</v>
      </c>
      <c r="O3136">
        <v>55</v>
      </c>
      <c r="P3136">
        <v>13</v>
      </c>
      <c r="Q3136">
        <v>19</v>
      </c>
      <c r="R3136">
        <v>95</v>
      </c>
      <c r="S3136">
        <v>1.5833333333333333</v>
      </c>
      <c r="T3136">
        <v>0.95</v>
      </c>
      <c r="U3136">
        <v>2.0499999999999998</v>
      </c>
    </row>
    <row r="3137" spans="1:21" x14ac:dyDescent="0.35">
      <c r="A3137">
        <v>435</v>
      </c>
      <c r="B3137" s="16">
        <v>40695</v>
      </c>
      <c r="C3137" s="15" t="s">
        <v>76</v>
      </c>
      <c r="D3137" s="15" t="s">
        <v>58</v>
      </c>
      <c r="E3137" s="15" t="s">
        <v>46</v>
      </c>
      <c r="F3137" s="15" t="s">
        <v>47</v>
      </c>
      <c r="G3137" s="15" t="s">
        <v>77</v>
      </c>
      <c r="H3137" s="15" t="s">
        <v>42</v>
      </c>
      <c r="I3137">
        <v>20</v>
      </c>
      <c r="J3137">
        <v>30</v>
      </c>
      <c r="K3137">
        <v>10</v>
      </c>
      <c r="L3137">
        <v>50</v>
      </c>
      <c r="M3137">
        <v>35</v>
      </c>
      <c r="N3137">
        <v>204</v>
      </c>
      <c r="O3137">
        <v>43</v>
      </c>
      <c r="P3137">
        <v>13</v>
      </c>
      <c r="Q3137">
        <v>-4</v>
      </c>
      <c r="R3137">
        <v>77</v>
      </c>
      <c r="S3137">
        <v>1.54</v>
      </c>
      <c r="T3137">
        <v>-0.4</v>
      </c>
      <c r="U3137">
        <v>1.75</v>
      </c>
    </row>
    <row r="3138" spans="1:21" x14ac:dyDescent="0.35">
      <c r="A3138">
        <v>435</v>
      </c>
      <c r="B3138" s="16">
        <v>40695</v>
      </c>
      <c r="C3138" s="15" t="s">
        <v>76</v>
      </c>
      <c r="D3138" s="15" t="s">
        <v>58</v>
      </c>
      <c r="E3138" s="15" t="s">
        <v>72</v>
      </c>
      <c r="F3138" s="15" t="s">
        <v>49</v>
      </c>
      <c r="G3138" s="15" t="s">
        <v>77</v>
      </c>
      <c r="H3138" s="15" t="s">
        <v>42</v>
      </c>
      <c r="I3138">
        <v>30</v>
      </c>
      <c r="J3138">
        <v>50</v>
      </c>
      <c r="K3138">
        <v>40</v>
      </c>
      <c r="L3138">
        <v>80</v>
      </c>
      <c r="M3138">
        <v>36</v>
      </c>
      <c r="N3138">
        <v>828</v>
      </c>
      <c r="O3138">
        <v>53</v>
      </c>
      <c r="P3138">
        <v>10</v>
      </c>
      <c r="Q3138">
        <v>43</v>
      </c>
      <c r="R3138">
        <v>88</v>
      </c>
      <c r="S3138">
        <v>1.1000000000000001</v>
      </c>
      <c r="T3138">
        <v>1.075</v>
      </c>
      <c r="U3138">
        <v>1.2</v>
      </c>
    </row>
    <row r="3139" spans="1:21" x14ac:dyDescent="0.35">
      <c r="A3139">
        <v>801</v>
      </c>
      <c r="B3139" s="16">
        <v>40695</v>
      </c>
      <c r="C3139" s="15" t="s">
        <v>76</v>
      </c>
      <c r="D3139" s="15" t="s">
        <v>58</v>
      </c>
      <c r="E3139" s="15" t="s">
        <v>48</v>
      </c>
      <c r="F3139" s="15" t="s">
        <v>49</v>
      </c>
      <c r="G3139" s="15" t="s">
        <v>77</v>
      </c>
      <c r="H3139" s="15" t="s">
        <v>42</v>
      </c>
      <c r="I3139">
        <v>40</v>
      </c>
      <c r="J3139">
        <v>60</v>
      </c>
      <c r="K3139">
        <v>40</v>
      </c>
      <c r="L3139">
        <v>100</v>
      </c>
      <c r="M3139">
        <v>48</v>
      </c>
      <c r="N3139">
        <v>593</v>
      </c>
      <c r="O3139">
        <v>63</v>
      </c>
      <c r="P3139">
        <v>15</v>
      </c>
      <c r="Q3139">
        <v>48</v>
      </c>
      <c r="R3139">
        <v>110</v>
      </c>
      <c r="S3139">
        <v>1.1000000000000001</v>
      </c>
      <c r="T3139">
        <v>1.2</v>
      </c>
      <c r="U3139">
        <v>1.2</v>
      </c>
    </row>
    <row r="3140" spans="1:21" x14ac:dyDescent="0.35">
      <c r="A3140">
        <v>435</v>
      </c>
      <c r="B3140" s="16">
        <v>40695</v>
      </c>
      <c r="C3140" s="15" t="s">
        <v>76</v>
      </c>
      <c r="D3140" s="15" t="s">
        <v>58</v>
      </c>
      <c r="E3140" s="15" t="s">
        <v>50</v>
      </c>
      <c r="F3140" s="15" t="s">
        <v>49</v>
      </c>
      <c r="G3140" s="15" t="s">
        <v>77</v>
      </c>
      <c r="H3140" s="15" t="s">
        <v>45</v>
      </c>
      <c r="I3140">
        <v>30</v>
      </c>
      <c r="J3140">
        <v>50</v>
      </c>
      <c r="K3140">
        <v>40</v>
      </c>
      <c r="L3140">
        <v>80</v>
      </c>
      <c r="M3140">
        <v>37</v>
      </c>
      <c r="N3140">
        <v>876</v>
      </c>
      <c r="O3140">
        <v>55</v>
      </c>
      <c r="P3140">
        <v>10</v>
      </c>
      <c r="Q3140">
        <v>47</v>
      </c>
      <c r="R3140">
        <v>91</v>
      </c>
      <c r="S3140">
        <v>1.1375</v>
      </c>
      <c r="T3140">
        <v>1.175</v>
      </c>
      <c r="U3140">
        <v>1.2333333333333334</v>
      </c>
    </row>
    <row r="3141" spans="1:21" x14ac:dyDescent="0.35">
      <c r="A3141">
        <v>435</v>
      </c>
      <c r="B3141" s="16">
        <v>40695</v>
      </c>
      <c r="C3141" s="15" t="s">
        <v>76</v>
      </c>
      <c r="D3141" s="15" t="s">
        <v>58</v>
      </c>
      <c r="E3141" s="15" t="s">
        <v>39</v>
      </c>
      <c r="F3141" s="15" t="s">
        <v>40</v>
      </c>
      <c r="G3141" s="15" t="s">
        <v>77</v>
      </c>
      <c r="H3141" s="15" t="s">
        <v>42</v>
      </c>
      <c r="I3141">
        <v>80</v>
      </c>
      <c r="J3141">
        <v>90</v>
      </c>
      <c r="K3141">
        <v>60</v>
      </c>
      <c r="L3141">
        <v>170</v>
      </c>
      <c r="M3141">
        <v>65</v>
      </c>
      <c r="N3141">
        <v>1042</v>
      </c>
      <c r="O3141">
        <v>77</v>
      </c>
      <c r="P3141">
        <v>20</v>
      </c>
      <c r="Q3141">
        <v>50</v>
      </c>
      <c r="R3141">
        <v>141</v>
      </c>
      <c r="S3141">
        <v>0.8294117647058824</v>
      </c>
      <c r="T3141">
        <v>0.83333333333333337</v>
      </c>
      <c r="U3141">
        <v>0.8125</v>
      </c>
    </row>
    <row r="3142" spans="1:21" x14ac:dyDescent="0.35">
      <c r="A3142">
        <v>435</v>
      </c>
      <c r="B3142" s="16">
        <v>40695</v>
      </c>
      <c r="C3142" s="15" t="s">
        <v>76</v>
      </c>
      <c r="D3142" s="15" t="s">
        <v>58</v>
      </c>
      <c r="E3142" s="15" t="s">
        <v>43</v>
      </c>
      <c r="F3142" s="15" t="s">
        <v>40</v>
      </c>
      <c r="G3142" s="15" t="s">
        <v>77</v>
      </c>
      <c r="H3142" s="15" t="s">
        <v>42</v>
      </c>
      <c r="I3142">
        <v>50</v>
      </c>
      <c r="J3142">
        <v>80</v>
      </c>
      <c r="K3142">
        <v>50</v>
      </c>
      <c r="L3142">
        <v>130</v>
      </c>
      <c r="M3142">
        <v>46</v>
      </c>
      <c r="N3142">
        <v>367</v>
      </c>
      <c r="O3142">
        <v>62</v>
      </c>
      <c r="P3142">
        <v>15</v>
      </c>
      <c r="Q3142">
        <v>26</v>
      </c>
      <c r="R3142">
        <v>107</v>
      </c>
      <c r="S3142">
        <v>0.82307692307692304</v>
      </c>
      <c r="T3142">
        <v>0.52</v>
      </c>
      <c r="U3142">
        <v>0.92</v>
      </c>
    </row>
    <row r="3143" spans="1:21" x14ac:dyDescent="0.35">
      <c r="A3143">
        <v>435</v>
      </c>
      <c r="B3143" s="16">
        <v>40695</v>
      </c>
      <c r="C3143" s="15" t="s">
        <v>76</v>
      </c>
      <c r="D3143" s="15" t="s">
        <v>58</v>
      </c>
      <c r="E3143" s="15" t="s">
        <v>44</v>
      </c>
      <c r="F3143" s="15" t="s">
        <v>40</v>
      </c>
      <c r="G3143" s="15" t="s">
        <v>77</v>
      </c>
      <c r="H3143" s="15" t="s">
        <v>45</v>
      </c>
      <c r="I3143">
        <v>90</v>
      </c>
      <c r="J3143">
        <v>120</v>
      </c>
      <c r="K3143">
        <v>70</v>
      </c>
      <c r="L3143">
        <v>210</v>
      </c>
      <c r="M3143">
        <v>76</v>
      </c>
      <c r="N3143">
        <v>580</v>
      </c>
      <c r="O3143">
        <v>93</v>
      </c>
      <c r="P3143">
        <v>28</v>
      </c>
      <c r="Q3143">
        <v>44</v>
      </c>
      <c r="R3143">
        <v>167</v>
      </c>
      <c r="S3143">
        <v>0.79523809523809519</v>
      </c>
      <c r="T3143">
        <v>0.62857142857142856</v>
      </c>
      <c r="U3143">
        <v>0.84444444444444444</v>
      </c>
    </row>
    <row r="3144" spans="1:21" x14ac:dyDescent="0.35">
      <c r="A3144">
        <v>949</v>
      </c>
      <c r="B3144" s="16">
        <v>40695</v>
      </c>
      <c r="C3144" s="15" t="s">
        <v>76</v>
      </c>
      <c r="D3144" s="15" t="s">
        <v>38</v>
      </c>
      <c r="E3144" s="15" t="s">
        <v>51</v>
      </c>
      <c r="F3144" s="15" t="s">
        <v>52</v>
      </c>
      <c r="G3144" s="15" t="s">
        <v>78</v>
      </c>
      <c r="H3144" s="15" t="s">
        <v>45</v>
      </c>
      <c r="I3144">
        <v>100</v>
      </c>
      <c r="J3144">
        <v>160</v>
      </c>
      <c r="K3144">
        <v>140</v>
      </c>
      <c r="L3144">
        <v>260</v>
      </c>
      <c r="M3144">
        <v>123</v>
      </c>
      <c r="N3144">
        <v>947</v>
      </c>
      <c r="O3144">
        <v>178</v>
      </c>
      <c r="P3144">
        <v>34</v>
      </c>
      <c r="Q3144">
        <v>184</v>
      </c>
      <c r="R3144">
        <v>298</v>
      </c>
      <c r="S3144">
        <v>1.1461538461538461</v>
      </c>
      <c r="T3144">
        <v>1.3142857142857143</v>
      </c>
      <c r="U3144">
        <v>1.23</v>
      </c>
    </row>
    <row r="3145" spans="1:21" x14ac:dyDescent="0.35">
      <c r="A3145">
        <v>415</v>
      </c>
      <c r="B3145" s="16">
        <v>40695</v>
      </c>
      <c r="C3145" s="15" t="s">
        <v>76</v>
      </c>
      <c r="D3145" s="15" t="s">
        <v>38</v>
      </c>
      <c r="E3145" s="15" t="s">
        <v>53</v>
      </c>
      <c r="F3145" s="15" t="s">
        <v>52</v>
      </c>
      <c r="G3145" s="15" t="s">
        <v>78</v>
      </c>
      <c r="H3145" s="15" t="s">
        <v>45</v>
      </c>
      <c r="I3145">
        <v>200</v>
      </c>
      <c r="J3145">
        <v>260</v>
      </c>
      <c r="K3145">
        <v>190</v>
      </c>
      <c r="L3145">
        <v>460</v>
      </c>
      <c r="M3145">
        <v>244</v>
      </c>
      <c r="N3145">
        <v>1213</v>
      </c>
      <c r="O3145">
        <v>288</v>
      </c>
      <c r="P3145">
        <v>75</v>
      </c>
      <c r="Q3145">
        <v>265</v>
      </c>
      <c r="R3145">
        <v>527</v>
      </c>
      <c r="S3145">
        <v>1.1456521739130434</v>
      </c>
      <c r="T3145">
        <v>1.3947368421052631</v>
      </c>
      <c r="U3145">
        <v>1.22</v>
      </c>
    </row>
    <row r="3146" spans="1:21" x14ac:dyDescent="0.35">
      <c r="A3146">
        <v>310</v>
      </c>
      <c r="B3146" s="16">
        <v>40695</v>
      </c>
      <c r="C3146" s="15" t="s">
        <v>76</v>
      </c>
      <c r="D3146" s="15" t="s">
        <v>38</v>
      </c>
      <c r="E3146" s="15" t="s">
        <v>54</v>
      </c>
      <c r="F3146" s="15" t="s">
        <v>52</v>
      </c>
      <c r="G3146" s="15" t="s">
        <v>78</v>
      </c>
      <c r="H3146" s="15" t="s">
        <v>45</v>
      </c>
      <c r="I3146">
        <v>70</v>
      </c>
      <c r="J3146">
        <v>90</v>
      </c>
      <c r="K3146">
        <v>60</v>
      </c>
      <c r="L3146">
        <v>160</v>
      </c>
      <c r="M3146">
        <v>83</v>
      </c>
      <c r="N3146">
        <v>574</v>
      </c>
      <c r="O3146">
        <v>107</v>
      </c>
      <c r="P3146">
        <v>27</v>
      </c>
      <c r="Q3146">
        <v>92</v>
      </c>
      <c r="R3146">
        <v>188</v>
      </c>
      <c r="S3146">
        <v>1.175</v>
      </c>
      <c r="T3146">
        <v>1.5333333333333334</v>
      </c>
      <c r="U3146">
        <v>1.1857142857142857</v>
      </c>
    </row>
    <row r="3147" spans="1:21" x14ac:dyDescent="0.35">
      <c r="A3147">
        <v>951</v>
      </c>
      <c r="B3147" s="16">
        <v>40695</v>
      </c>
      <c r="C3147" s="15" t="s">
        <v>76</v>
      </c>
      <c r="D3147" s="15" t="s">
        <v>38</v>
      </c>
      <c r="E3147" s="15" t="s">
        <v>55</v>
      </c>
      <c r="F3147" s="15" t="s">
        <v>47</v>
      </c>
      <c r="G3147" s="15" t="s">
        <v>78</v>
      </c>
      <c r="H3147" s="15" t="s">
        <v>42</v>
      </c>
      <c r="I3147">
        <v>70</v>
      </c>
      <c r="J3147">
        <v>110</v>
      </c>
      <c r="K3147">
        <v>90</v>
      </c>
      <c r="L3147">
        <v>180</v>
      </c>
      <c r="M3147">
        <v>113</v>
      </c>
      <c r="N3147">
        <v>897</v>
      </c>
      <c r="O3147">
        <v>163</v>
      </c>
      <c r="P3147">
        <v>31</v>
      </c>
      <c r="Q3147">
        <v>166</v>
      </c>
      <c r="R3147">
        <v>274</v>
      </c>
      <c r="S3147">
        <v>1.5222222222222221</v>
      </c>
      <c r="T3147">
        <v>1.8444444444444446</v>
      </c>
      <c r="U3147">
        <v>1.6142857142857143</v>
      </c>
    </row>
    <row r="3148" spans="1:21" x14ac:dyDescent="0.35">
      <c r="A3148">
        <v>925</v>
      </c>
      <c r="B3148" s="16">
        <v>40695</v>
      </c>
      <c r="C3148" s="15" t="s">
        <v>76</v>
      </c>
      <c r="D3148" s="15" t="s">
        <v>38</v>
      </c>
      <c r="E3148" s="15" t="s">
        <v>56</v>
      </c>
      <c r="F3148" s="15" t="s">
        <v>47</v>
      </c>
      <c r="G3148" s="15" t="s">
        <v>78</v>
      </c>
      <c r="H3148" s="15" t="s">
        <v>42</v>
      </c>
      <c r="I3148">
        <v>60</v>
      </c>
      <c r="J3148">
        <v>90</v>
      </c>
      <c r="K3148">
        <v>80</v>
      </c>
      <c r="L3148">
        <v>150</v>
      </c>
      <c r="M3148">
        <v>94</v>
      </c>
      <c r="N3148">
        <v>562</v>
      </c>
      <c r="O3148">
        <v>136</v>
      </c>
      <c r="P3148">
        <v>26</v>
      </c>
      <c r="Q3148">
        <v>135</v>
      </c>
      <c r="R3148">
        <v>228</v>
      </c>
      <c r="S3148">
        <v>1.52</v>
      </c>
      <c r="T3148">
        <v>1.6875</v>
      </c>
      <c r="U3148">
        <v>1.5666666666666667</v>
      </c>
    </row>
    <row r="3149" spans="1:21" x14ac:dyDescent="0.35">
      <c r="A3149">
        <v>949</v>
      </c>
      <c r="B3149" s="16">
        <v>40695</v>
      </c>
      <c r="C3149" s="15" t="s">
        <v>76</v>
      </c>
      <c r="D3149" s="15" t="s">
        <v>38</v>
      </c>
      <c r="E3149" s="15" t="s">
        <v>46</v>
      </c>
      <c r="F3149" s="15" t="s">
        <v>47</v>
      </c>
      <c r="G3149" s="15" t="s">
        <v>78</v>
      </c>
      <c r="H3149" s="15" t="s">
        <v>42</v>
      </c>
      <c r="I3149">
        <v>30</v>
      </c>
      <c r="J3149">
        <v>60</v>
      </c>
      <c r="K3149">
        <v>30</v>
      </c>
      <c r="L3149">
        <v>90</v>
      </c>
      <c r="M3149">
        <v>54</v>
      </c>
      <c r="N3149">
        <v>641</v>
      </c>
      <c r="O3149">
        <v>81</v>
      </c>
      <c r="P3149">
        <v>17</v>
      </c>
      <c r="Q3149">
        <v>44</v>
      </c>
      <c r="R3149">
        <v>134</v>
      </c>
      <c r="S3149">
        <v>1.4888888888888889</v>
      </c>
      <c r="T3149">
        <v>1.4666666666666666</v>
      </c>
      <c r="U3149">
        <v>1.8</v>
      </c>
    </row>
    <row r="3150" spans="1:21" x14ac:dyDescent="0.35">
      <c r="A3150">
        <v>510</v>
      </c>
      <c r="B3150" s="16">
        <v>40695</v>
      </c>
      <c r="C3150" s="15" t="s">
        <v>76</v>
      </c>
      <c r="D3150" s="15" t="s">
        <v>38</v>
      </c>
      <c r="E3150" s="15" t="s">
        <v>72</v>
      </c>
      <c r="F3150" s="15" t="s">
        <v>49</v>
      </c>
      <c r="G3150" s="15" t="s">
        <v>78</v>
      </c>
      <c r="H3150" s="15" t="s">
        <v>42</v>
      </c>
      <c r="I3150">
        <v>240</v>
      </c>
      <c r="J3150">
        <v>260</v>
      </c>
      <c r="K3150">
        <v>180</v>
      </c>
      <c r="L3150">
        <v>500</v>
      </c>
      <c r="M3150">
        <v>260</v>
      </c>
      <c r="N3150">
        <v>1715</v>
      </c>
      <c r="O3150">
        <v>261</v>
      </c>
      <c r="P3150">
        <v>72</v>
      </c>
      <c r="Q3150">
        <v>228</v>
      </c>
      <c r="R3150">
        <v>516</v>
      </c>
      <c r="S3150">
        <v>1.032</v>
      </c>
      <c r="T3150">
        <v>1.2666666666666666</v>
      </c>
      <c r="U3150">
        <v>1.0833333333333333</v>
      </c>
    </row>
    <row r="3151" spans="1:21" x14ac:dyDescent="0.35">
      <c r="A3151">
        <v>650</v>
      </c>
      <c r="B3151" s="16">
        <v>40695</v>
      </c>
      <c r="C3151" s="15" t="s">
        <v>76</v>
      </c>
      <c r="D3151" s="15" t="s">
        <v>38</v>
      </c>
      <c r="E3151" s="15" t="s">
        <v>48</v>
      </c>
      <c r="F3151" s="15" t="s">
        <v>49</v>
      </c>
      <c r="G3151" s="15" t="s">
        <v>78</v>
      </c>
      <c r="H3151" s="15" t="s">
        <v>42</v>
      </c>
      <c r="I3151">
        <v>130</v>
      </c>
      <c r="J3151">
        <v>200</v>
      </c>
      <c r="K3151">
        <v>50</v>
      </c>
      <c r="L3151">
        <v>330</v>
      </c>
      <c r="M3151">
        <v>144</v>
      </c>
      <c r="N3151">
        <v>874</v>
      </c>
      <c r="O3151">
        <v>201</v>
      </c>
      <c r="P3151">
        <v>131</v>
      </c>
      <c r="Q3151">
        <v>50</v>
      </c>
      <c r="R3151">
        <v>342</v>
      </c>
      <c r="S3151">
        <v>1.0363636363636364</v>
      </c>
      <c r="T3151">
        <v>1</v>
      </c>
      <c r="U3151">
        <v>1.1076923076923078</v>
      </c>
    </row>
    <row r="3152" spans="1:21" x14ac:dyDescent="0.35">
      <c r="A3152">
        <v>661</v>
      </c>
      <c r="B3152" s="16">
        <v>40695</v>
      </c>
      <c r="C3152" s="15" t="s">
        <v>76</v>
      </c>
      <c r="D3152" s="15" t="s">
        <v>38</v>
      </c>
      <c r="E3152" s="15" t="s">
        <v>50</v>
      </c>
      <c r="F3152" s="15" t="s">
        <v>49</v>
      </c>
      <c r="G3152" s="15" t="s">
        <v>78</v>
      </c>
      <c r="H3152" s="15" t="s">
        <v>45</v>
      </c>
      <c r="I3152">
        <v>260</v>
      </c>
      <c r="J3152">
        <v>340</v>
      </c>
      <c r="K3152">
        <v>230</v>
      </c>
      <c r="L3152">
        <v>600</v>
      </c>
      <c r="M3152">
        <v>272</v>
      </c>
      <c r="N3152">
        <v>1616</v>
      </c>
      <c r="O3152">
        <v>362</v>
      </c>
      <c r="P3152">
        <v>89</v>
      </c>
      <c r="Q3152">
        <v>331</v>
      </c>
      <c r="R3152">
        <v>628</v>
      </c>
      <c r="S3152">
        <v>1.0466666666666666</v>
      </c>
      <c r="T3152">
        <v>1.4391304347826086</v>
      </c>
      <c r="U3152">
        <v>1.0461538461538462</v>
      </c>
    </row>
    <row r="3153" spans="1:21" x14ac:dyDescent="0.35">
      <c r="A3153">
        <v>650</v>
      </c>
      <c r="B3153" s="16">
        <v>40695</v>
      </c>
      <c r="C3153" s="15" t="s">
        <v>76</v>
      </c>
      <c r="D3153" s="15" t="s">
        <v>38</v>
      </c>
      <c r="E3153" s="15" t="s">
        <v>39</v>
      </c>
      <c r="F3153" s="15" t="s">
        <v>40</v>
      </c>
      <c r="G3153" s="15" t="s">
        <v>78</v>
      </c>
      <c r="H3153" s="15" t="s">
        <v>42</v>
      </c>
      <c r="I3153">
        <v>170</v>
      </c>
      <c r="J3153">
        <v>-50</v>
      </c>
      <c r="K3153">
        <v>-110</v>
      </c>
      <c r="L3153">
        <v>120</v>
      </c>
      <c r="M3153">
        <v>141</v>
      </c>
      <c r="N3153">
        <v>1514</v>
      </c>
      <c r="O3153">
        <v>-45</v>
      </c>
      <c r="P3153">
        <v>45</v>
      </c>
      <c r="Q3153">
        <v>-156</v>
      </c>
      <c r="R3153">
        <v>95</v>
      </c>
      <c r="S3153">
        <v>0.79166666666666663</v>
      </c>
      <c r="T3153">
        <v>1.4181818181818182</v>
      </c>
      <c r="U3153">
        <v>0.8294117647058824</v>
      </c>
    </row>
    <row r="3154" spans="1:21" x14ac:dyDescent="0.35">
      <c r="A3154">
        <v>530</v>
      </c>
      <c r="B3154" s="16">
        <v>40695</v>
      </c>
      <c r="C3154" s="15" t="s">
        <v>76</v>
      </c>
      <c r="D3154" s="15" t="s">
        <v>38</v>
      </c>
      <c r="E3154" s="15" t="s">
        <v>43</v>
      </c>
      <c r="F3154" s="15" t="s">
        <v>40</v>
      </c>
      <c r="G3154" s="15" t="s">
        <v>78</v>
      </c>
      <c r="H3154" s="15" t="s">
        <v>42</v>
      </c>
      <c r="I3154">
        <v>440</v>
      </c>
      <c r="J3154">
        <v>670</v>
      </c>
      <c r="K3154">
        <v>500</v>
      </c>
      <c r="L3154">
        <v>1110</v>
      </c>
      <c r="M3154">
        <v>356</v>
      </c>
      <c r="N3154">
        <v>2476</v>
      </c>
      <c r="O3154">
        <v>534</v>
      </c>
      <c r="P3154">
        <v>124</v>
      </c>
      <c r="Q3154">
        <v>493</v>
      </c>
      <c r="R3154">
        <v>882</v>
      </c>
      <c r="S3154">
        <v>0.79459459459459458</v>
      </c>
      <c r="T3154">
        <v>0.98599999999999999</v>
      </c>
      <c r="U3154">
        <v>0.80909090909090908</v>
      </c>
    </row>
    <row r="3155" spans="1:21" x14ac:dyDescent="0.35">
      <c r="A3155">
        <v>925</v>
      </c>
      <c r="B3155" s="16">
        <v>40695</v>
      </c>
      <c r="C3155" s="15" t="s">
        <v>76</v>
      </c>
      <c r="D3155" s="15" t="s">
        <v>38</v>
      </c>
      <c r="E3155" s="15" t="s">
        <v>44</v>
      </c>
      <c r="F3155" s="15" t="s">
        <v>40</v>
      </c>
      <c r="G3155" s="15" t="s">
        <v>78</v>
      </c>
      <c r="H3155" s="15" t="s">
        <v>45</v>
      </c>
      <c r="I3155">
        <v>250</v>
      </c>
      <c r="J3155">
        <v>-40</v>
      </c>
      <c r="K3155">
        <v>-140</v>
      </c>
      <c r="L3155">
        <v>210</v>
      </c>
      <c r="M3155">
        <v>200</v>
      </c>
      <c r="N3155">
        <v>2393</v>
      </c>
      <c r="O3155">
        <v>-31</v>
      </c>
      <c r="P3155">
        <v>66</v>
      </c>
      <c r="Q3155">
        <v>-196</v>
      </c>
      <c r="R3155">
        <v>167</v>
      </c>
      <c r="S3155">
        <v>0.79523809523809519</v>
      </c>
      <c r="T3155">
        <v>1.4</v>
      </c>
      <c r="U3155">
        <v>0.8</v>
      </c>
    </row>
    <row r="3156" spans="1:21" x14ac:dyDescent="0.35">
      <c r="A3156">
        <v>775</v>
      </c>
      <c r="B3156" s="16">
        <v>40695</v>
      </c>
      <c r="C3156" s="15" t="s">
        <v>76</v>
      </c>
      <c r="D3156" s="15" t="s">
        <v>58</v>
      </c>
      <c r="E3156" s="15" t="s">
        <v>51</v>
      </c>
      <c r="F3156" s="15" t="s">
        <v>52</v>
      </c>
      <c r="G3156" s="15" t="s">
        <v>79</v>
      </c>
      <c r="H3156" s="15" t="s">
        <v>45</v>
      </c>
      <c r="I3156">
        <v>120</v>
      </c>
      <c r="J3156">
        <v>180</v>
      </c>
      <c r="K3156">
        <v>50</v>
      </c>
      <c r="L3156">
        <v>300</v>
      </c>
      <c r="M3156">
        <v>144</v>
      </c>
      <c r="N3156">
        <v>874</v>
      </c>
      <c r="O3156">
        <v>201</v>
      </c>
      <c r="P3156">
        <v>131</v>
      </c>
      <c r="Q3156">
        <v>51</v>
      </c>
      <c r="R3156">
        <v>342</v>
      </c>
      <c r="S3156">
        <v>1.1399999999999999</v>
      </c>
      <c r="T3156">
        <v>1.02</v>
      </c>
      <c r="U3156">
        <v>1.2</v>
      </c>
    </row>
    <row r="3157" spans="1:21" x14ac:dyDescent="0.35">
      <c r="A3157">
        <v>702</v>
      </c>
      <c r="B3157" s="16">
        <v>40695</v>
      </c>
      <c r="C3157" s="15" t="s">
        <v>76</v>
      </c>
      <c r="D3157" s="15" t="s">
        <v>58</v>
      </c>
      <c r="E3157" s="15" t="s">
        <v>53</v>
      </c>
      <c r="F3157" s="15" t="s">
        <v>52</v>
      </c>
      <c r="G3157" s="15" t="s">
        <v>79</v>
      </c>
      <c r="H3157" s="15" t="s">
        <v>45</v>
      </c>
      <c r="I3157">
        <v>170</v>
      </c>
      <c r="J3157">
        <v>250</v>
      </c>
      <c r="K3157">
        <v>170</v>
      </c>
      <c r="L3157">
        <v>420</v>
      </c>
      <c r="M3157">
        <v>200</v>
      </c>
      <c r="N3157">
        <v>1095</v>
      </c>
      <c r="O3157">
        <v>278</v>
      </c>
      <c r="P3157">
        <v>66</v>
      </c>
      <c r="Q3157">
        <v>229</v>
      </c>
      <c r="R3157">
        <v>474</v>
      </c>
      <c r="S3157">
        <v>1.1285714285714286</v>
      </c>
      <c r="T3157">
        <v>1.3470588235294119</v>
      </c>
      <c r="U3157">
        <v>1.1764705882352942</v>
      </c>
    </row>
    <row r="3158" spans="1:21" x14ac:dyDescent="0.35">
      <c r="A3158">
        <v>775</v>
      </c>
      <c r="B3158" s="16">
        <v>40695</v>
      </c>
      <c r="C3158" s="15" t="s">
        <v>76</v>
      </c>
      <c r="D3158" s="15" t="s">
        <v>58</v>
      </c>
      <c r="E3158" s="15" t="s">
        <v>54</v>
      </c>
      <c r="F3158" s="15" t="s">
        <v>52</v>
      </c>
      <c r="G3158" s="15" t="s">
        <v>79</v>
      </c>
      <c r="H3158" s="15" t="s">
        <v>45</v>
      </c>
      <c r="I3158">
        <v>120</v>
      </c>
      <c r="J3158">
        <v>180</v>
      </c>
      <c r="K3158">
        <v>130</v>
      </c>
      <c r="L3158">
        <v>300</v>
      </c>
      <c r="M3158">
        <v>141</v>
      </c>
      <c r="N3158">
        <v>764</v>
      </c>
      <c r="O3158">
        <v>204</v>
      </c>
      <c r="P3158">
        <v>45</v>
      </c>
      <c r="Q3158">
        <v>188</v>
      </c>
      <c r="R3158">
        <v>342</v>
      </c>
      <c r="S3158">
        <v>1.1399999999999999</v>
      </c>
      <c r="T3158">
        <v>1.4461538461538461</v>
      </c>
      <c r="U3158">
        <v>1.175</v>
      </c>
    </row>
    <row r="3159" spans="1:21" x14ac:dyDescent="0.35">
      <c r="A3159">
        <v>702</v>
      </c>
      <c r="B3159" s="16">
        <v>40695</v>
      </c>
      <c r="C3159" s="15" t="s">
        <v>76</v>
      </c>
      <c r="D3159" s="15" t="s">
        <v>58</v>
      </c>
      <c r="E3159" s="15" t="s">
        <v>55</v>
      </c>
      <c r="F3159" s="15" t="s">
        <v>47</v>
      </c>
      <c r="G3159" s="15" t="s">
        <v>79</v>
      </c>
      <c r="H3159" s="15" t="s">
        <v>42</v>
      </c>
      <c r="I3159">
        <v>170</v>
      </c>
      <c r="J3159">
        <v>260</v>
      </c>
      <c r="K3159">
        <v>190</v>
      </c>
      <c r="L3159">
        <v>430</v>
      </c>
      <c r="M3159">
        <v>272</v>
      </c>
      <c r="N3159">
        <v>1616</v>
      </c>
      <c r="O3159">
        <v>362</v>
      </c>
      <c r="P3159">
        <v>89</v>
      </c>
      <c r="Q3159">
        <v>333</v>
      </c>
      <c r="R3159">
        <v>628</v>
      </c>
      <c r="S3159">
        <v>1.4604651162790698</v>
      </c>
      <c r="T3159">
        <v>1.7526315789473683</v>
      </c>
      <c r="U3159">
        <v>1.6</v>
      </c>
    </row>
    <row r="3160" spans="1:21" x14ac:dyDescent="0.35">
      <c r="A3160">
        <v>775</v>
      </c>
      <c r="B3160" s="16">
        <v>40695</v>
      </c>
      <c r="C3160" s="15" t="s">
        <v>76</v>
      </c>
      <c r="D3160" s="15" t="s">
        <v>58</v>
      </c>
      <c r="E3160" s="15" t="s">
        <v>56</v>
      </c>
      <c r="F3160" s="15" t="s">
        <v>47</v>
      </c>
      <c r="G3160" s="15" t="s">
        <v>79</v>
      </c>
      <c r="H3160" s="15" t="s">
        <v>42</v>
      </c>
      <c r="I3160">
        <v>170</v>
      </c>
      <c r="J3160">
        <v>180</v>
      </c>
      <c r="K3160">
        <v>120</v>
      </c>
      <c r="L3160">
        <v>350</v>
      </c>
      <c r="M3160">
        <v>260</v>
      </c>
      <c r="N3160">
        <v>1715</v>
      </c>
      <c r="O3160">
        <v>261</v>
      </c>
      <c r="P3160">
        <v>72</v>
      </c>
      <c r="Q3160">
        <v>228</v>
      </c>
      <c r="R3160">
        <v>516</v>
      </c>
      <c r="S3160">
        <v>1.4742857142857142</v>
      </c>
      <c r="T3160">
        <v>1.9</v>
      </c>
      <c r="U3160">
        <v>1.5294117647058822</v>
      </c>
    </row>
    <row r="3161" spans="1:21" x14ac:dyDescent="0.35">
      <c r="A3161">
        <v>775</v>
      </c>
      <c r="B3161" s="16">
        <v>40695</v>
      </c>
      <c r="C3161" s="15" t="s">
        <v>76</v>
      </c>
      <c r="D3161" s="15" t="s">
        <v>58</v>
      </c>
      <c r="E3161" s="15" t="s">
        <v>46</v>
      </c>
      <c r="F3161" s="15" t="s">
        <v>47</v>
      </c>
      <c r="G3161" s="15" t="s">
        <v>79</v>
      </c>
      <c r="H3161" s="15" t="s">
        <v>42</v>
      </c>
      <c r="I3161">
        <v>170</v>
      </c>
      <c r="J3161">
        <v>-170</v>
      </c>
      <c r="K3161">
        <v>-250</v>
      </c>
      <c r="L3161">
        <v>0</v>
      </c>
      <c r="M3161">
        <v>271</v>
      </c>
      <c r="N3161">
        <v>4507</v>
      </c>
      <c r="O3161">
        <v>-271</v>
      </c>
      <c r="P3161">
        <v>102</v>
      </c>
      <c r="Q3161">
        <v>-509</v>
      </c>
      <c r="R3161">
        <v>37</v>
      </c>
      <c r="T3161">
        <v>2.036</v>
      </c>
      <c r="U3161">
        <v>1.5941176470588236</v>
      </c>
    </row>
    <row r="3162" spans="1:21" x14ac:dyDescent="0.35">
      <c r="A3162">
        <v>775</v>
      </c>
      <c r="B3162" s="16">
        <v>40695</v>
      </c>
      <c r="C3162" s="15" t="s">
        <v>76</v>
      </c>
      <c r="D3162" s="15" t="s">
        <v>58</v>
      </c>
      <c r="E3162" s="15" t="s">
        <v>72</v>
      </c>
      <c r="F3162" s="15" t="s">
        <v>49</v>
      </c>
      <c r="G3162" s="15" t="s">
        <v>79</v>
      </c>
      <c r="H3162" s="15" t="s">
        <v>42</v>
      </c>
      <c r="I3162">
        <v>0</v>
      </c>
      <c r="J3162">
        <v>40</v>
      </c>
      <c r="K3162">
        <v>30</v>
      </c>
      <c r="L3162">
        <v>40</v>
      </c>
      <c r="M3162">
        <v>0</v>
      </c>
      <c r="N3162">
        <v>602</v>
      </c>
      <c r="O3162">
        <v>43</v>
      </c>
      <c r="P3162">
        <v>0</v>
      </c>
      <c r="Q3162">
        <v>43</v>
      </c>
      <c r="R3162">
        <v>43</v>
      </c>
      <c r="S3162">
        <v>1.075</v>
      </c>
      <c r="T3162">
        <v>1.4333333333333333</v>
      </c>
    </row>
    <row r="3163" spans="1:21" x14ac:dyDescent="0.35">
      <c r="A3163">
        <v>702</v>
      </c>
      <c r="B3163" s="16">
        <v>40695</v>
      </c>
      <c r="C3163" s="15" t="s">
        <v>76</v>
      </c>
      <c r="D3163" s="15" t="s">
        <v>58</v>
      </c>
      <c r="E3163" s="15" t="s">
        <v>48</v>
      </c>
      <c r="F3163" s="15" t="s">
        <v>49</v>
      </c>
      <c r="G3163" s="15" t="s">
        <v>79</v>
      </c>
      <c r="H3163" s="15" t="s">
        <v>42</v>
      </c>
      <c r="I3163">
        <v>20</v>
      </c>
      <c r="J3163">
        <v>30</v>
      </c>
      <c r="K3163">
        <v>20</v>
      </c>
      <c r="L3163">
        <v>50</v>
      </c>
      <c r="M3163">
        <v>23</v>
      </c>
      <c r="N3163">
        <v>843</v>
      </c>
      <c r="O3163">
        <v>35</v>
      </c>
      <c r="P3163">
        <v>6</v>
      </c>
      <c r="Q3163">
        <v>25</v>
      </c>
      <c r="R3163">
        <v>57</v>
      </c>
      <c r="S3163">
        <v>1.1399999999999999</v>
      </c>
      <c r="T3163">
        <v>1.25</v>
      </c>
      <c r="U3163">
        <v>1.1499999999999999</v>
      </c>
    </row>
    <row r="3164" spans="1:21" x14ac:dyDescent="0.35">
      <c r="A3164">
        <v>775</v>
      </c>
      <c r="B3164" s="16">
        <v>40695</v>
      </c>
      <c r="C3164" s="15" t="s">
        <v>76</v>
      </c>
      <c r="D3164" s="15" t="s">
        <v>58</v>
      </c>
      <c r="E3164" s="15" t="s">
        <v>50</v>
      </c>
      <c r="F3164" s="15" t="s">
        <v>49</v>
      </c>
      <c r="G3164" s="15" t="s">
        <v>79</v>
      </c>
      <c r="H3164" s="15" t="s">
        <v>45</v>
      </c>
      <c r="I3164">
        <v>20</v>
      </c>
      <c r="J3164">
        <v>30</v>
      </c>
      <c r="K3164">
        <v>20</v>
      </c>
      <c r="L3164">
        <v>50</v>
      </c>
      <c r="M3164">
        <v>21</v>
      </c>
      <c r="N3164">
        <v>798</v>
      </c>
      <c r="O3164">
        <v>32</v>
      </c>
      <c r="P3164">
        <v>5</v>
      </c>
      <c r="Q3164">
        <v>21</v>
      </c>
      <c r="R3164">
        <v>53</v>
      </c>
      <c r="S3164">
        <v>1.06</v>
      </c>
      <c r="T3164">
        <v>1.05</v>
      </c>
      <c r="U3164">
        <v>1.05</v>
      </c>
    </row>
    <row r="3165" spans="1:21" x14ac:dyDescent="0.35">
      <c r="A3165">
        <v>702</v>
      </c>
      <c r="B3165" s="16">
        <v>40695</v>
      </c>
      <c r="C3165" s="15" t="s">
        <v>76</v>
      </c>
      <c r="D3165" s="15" t="s">
        <v>58</v>
      </c>
      <c r="E3165" s="15" t="s">
        <v>43</v>
      </c>
      <c r="F3165" s="15" t="s">
        <v>40</v>
      </c>
      <c r="G3165" s="15" t="s">
        <v>79</v>
      </c>
      <c r="H3165" s="15" t="s">
        <v>42</v>
      </c>
      <c r="I3165">
        <v>40</v>
      </c>
      <c r="J3165">
        <v>60</v>
      </c>
      <c r="K3165">
        <v>20</v>
      </c>
      <c r="L3165">
        <v>100</v>
      </c>
      <c r="M3165">
        <v>36</v>
      </c>
      <c r="N3165">
        <v>236</v>
      </c>
      <c r="O3165">
        <v>46</v>
      </c>
      <c r="P3165">
        <v>13</v>
      </c>
      <c r="Q3165">
        <v>0</v>
      </c>
      <c r="R3165">
        <v>81</v>
      </c>
      <c r="S3165">
        <v>0.81</v>
      </c>
      <c r="T3165">
        <v>0</v>
      </c>
      <c r="U3165">
        <v>0.9</v>
      </c>
    </row>
    <row r="3166" spans="1:21" x14ac:dyDescent="0.35">
      <c r="A3166">
        <v>702</v>
      </c>
      <c r="B3166" s="16">
        <v>40695</v>
      </c>
      <c r="C3166" s="15" t="s">
        <v>76</v>
      </c>
      <c r="D3166" s="15" t="s">
        <v>58</v>
      </c>
      <c r="E3166" s="15" t="s">
        <v>44</v>
      </c>
      <c r="F3166" s="15" t="s">
        <v>40</v>
      </c>
      <c r="G3166" s="15" t="s">
        <v>79</v>
      </c>
      <c r="H3166" s="15" t="s">
        <v>45</v>
      </c>
      <c r="I3166">
        <v>40</v>
      </c>
      <c r="J3166">
        <v>40</v>
      </c>
      <c r="K3166">
        <v>20</v>
      </c>
      <c r="L3166">
        <v>80</v>
      </c>
      <c r="M3166">
        <v>32</v>
      </c>
      <c r="N3166">
        <v>996</v>
      </c>
      <c r="O3166">
        <v>38</v>
      </c>
      <c r="P3166">
        <v>9</v>
      </c>
      <c r="Q3166">
        <v>11</v>
      </c>
      <c r="R3166">
        <v>69</v>
      </c>
      <c r="S3166">
        <v>0.86250000000000004</v>
      </c>
      <c r="T3166">
        <v>0.55000000000000004</v>
      </c>
      <c r="U3166">
        <v>0.8</v>
      </c>
    </row>
    <row r="3167" spans="1:21" x14ac:dyDescent="0.35">
      <c r="A3167">
        <v>541</v>
      </c>
      <c r="B3167" s="16">
        <v>40695</v>
      </c>
      <c r="C3167" s="15" t="s">
        <v>76</v>
      </c>
      <c r="D3167" s="15" t="s">
        <v>58</v>
      </c>
      <c r="E3167" s="15" t="s">
        <v>51</v>
      </c>
      <c r="F3167" s="15" t="s">
        <v>52</v>
      </c>
      <c r="G3167" s="15" t="s">
        <v>80</v>
      </c>
      <c r="H3167" s="15" t="s">
        <v>45</v>
      </c>
      <c r="I3167">
        <v>20</v>
      </c>
      <c r="J3167">
        <v>40</v>
      </c>
      <c r="K3167">
        <v>40</v>
      </c>
      <c r="L3167">
        <v>60</v>
      </c>
      <c r="M3167">
        <v>28</v>
      </c>
      <c r="N3167">
        <v>816</v>
      </c>
      <c r="O3167">
        <v>41</v>
      </c>
      <c r="P3167">
        <v>7</v>
      </c>
      <c r="Q3167">
        <v>30</v>
      </c>
      <c r="R3167">
        <v>68</v>
      </c>
      <c r="S3167">
        <v>1.1333333333333333</v>
      </c>
      <c r="T3167">
        <v>0.75</v>
      </c>
      <c r="U3167">
        <v>1.4</v>
      </c>
    </row>
    <row r="3168" spans="1:21" x14ac:dyDescent="0.35">
      <c r="A3168">
        <v>503</v>
      </c>
      <c r="B3168" s="16">
        <v>40695</v>
      </c>
      <c r="C3168" s="15" t="s">
        <v>76</v>
      </c>
      <c r="D3168" s="15" t="s">
        <v>58</v>
      </c>
      <c r="E3168" s="15" t="s">
        <v>53</v>
      </c>
      <c r="F3168" s="15" t="s">
        <v>52</v>
      </c>
      <c r="G3168" s="15" t="s">
        <v>80</v>
      </c>
      <c r="H3168" s="15" t="s">
        <v>45</v>
      </c>
      <c r="I3168">
        <v>30</v>
      </c>
      <c r="J3168">
        <v>50</v>
      </c>
      <c r="K3168">
        <v>30</v>
      </c>
      <c r="L3168">
        <v>80</v>
      </c>
      <c r="M3168">
        <v>43</v>
      </c>
      <c r="N3168">
        <v>597</v>
      </c>
      <c r="O3168">
        <v>56</v>
      </c>
      <c r="P3168">
        <v>14</v>
      </c>
      <c r="Q3168">
        <v>41</v>
      </c>
      <c r="R3168">
        <v>98</v>
      </c>
      <c r="S3168">
        <v>1.2250000000000001</v>
      </c>
      <c r="T3168">
        <v>1.3666666666666667</v>
      </c>
      <c r="U3168">
        <v>1.4333333333333333</v>
      </c>
    </row>
    <row r="3169" spans="1:21" x14ac:dyDescent="0.35">
      <c r="A3169">
        <v>971</v>
      </c>
      <c r="B3169" s="16">
        <v>40695</v>
      </c>
      <c r="C3169" s="15" t="s">
        <v>76</v>
      </c>
      <c r="D3169" s="15" t="s">
        <v>58</v>
      </c>
      <c r="E3169" s="15" t="s">
        <v>55</v>
      </c>
      <c r="F3169" s="15" t="s">
        <v>47</v>
      </c>
      <c r="G3169" s="15" t="s">
        <v>80</v>
      </c>
      <c r="H3169" s="15" t="s">
        <v>42</v>
      </c>
      <c r="I3169">
        <v>10</v>
      </c>
      <c r="J3169">
        <v>10</v>
      </c>
      <c r="K3169">
        <v>10</v>
      </c>
      <c r="L3169">
        <v>20</v>
      </c>
      <c r="M3169">
        <v>18</v>
      </c>
      <c r="N3169">
        <v>478</v>
      </c>
      <c r="O3169">
        <v>26</v>
      </c>
      <c r="P3169">
        <v>5</v>
      </c>
      <c r="Q3169">
        <v>12</v>
      </c>
      <c r="R3169">
        <v>44</v>
      </c>
      <c r="S3169">
        <v>2.2000000000000002</v>
      </c>
      <c r="T3169">
        <v>1.2</v>
      </c>
      <c r="U3169">
        <v>1.8</v>
      </c>
    </row>
    <row r="3170" spans="1:21" x14ac:dyDescent="0.35">
      <c r="A3170">
        <v>503</v>
      </c>
      <c r="B3170" s="16">
        <v>40695</v>
      </c>
      <c r="C3170" s="15" t="s">
        <v>76</v>
      </c>
      <c r="D3170" s="15" t="s">
        <v>58</v>
      </c>
      <c r="E3170" s="15" t="s">
        <v>56</v>
      </c>
      <c r="F3170" s="15" t="s">
        <v>47</v>
      </c>
      <c r="G3170" s="15" t="s">
        <v>80</v>
      </c>
      <c r="H3170" s="15" t="s">
        <v>42</v>
      </c>
      <c r="I3170">
        <v>70</v>
      </c>
      <c r="J3170">
        <v>110</v>
      </c>
      <c r="K3170">
        <v>70</v>
      </c>
      <c r="L3170">
        <v>180</v>
      </c>
      <c r="M3170">
        <v>111</v>
      </c>
      <c r="N3170">
        <v>767</v>
      </c>
      <c r="O3170">
        <v>167</v>
      </c>
      <c r="P3170">
        <v>36</v>
      </c>
      <c r="Q3170">
        <v>138</v>
      </c>
      <c r="R3170">
        <v>276</v>
      </c>
      <c r="S3170">
        <v>1.5333333333333334</v>
      </c>
      <c r="T3170">
        <v>1.9714285714285715</v>
      </c>
      <c r="U3170">
        <v>1.5857142857142856</v>
      </c>
    </row>
    <row r="3171" spans="1:21" x14ac:dyDescent="0.35">
      <c r="A3171">
        <v>503</v>
      </c>
      <c r="B3171" s="16">
        <v>40695</v>
      </c>
      <c r="C3171" s="15" t="s">
        <v>76</v>
      </c>
      <c r="D3171" s="15" t="s">
        <v>58</v>
      </c>
      <c r="E3171" s="15" t="s">
        <v>46</v>
      </c>
      <c r="F3171" s="15" t="s">
        <v>47</v>
      </c>
      <c r="G3171" s="15" t="s">
        <v>80</v>
      </c>
      <c r="H3171" s="15" t="s">
        <v>42</v>
      </c>
      <c r="I3171">
        <v>70</v>
      </c>
      <c r="J3171">
        <v>120</v>
      </c>
      <c r="K3171">
        <v>80</v>
      </c>
      <c r="L3171">
        <v>190</v>
      </c>
      <c r="M3171">
        <v>118</v>
      </c>
      <c r="N3171">
        <v>636</v>
      </c>
      <c r="O3171">
        <v>164</v>
      </c>
      <c r="P3171">
        <v>36</v>
      </c>
      <c r="Q3171">
        <v>145</v>
      </c>
      <c r="R3171">
        <v>279</v>
      </c>
      <c r="S3171">
        <v>1.4684210526315788</v>
      </c>
      <c r="T3171">
        <v>1.8125</v>
      </c>
      <c r="U3171">
        <v>1.6857142857142857</v>
      </c>
    </row>
    <row r="3172" spans="1:21" x14ac:dyDescent="0.35">
      <c r="A3172">
        <v>971</v>
      </c>
      <c r="B3172" s="16">
        <v>40695</v>
      </c>
      <c r="C3172" s="15" t="s">
        <v>76</v>
      </c>
      <c r="D3172" s="15" t="s">
        <v>58</v>
      </c>
      <c r="E3172" s="15" t="s">
        <v>72</v>
      </c>
      <c r="F3172" s="15" t="s">
        <v>49</v>
      </c>
      <c r="G3172" s="15" t="s">
        <v>80</v>
      </c>
      <c r="H3172" s="15" t="s">
        <v>42</v>
      </c>
      <c r="I3172">
        <v>40</v>
      </c>
      <c r="J3172">
        <v>70</v>
      </c>
      <c r="K3172">
        <v>30</v>
      </c>
      <c r="L3172">
        <v>110</v>
      </c>
      <c r="M3172">
        <v>51</v>
      </c>
      <c r="N3172">
        <v>396</v>
      </c>
      <c r="O3172">
        <v>64</v>
      </c>
      <c r="P3172">
        <v>19</v>
      </c>
      <c r="Q3172">
        <v>15</v>
      </c>
      <c r="R3172">
        <v>114</v>
      </c>
      <c r="S3172">
        <v>1.0363636363636364</v>
      </c>
      <c r="T3172">
        <v>0.5</v>
      </c>
      <c r="U3172">
        <v>1.2749999999999999</v>
      </c>
    </row>
    <row r="3173" spans="1:21" x14ac:dyDescent="0.35">
      <c r="A3173">
        <v>541</v>
      </c>
      <c r="B3173" s="16">
        <v>40695</v>
      </c>
      <c r="C3173" s="15" t="s">
        <v>76</v>
      </c>
      <c r="D3173" s="15" t="s">
        <v>58</v>
      </c>
      <c r="E3173" s="15" t="s">
        <v>48</v>
      </c>
      <c r="F3173" s="15" t="s">
        <v>49</v>
      </c>
      <c r="G3173" s="15" t="s">
        <v>80</v>
      </c>
      <c r="H3173" s="15" t="s">
        <v>42</v>
      </c>
      <c r="I3173">
        <v>40</v>
      </c>
      <c r="J3173">
        <v>70</v>
      </c>
      <c r="K3173">
        <v>40</v>
      </c>
      <c r="L3173">
        <v>110</v>
      </c>
      <c r="M3173">
        <v>50</v>
      </c>
      <c r="N3173">
        <v>397</v>
      </c>
      <c r="O3173">
        <v>68</v>
      </c>
      <c r="P3173">
        <v>16</v>
      </c>
      <c r="Q3173">
        <v>33</v>
      </c>
      <c r="R3173">
        <v>117</v>
      </c>
      <c r="S3173">
        <v>1.0636363636363637</v>
      </c>
      <c r="T3173">
        <v>0.82499999999999996</v>
      </c>
      <c r="U3173">
        <v>1.25</v>
      </c>
    </row>
    <row r="3174" spans="1:21" x14ac:dyDescent="0.35">
      <c r="A3174">
        <v>503</v>
      </c>
      <c r="B3174" s="16">
        <v>40695</v>
      </c>
      <c r="C3174" s="15" t="s">
        <v>76</v>
      </c>
      <c r="D3174" s="15" t="s">
        <v>58</v>
      </c>
      <c r="E3174" s="15" t="s">
        <v>50</v>
      </c>
      <c r="F3174" s="15" t="s">
        <v>49</v>
      </c>
      <c r="G3174" s="15" t="s">
        <v>80</v>
      </c>
      <c r="H3174" s="15" t="s">
        <v>45</v>
      </c>
      <c r="I3174">
        <v>140</v>
      </c>
      <c r="J3174">
        <v>140</v>
      </c>
      <c r="K3174">
        <v>90</v>
      </c>
      <c r="L3174">
        <v>280</v>
      </c>
      <c r="M3174">
        <v>149</v>
      </c>
      <c r="N3174">
        <v>1245</v>
      </c>
      <c r="O3174">
        <v>149</v>
      </c>
      <c r="P3174">
        <v>41</v>
      </c>
      <c r="Q3174">
        <v>115</v>
      </c>
      <c r="R3174">
        <v>295</v>
      </c>
      <c r="S3174">
        <v>1.0535714285714286</v>
      </c>
      <c r="T3174">
        <v>1.2777777777777777</v>
      </c>
      <c r="U3174">
        <v>1.0642857142857143</v>
      </c>
    </row>
    <row r="3175" spans="1:21" x14ac:dyDescent="0.35">
      <c r="A3175">
        <v>503</v>
      </c>
      <c r="B3175" s="16">
        <v>40695</v>
      </c>
      <c r="C3175" s="15" t="s">
        <v>76</v>
      </c>
      <c r="D3175" s="15" t="s">
        <v>58</v>
      </c>
      <c r="E3175" s="15" t="s">
        <v>39</v>
      </c>
      <c r="F3175" s="15" t="s">
        <v>40</v>
      </c>
      <c r="G3175" s="15" t="s">
        <v>80</v>
      </c>
      <c r="H3175" s="15" t="s">
        <v>42</v>
      </c>
      <c r="I3175">
        <v>50</v>
      </c>
      <c r="J3175">
        <v>80</v>
      </c>
      <c r="K3175">
        <v>30</v>
      </c>
      <c r="L3175">
        <v>130</v>
      </c>
      <c r="M3175">
        <v>44</v>
      </c>
      <c r="N3175">
        <v>496</v>
      </c>
      <c r="O3175">
        <v>63</v>
      </c>
      <c r="P3175">
        <v>40</v>
      </c>
      <c r="Q3175">
        <v>-8</v>
      </c>
      <c r="R3175">
        <v>106</v>
      </c>
      <c r="S3175">
        <v>0.81538461538461537</v>
      </c>
      <c r="T3175">
        <v>-0.26666666666666666</v>
      </c>
      <c r="U3175">
        <v>0.88</v>
      </c>
    </row>
    <row r="3176" spans="1:21" x14ac:dyDescent="0.35">
      <c r="A3176">
        <v>503</v>
      </c>
      <c r="B3176" s="16">
        <v>40695</v>
      </c>
      <c r="C3176" s="15" t="s">
        <v>76</v>
      </c>
      <c r="D3176" s="15" t="s">
        <v>58</v>
      </c>
      <c r="E3176" s="15" t="s">
        <v>43</v>
      </c>
      <c r="F3176" s="15" t="s">
        <v>40</v>
      </c>
      <c r="G3176" s="15" t="s">
        <v>80</v>
      </c>
      <c r="H3176" s="15" t="s">
        <v>42</v>
      </c>
      <c r="I3176">
        <v>50</v>
      </c>
      <c r="J3176">
        <v>90</v>
      </c>
      <c r="K3176">
        <v>40</v>
      </c>
      <c r="L3176">
        <v>140</v>
      </c>
      <c r="M3176">
        <v>47</v>
      </c>
      <c r="N3176">
        <v>456</v>
      </c>
      <c r="O3176">
        <v>65</v>
      </c>
      <c r="P3176">
        <v>15</v>
      </c>
      <c r="Q3176">
        <v>6</v>
      </c>
      <c r="R3176">
        <v>111</v>
      </c>
      <c r="S3176">
        <v>0.79285714285714282</v>
      </c>
      <c r="T3176">
        <v>0.15</v>
      </c>
      <c r="U3176">
        <v>0.94</v>
      </c>
    </row>
    <row r="3177" spans="1:21" x14ac:dyDescent="0.35">
      <c r="A3177">
        <v>503</v>
      </c>
      <c r="B3177" s="16">
        <v>40695</v>
      </c>
      <c r="C3177" s="15" t="s">
        <v>76</v>
      </c>
      <c r="D3177" s="15" t="s">
        <v>58</v>
      </c>
      <c r="E3177" s="15" t="s">
        <v>44</v>
      </c>
      <c r="F3177" s="15" t="s">
        <v>40</v>
      </c>
      <c r="G3177" s="15" t="s">
        <v>80</v>
      </c>
      <c r="H3177" s="15" t="s">
        <v>45</v>
      </c>
      <c r="I3177">
        <v>40</v>
      </c>
      <c r="J3177">
        <v>70</v>
      </c>
      <c r="K3177">
        <v>40</v>
      </c>
      <c r="L3177">
        <v>110</v>
      </c>
      <c r="M3177">
        <v>38</v>
      </c>
      <c r="N3177">
        <v>414</v>
      </c>
      <c r="O3177">
        <v>55</v>
      </c>
      <c r="P3177">
        <v>12</v>
      </c>
      <c r="Q3177">
        <v>28</v>
      </c>
      <c r="R3177">
        <v>92</v>
      </c>
      <c r="S3177">
        <v>0.83636363636363631</v>
      </c>
      <c r="T3177">
        <v>0.7</v>
      </c>
      <c r="U3177">
        <v>0.95</v>
      </c>
    </row>
    <row r="3178" spans="1:21" x14ac:dyDescent="0.35">
      <c r="A3178">
        <v>253</v>
      </c>
      <c r="B3178" s="16">
        <v>40695</v>
      </c>
      <c r="C3178" s="15" t="s">
        <v>76</v>
      </c>
      <c r="D3178" s="15" t="s">
        <v>58</v>
      </c>
      <c r="E3178" s="15" t="s">
        <v>51</v>
      </c>
      <c r="F3178" s="15" t="s">
        <v>52</v>
      </c>
      <c r="G3178" s="15" t="s">
        <v>81</v>
      </c>
      <c r="H3178" s="15" t="s">
        <v>45</v>
      </c>
      <c r="I3178">
        <v>70</v>
      </c>
      <c r="J3178">
        <v>130</v>
      </c>
      <c r="K3178">
        <v>90</v>
      </c>
      <c r="L3178">
        <v>200</v>
      </c>
      <c r="M3178">
        <v>92</v>
      </c>
      <c r="N3178">
        <v>1102</v>
      </c>
      <c r="O3178">
        <v>140</v>
      </c>
      <c r="P3178">
        <v>30</v>
      </c>
      <c r="Q3178">
        <v>109</v>
      </c>
      <c r="R3178">
        <v>230</v>
      </c>
      <c r="S3178">
        <v>1.1499999999999999</v>
      </c>
      <c r="T3178">
        <v>1.211111111111111</v>
      </c>
      <c r="U3178">
        <v>1.3142857142857143</v>
      </c>
    </row>
    <row r="3179" spans="1:21" x14ac:dyDescent="0.35">
      <c r="A3179">
        <v>253</v>
      </c>
      <c r="B3179" s="16">
        <v>40695</v>
      </c>
      <c r="C3179" s="15" t="s">
        <v>76</v>
      </c>
      <c r="D3179" s="15" t="s">
        <v>58</v>
      </c>
      <c r="E3179" s="15" t="s">
        <v>53</v>
      </c>
      <c r="F3179" s="15" t="s">
        <v>52</v>
      </c>
      <c r="G3179" s="15" t="s">
        <v>81</v>
      </c>
      <c r="H3179" s="15" t="s">
        <v>45</v>
      </c>
      <c r="I3179">
        <v>30</v>
      </c>
      <c r="J3179">
        <v>60</v>
      </c>
      <c r="K3179">
        <v>50</v>
      </c>
      <c r="L3179">
        <v>90</v>
      </c>
      <c r="M3179">
        <v>43</v>
      </c>
      <c r="N3179">
        <v>822</v>
      </c>
      <c r="O3179">
        <v>64</v>
      </c>
      <c r="P3179">
        <v>12</v>
      </c>
      <c r="Q3179">
        <v>55</v>
      </c>
      <c r="R3179">
        <v>106</v>
      </c>
      <c r="S3179">
        <v>1.1777777777777778</v>
      </c>
      <c r="T3179">
        <v>1.1000000000000001</v>
      </c>
      <c r="U3179">
        <v>1.4333333333333333</v>
      </c>
    </row>
    <row r="3180" spans="1:21" x14ac:dyDescent="0.35">
      <c r="A3180">
        <v>206</v>
      </c>
      <c r="B3180" s="16">
        <v>40695</v>
      </c>
      <c r="C3180" s="15" t="s">
        <v>76</v>
      </c>
      <c r="D3180" s="15" t="s">
        <v>58</v>
      </c>
      <c r="E3180" s="15" t="s">
        <v>55</v>
      </c>
      <c r="F3180" s="15" t="s">
        <v>47</v>
      </c>
      <c r="G3180" s="15" t="s">
        <v>81</v>
      </c>
      <c r="H3180" s="15" t="s">
        <v>42</v>
      </c>
      <c r="I3180">
        <v>30</v>
      </c>
      <c r="J3180">
        <v>50</v>
      </c>
      <c r="K3180">
        <v>30</v>
      </c>
      <c r="L3180">
        <v>80</v>
      </c>
      <c r="M3180">
        <v>47</v>
      </c>
      <c r="N3180">
        <v>371</v>
      </c>
      <c r="O3180">
        <v>78</v>
      </c>
      <c r="P3180">
        <v>14</v>
      </c>
      <c r="Q3180">
        <v>57</v>
      </c>
      <c r="R3180">
        <v>124</v>
      </c>
      <c r="S3180">
        <v>1.55</v>
      </c>
      <c r="T3180">
        <v>1.9</v>
      </c>
      <c r="U3180">
        <v>1.5666666666666667</v>
      </c>
    </row>
    <row r="3181" spans="1:21" x14ac:dyDescent="0.35">
      <c r="A3181">
        <v>206</v>
      </c>
      <c r="B3181" s="16">
        <v>40695</v>
      </c>
      <c r="C3181" s="15" t="s">
        <v>76</v>
      </c>
      <c r="D3181" s="15" t="s">
        <v>58</v>
      </c>
      <c r="E3181" s="15" t="s">
        <v>56</v>
      </c>
      <c r="F3181" s="15" t="s">
        <v>47</v>
      </c>
      <c r="G3181" s="15" t="s">
        <v>81</v>
      </c>
      <c r="H3181" s="15" t="s">
        <v>42</v>
      </c>
      <c r="I3181">
        <v>20</v>
      </c>
      <c r="J3181">
        <v>40</v>
      </c>
      <c r="K3181">
        <v>20</v>
      </c>
      <c r="L3181">
        <v>60</v>
      </c>
      <c r="M3181">
        <v>40</v>
      </c>
      <c r="N3181">
        <v>443</v>
      </c>
      <c r="O3181">
        <v>59</v>
      </c>
      <c r="P3181">
        <v>12</v>
      </c>
      <c r="Q3181">
        <v>33</v>
      </c>
      <c r="R3181">
        <v>98</v>
      </c>
      <c r="S3181">
        <v>1.6333333333333333</v>
      </c>
      <c r="T3181">
        <v>1.65</v>
      </c>
      <c r="U3181">
        <v>2</v>
      </c>
    </row>
    <row r="3182" spans="1:21" x14ac:dyDescent="0.35">
      <c r="A3182">
        <v>509</v>
      </c>
      <c r="B3182" s="16">
        <v>40695</v>
      </c>
      <c r="C3182" s="15" t="s">
        <v>76</v>
      </c>
      <c r="D3182" s="15" t="s">
        <v>58</v>
      </c>
      <c r="E3182" s="15" t="s">
        <v>46</v>
      </c>
      <c r="F3182" s="15" t="s">
        <v>47</v>
      </c>
      <c r="G3182" s="15" t="s">
        <v>81</v>
      </c>
      <c r="H3182" s="15" t="s">
        <v>42</v>
      </c>
      <c r="I3182">
        <v>30</v>
      </c>
      <c r="J3182">
        <v>50</v>
      </c>
      <c r="K3182">
        <v>0</v>
      </c>
      <c r="L3182">
        <v>80</v>
      </c>
      <c r="M3182">
        <v>53</v>
      </c>
      <c r="N3182">
        <v>597</v>
      </c>
      <c r="O3182">
        <v>75</v>
      </c>
      <c r="P3182">
        <v>48</v>
      </c>
      <c r="Q3182">
        <v>-4</v>
      </c>
      <c r="R3182">
        <v>127</v>
      </c>
      <c r="S3182">
        <v>1.5874999999999999</v>
      </c>
      <c r="U3182">
        <v>1.7666666666666666</v>
      </c>
    </row>
    <row r="3183" spans="1:21" x14ac:dyDescent="0.35">
      <c r="A3183">
        <v>509</v>
      </c>
      <c r="B3183" s="16">
        <v>40695</v>
      </c>
      <c r="C3183" s="15" t="s">
        <v>76</v>
      </c>
      <c r="D3183" s="15" t="s">
        <v>58</v>
      </c>
      <c r="E3183" s="15" t="s">
        <v>72</v>
      </c>
      <c r="F3183" s="15" t="s">
        <v>49</v>
      </c>
      <c r="G3183" s="15" t="s">
        <v>81</v>
      </c>
      <c r="H3183" s="15" t="s">
        <v>42</v>
      </c>
      <c r="I3183">
        <v>40</v>
      </c>
      <c r="J3183">
        <v>60</v>
      </c>
      <c r="K3183">
        <v>40</v>
      </c>
      <c r="L3183">
        <v>100</v>
      </c>
      <c r="M3183">
        <v>48</v>
      </c>
      <c r="N3183">
        <v>593</v>
      </c>
      <c r="O3183">
        <v>62</v>
      </c>
      <c r="P3183">
        <v>15</v>
      </c>
      <c r="Q3183">
        <v>47</v>
      </c>
      <c r="R3183">
        <v>109</v>
      </c>
      <c r="S3183">
        <v>1.0900000000000001</v>
      </c>
      <c r="T3183">
        <v>1.175</v>
      </c>
      <c r="U3183">
        <v>1.2</v>
      </c>
    </row>
    <row r="3184" spans="1:21" x14ac:dyDescent="0.35">
      <c r="A3184">
        <v>360</v>
      </c>
      <c r="B3184" s="16">
        <v>40695</v>
      </c>
      <c r="C3184" s="15" t="s">
        <v>76</v>
      </c>
      <c r="D3184" s="15" t="s">
        <v>58</v>
      </c>
      <c r="E3184" s="15" t="s">
        <v>48</v>
      </c>
      <c r="F3184" s="15" t="s">
        <v>49</v>
      </c>
      <c r="G3184" s="15" t="s">
        <v>81</v>
      </c>
      <c r="H3184" s="15" t="s">
        <v>42</v>
      </c>
      <c r="I3184">
        <v>50</v>
      </c>
      <c r="J3184">
        <v>70</v>
      </c>
      <c r="K3184">
        <v>20</v>
      </c>
      <c r="L3184">
        <v>120</v>
      </c>
      <c r="M3184">
        <v>59</v>
      </c>
      <c r="N3184">
        <v>377</v>
      </c>
      <c r="O3184">
        <v>74</v>
      </c>
      <c r="P3184">
        <v>22</v>
      </c>
      <c r="Q3184">
        <v>25</v>
      </c>
      <c r="R3184">
        <v>132</v>
      </c>
      <c r="S3184">
        <v>1.1000000000000001</v>
      </c>
      <c r="T3184">
        <v>1.25</v>
      </c>
      <c r="U3184">
        <v>1.18</v>
      </c>
    </row>
    <row r="3185" spans="1:21" x14ac:dyDescent="0.35">
      <c r="A3185">
        <v>425</v>
      </c>
      <c r="B3185" s="16">
        <v>40695</v>
      </c>
      <c r="C3185" s="15" t="s">
        <v>76</v>
      </c>
      <c r="D3185" s="15" t="s">
        <v>58</v>
      </c>
      <c r="E3185" s="15" t="s">
        <v>50</v>
      </c>
      <c r="F3185" s="15" t="s">
        <v>49</v>
      </c>
      <c r="G3185" s="15" t="s">
        <v>81</v>
      </c>
      <c r="H3185" s="15" t="s">
        <v>45</v>
      </c>
      <c r="I3185">
        <v>70</v>
      </c>
      <c r="J3185">
        <v>90</v>
      </c>
      <c r="K3185">
        <v>60</v>
      </c>
      <c r="L3185">
        <v>160</v>
      </c>
      <c r="M3185">
        <v>81</v>
      </c>
      <c r="N3185">
        <v>1046</v>
      </c>
      <c r="O3185">
        <v>96</v>
      </c>
      <c r="P3185">
        <v>25</v>
      </c>
      <c r="Q3185">
        <v>68</v>
      </c>
      <c r="R3185">
        <v>175</v>
      </c>
      <c r="S3185">
        <v>1.09375</v>
      </c>
      <c r="T3185">
        <v>1.1333333333333333</v>
      </c>
      <c r="U3185">
        <v>1.1571428571428573</v>
      </c>
    </row>
    <row r="3186" spans="1:21" x14ac:dyDescent="0.35">
      <c r="A3186">
        <v>206</v>
      </c>
      <c r="B3186" s="16">
        <v>40695</v>
      </c>
      <c r="C3186" s="15" t="s">
        <v>76</v>
      </c>
      <c r="D3186" s="15" t="s">
        <v>58</v>
      </c>
      <c r="E3186" s="15" t="s">
        <v>43</v>
      </c>
      <c r="F3186" s="15" t="s">
        <v>40</v>
      </c>
      <c r="G3186" s="15" t="s">
        <v>81</v>
      </c>
      <c r="H3186" s="15" t="s">
        <v>42</v>
      </c>
      <c r="I3186">
        <v>90</v>
      </c>
      <c r="J3186">
        <v>150</v>
      </c>
      <c r="K3186">
        <v>110</v>
      </c>
      <c r="L3186">
        <v>240</v>
      </c>
      <c r="M3186">
        <v>79</v>
      </c>
      <c r="N3186">
        <v>425</v>
      </c>
      <c r="O3186">
        <v>114</v>
      </c>
      <c r="P3186">
        <v>25</v>
      </c>
      <c r="Q3186">
        <v>91</v>
      </c>
      <c r="R3186">
        <v>191</v>
      </c>
      <c r="S3186">
        <v>0.79583333333333328</v>
      </c>
      <c r="T3186">
        <v>0.82727272727272727</v>
      </c>
      <c r="U3186">
        <v>0.87777777777777777</v>
      </c>
    </row>
    <row r="3187" spans="1:21" x14ac:dyDescent="0.35">
      <c r="A3187">
        <v>206</v>
      </c>
      <c r="B3187" s="16">
        <v>40695</v>
      </c>
      <c r="C3187" s="15" t="s">
        <v>76</v>
      </c>
      <c r="D3187" s="15" t="s">
        <v>58</v>
      </c>
      <c r="E3187" s="15" t="s">
        <v>44</v>
      </c>
      <c r="F3187" s="15" t="s">
        <v>40</v>
      </c>
      <c r="G3187" s="15" t="s">
        <v>81</v>
      </c>
      <c r="H3187" s="15" t="s">
        <v>45</v>
      </c>
      <c r="I3187">
        <v>130</v>
      </c>
      <c r="J3187">
        <v>200</v>
      </c>
      <c r="K3187">
        <v>90</v>
      </c>
      <c r="L3187">
        <v>330</v>
      </c>
      <c r="M3187">
        <v>110</v>
      </c>
      <c r="N3187">
        <v>665</v>
      </c>
      <c r="O3187">
        <v>154</v>
      </c>
      <c r="P3187">
        <v>100</v>
      </c>
      <c r="Q3187">
        <v>33</v>
      </c>
      <c r="R3187">
        <v>262</v>
      </c>
      <c r="S3187">
        <v>0.79393939393939394</v>
      </c>
      <c r="T3187">
        <v>0.36666666666666664</v>
      </c>
      <c r="U3187">
        <v>0.84615384615384615</v>
      </c>
    </row>
    <row r="3188" spans="1:21" x14ac:dyDescent="0.35">
      <c r="A3188">
        <v>719</v>
      </c>
      <c r="B3188" s="16">
        <v>40725</v>
      </c>
      <c r="C3188" s="15" t="s">
        <v>37</v>
      </c>
      <c r="D3188" s="15" t="s">
        <v>38</v>
      </c>
      <c r="E3188" s="15" t="s">
        <v>51</v>
      </c>
      <c r="F3188" s="15" t="s">
        <v>52</v>
      </c>
      <c r="G3188" s="15" t="s">
        <v>41</v>
      </c>
      <c r="H3188" s="15" t="s">
        <v>45</v>
      </c>
      <c r="I3188">
        <v>120</v>
      </c>
      <c r="J3188">
        <v>130</v>
      </c>
      <c r="K3188">
        <v>80</v>
      </c>
      <c r="L3188">
        <v>250</v>
      </c>
      <c r="M3188">
        <v>145</v>
      </c>
      <c r="N3188">
        <v>1304</v>
      </c>
      <c r="O3188">
        <v>146</v>
      </c>
      <c r="P3188">
        <v>40</v>
      </c>
      <c r="Q3188">
        <v>112</v>
      </c>
      <c r="R3188">
        <v>288</v>
      </c>
      <c r="S3188">
        <v>1.1519999999999999</v>
      </c>
      <c r="T3188">
        <v>1.4</v>
      </c>
      <c r="U3188">
        <v>1.2083333333333333</v>
      </c>
    </row>
    <row r="3189" spans="1:21" x14ac:dyDescent="0.35">
      <c r="A3189">
        <v>303</v>
      </c>
      <c r="B3189" s="16">
        <v>40725</v>
      </c>
      <c r="C3189" s="15" t="s">
        <v>37</v>
      </c>
      <c r="D3189" s="15" t="s">
        <v>38</v>
      </c>
      <c r="E3189" s="15" t="s">
        <v>53</v>
      </c>
      <c r="F3189" s="15" t="s">
        <v>52</v>
      </c>
      <c r="G3189" s="15" t="s">
        <v>41</v>
      </c>
      <c r="H3189" s="15" t="s">
        <v>45</v>
      </c>
      <c r="I3189">
        <v>30</v>
      </c>
      <c r="J3189">
        <v>50</v>
      </c>
      <c r="K3189">
        <v>0</v>
      </c>
      <c r="L3189">
        <v>80</v>
      </c>
      <c r="M3189">
        <v>39</v>
      </c>
      <c r="N3189">
        <v>517</v>
      </c>
      <c r="O3189">
        <v>56</v>
      </c>
      <c r="P3189">
        <v>36</v>
      </c>
      <c r="Q3189">
        <v>-14</v>
      </c>
      <c r="R3189">
        <v>94</v>
      </c>
      <c r="S3189">
        <v>1.175</v>
      </c>
      <c r="U3189">
        <v>1.3</v>
      </c>
    </row>
    <row r="3190" spans="1:21" x14ac:dyDescent="0.35">
      <c r="A3190">
        <v>720</v>
      </c>
      <c r="B3190" s="16">
        <v>40725</v>
      </c>
      <c r="C3190" s="15" t="s">
        <v>37</v>
      </c>
      <c r="D3190" s="15" t="s">
        <v>38</v>
      </c>
      <c r="E3190" s="15" t="s">
        <v>54</v>
      </c>
      <c r="F3190" s="15" t="s">
        <v>52</v>
      </c>
      <c r="G3190" s="15" t="s">
        <v>41</v>
      </c>
      <c r="H3190" s="15" t="s">
        <v>45</v>
      </c>
      <c r="I3190">
        <v>40</v>
      </c>
      <c r="J3190">
        <v>50</v>
      </c>
      <c r="K3190">
        <v>20</v>
      </c>
      <c r="L3190">
        <v>90</v>
      </c>
      <c r="M3190">
        <v>47</v>
      </c>
      <c r="N3190">
        <v>420</v>
      </c>
      <c r="O3190">
        <v>63</v>
      </c>
      <c r="P3190">
        <v>15</v>
      </c>
      <c r="Q3190">
        <v>29</v>
      </c>
      <c r="R3190">
        <v>109</v>
      </c>
      <c r="S3190">
        <v>1.211111111111111</v>
      </c>
      <c r="T3190">
        <v>1.45</v>
      </c>
      <c r="U3190">
        <v>1.175</v>
      </c>
    </row>
    <row r="3191" spans="1:21" x14ac:dyDescent="0.35">
      <c r="A3191">
        <v>719</v>
      </c>
      <c r="B3191" s="16">
        <v>40725</v>
      </c>
      <c r="C3191" s="15" t="s">
        <v>37</v>
      </c>
      <c r="D3191" s="15" t="s">
        <v>38</v>
      </c>
      <c r="E3191" s="15" t="s">
        <v>55</v>
      </c>
      <c r="F3191" s="15" t="s">
        <v>47</v>
      </c>
      <c r="G3191" s="15" t="s">
        <v>41</v>
      </c>
      <c r="H3191" s="15" t="s">
        <v>42</v>
      </c>
      <c r="I3191">
        <v>40</v>
      </c>
      <c r="J3191">
        <v>60</v>
      </c>
      <c r="K3191">
        <v>20</v>
      </c>
      <c r="L3191">
        <v>100</v>
      </c>
      <c r="M3191">
        <v>51</v>
      </c>
      <c r="N3191">
        <v>419</v>
      </c>
      <c r="O3191">
        <v>64</v>
      </c>
      <c r="P3191">
        <v>19</v>
      </c>
      <c r="Q3191">
        <v>17</v>
      </c>
      <c r="R3191">
        <v>114</v>
      </c>
      <c r="S3191">
        <v>1.1399999999999999</v>
      </c>
      <c r="T3191">
        <v>0.85</v>
      </c>
      <c r="U3191">
        <v>1.2749999999999999</v>
      </c>
    </row>
    <row r="3192" spans="1:21" x14ac:dyDescent="0.35">
      <c r="A3192">
        <v>720</v>
      </c>
      <c r="B3192" s="16">
        <v>40725</v>
      </c>
      <c r="C3192" s="15" t="s">
        <v>37</v>
      </c>
      <c r="D3192" s="15" t="s">
        <v>38</v>
      </c>
      <c r="E3192" s="15" t="s">
        <v>56</v>
      </c>
      <c r="F3192" s="15" t="s">
        <v>47</v>
      </c>
      <c r="G3192" s="15" t="s">
        <v>41</v>
      </c>
      <c r="H3192" s="15" t="s">
        <v>42</v>
      </c>
      <c r="I3192">
        <v>40</v>
      </c>
      <c r="J3192">
        <v>50</v>
      </c>
      <c r="K3192">
        <v>20</v>
      </c>
      <c r="L3192">
        <v>90</v>
      </c>
      <c r="M3192">
        <v>50</v>
      </c>
      <c r="N3192">
        <v>1051</v>
      </c>
      <c r="O3192">
        <v>59</v>
      </c>
      <c r="P3192">
        <v>15</v>
      </c>
      <c r="Q3192">
        <v>32</v>
      </c>
      <c r="R3192">
        <v>108</v>
      </c>
      <c r="S3192">
        <v>1.2</v>
      </c>
      <c r="T3192">
        <v>1.6</v>
      </c>
      <c r="U3192">
        <v>1.25</v>
      </c>
    </row>
    <row r="3193" spans="1:21" x14ac:dyDescent="0.35">
      <c r="A3193">
        <v>970</v>
      </c>
      <c r="B3193" s="16">
        <v>40725</v>
      </c>
      <c r="C3193" s="15" t="s">
        <v>37</v>
      </c>
      <c r="D3193" s="15" t="s">
        <v>38</v>
      </c>
      <c r="E3193" s="15" t="s">
        <v>46</v>
      </c>
      <c r="F3193" s="15" t="s">
        <v>47</v>
      </c>
      <c r="G3193" s="15" t="s">
        <v>41</v>
      </c>
      <c r="H3193" s="15" t="s">
        <v>42</v>
      </c>
      <c r="I3193">
        <v>30</v>
      </c>
      <c r="J3193">
        <v>50</v>
      </c>
      <c r="K3193">
        <v>30</v>
      </c>
      <c r="L3193">
        <v>80</v>
      </c>
      <c r="M3193">
        <v>41</v>
      </c>
      <c r="N3193">
        <v>592</v>
      </c>
      <c r="O3193">
        <v>53</v>
      </c>
      <c r="P3193">
        <v>13</v>
      </c>
      <c r="Q3193">
        <v>37</v>
      </c>
      <c r="R3193">
        <v>93</v>
      </c>
      <c r="S3193">
        <v>1.1625000000000001</v>
      </c>
      <c r="T3193">
        <v>1.2333333333333334</v>
      </c>
      <c r="U3193">
        <v>1.3666666666666667</v>
      </c>
    </row>
    <row r="3194" spans="1:21" x14ac:dyDescent="0.35">
      <c r="A3194">
        <v>720</v>
      </c>
      <c r="B3194" s="16">
        <v>40725</v>
      </c>
      <c r="C3194" s="15" t="s">
        <v>37</v>
      </c>
      <c r="D3194" s="15" t="s">
        <v>38</v>
      </c>
      <c r="E3194" s="15" t="s">
        <v>39</v>
      </c>
      <c r="F3194" s="15" t="s">
        <v>40</v>
      </c>
      <c r="G3194" s="15" t="s">
        <v>41</v>
      </c>
      <c r="H3194" s="15" t="s">
        <v>42</v>
      </c>
      <c r="I3194">
        <v>110</v>
      </c>
      <c r="J3194">
        <v>150</v>
      </c>
      <c r="K3194">
        <v>120</v>
      </c>
      <c r="L3194">
        <v>260</v>
      </c>
      <c r="M3194">
        <v>104</v>
      </c>
      <c r="N3194">
        <v>952</v>
      </c>
      <c r="O3194">
        <v>152</v>
      </c>
      <c r="P3194">
        <v>29</v>
      </c>
      <c r="Q3194">
        <v>153</v>
      </c>
      <c r="R3194">
        <v>254</v>
      </c>
      <c r="S3194">
        <v>0.97692307692307689</v>
      </c>
      <c r="T3194">
        <v>1.2749999999999999</v>
      </c>
      <c r="U3194">
        <v>0.94545454545454544</v>
      </c>
    </row>
    <row r="3195" spans="1:21" x14ac:dyDescent="0.35">
      <c r="A3195">
        <v>303</v>
      </c>
      <c r="B3195" s="16">
        <v>40725</v>
      </c>
      <c r="C3195" s="15" t="s">
        <v>37</v>
      </c>
      <c r="D3195" s="15" t="s">
        <v>38</v>
      </c>
      <c r="E3195" s="15" t="s">
        <v>43</v>
      </c>
      <c r="F3195" s="15" t="s">
        <v>40</v>
      </c>
      <c r="G3195" s="15" t="s">
        <v>41</v>
      </c>
      <c r="H3195" s="15" t="s">
        <v>42</v>
      </c>
      <c r="I3195">
        <v>90</v>
      </c>
      <c r="J3195">
        <v>110</v>
      </c>
      <c r="K3195">
        <v>80</v>
      </c>
      <c r="L3195">
        <v>200</v>
      </c>
      <c r="M3195">
        <v>87</v>
      </c>
      <c r="N3195">
        <v>564</v>
      </c>
      <c r="O3195">
        <v>112</v>
      </c>
      <c r="P3195">
        <v>28</v>
      </c>
      <c r="Q3195">
        <v>98</v>
      </c>
      <c r="R3195">
        <v>197</v>
      </c>
      <c r="S3195">
        <v>0.98499999999999999</v>
      </c>
      <c r="T3195">
        <v>1.2250000000000001</v>
      </c>
      <c r="U3195">
        <v>0.96666666666666667</v>
      </c>
    </row>
    <row r="3196" spans="1:21" x14ac:dyDescent="0.35">
      <c r="A3196">
        <v>303</v>
      </c>
      <c r="B3196" s="16">
        <v>40725</v>
      </c>
      <c r="C3196" s="15" t="s">
        <v>37</v>
      </c>
      <c r="D3196" s="15" t="s">
        <v>38</v>
      </c>
      <c r="E3196" s="15" t="s">
        <v>44</v>
      </c>
      <c r="F3196" s="15" t="s">
        <v>40</v>
      </c>
      <c r="G3196" s="15" t="s">
        <v>41</v>
      </c>
      <c r="H3196" s="15" t="s">
        <v>45</v>
      </c>
      <c r="I3196">
        <v>130</v>
      </c>
      <c r="J3196">
        <v>190</v>
      </c>
      <c r="K3196">
        <v>150</v>
      </c>
      <c r="L3196">
        <v>320</v>
      </c>
      <c r="M3196">
        <v>127</v>
      </c>
      <c r="N3196">
        <v>1007</v>
      </c>
      <c r="O3196">
        <v>185</v>
      </c>
      <c r="P3196">
        <v>35</v>
      </c>
      <c r="Q3196">
        <v>192</v>
      </c>
      <c r="R3196">
        <v>309</v>
      </c>
      <c r="S3196">
        <v>0.96562499999999996</v>
      </c>
      <c r="T3196">
        <v>1.28</v>
      </c>
      <c r="U3196">
        <v>0.97692307692307689</v>
      </c>
    </row>
    <row r="3197" spans="1:21" x14ac:dyDescent="0.35">
      <c r="A3197">
        <v>720</v>
      </c>
      <c r="B3197" s="16">
        <v>40725</v>
      </c>
      <c r="C3197" s="15" t="s">
        <v>37</v>
      </c>
      <c r="D3197" s="15" t="s">
        <v>38</v>
      </c>
      <c r="E3197" s="15" t="s">
        <v>48</v>
      </c>
      <c r="F3197" s="15" t="s">
        <v>49</v>
      </c>
      <c r="G3197" s="15" t="s">
        <v>41</v>
      </c>
      <c r="H3197" s="15" t="s">
        <v>42</v>
      </c>
      <c r="I3197">
        <v>100</v>
      </c>
      <c r="J3197">
        <v>170</v>
      </c>
      <c r="K3197">
        <v>140</v>
      </c>
      <c r="L3197">
        <v>270</v>
      </c>
      <c r="M3197">
        <v>94</v>
      </c>
      <c r="N3197">
        <v>608</v>
      </c>
      <c r="O3197">
        <v>136</v>
      </c>
      <c r="P3197">
        <v>26</v>
      </c>
      <c r="Q3197">
        <v>135</v>
      </c>
      <c r="R3197">
        <v>228</v>
      </c>
      <c r="S3197">
        <v>0.84444444444444444</v>
      </c>
      <c r="T3197">
        <v>0.9642857142857143</v>
      </c>
      <c r="U3197">
        <v>0.94</v>
      </c>
    </row>
    <row r="3198" spans="1:21" x14ac:dyDescent="0.35">
      <c r="A3198">
        <v>303</v>
      </c>
      <c r="B3198" s="16">
        <v>40725</v>
      </c>
      <c r="C3198" s="15" t="s">
        <v>37</v>
      </c>
      <c r="D3198" s="15" t="s">
        <v>38</v>
      </c>
      <c r="E3198" s="15" t="s">
        <v>50</v>
      </c>
      <c r="F3198" s="15" t="s">
        <v>49</v>
      </c>
      <c r="G3198" s="15" t="s">
        <v>41</v>
      </c>
      <c r="H3198" s="15" t="s">
        <v>45</v>
      </c>
      <c r="I3198">
        <v>60</v>
      </c>
      <c r="J3198">
        <v>90</v>
      </c>
      <c r="K3198">
        <v>50</v>
      </c>
      <c r="L3198">
        <v>150</v>
      </c>
      <c r="M3198">
        <v>52</v>
      </c>
      <c r="N3198">
        <v>668</v>
      </c>
      <c r="O3198">
        <v>79</v>
      </c>
      <c r="P3198">
        <v>17</v>
      </c>
      <c r="Q3198">
        <v>43</v>
      </c>
      <c r="R3198">
        <v>130</v>
      </c>
      <c r="S3198">
        <v>0.8666666666666667</v>
      </c>
      <c r="T3198">
        <v>0.86</v>
      </c>
      <c r="U3198">
        <v>0.8666666666666667</v>
      </c>
    </row>
    <row r="3199" spans="1:21" x14ac:dyDescent="0.35">
      <c r="A3199">
        <v>708</v>
      </c>
      <c r="B3199" s="16">
        <v>40725</v>
      </c>
      <c r="C3199" s="15" t="s">
        <v>37</v>
      </c>
      <c r="D3199" s="15" t="s">
        <v>38</v>
      </c>
      <c r="E3199" s="15" t="s">
        <v>51</v>
      </c>
      <c r="F3199" s="15" t="s">
        <v>52</v>
      </c>
      <c r="G3199" s="15" t="s">
        <v>57</v>
      </c>
      <c r="H3199" s="15" t="s">
        <v>45</v>
      </c>
      <c r="I3199">
        <v>80</v>
      </c>
      <c r="J3199">
        <v>140</v>
      </c>
      <c r="K3199">
        <v>120</v>
      </c>
      <c r="L3199">
        <v>220</v>
      </c>
      <c r="M3199">
        <v>104</v>
      </c>
      <c r="N3199">
        <v>952</v>
      </c>
      <c r="O3199">
        <v>152</v>
      </c>
      <c r="P3199">
        <v>29</v>
      </c>
      <c r="Q3199">
        <v>153</v>
      </c>
      <c r="R3199">
        <v>254</v>
      </c>
      <c r="S3199">
        <v>1.1545454545454545</v>
      </c>
      <c r="T3199">
        <v>1.2749999999999999</v>
      </c>
      <c r="U3199">
        <v>1.3</v>
      </c>
    </row>
    <row r="3200" spans="1:21" x14ac:dyDescent="0.35">
      <c r="A3200">
        <v>773</v>
      </c>
      <c r="B3200" s="16">
        <v>40725</v>
      </c>
      <c r="C3200" s="15" t="s">
        <v>37</v>
      </c>
      <c r="D3200" s="15" t="s">
        <v>38</v>
      </c>
      <c r="E3200" s="15" t="s">
        <v>53</v>
      </c>
      <c r="F3200" s="15" t="s">
        <v>52</v>
      </c>
      <c r="G3200" s="15" t="s">
        <v>57</v>
      </c>
      <c r="H3200" s="15" t="s">
        <v>45</v>
      </c>
      <c r="I3200">
        <v>70</v>
      </c>
      <c r="J3200">
        <v>100</v>
      </c>
      <c r="K3200">
        <v>70</v>
      </c>
      <c r="L3200">
        <v>170</v>
      </c>
      <c r="M3200">
        <v>87</v>
      </c>
      <c r="N3200">
        <v>564</v>
      </c>
      <c r="O3200">
        <v>112</v>
      </c>
      <c r="P3200">
        <v>28</v>
      </c>
      <c r="Q3200">
        <v>99</v>
      </c>
      <c r="R3200">
        <v>197</v>
      </c>
      <c r="S3200">
        <v>1.1588235294117648</v>
      </c>
      <c r="T3200">
        <v>1.4142857142857144</v>
      </c>
      <c r="U3200">
        <v>1.2428571428571429</v>
      </c>
    </row>
    <row r="3201" spans="1:21" x14ac:dyDescent="0.35">
      <c r="A3201">
        <v>312</v>
      </c>
      <c r="B3201" s="16">
        <v>40725</v>
      </c>
      <c r="C3201" s="15" t="s">
        <v>37</v>
      </c>
      <c r="D3201" s="15" t="s">
        <v>38</v>
      </c>
      <c r="E3201" s="15" t="s">
        <v>54</v>
      </c>
      <c r="F3201" s="15" t="s">
        <v>52</v>
      </c>
      <c r="G3201" s="15" t="s">
        <v>57</v>
      </c>
      <c r="H3201" s="15" t="s">
        <v>45</v>
      </c>
      <c r="I3201">
        <v>100</v>
      </c>
      <c r="J3201">
        <v>170</v>
      </c>
      <c r="K3201">
        <v>150</v>
      </c>
      <c r="L3201">
        <v>270</v>
      </c>
      <c r="M3201">
        <v>127</v>
      </c>
      <c r="N3201">
        <v>1007</v>
      </c>
      <c r="O3201">
        <v>185</v>
      </c>
      <c r="P3201">
        <v>35</v>
      </c>
      <c r="Q3201">
        <v>192</v>
      </c>
      <c r="R3201">
        <v>309</v>
      </c>
      <c r="S3201">
        <v>1.1444444444444444</v>
      </c>
      <c r="T3201">
        <v>1.28</v>
      </c>
      <c r="U3201">
        <v>1.27</v>
      </c>
    </row>
    <row r="3202" spans="1:21" x14ac:dyDescent="0.35">
      <c r="A3202">
        <v>312</v>
      </c>
      <c r="B3202" s="16">
        <v>40725</v>
      </c>
      <c r="C3202" s="15" t="s">
        <v>37</v>
      </c>
      <c r="D3202" s="15" t="s">
        <v>38</v>
      </c>
      <c r="E3202" s="15" t="s">
        <v>55</v>
      </c>
      <c r="F3202" s="15" t="s">
        <v>47</v>
      </c>
      <c r="G3202" s="15" t="s">
        <v>57</v>
      </c>
      <c r="H3202" s="15" t="s">
        <v>42</v>
      </c>
      <c r="I3202">
        <v>80</v>
      </c>
      <c r="J3202">
        <v>120</v>
      </c>
      <c r="K3202">
        <v>90</v>
      </c>
      <c r="L3202">
        <v>200</v>
      </c>
      <c r="M3202">
        <v>94</v>
      </c>
      <c r="N3202">
        <v>608</v>
      </c>
      <c r="O3202">
        <v>136</v>
      </c>
      <c r="P3202">
        <v>26</v>
      </c>
      <c r="Q3202">
        <v>137</v>
      </c>
      <c r="R3202">
        <v>228</v>
      </c>
      <c r="S3202">
        <v>1.1399999999999999</v>
      </c>
      <c r="T3202">
        <v>1.5222222222222221</v>
      </c>
      <c r="U3202">
        <v>1.175</v>
      </c>
    </row>
    <row r="3203" spans="1:21" x14ac:dyDescent="0.35">
      <c r="A3203">
        <v>312</v>
      </c>
      <c r="B3203" s="16">
        <v>40725</v>
      </c>
      <c r="C3203" s="15" t="s">
        <v>37</v>
      </c>
      <c r="D3203" s="15" t="s">
        <v>38</v>
      </c>
      <c r="E3203" s="15" t="s">
        <v>56</v>
      </c>
      <c r="F3203" s="15" t="s">
        <v>47</v>
      </c>
      <c r="G3203" s="15" t="s">
        <v>57</v>
      </c>
      <c r="H3203" s="15" t="s">
        <v>42</v>
      </c>
      <c r="I3203">
        <v>40</v>
      </c>
      <c r="J3203">
        <v>70</v>
      </c>
      <c r="K3203">
        <v>30</v>
      </c>
      <c r="L3203">
        <v>110</v>
      </c>
      <c r="M3203">
        <v>52</v>
      </c>
      <c r="N3203">
        <v>668</v>
      </c>
      <c r="O3203">
        <v>79</v>
      </c>
      <c r="P3203">
        <v>17</v>
      </c>
      <c r="Q3203">
        <v>43</v>
      </c>
      <c r="R3203">
        <v>130</v>
      </c>
      <c r="S3203">
        <v>1.1818181818181819</v>
      </c>
      <c r="T3203">
        <v>1.4333333333333333</v>
      </c>
      <c r="U3203">
        <v>1.3</v>
      </c>
    </row>
    <row r="3204" spans="1:21" x14ac:dyDescent="0.35">
      <c r="A3204">
        <v>815</v>
      </c>
      <c r="B3204" s="16">
        <v>40725</v>
      </c>
      <c r="C3204" s="15" t="s">
        <v>37</v>
      </c>
      <c r="D3204" s="15" t="s">
        <v>38</v>
      </c>
      <c r="E3204" s="15" t="s">
        <v>43</v>
      </c>
      <c r="F3204" s="15" t="s">
        <v>40</v>
      </c>
      <c r="G3204" s="15" t="s">
        <v>57</v>
      </c>
      <c r="H3204" s="15" t="s">
        <v>42</v>
      </c>
      <c r="I3204">
        <v>250</v>
      </c>
      <c r="J3204">
        <v>340</v>
      </c>
      <c r="K3204">
        <v>230</v>
      </c>
      <c r="L3204">
        <v>590</v>
      </c>
      <c r="M3204">
        <v>238</v>
      </c>
      <c r="N3204">
        <v>1190</v>
      </c>
      <c r="O3204">
        <v>329</v>
      </c>
      <c r="P3204">
        <v>78</v>
      </c>
      <c r="Q3204">
        <v>287</v>
      </c>
      <c r="R3204">
        <v>562</v>
      </c>
      <c r="S3204">
        <v>0.9525423728813559</v>
      </c>
      <c r="T3204">
        <v>1.2478260869565216</v>
      </c>
      <c r="U3204">
        <v>0.95199999999999996</v>
      </c>
    </row>
    <row r="3205" spans="1:21" x14ac:dyDescent="0.35">
      <c r="A3205">
        <v>847</v>
      </c>
      <c r="B3205" s="16">
        <v>40725</v>
      </c>
      <c r="C3205" s="15" t="s">
        <v>37</v>
      </c>
      <c r="D3205" s="15" t="s">
        <v>38</v>
      </c>
      <c r="E3205" s="15" t="s">
        <v>44</v>
      </c>
      <c r="F3205" s="15" t="s">
        <v>40</v>
      </c>
      <c r="G3205" s="15" t="s">
        <v>57</v>
      </c>
      <c r="H3205" s="15" t="s">
        <v>45</v>
      </c>
      <c r="I3205">
        <v>160</v>
      </c>
      <c r="J3205">
        <v>230</v>
      </c>
      <c r="K3205">
        <v>170</v>
      </c>
      <c r="L3205">
        <v>390</v>
      </c>
      <c r="M3205">
        <v>154</v>
      </c>
      <c r="N3205">
        <v>833</v>
      </c>
      <c r="O3205">
        <v>222</v>
      </c>
      <c r="P3205">
        <v>49</v>
      </c>
      <c r="Q3205">
        <v>207</v>
      </c>
      <c r="R3205">
        <v>373</v>
      </c>
      <c r="S3205">
        <v>0.95641025641025645</v>
      </c>
      <c r="T3205">
        <v>1.2176470588235293</v>
      </c>
      <c r="U3205">
        <v>0.96250000000000002</v>
      </c>
    </row>
    <row r="3206" spans="1:21" x14ac:dyDescent="0.35">
      <c r="A3206">
        <v>630</v>
      </c>
      <c r="B3206" s="16">
        <v>40725</v>
      </c>
      <c r="C3206" s="15" t="s">
        <v>37</v>
      </c>
      <c r="D3206" s="15" t="s">
        <v>38</v>
      </c>
      <c r="E3206" s="15" t="s">
        <v>48</v>
      </c>
      <c r="F3206" s="15" t="s">
        <v>49</v>
      </c>
      <c r="G3206" s="15" t="s">
        <v>57</v>
      </c>
      <c r="H3206" s="15" t="s">
        <v>42</v>
      </c>
      <c r="I3206">
        <v>330</v>
      </c>
      <c r="J3206">
        <v>470</v>
      </c>
      <c r="K3206">
        <v>340</v>
      </c>
      <c r="L3206">
        <v>800</v>
      </c>
      <c r="M3206">
        <v>291</v>
      </c>
      <c r="N3206">
        <v>1742</v>
      </c>
      <c r="O3206">
        <v>387</v>
      </c>
      <c r="P3206">
        <v>96</v>
      </c>
      <c r="Q3206">
        <v>357</v>
      </c>
      <c r="R3206">
        <v>672</v>
      </c>
      <c r="S3206">
        <v>0.84</v>
      </c>
      <c r="T3206">
        <v>1.05</v>
      </c>
      <c r="U3206">
        <v>0.88181818181818183</v>
      </c>
    </row>
    <row r="3207" spans="1:21" x14ac:dyDescent="0.35">
      <c r="A3207">
        <v>815</v>
      </c>
      <c r="B3207" s="16">
        <v>40725</v>
      </c>
      <c r="C3207" s="15" t="s">
        <v>37</v>
      </c>
      <c r="D3207" s="15" t="s">
        <v>38</v>
      </c>
      <c r="E3207" s="15" t="s">
        <v>50</v>
      </c>
      <c r="F3207" s="15" t="s">
        <v>49</v>
      </c>
      <c r="G3207" s="15" t="s">
        <v>57</v>
      </c>
      <c r="H3207" s="15" t="s">
        <v>45</v>
      </c>
      <c r="I3207">
        <v>300</v>
      </c>
      <c r="J3207">
        <v>320</v>
      </c>
      <c r="K3207">
        <v>220</v>
      </c>
      <c r="L3207">
        <v>620</v>
      </c>
      <c r="M3207">
        <v>266</v>
      </c>
      <c r="N3207">
        <v>1819</v>
      </c>
      <c r="O3207">
        <v>266</v>
      </c>
      <c r="P3207">
        <v>74</v>
      </c>
      <c r="Q3207">
        <v>232</v>
      </c>
      <c r="R3207">
        <v>527</v>
      </c>
      <c r="S3207">
        <v>0.85</v>
      </c>
      <c r="T3207">
        <v>1.0545454545454545</v>
      </c>
      <c r="U3207">
        <v>0.88666666666666671</v>
      </c>
    </row>
    <row r="3208" spans="1:21" x14ac:dyDescent="0.35">
      <c r="A3208">
        <v>641</v>
      </c>
      <c r="B3208" s="16">
        <v>40725</v>
      </c>
      <c r="C3208" s="15" t="s">
        <v>37</v>
      </c>
      <c r="D3208" s="15" t="s">
        <v>58</v>
      </c>
      <c r="E3208" s="15" t="s">
        <v>51</v>
      </c>
      <c r="F3208" s="15" t="s">
        <v>52</v>
      </c>
      <c r="G3208" s="15" t="s">
        <v>59</v>
      </c>
      <c r="H3208" s="15" t="s">
        <v>45</v>
      </c>
      <c r="I3208">
        <v>250</v>
      </c>
      <c r="J3208">
        <v>340</v>
      </c>
      <c r="K3208">
        <v>240</v>
      </c>
      <c r="L3208">
        <v>590</v>
      </c>
      <c r="M3208">
        <v>291</v>
      </c>
      <c r="N3208">
        <v>1742</v>
      </c>
      <c r="O3208">
        <v>387</v>
      </c>
      <c r="P3208">
        <v>96</v>
      </c>
      <c r="Q3208">
        <v>356</v>
      </c>
      <c r="R3208">
        <v>672</v>
      </c>
      <c r="S3208">
        <v>1.1389830508474577</v>
      </c>
      <c r="T3208">
        <v>1.4833333333333334</v>
      </c>
      <c r="U3208">
        <v>1.1639999999999999</v>
      </c>
    </row>
    <row r="3209" spans="1:21" x14ac:dyDescent="0.35">
      <c r="A3209">
        <v>563</v>
      </c>
      <c r="B3209" s="16">
        <v>40725</v>
      </c>
      <c r="C3209" s="15" t="s">
        <v>37</v>
      </c>
      <c r="D3209" s="15" t="s">
        <v>58</v>
      </c>
      <c r="E3209" s="15" t="s">
        <v>53</v>
      </c>
      <c r="F3209" s="15" t="s">
        <v>52</v>
      </c>
      <c r="G3209" s="15" t="s">
        <v>59</v>
      </c>
      <c r="H3209" s="15" t="s">
        <v>45</v>
      </c>
      <c r="I3209">
        <v>130</v>
      </c>
      <c r="J3209">
        <v>200</v>
      </c>
      <c r="K3209">
        <v>150</v>
      </c>
      <c r="L3209">
        <v>330</v>
      </c>
      <c r="M3209">
        <v>154</v>
      </c>
      <c r="N3209">
        <v>833</v>
      </c>
      <c r="O3209">
        <v>222</v>
      </c>
      <c r="P3209">
        <v>49</v>
      </c>
      <c r="Q3209">
        <v>207</v>
      </c>
      <c r="R3209">
        <v>373</v>
      </c>
      <c r="S3209">
        <v>1.1303030303030304</v>
      </c>
      <c r="T3209">
        <v>1.38</v>
      </c>
      <c r="U3209">
        <v>1.1846153846153846</v>
      </c>
    </row>
    <row r="3210" spans="1:21" x14ac:dyDescent="0.35">
      <c r="A3210">
        <v>563</v>
      </c>
      <c r="B3210" s="16">
        <v>40725</v>
      </c>
      <c r="C3210" s="15" t="s">
        <v>37</v>
      </c>
      <c r="D3210" s="15" t="s">
        <v>58</v>
      </c>
      <c r="E3210" s="15" t="s">
        <v>55</v>
      </c>
      <c r="F3210" s="15" t="s">
        <v>47</v>
      </c>
      <c r="G3210" s="15" t="s">
        <v>59</v>
      </c>
      <c r="H3210" s="15" t="s">
        <v>42</v>
      </c>
      <c r="I3210">
        <v>220</v>
      </c>
      <c r="J3210">
        <v>240</v>
      </c>
      <c r="K3210">
        <v>150</v>
      </c>
      <c r="L3210">
        <v>460</v>
      </c>
      <c r="M3210">
        <v>266</v>
      </c>
      <c r="N3210">
        <v>1819</v>
      </c>
      <c r="O3210">
        <v>266</v>
      </c>
      <c r="P3210">
        <v>74</v>
      </c>
      <c r="Q3210">
        <v>230</v>
      </c>
      <c r="R3210">
        <v>527</v>
      </c>
      <c r="S3210">
        <v>1.1456521739130434</v>
      </c>
      <c r="T3210">
        <v>1.5333333333333334</v>
      </c>
      <c r="U3210">
        <v>1.209090909090909</v>
      </c>
    </row>
    <row r="3211" spans="1:21" x14ac:dyDescent="0.35">
      <c r="A3211">
        <v>515</v>
      </c>
      <c r="B3211" s="16">
        <v>40725</v>
      </c>
      <c r="C3211" s="15" t="s">
        <v>37</v>
      </c>
      <c r="D3211" s="15" t="s">
        <v>58</v>
      </c>
      <c r="E3211" s="15" t="s">
        <v>56</v>
      </c>
      <c r="F3211" s="15" t="s">
        <v>47</v>
      </c>
      <c r="G3211" s="15" t="s">
        <v>59</v>
      </c>
      <c r="H3211" s="15" t="s">
        <v>42</v>
      </c>
      <c r="I3211">
        <v>230</v>
      </c>
      <c r="J3211">
        <v>290</v>
      </c>
      <c r="K3211">
        <v>170</v>
      </c>
      <c r="L3211">
        <v>520</v>
      </c>
      <c r="M3211">
        <v>270</v>
      </c>
      <c r="N3211">
        <v>1834</v>
      </c>
      <c r="O3211">
        <v>332</v>
      </c>
      <c r="P3211">
        <v>102</v>
      </c>
      <c r="Q3211">
        <v>272</v>
      </c>
      <c r="R3211">
        <v>597</v>
      </c>
      <c r="S3211">
        <v>1.148076923076923</v>
      </c>
      <c r="T3211">
        <v>1.6</v>
      </c>
      <c r="U3211">
        <v>1.173913043478261</v>
      </c>
    </row>
    <row r="3212" spans="1:21" x14ac:dyDescent="0.35">
      <c r="A3212">
        <v>712</v>
      </c>
      <c r="B3212" s="16">
        <v>40725</v>
      </c>
      <c r="C3212" s="15" t="s">
        <v>37</v>
      </c>
      <c r="D3212" s="15" t="s">
        <v>58</v>
      </c>
      <c r="E3212" s="15" t="s">
        <v>39</v>
      </c>
      <c r="F3212" s="15" t="s">
        <v>40</v>
      </c>
      <c r="G3212" s="15" t="s">
        <v>59</v>
      </c>
      <c r="H3212" s="15" t="s">
        <v>42</v>
      </c>
      <c r="I3212">
        <v>20</v>
      </c>
      <c r="J3212">
        <v>40</v>
      </c>
      <c r="K3212">
        <v>30</v>
      </c>
      <c r="L3212">
        <v>60</v>
      </c>
      <c r="M3212">
        <v>25</v>
      </c>
      <c r="N3212">
        <v>854</v>
      </c>
      <c r="O3212">
        <v>36</v>
      </c>
      <c r="P3212">
        <v>7</v>
      </c>
      <c r="Q3212">
        <v>23</v>
      </c>
      <c r="R3212">
        <v>60</v>
      </c>
      <c r="S3212">
        <v>1</v>
      </c>
      <c r="T3212">
        <v>0.76666666666666672</v>
      </c>
      <c r="U3212">
        <v>1.25</v>
      </c>
    </row>
    <row r="3213" spans="1:21" x14ac:dyDescent="0.35">
      <c r="A3213">
        <v>319</v>
      </c>
      <c r="B3213" s="16">
        <v>40725</v>
      </c>
      <c r="C3213" s="15" t="s">
        <v>37</v>
      </c>
      <c r="D3213" s="15" t="s">
        <v>58</v>
      </c>
      <c r="E3213" s="15" t="s">
        <v>43</v>
      </c>
      <c r="F3213" s="15" t="s">
        <v>40</v>
      </c>
      <c r="G3213" s="15" t="s">
        <v>59</v>
      </c>
      <c r="H3213" s="15" t="s">
        <v>42</v>
      </c>
      <c r="I3213">
        <v>30</v>
      </c>
      <c r="J3213">
        <v>40</v>
      </c>
      <c r="K3213">
        <v>20</v>
      </c>
      <c r="L3213">
        <v>70</v>
      </c>
      <c r="M3213">
        <v>34</v>
      </c>
      <c r="N3213">
        <v>1010</v>
      </c>
      <c r="O3213">
        <v>41</v>
      </c>
      <c r="P3213">
        <v>10</v>
      </c>
      <c r="Q3213">
        <v>12</v>
      </c>
      <c r="R3213">
        <v>74</v>
      </c>
      <c r="S3213">
        <v>1.0571428571428572</v>
      </c>
      <c r="T3213">
        <v>0.6</v>
      </c>
      <c r="U3213">
        <v>1.1333333333333333</v>
      </c>
    </row>
    <row r="3214" spans="1:21" x14ac:dyDescent="0.35">
      <c r="A3214">
        <v>712</v>
      </c>
      <c r="B3214" s="16">
        <v>40725</v>
      </c>
      <c r="C3214" s="15" t="s">
        <v>37</v>
      </c>
      <c r="D3214" s="15" t="s">
        <v>58</v>
      </c>
      <c r="E3214" s="15" t="s">
        <v>44</v>
      </c>
      <c r="F3214" s="15" t="s">
        <v>40</v>
      </c>
      <c r="G3214" s="15" t="s">
        <v>59</v>
      </c>
      <c r="H3214" s="15" t="s">
        <v>45</v>
      </c>
      <c r="I3214">
        <v>20</v>
      </c>
      <c r="J3214">
        <v>30</v>
      </c>
      <c r="K3214">
        <v>20</v>
      </c>
      <c r="L3214">
        <v>50</v>
      </c>
      <c r="M3214">
        <v>23</v>
      </c>
      <c r="N3214">
        <v>605</v>
      </c>
      <c r="O3214">
        <v>31</v>
      </c>
      <c r="P3214">
        <v>7</v>
      </c>
      <c r="Q3214">
        <v>17</v>
      </c>
      <c r="R3214">
        <v>54</v>
      </c>
      <c r="S3214">
        <v>1.08</v>
      </c>
      <c r="T3214">
        <v>0.85</v>
      </c>
      <c r="U3214">
        <v>1.1499999999999999</v>
      </c>
    </row>
    <row r="3215" spans="1:21" x14ac:dyDescent="0.35">
      <c r="A3215">
        <v>712</v>
      </c>
      <c r="B3215" s="16">
        <v>40725</v>
      </c>
      <c r="C3215" s="15" t="s">
        <v>37</v>
      </c>
      <c r="D3215" s="15" t="s">
        <v>58</v>
      </c>
      <c r="E3215" s="15" t="s">
        <v>48</v>
      </c>
      <c r="F3215" s="15" t="s">
        <v>49</v>
      </c>
      <c r="G3215" s="15" t="s">
        <v>59</v>
      </c>
      <c r="H3215" s="15" t="s">
        <v>42</v>
      </c>
      <c r="I3215">
        <v>20</v>
      </c>
      <c r="J3215">
        <v>30</v>
      </c>
      <c r="K3215">
        <v>20</v>
      </c>
      <c r="L3215">
        <v>50</v>
      </c>
      <c r="M3215">
        <v>20</v>
      </c>
      <c r="N3215">
        <v>808</v>
      </c>
      <c r="O3215">
        <v>29</v>
      </c>
      <c r="P3215">
        <v>5</v>
      </c>
      <c r="Q3215">
        <v>18</v>
      </c>
      <c r="R3215">
        <v>49</v>
      </c>
      <c r="S3215">
        <v>0.98</v>
      </c>
      <c r="T3215">
        <v>0.9</v>
      </c>
      <c r="U3215">
        <v>1</v>
      </c>
    </row>
    <row r="3216" spans="1:21" x14ac:dyDescent="0.35">
      <c r="A3216">
        <v>563</v>
      </c>
      <c r="B3216" s="16">
        <v>40725</v>
      </c>
      <c r="C3216" s="15" t="s">
        <v>37</v>
      </c>
      <c r="D3216" s="15" t="s">
        <v>58</v>
      </c>
      <c r="E3216" s="15" t="s">
        <v>50</v>
      </c>
      <c r="F3216" s="15" t="s">
        <v>49</v>
      </c>
      <c r="G3216" s="15" t="s">
        <v>59</v>
      </c>
      <c r="H3216" s="15" t="s">
        <v>45</v>
      </c>
      <c r="I3216">
        <v>0</v>
      </c>
      <c r="J3216">
        <v>50</v>
      </c>
      <c r="K3216">
        <v>40</v>
      </c>
      <c r="L3216">
        <v>50</v>
      </c>
      <c r="M3216">
        <v>0</v>
      </c>
      <c r="N3216">
        <v>559</v>
      </c>
      <c r="O3216">
        <v>43</v>
      </c>
      <c r="P3216">
        <v>0</v>
      </c>
      <c r="Q3216">
        <v>43</v>
      </c>
      <c r="R3216">
        <v>43</v>
      </c>
      <c r="S3216">
        <v>0.86</v>
      </c>
      <c r="T3216">
        <v>1.075</v>
      </c>
    </row>
    <row r="3217" spans="1:21" x14ac:dyDescent="0.35">
      <c r="A3217">
        <v>636</v>
      </c>
      <c r="B3217" s="16">
        <v>40725</v>
      </c>
      <c r="C3217" s="15" t="s">
        <v>37</v>
      </c>
      <c r="D3217" s="15" t="s">
        <v>58</v>
      </c>
      <c r="E3217" s="15" t="s">
        <v>51</v>
      </c>
      <c r="F3217" s="15" t="s">
        <v>52</v>
      </c>
      <c r="G3217" s="15" t="s">
        <v>60</v>
      </c>
      <c r="H3217" s="15" t="s">
        <v>45</v>
      </c>
      <c r="I3217">
        <v>50</v>
      </c>
      <c r="J3217">
        <v>70</v>
      </c>
      <c r="K3217">
        <v>10</v>
      </c>
      <c r="L3217">
        <v>120</v>
      </c>
      <c r="M3217">
        <v>59</v>
      </c>
      <c r="N3217">
        <v>338</v>
      </c>
      <c r="O3217">
        <v>82</v>
      </c>
      <c r="P3217">
        <v>53</v>
      </c>
      <c r="Q3217">
        <v>-1</v>
      </c>
      <c r="R3217">
        <v>140</v>
      </c>
      <c r="S3217">
        <v>1.1666666666666667</v>
      </c>
      <c r="T3217">
        <v>-0.1</v>
      </c>
      <c r="U3217">
        <v>1.18</v>
      </c>
    </row>
    <row r="3218" spans="1:21" x14ac:dyDescent="0.35">
      <c r="A3218">
        <v>660</v>
      </c>
      <c r="B3218" s="16">
        <v>40725</v>
      </c>
      <c r="C3218" s="15" t="s">
        <v>37</v>
      </c>
      <c r="D3218" s="15" t="s">
        <v>58</v>
      </c>
      <c r="E3218" s="15" t="s">
        <v>53</v>
      </c>
      <c r="F3218" s="15" t="s">
        <v>52</v>
      </c>
      <c r="G3218" s="15" t="s">
        <v>60</v>
      </c>
      <c r="H3218" s="15" t="s">
        <v>45</v>
      </c>
      <c r="I3218">
        <v>100</v>
      </c>
      <c r="J3218">
        <v>40</v>
      </c>
      <c r="K3218">
        <v>0</v>
      </c>
      <c r="L3218">
        <v>140</v>
      </c>
      <c r="M3218">
        <v>120</v>
      </c>
      <c r="N3218">
        <v>1334</v>
      </c>
      <c r="O3218">
        <v>49</v>
      </c>
      <c r="P3218">
        <v>37</v>
      </c>
      <c r="Q3218">
        <v>-17</v>
      </c>
      <c r="R3218">
        <v>167</v>
      </c>
      <c r="S3218">
        <v>1.1928571428571428</v>
      </c>
      <c r="U3218">
        <v>1.2</v>
      </c>
    </row>
    <row r="3219" spans="1:21" x14ac:dyDescent="0.35">
      <c r="A3219">
        <v>314</v>
      </c>
      <c r="B3219" s="16">
        <v>40725</v>
      </c>
      <c r="C3219" s="15" t="s">
        <v>37</v>
      </c>
      <c r="D3219" s="15" t="s">
        <v>58</v>
      </c>
      <c r="E3219" s="15" t="s">
        <v>55</v>
      </c>
      <c r="F3219" s="15" t="s">
        <v>47</v>
      </c>
      <c r="G3219" s="15" t="s">
        <v>60</v>
      </c>
      <c r="H3219" s="15" t="s">
        <v>42</v>
      </c>
      <c r="I3219">
        <v>30</v>
      </c>
      <c r="J3219">
        <v>60</v>
      </c>
      <c r="K3219">
        <v>30</v>
      </c>
      <c r="L3219">
        <v>90</v>
      </c>
      <c r="M3219">
        <v>44</v>
      </c>
      <c r="N3219">
        <v>258</v>
      </c>
      <c r="O3219">
        <v>59</v>
      </c>
      <c r="P3219">
        <v>14</v>
      </c>
      <c r="Q3219">
        <v>23</v>
      </c>
      <c r="R3219">
        <v>102</v>
      </c>
      <c r="S3219">
        <v>1.1333333333333333</v>
      </c>
      <c r="T3219">
        <v>0.76666666666666672</v>
      </c>
      <c r="U3219">
        <v>1.4666666666666666</v>
      </c>
    </row>
    <row r="3220" spans="1:21" x14ac:dyDescent="0.35">
      <c r="A3220">
        <v>816</v>
      </c>
      <c r="B3220" s="16">
        <v>40725</v>
      </c>
      <c r="C3220" s="15" t="s">
        <v>37</v>
      </c>
      <c r="D3220" s="15" t="s">
        <v>58</v>
      </c>
      <c r="E3220" s="15" t="s">
        <v>56</v>
      </c>
      <c r="F3220" s="15" t="s">
        <v>47</v>
      </c>
      <c r="G3220" s="15" t="s">
        <v>60</v>
      </c>
      <c r="H3220" s="15" t="s">
        <v>42</v>
      </c>
      <c r="I3220">
        <v>30</v>
      </c>
      <c r="J3220">
        <v>40</v>
      </c>
      <c r="K3220">
        <v>0</v>
      </c>
      <c r="L3220">
        <v>70</v>
      </c>
      <c r="M3220">
        <v>40</v>
      </c>
      <c r="N3220">
        <v>219</v>
      </c>
      <c r="O3220">
        <v>49</v>
      </c>
      <c r="P3220">
        <v>15</v>
      </c>
      <c r="Q3220">
        <v>1</v>
      </c>
      <c r="R3220">
        <v>88</v>
      </c>
      <c r="S3220">
        <v>1.2571428571428571</v>
      </c>
      <c r="U3220">
        <v>1.3333333333333333</v>
      </c>
    </row>
    <row r="3221" spans="1:21" x14ac:dyDescent="0.35">
      <c r="A3221">
        <v>417</v>
      </c>
      <c r="B3221" s="16">
        <v>40725</v>
      </c>
      <c r="C3221" s="15" t="s">
        <v>37</v>
      </c>
      <c r="D3221" s="15" t="s">
        <v>58</v>
      </c>
      <c r="E3221" s="15" t="s">
        <v>46</v>
      </c>
      <c r="F3221" s="15" t="s">
        <v>47</v>
      </c>
      <c r="G3221" s="15" t="s">
        <v>60</v>
      </c>
      <c r="H3221" s="15" t="s">
        <v>42</v>
      </c>
      <c r="I3221">
        <v>30</v>
      </c>
      <c r="J3221">
        <v>40</v>
      </c>
      <c r="K3221">
        <v>0</v>
      </c>
      <c r="L3221">
        <v>70</v>
      </c>
      <c r="M3221">
        <v>36</v>
      </c>
      <c r="N3221">
        <v>252</v>
      </c>
      <c r="O3221">
        <v>46</v>
      </c>
      <c r="P3221">
        <v>13</v>
      </c>
      <c r="Q3221">
        <v>0</v>
      </c>
      <c r="R3221">
        <v>81</v>
      </c>
      <c r="S3221">
        <v>1.1571428571428573</v>
      </c>
      <c r="U3221">
        <v>1.2</v>
      </c>
    </row>
    <row r="3222" spans="1:21" x14ac:dyDescent="0.35">
      <c r="A3222">
        <v>314</v>
      </c>
      <c r="B3222" s="16">
        <v>40725</v>
      </c>
      <c r="C3222" s="15" t="s">
        <v>37</v>
      </c>
      <c r="D3222" s="15" t="s">
        <v>58</v>
      </c>
      <c r="E3222" s="15" t="s">
        <v>43</v>
      </c>
      <c r="F3222" s="15" t="s">
        <v>40</v>
      </c>
      <c r="G3222" s="15" t="s">
        <v>60</v>
      </c>
      <c r="H3222" s="15" t="s">
        <v>42</v>
      </c>
      <c r="I3222">
        <v>80</v>
      </c>
      <c r="J3222">
        <v>90</v>
      </c>
      <c r="K3222">
        <v>40</v>
      </c>
      <c r="L3222">
        <v>170</v>
      </c>
      <c r="M3222">
        <v>76</v>
      </c>
      <c r="N3222">
        <v>613</v>
      </c>
      <c r="O3222">
        <v>93</v>
      </c>
      <c r="P3222">
        <v>28</v>
      </c>
      <c r="Q3222">
        <v>43</v>
      </c>
      <c r="R3222">
        <v>167</v>
      </c>
      <c r="S3222">
        <v>0.98235294117647054</v>
      </c>
      <c r="T3222">
        <v>1.075</v>
      </c>
      <c r="U3222">
        <v>0.95</v>
      </c>
    </row>
    <row r="3223" spans="1:21" x14ac:dyDescent="0.35">
      <c r="A3223">
        <v>314</v>
      </c>
      <c r="B3223" s="16">
        <v>40725</v>
      </c>
      <c r="C3223" s="15" t="s">
        <v>37</v>
      </c>
      <c r="D3223" s="15" t="s">
        <v>58</v>
      </c>
      <c r="E3223" s="15" t="s">
        <v>44</v>
      </c>
      <c r="F3223" s="15" t="s">
        <v>40</v>
      </c>
      <c r="G3223" s="15" t="s">
        <v>60</v>
      </c>
      <c r="H3223" s="15" t="s">
        <v>45</v>
      </c>
      <c r="I3223">
        <v>60</v>
      </c>
      <c r="J3223">
        <v>70</v>
      </c>
      <c r="K3223">
        <v>40</v>
      </c>
      <c r="L3223">
        <v>130</v>
      </c>
      <c r="M3223">
        <v>60</v>
      </c>
      <c r="N3223">
        <v>1070</v>
      </c>
      <c r="O3223">
        <v>72</v>
      </c>
      <c r="P3223">
        <v>18</v>
      </c>
      <c r="Q3223">
        <v>44</v>
      </c>
      <c r="R3223">
        <v>131</v>
      </c>
      <c r="S3223">
        <v>1.0076923076923077</v>
      </c>
      <c r="T3223">
        <v>1.1000000000000001</v>
      </c>
      <c r="U3223">
        <v>1</v>
      </c>
    </row>
    <row r="3224" spans="1:21" x14ac:dyDescent="0.35">
      <c r="A3224">
        <v>660</v>
      </c>
      <c r="B3224" s="16">
        <v>40725</v>
      </c>
      <c r="C3224" s="15" t="s">
        <v>37</v>
      </c>
      <c r="D3224" s="15" t="s">
        <v>58</v>
      </c>
      <c r="E3224" s="15" t="s">
        <v>48</v>
      </c>
      <c r="F3224" s="15" t="s">
        <v>49</v>
      </c>
      <c r="G3224" s="15" t="s">
        <v>60</v>
      </c>
      <c r="H3224" s="15" t="s">
        <v>42</v>
      </c>
      <c r="I3224">
        <v>40</v>
      </c>
      <c r="J3224">
        <v>60</v>
      </c>
      <c r="K3224">
        <v>40</v>
      </c>
      <c r="L3224">
        <v>100</v>
      </c>
      <c r="M3224">
        <v>35</v>
      </c>
      <c r="N3224">
        <v>894</v>
      </c>
      <c r="O3224">
        <v>52</v>
      </c>
      <c r="P3224">
        <v>9</v>
      </c>
      <c r="Q3224">
        <v>44</v>
      </c>
      <c r="R3224">
        <v>86</v>
      </c>
      <c r="S3224">
        <v>0.86</v>
      </c>
      <c r="T3224">
        <v>1.1000000000000001</v>
      </c>
      <c r="U3224">
        <v>0.875</v>
      </c>
    </row>
    <row r="3225" spans="1:21" x14ac:dyDescent="0.35">
      <c r="A3225">
        <v>314</v>
      </c>
      <c r="B3225" s="16">
        <v>40725</v>
      </c>
      <c r="C3225" s="15" t="s">
        <v>37</v>
      </c>
      <c r="D3225" s="15" t="s">
        <v>58</v>
      </c>
      <c r="E3225" s="15" t="s">
        <v>50</v>
      </c>
      <c r="F3225" s="15" t="s">
        <v>49</v>
      </c>
      <c r="G3225" s="15" t="s">
        <v>60</v>
      </c>
      <c r="H3225" s="15" t="s">
        <v>45</v>
      </c>
      <c r="I3225">
        <v>40</v>
      </c>
      <c r="J3225">
        <v>70</v>
      </c>
      <c r="K3225">
        <v>50</v>
      </c>
      <c r="L3225">
        <v>110</v>
      </c>
      <c r="M3225">
        <v>39</v>
      </c>
      <c r="N3225">
        <v>845</v>
      </c>
      <c r="O3225">
        <v>57</v>
      </c>
      <c r="P3225">
        <v>10</v>
      </c>
      <c r="Q3225">
        <v>48</v>
      </c>
      <c r="R3225">
        <v>95</v>
      </c>
      <c r="S3225">
        <v>0.86363636363636365</v>
      </c>
      <c r="T3225">
        <v>0.96</v>
      </c>
      <c r="U3225">
        <v>0.97499999999999998</v>
      </c>
    </row>
    <row r="3226" spans="1:21" x14ac:dyDescent="0.35">
      <c r="A3226">
        <v>513</v>
      </c>
      <c r="B3226" s="16">
        <v>40725</v>
      </c>
      <c r="C3226" s="15" t="s">
        <v>37</v>
      </c>
      <c r="D3226" s="15" t="s">
        <v>38</v>
      </c>
      <c r="E3226" s="15" t="s">
        <v>51</v>
      </c>
      <c r="F3226" s="15" t="s">
        <v>52</v>
      </c>
      <c r="G3226" s="15" t="s">
        <v>61</v>
      </c>
      <c r="H3226" s="15" t="s">
        <v>45</v>
      </c>
      <c r="I3226">
        <v>10</v>
      </c>
      <c r="J3226">
        <v>20</v>
      </c>
      <c r="K3226">
        <v>20</v>
      </c>
      <c r="L3226">
        <v>30</v>
      </c>
      <c r="M3226">
        <v>18</v>
      </c>
      <c r="N3226">
        <v>486</v>
      </c>
      <c r="O3226">
        <v>26</v>
      </c>
      <c r="P3226">
        <v>5</v>
      </c>
      <c r="Q3226">
        <v>12</v>
      </c>
      <c r="R3226">
        <v>44</v>
      </c>
      <c r="S3226">
        <v>1.4666666666666666</v>
      </c>
      <c r="T3226">
        <v>0.6</v>
      </c>
      <c r="U3226">
        <v>1.8</v>
      </c>
    </row>
    <row r="3227" spans="1:21" x14ac:dyDescent="0.35">
      <c r="A3227">
        <v>937</v>
      </c>
      <c r="B3227" s="16">
        <v>40725</v>
      </c>
      <c r="C3227" s="15" t="s">
        <v>37</v>
      </c>
      <c r="D3227" s="15" t="s">
        <v>38</v>
      </c>
      <c r="E3227" s="15" t="s">
        <v>53</v>
      </c>
      <c r="F3227" s="15" t="s">
        <v>52</v>
      </c>
      <c r="G3227" s="15" t="s">
        <v>61</v>
      </c>
      <c r="H3227" s="15" t="s">
        <v>45</v>
      </c>
      <c r="I3227">
        <v>10</v>
      </c>
      <c r="J3227">
        <v>40</v>
      </c>
      <c r="K3227">
        <v>40</v>
      </c>
      <c r="L3227">
        <v>50</v>
      </c>
      <c r="M3227">
        <v>23</v>
      </c>
      <c r="N3227">
        <v>868</v>
      </c>
      <c r="O3227">
        <v>34</v>
      </c>
      <c r="P3227">
        <v>6</v>
      </c>
      <c r="Q3227">
        <v>22</v>
      </c>
      <c r="R3227">
        <v>56</v>
      </c>
      <c r="S3227">
        <v>1.1200000000000001</v>
      </c>
      <c r="T3227">
        <v>0.55000000000000004</v>
      </c>
      <c r="U3227">
        <v>2.2999999999999998</v>
      </c>
    </row>
    <row r="3228" spans="1:21" x14ac:dyDescent="0.35">
      <c r="A3228">
        <v>740</v>
      </c>
      <c r="B3228" s="16">
        <v>40725</v>
      </c>
      <c r="C3228" s="15" t="s">
        <v>37</v>
      </c>
      <c r="D3228" s="15" t="s">
        <v>38</v>
      </c>
      <c r="E3228" s="15" t="s">
        <v>55</v>
      </c>
      <c r="F3228" s="15" t="s">
        <v>47</v>
      </c>
      <c r="G3228" s="15" t="s">
        <v>61</v>
      </c>
      <c r="H3228" s="15" t="s">
        <v>42</v>
      </c>
      <c r="I3228">
        <v>90</v>
      </c>
      <c r="J3228">
        <v>160</v>
      </c>
      <c r="K3228">
        <v>100</v>
      </c>
      <c r="L3228">
        <v>250</v>
      </c>
      <c r="M3228">
        <v>114</v>
      </c>
      <c r="N3228">
        <v>822</v>
      </c>
      <c r="O3228">
        <v>172</v>
      </c>
      <c r="P3228">
        <v>37</v>
      </c>
      <c r="Q3228">
        <v>144</v>
      </c>
      <c r="R3228">
        <v>283</v>
      </c>
      <c r="S3228">
        <v>1.1319999999999999</v>
      </c>
      <c r="T3228">
        <v>1.44</v>
      </c>
      <c r="U3228">
        <v>1.2666666666666666</v>
      </c>
    </row>
    <row r="3229" spans="1:21" x14ac:dyDescent="0.35">
      <c r="A3229">
        <v>419</v>
      </c>
      <c r="B3229" s="16">
        <v>40725</v>
      </c>
      <c r="C3229" s="15" t="s">
        <v>37</v>
      </c>
      <c r="D3229" s="15" t="s">
        <v>38</v>
      </c>
      <c r="E3229" s="15" t="s">
        <v>56</v>
      </c>
      <c r="F3229" s="15" t="s">
        <v>47</v>
      </c>
      <c r="G3229" s="15" t="s">
        <v>61</v>
      </c>
      <c r="H3229" s="15" t="s">
        <v>42</v>
      </c>
      <c r="I3229">
        <v>120</v>
      </c>
      <c r="J3229">
        <v>170</v>
      </c>
      <c r="K3229">
        <v>110</v>
      </c>
      <c r="L3229">
        <v>290</v>
      </c>
      <c r="M3229">
        <v>141</v>
      </c>
      <c r="N3229">
        <v>692</v>
      </c>
      <c r="O3229">
        <v>195</v>
      </c>
      <c r="P3229">
        <v>43</v>
      </c>
      <c r="Q3229">
        <v>177</v>
      </c>
      <c r="R3229">
        <v>333</v>
      </c>
      <c r="S3229">
        <v>1.1482758620689655</v>
      </c>
      <c r="T3229">
        <v>1.6090909090909091</v>
      </c>
      <c r="U3229">
        <v>1.175</v>
      </c>
    </row>
    <row r="3230" spans="1:21" x14ac:dyDescent="0.35">
      <c r="A3230">
        <v>614</v>
      </c>
      <c r="B3230" s="16">
        <v>40725</v>
      </c>
      <c r="C3230" s="15" t="s">
        <v>37</v>
      </c>
      <c r="D3230" s="15" t="s">
        <v>38</v>
      </c>
      <c r="E3230" s="15" t="s">
        <v>50</v>
      </c>
      <c r="F3230" s="15" t="s">
        <v>49</v>
      </c>
      <c r="G3230" s="15" t="s">
        <v>61</v>
      </c>
      <c r="H3230" s="15" t="s">
        <v>45</v>
      </c>
      <c r="I3230">
        <v>50</v>
      </c>
      <c r="J3230">
        <v>80</v>
      </c>
      <c r="K3230">
        <v>30</v>
      </c>
      <c r="L3230">
        <v>130</v>
      </c>
      <c r="M3230">
        <v>51</v>
      </c>
      <c r="N3230">
        <v>419</v>
      </c>
      <c r="O3230">
        <v>64</v>
      </c>
      <c r="P3230">
        <v>19</v>
      </c>
      <c r="Q3230">
        <v>15</v>
      </c>
      <c r="R3230">
        <v>114</v>
      </c>
      <c r="S3230">
        <v>0.87692307692307692</v>
      </c>
      <c r="T3230">
        <v>0.5</v>
      </c>
      <c r="U3230">
        <v>1.02</v>
      </c>
    </row>
    <row r="3231" spans="1:21" x14ac:dyDescent="0.35">
      <c r="A3231">
        <v>513</v>
      </c>
      <c r="B3231" s="16">
        <v>40725</v>
      </c>
      <c r="C3231" s="15" t="s">
        <v>37</v>
      </c>
      <c r="D3231" s="15" t="s">
        <v>38</v>
      </c>
      <c r="E3231" s="15" t="s">
        <v>39</v>
      </c>
      <c r="F3231" s="15" t="s">
        <v>40</v>
      </c>
      <c r="G3231" s="15" t="s">
        <v>61</v>
      </c>
      <c r="H3231" s="15" t="s">
        <v>42</v>
      </c>
      <c r="I3231">
        <v>40</v>
      </c>
      <c r="J3231">
        <v>70</v>
      </c>
      <c r="K3231">
        <v>40</v>
      </c>
      <c r="L3231">
        <v>110</v>
      </c>
      <c r="M3231">
        <v>47</v>
      </c>
      <c r="N3231">
        <v>420</v>
      </c>
      <c r="O3231">
        <v>63</v>
      </c>
      <c r="P3231">
        <v>15</v>
      </c>
      <c r="Q3231">
        <v>28</v>
      </c>
      <c r="R3231">
        <v>109</v>
      </c>
      <c r="S3231">
        <v>0.99090909090909096</v>
      </c>
      <c r="T3231">
        <v>0.7</v>
      </c>
      <c r="U3231">
        <v>1.175</v>
      </c>
    </row>
    <row r="3232" spans="1:21" x14ac:dyDescent="0.35">
      <c r="A3232">
        <v>234</v>
      </c>
      <c r="B3232" s="16">
        <v>40725</v>
      </c>
      <c r="C3232" s="15" t="s">
        <v>37</v>
      </c>
      <c r="D3232" s="15" t="s">
        <v>38</v>
      </c>
      <c r="E3232" s="15" t="s">
        <v>43</v>
      </c>
      <c r="F3232" s="15" t="s">
        <v>40</v>
      </c>
      <c r="G3232" s="15" t="s">
        <v>61</v>
      </c>
      <c r="H3232" s="15" t="s">
        <v>42</v>
      </c>
      <c r="I3232">
        <v>30</v>
      </c>
      <c r="J3232">
        <v>50</v>
      </c>
      <c r="K3232">
        <v>30</v>
      </c>
      <c r="L3232">
        <v>80</v>
      </c>
      <c r="M3232">
        <v>34</v>
      </c>
      <c r="N3232">
        <v>432</v>
      </c>
      <c r="O3232">
        <v>51</v>
      </c>
      <c r="P3232">
        <v>10</v>
      </c>
      <c r="Q3232">
        <v>25</v>
      </c>
      <c r="R3232">
        <v>84</v>
      </c>
      <c r="S3232">
        <v>1.05</v>
      </c>
      <c r="T3232">
        <v>0.83333333333333337</v>
      </c>
      <c r="U3232">
        <v>1.1333333333333333</v>
      </c>
    </row>
    <row r="3233" spans="1:21" x14ac:dyDescent="0.35">
      <c r="A3233">
        <v>567</v>
      </c>
      <c r="B3233" s="16">
        <v>40725</v>
      </c>
      <c r="C3233" s="15" t="s">
        <v>37</v>
      </c>
      <c r="D3233" s="15" t="s">
        <v>38</v>
      </c>
      <c r="E3233" s="15" t="s">
        <v>44</v>
      </c>
      <c r="F3233" s="15" t="s">
        <v>40</v>
      </c>
      <c r="G3233" s="15" t="s">
        <v>61</v>
      </c>
      <c r="H3233" s="15" t="s">
        <v>45</v>
      </c>
      <c r="I3233">
        <v>40</v>
      </c>
      <c r="J3233">
        <v>50</v>
      </c>
      <c r="K3233">
        <v>0</v>
      </c>
      <c r="L3233">
        <v>90</v>
      </c>
      <c r="M3233">
        <v>39</v>
      </c>
      <c r="N3233">
        <v>517</v>
      </c>
      <c r="O3233">
        <v>56</v>
      </c>
      <c r="P3233">
        <v>36</v>
      </c>
      <c r="Q3233">
        <v>-12</v>
      </c>
      <c r="R3233">
        <v>94</v>
      </c>
      <c r="S3233">
        <v>1.0444444444444445</v>
      </c>
      <c r="U3233">
        <v>0.97499999999999998</v>
      </c>
    </row>
    <row r="3234" spans="1:21" x14ac:dyDescent="0.35">
      <c r="A3234">
        <v>216</v>
      </c>
      <c r="B3234" s="16">
        <v>40725</v>
      </c>
      <c r="C3234" s="15" t="s">
        <v>37</v>
      </c>
      <c r="D3234" s="15" t="s">
        <v>38</v>
      </c>
      <c r="E3234" s="15" t="s">
        <v>48</v>
      </c>
      <c r="F3234" s="15" t="s">
        <v>49</v>
      </c>
      <c r="G3234" s="15" t="s">
        <v>61</v>
      </c>
      <c r="H3234" s="15" t="s">
        <v>42</v>
      </c>
      <c r="I3234">
        <v>160</v>
      </c>
      <c r="J3234">
        <v>180</v>
      </c>
      <c r="K3234">
        <v>120</v>
      </c>
      <c r="L3234">
        <v>340</v>
      </c>
      <c r="M3234">
        <v>145</v>
      </c>
      <c r="N3234">
        <v>1304</v>
      </c>
      <c r="O3234">
        <v>146</v>
      </c>
      <c r="P3234">
        <v>40</v>
      </c>
      <c r="Q3234">
        <v>112</v>
      </c>
      <c r="R3234">
        <v>288</v>
      </c>
      <c r="S3234">
        <v>0.84705882352941175</v>
      </c>
      <c r="T3234">
        <v>0.93333333333333335</v>
      </c>
      <c r="U3234">
        <v>0.90625</v>
      </c>
    </row>
    <row r="3235" spans="1:21" x14ac:dyDescent="0.35">
      <c r="A3235">
        <v>262</v>
      </c>
      <c r="B3235" s="16">
        <v>40725</v>
      </c>
      <c r="C3235" s="15" t="s">
        <v>37</v>
      </c>
      <c r="D3235" s="15" t="s">
        <v>58</v>
      </c>
      <c r="E3235" s="15" t="s">
        <v>51</v>
      </c>
      <c r="F3235" s="15" t="s">
        <v>52</v>
      </c>
      <c r="G3235" s="15" t="s">
        <v>62</v>
      </c>
      <c r="H3235" s="15" t="s">
        <v>45</v>
      </c>
      <c r="I3235">
        <v>30</v>
      </c>
      <c r="J3235">
        <v>60</v>
      </c>
      <c r="K3235">
        <v>40</v>
      </c>
      <c r="L3235">
        <v>90</v>
      </c>
      <c r="M3235">
        <v>39</v>
      </c>
      <c r="N3235">
        <v>380</v>
      </c>
      <c r="O3235">
        <v>65</v>
      </c>
      <c r="P3235">
        <v>12</v>
      </c>
      <c r="Q3235">
        <v>40</v>
      </c>
      <c r="R3235">
        <v>103</v>
      </c>
      <c r="S3235">
        <v>1.1444444444444444</v>
      </c>
      <c r="T3235">
        <v>1</v>
      </c>
      <c r="U3235">
        <v>1.3</v>
      </c>
    </row>
    <row r="3236" spans="1:21" x14ac:dyDescent="0.35">
      <c r="A3236">
        <v>262</v>
      </c>
      <c r="B3236" s="16">
        <v>40725</v>
      </c>
      <c r="C3236" s="15" t="s">
        <v>37</v>
      </c>
      <c r="D3236" s="15" t="s">
        <v>58</v>
      </c>
      <c r="E3236" s="15" t="s">
        <v>53</v>
      </c>
      <c r="F3236" s="15" t="s">
        <v>52</v>
      </c>
      <c r="G3236" s="15" t="s">
        <v>62</v>
      </c>
      <c r="H3236" s="15" t="s">
        <v>45</v>
      </c>
      <c r="I3236">
        <v>50</v>
      </c>
      <c r="J3236">
        <v>70</v>
      </c>
      <c r="K3236">
        <v>60</v>
      </c>
      <c r="L3236">
        <v>120</v>
      </c>
      <c r="M3236">
        <v>59</v>
      </c>
      <c r="N3236">
        <v>870</v>
      </c>
      <c r="O3236">
        <v>85</v>
      </c>
      <c r="P3236">
        <v>16</v>
      </c>
      <c r="Q3236">
        <v>80</v>
      </c>
      <c r="R3236">
        <v>143</v>
      </c>
      <c r="S3236">
        <v>1.1916666666666667</v>
      </c>
      <c r="T3236">
        <v>1.3333333333333333</v>
      </c>
      <c r="U3236">
        <v>1.18</v>
      </c>
    </row>
    <row r="3237" spans="1:21" x14ac:dyDescent="0.35">
      <c r="A3237">
        <v>262</v>
      </c>
      <c r="B3237" s="16">
        <v>40725</v>
      </c>
      <c r="C3237" s="15" t="s">
        <v>37</v>
      </c>
      <c r="D3237" s="15" t="s">
        <v>58</v>
      </c>
      <c r="E3237" s="15" t="s">
        <v>55</v>
      </c>
      <c r="F3237" s="15" t="s">
        <v>47</v>
      </c>
      <c r="G3237" s="15" t="s">
        <v>62</v>
      </c>
      <c r="H3237" s="15" t="s">
        <v>42</v>
      </c>
      <c r="I3237">
        <v>30</v>
      </c>
      <c r="J3237">
        <v>40</v>
      </c>
      <c r="K3237">
        <v>10</v>
      </c>
      <c r="L3237">
        <v>70</v>
      </c>
      <c r="M3237">
        <v>36</v>
      </c>
      <c r="N3237">
        <v>462</v>
      </c>
      <c r="O3237">
        <v>54</v>
      </c>
      <c r="P3237">
        <v>11</v>
      </c>
      <c r="Q3237">
        <v>29</v>
      </c>
      <c r="R3237">
        <v>89</v>
      </c>
      <c r="S3237">
        <v>1.2714285714285714</v>
      </c>
      <c r="T3237">
        <v>2.9</v>
      </c>
      <c r="U3237">
        <v>1.2</v>
      </c>
    </row>
    <row r="3238" spans="1:21" x14ac:dyDescent="0.35">
      <c r="A3238">
        <v>715</v>
      </c>
      <c r="B3238" s="16">
        <v>40725</v>
      </c>
      <c r="C3238" s="15" t="s">
        <v>37</v>
      </c>
      <c r="D3238" s="15" t="s">
        <v>58</v>
      </c>
      <c r="E3238" s="15" t="s">
        <v>56</v>
      </c>
      <c r="F3238" s="15" t="s">
        <v>47</v>
      </c>
      <c r="G3238" s="15" t="s">
        <v>62</v>
      </c>
      <c r="H3238" s="15" t="s">
        <v>42</v>
      </c>
      <c r="I3238">
        <v>40</v>
      </c>
      <c r="J3238">
        <v>50</v>
      </c>
      <c r="K3238">
        <v>0</v>
      </c>
      <c r="L3238">
        <v>90</v>
      </c>
      <c r="M3238">
        <v>47</v>
      </c>
      <c r="N3238">
        <v>622</v>
      </c>
      <c r="O3238">
        <v>66</v>
      </c>
      <c r="P3238">
        <v>42</v>
      </c>
      <c r="Q3238">
        <v>-8</v>
      </c>
      <c r="R3238">
        <v>112</v>
      </c>
      <c r="S3238">
        <v>1.2444444444444445</v>
      </c>
      <c r="U3238">
        <v>1.175</v>
      </c>
    </row>
    <row r="3239" spans="1:21" x14ac:dyDescent="0.35">
      <c r="A3239">
        <v>715</v>
      </c>
      <c r="B3239" s="16">
        <v>40725</v>
      </c>
      <c r="C3239" s="15" t="s">
        <v>37</v>
      </c>
      <c r="D3239" s="15" t="s">
        <v>58</v>
      </c>
      <c r="E3239" s="15" t="s">
        <v>50</v>
      </c>
      <c r="F3239" s="15" t="s">
        <v>49</v>
      </c>
      <c r="G3239" s="15" t="s">
        <v>62</v>
      </c>
      <c r="H3239" s="15" t="s">
        <v>45</v>
      </c>
      <c r="I3239">
        <v>50</v>
      </c>
      <c r="J3239">
        <v>80</v>
      </c>
      <c r="K3239">
        <v>60</v>
      </c>
      <c r="L3239">
        <v>130</v>
      </c>
      <c r="M3239">
        <v>50</v>
      </c>
      <c r="N3239">
        <v>587</v>
      </c>
      <c r="O3239">
        <v>65</v>
      </c>
      <c r="P3239">
        <v>16</v>
      </c>
      <c r="Q3239">
        <v>50</v>
      </c>
      <c r="R3239">
        <v>114</v>
      </c>
      <c r="S3239">
        <v>0.87692307692307692</v>
      </c>
      <c r="T3239">
        <v>0.83333333333333337</v>
      </c>
      <c r="U3239">
        <v>1</v>
      </c>
    </row>
    <row r="3240" spans="1:21" x14ac:dyDescent="0.35">
      <c r="A3240">
        <v>262</v>
      </c>
      <c r="B3240" s="16">
        <v>40725</v>
      </c>
      <c r="C3240" s="15" t="s">
        <v>37</v>
      </c>
      <c r="D3240" s="15" t="s">
        <v>58</v>
      </c>
      <c r="E3240" s="15" t="s">
        <v>39</v>
      </c>
      <c r="F3240" s="15" t="s">
        <v>40</v>
      </c>
      <c r="G3240" s="15" t="s">
        <v>62</v>
      </c>
      <c r="H3240" s="15" t="s">
        <v>42</v>
      </c>
      <c r="I3240">
        <v>60</v>
      </c>
      <c r="J3240">
        <v>70</v>
      </c>
      <c r="K3240">
        <v>20</v>
      </c>
      <c r="L3240">
        <v>130</v>
      </c>
      <c r="M3240">
        <v>59</v>
      </c>
      <c r="N3240">
        <v>403</v>
      </c>
      <c r="O3240">
        <v>74</v>
      </c>
      <c r="P3240">
        <v>22</v>
      </c>
      <c r="Q3240">
        <v>25</v>
      </c>
      <c r="R3240">
        <v>132</v>
      </c>
      <c r="S3240">
        <v>1.0153846153846153</v>
      </c>
      <c r="T3240">
        <v>1.25</v>
      </c>
      <c r="U3240">
        <v>0.98333333333333328</v>
      </c>
    </row>
    <row r="3241" spans="1:21" x14ac:dyDescent="0.35">
      <c r="A3241">
        <v>608</v>
      </c>
      <c r="B3241" s="16">
        <v>40725</v>
      </c>
      <c r="C3241" s="15" t="s">
        <v>37</v>
      </c>
      <c r="D3241" s="15" t="s">
        <v>58</v>
      </c>
      <c r="E3241" s="15" t="s">
        <v>43</v>
      </c>
      <c r="F3241" s="15" t="s">
        <v>40</v>
      </c>
      <c r="G3241" s="15" t="s">
        <v>62</v>
      </c>
      <c r="H3241" s="15" t="s">
        <v>42</v>
      </c>
      <c r="I3241">
        <v>130</v>
      </c>
      <c r="J3241">
        <v>180</v>
      </c>
      <c r="K3241">
        <v>60</v>
      </c>
      <c r="L3241">
        <v>310</v>
      </c>
      <c r="M3241">
        <v>124</v>
      </c>
      <c r="N3241">
        <v>717</v>
      </c>
      <c r="O3241">
        <v>173</v>
      </c>
      <c r="P3241">
        <v>112</v>
      </c>
      <c r="Q3241">
        <v>44</v>
      </c>
      <c r="R3241">
        <v>294</v>
      </c>
      <c r="S3241">
        <v>0.94838709677419353</v>
      </c>
      <c r="T3241">
        <v>0.73333333333333328</v>
      </c>
      <c r="U3241">
        <v>0.9538461538461539</v>
      </c>
    </row>
    <row r="3242" spans="1:21" x14ac:dyDescent="0.35">
      <c r="A3242">
        <v>262</v>
      </c>
      <c r="B3242" s="16">
        <v>40725</v>
      </c>
      <c r="C3242" s="15" t="s">
        <v>37</v>
      </c>
      <c r="D3242" s="15" t="s">
        <v>58</v>
      </c>
      <c r="E3242" s="15" t="s">
        <v>44</v>
      </c>
      <c r="F3242" s="15" t="s">
        <v>40</v>
      </c>
      <c r="G3242" s="15" t="s">
        <v>62</v>
      </c>
      <c r="H3242" s="15" t="s">
        <v>45</v>
      </c>
      <c r="I3242">
        <v>100</v>
      </c>
      <c r="J3242">
        <v>130</v>
      </c>
      <c r="K3242">
        <v>80</v>
      </c>
      <c r="L3242">
        <v>230</v>
      </c>
      <c r="M3242">
        <v>97</v>
      </c>
      <c r="N3242">
        <v>575</v>
      </c>
      <c r="O3242">
        <v>130</v>
      </c>
      <c r="P3242">
        <v>32</v>
      </c>
      <c r="Q3242">
        <v>98</v>
      </c>
      <c r="R3242">
        <v>225</v>
      </c>
      <c r="S3242">
        <v>0.97826086956521741</v>
      </c>
      <c r="T3242">
        <v>1.2250000000000001</v>
      </c>
      <c r="U3242">
        <v>0.97</v>
      </c>
    </row>
    <row r="3243" spans="1:21" x14ac:dyDescent="0.35">
      <c r="A3243">
        <v>715</v>
      </c>
      <c r="B3243" s="16">
        <v>40725</v>
      </c>
      <c r="C3243" s="15" t="s">
        <v>37</v>
      </c>
      <c r="D3243" s="15" t="s">
        <v>58</v>
      </c>
      <c r="E3243" s="15" t="s">
        <v>48</v>
      </c>
      <c r="F3243" s="15" t="s">
        <v>49</v>
      </c>
      <c r="G3243" s="15" t="s">
        <v>62</v>
      </c>
      <c r="H3243" s="15" t="s">
        <v>42</v>
      </c>
      <c r="I3243">
        <v>90</v>
      </c>
      <c r="J3243">
        <v>130</v>
      </c>
      <c r="K3243">
        <v>90</v>
      </c>
      <c r="L3243">
        <v>220</v>
      </c>
      <c r="M3243">
        <v>86</v>
      </c>
      <c r="N3243">
        <v>1081</v>
      </c>
      <c r="O3243">
        <v>103</v>
      </c>
      <c r="P3243">
        <v>26</v>
      </c>
      <c r="Q3243">
        <v>77</v>
      </c>
      <c r="R3243">
        <v>187</v>
      </c>
      <c r="S3243">
        <v>0.85</v>
      </c>
      <c r="T3243">
        <v>0.85555555555555551</v>
      </c>
      <c r="U3243">
        <v>0.9555555555555556</v>
      </c>
    </row>
    <row r="3244" spans="1:21" x14ac:dyDescent="0.35">
      <c r="A3244">
        <v>860</v>
      </c>
      <c r="B3244" s="16">
        <v>40725</v>
      </c>
      <c r="C3244" s="15" t="s">
        <v>63</v>
      </c>
      <c r="D3244" s="15" t="s">
        <v>58</v>
      </c>
      <c r="E3244" s="15" t="s">
        <v>53</v>
      </c>
      <c r="F3244" s="15" t="s">
        <v>52</v>
      </c>
      <c r="G3244" s="15" t="s">
        <v>64</v>
      </c>
      <c r="H3244" s="15" t="s">
        <v>45</v>
      </c>
      <c r="I3244">
        <v>50</v>
      </c>
      <c r="J3244">
        <v>80</v>
      </c>
      <c r="K3244">
        <v>40</v>
      </c>
      <c r="L3244">
        <v>130</v>
      </c>
      <c r="M3244">
        <v>76</v>
      </c>
      <c r="N3244">
        <v>613</v>
      </c>
      <c r="O3244">
        <v>93</v>
      </c>
      <c r="P3244">
        <v>28</v>
      </c>
      <c r="Q3244">
        <v>44</v>
      </c>
      <c r="R3244">
        <v>167</v>
      </c>
      <c r="S3244">
        <v>1.2846153846153847</v>
      </c>
      <c r="T3244">
        <v>1.1000000000000001</v>
      </c>
      <c r="U3244">
        <v>1.52</v>
      </c>
    </row>
    <row r="3245" spans="1:21" x14ac:dyDescent="0.35">
      <c r="A3245">
        <v>959</v>
      </c>
      <c r="B3245" s="16">
        <v>40725</v>
      </c>
      <c r="C3245" s="15" t="s">
        <v>63</v>
      </c>
      <c r="D3245" s="15" t="s">
        <v>58</v>
      </c>
      <c r="E3245" s="15" t="s">
        <v>54</v>
      </c>
      <c r="F3245" s="15" t="s">
        <v>52</v>
      </c>
      <c r="G3245" s="15" t="s">
        <v>64</v>
      </c>
      <c r="H3245" s="15" t="s">
        <v>45</v>
      </c>
      <c r="I3245">
        <v>40</v>
      </c>
      <c r="J3245">
        <v>60</v>
      </c>
      <c r="K3245">
        <v>40</v>
      </c>
      <c r="L3245">
        <v>100</v>
      </c>
      <c r="M3245">
        <v>60</v>
      </c>
      <c r="N3245">
        <v>1070</v>
      </c>
      <c r="O3245">
        <v>72</v>
      </c>
      <c r="P3245">
        <v>18</v>
      </c>
      <c r="Q3245">
        <v>46</v>
      </c>
      <c r="R3245">
        <v>131</v>
      </c>
      <c r="S3245">
        <v>1.31</v>
      </c>
      <c r="T3245">
        <v>1.1499999999999999</v>
      </c>
      <c r="U3245">
        <v>1.5</v>
      </c>
    </row>
    <row r="3246" spans="1:21" x14ac:dyDescent="0.35">
      <c r="A3246">
        <v>959</v>
      </c>
      <c r="B3246" s="16">
        <v>40725</v>
      </c>
      <c r="C3246" s="15" t="s">
        <v>63</v>
      </c>
      <c r="D3246" s="15" t="s">
        <v>58</v>
      </c>
      <c r="E3246" s="15" t="s">
        <v>55</v>
      </c>
      <c r="F3246" s="15" t="s">
        <v>47</v>
      </c>
      <c r="G3246" s="15" t="s">
        <v>64</v>
      </c>
      <c r="H3246" s="15" t="s">
        <v>42</v>
      </c>
      <c r="I3246">
        <v>30</v>
      </c>
      <c r="J3246">
        <v>60</v>
      </c>
      <c r="K3246">
        <v>50</v>
      </c>
      <c r="L3246">
        <v>90</v>
      </c>
      <c r="M3246">
        <v>35</v>
      </c>
      <c r="N3246">
        <v>894</v>
      </c>
      <c r="O3246">
        <v>52</v>
      </c>
      <c r="P3246">
        <v>9</v>
      </c>
      <c r="Q3246">
        <v>44</v>
      </c>
      <c r="R3246">
        <v>86</v>
      </c>
      <c r="S3246">
        <v>0.9555555555555556</v>
      </c>
      <c r="T3246">
        <v>0.88</v>
      </c>
      <c r="U3246">
        <v>1.1666666666666667</v>
      </c>
    </row>
    <row r="3247" spans="1:21" x14ac:dyDescent="0.35">
      <c r="A3247">
        <v>860</v>
      </c>
      <c r="B3247" s="16">
        <v>40725</v>
      </c>
      <c r="C3247" s="15" t="s">
        <v>63</v>
      </c>
      <c r="D3247" s="15" t="s">
        <v>58</v>
      </c>
      <c r="E3247" s="15" t="s">
        <v>46</v>
      </c>
      <c r="F3247" s="15" t="s">
        <v>47</v>
      </c>
      <c r="G3247" s="15" t="s">
        <v>64</v>
      </c>
      <c r="H3247" s="15" t="s">
        <v>42</v>
      </c>
      <c r="I3247">
        <v>20</v>
      </c>
      <c r="J3247">
        <v>30</v>
      </c>
      <c r="K3247">
        <v>20</v>
      </c>
      <c r="L3247">
        <v>50</v>
      </c>
      <c r="M3247">
        <v>20</v>
      </c>
      <c r="N3247">
        <v>814</v>
      </c>
      <c r="O3247">
        <v>31</v>
      </c>
      <c r="P3247">
        <v>5</v>
      </c>
      <c r="Q3247">
        <v>21</v>
      </c>
      <c r="R3247">
        <v>51</v>
      </c>
      <c r="S3247">
        <v>1.02</v>
      </c>
      <c r="T3247">
        <v>1.05</v>
      </c>
      <c r="U3247">
        <v>1</v>
      </c>
    </row>
    <row r="3248" spans="1:21" x14ac:dyDescent="0.35">
      <c r="A3248">
        <v>475</v>
      </c>
      <c r="B3248" s="16">
        <v>40725</v>
      </c>
      <c r="C3248" s="15" t="s">
        <v>63</v>
      </c>
      <c r="D3248" s="15" t="s">
        <v>58</v>
      </c>
      <c r="E3248" s="15" t="s">
        <v>48</v>
      </c>
      <c r="F3248" s="15" t="s">
        <v>49</v>
      </c>
      <c r="G3248" s="15" t="s">
        <v>64</v>
      </c>
      <c r="H3248" s="15" t="s">
        <v>42</v>
      </c>
      <c r="I3248">
        <v>40</v>
      </c>
      <c r="J3248">
        <v>70</v>
      </c>
      <c r="K3248">
        <v>20</v>
      </c>
      <c r="L3248">
        <v>110</v>
      </c>
      <c r="M3248">
        <v>47</v>
      </c>
      <c r="N3248">
        <v>622</v>
      </c>
      <c r="O3248">
        <v>66</v>
      </c>
      <c r="P3248">
        <v>42</v>
      </c>
      <c r="Q3248">
        <v>-7</v>
      </c>
      <c r="R3248">
        <v>112</v>
      </c>
      <c r="S3248">
        <v>1.0181818181818181</v>
      </c>
      <c r="T3248">
        <v>-0.35</v>
      </c>
      <c r="U3248">
        <v>1.175</v>
      </c>
    </row>
    <row r="3249" spans="1:21" x14ac:dyDescent="0.35">
      <c r="A3249">
        <v>860</v>
      </c>
      <c r="B3249" s="16">
        <v>40725</v>
      </c>
      <c r="C3249" s="15" t="s">
        <v>63</v>
      </c>
      <c r="D3249" s="15" t="s">
        <v>58</v>
      </c>
      <c r="E3249" s="15" t="s">
        <v>50</v>
      </c>
      <c r="F3249" s="15" t="s">
        <v>49</v>
      </c>
      <c r="G3249" s="15" t="s">
        <v>64</v>
      </c>
      <c r="H3249" s="15" t="s">
        <v>45</v>
      </c>
      <c r="I3249">
        <v>40</v>
      </c>
      <c r="J3249">
        <v>50</v>
      </c>
      <c r="K3249">
        <v>20</v>
      </c>
      <c r="L3249">
        <v>90</v>
      </c>
      <c r="M3249">
        <v>43</v>
      </c>
      <c r="N3249">
        <v>388</v>
      </c>
      <c r="O3249">
        <v>57</v>
      </c>
      <c r="P3249">
        <v>14</v>
      </c>
      <c r="Q3249">
        <v>22</v>
      </c>
      <c r="R3249">
        <v>99</v>
      </c>
      <c r="S3249">
        <v>1.1000000000000001</v>
      </c>
      <c r="T3249">
        <v>1.1000000000000001</v>
      </c>
      <c r="U3249">
        <v>1.075</v>
      </c>
    </row>
    <row r="3250" spans="1:21" x14ac:dyDescent="0.35">
      <c r="A3250">
        <v>203</v>
      </c>
      <c r="B3250" s="16">
        <v>40725</v>
      </c>
      <c r="C3250" s="15" t="s">
        <v>63</v>
      </c>
      <c r="D3250" s="15" t="s">
        <v>58</v>
      </c>
      <c r="E3250" s="15" t="s">
        <v>43</v>
      </c>
      <c r="F3250" s="15" t="s">
        <v>40</v>
      </c>
      <c r="G3250" s="15" t="s">
        <v>64</v>
      </c>
      <c r="H3250" s="15" t="s">
        <v>42</v>
      </c>
      <c r="I3250">
        <v>80</v>
      </c>
      <c r="J3250">
        <v>130</v>
      </c>
      <c r="K3250">
        <v>90</v>
      </c>
      <c r="L3250">
        <v>210</v>
      </c>
      <c r="M3250">
        <v>90</v>
      </c>
      <c r="N3250">
        <v>1148</v>
      </c>
      <c r="O3250">
        <v>135</v>
      </c>
      <c r="P3250">
        <v>29</v>
      </c>
      <c r="Q3250">
        <v>104</v>
      </c>
      <c r="R3250">
        <v>223</v>
      </c>
      <c r="S3250">
        <v>1.0619047619047619</v>
      </c>
      <c r="T3250">
        <v>1.1555555555555554</v>
      </c>
      <c r="U3250">
        <v>1.125</v>
      </c>
    </row>
    <row r="3251" spans="1:21" x14ac:dyDescent="0.35">
      <c r="A3251">
        <v>352</v>
      </c>
      <c r="B3251" s="16">
        <v>40725</v>
      </c>
      <c r="C3251" s="15" t="s">
        <v>63</v>
      </c>
      <c r="D3251" s="15" t="s">
        <v>38</v>
      </c>
      <c r="E3251" s="15" t="s">
        <v>51</v>
      </c>
      <c r="F3251" s="15" t="s">
        <v>52</v>
      </c>
      <c r="G3251" s="15" t="s">
        <v>65</v>
      </c>
      <c r="H3251" s="15" t="s">
        <v>45</v>
      </c>
      <c r="I3251">
        <v>30</v>
      </c>
      <c r="J3251">
        <v>50</v>
      </c>
      <c r="K3251">
        <v>30</v>
      </c>
      <c r="L3251">
        <v>80</v>
      </c>
      <c r="M3251">
        <v>50</v>
      </c>
      <c r="N3251">
        <v>587</v>
      </c>
      <c r="O3251">
        <v>65</v>
      </c>
      <c r="P3251">
        <v>16</v>
      </c>
      <c r="Q3251">
        <v>50</v>
      </c>
      <c r="R3251">
        <v>114</v>
      </c>
      <c r="S3251">
        <v>1.425</v>
      </c>
      <c r="T3251">
        <v>1.6666666666666667</v>
      </c>
      <c r="U3251">
        <v>1.6666666666666667</v>
      </c>
    </row>
    <row r="3252" spans="1:21" x14ac:dyDescent="0.35">
      <c r="A3252">
        <v>352</v>
      </c>
      <c r="B3252" s="16">
        <v>40725</v>
      </c>
      <c r="C3252" s="15" t="s">
        <v>63</v>
      </c>
      <c r="D3252" s="15" t="s">
        <v>38</v>
      </c>
      <c r="E3252" s="15" t="s">
        <v>53</v>
      </c>
      <c r="F3252" s="15" t="s">
        <v>52</v>
      </c>
      <c r="G3252" s="15" t="s">
        <v>65</v>
      </c>
      <c r="H3252" s="15" t="s">
        <v>45</v>
      </c>
      <c r="I3252">
        <v>40</v>
      </c>
      <c r="J3252">
        <v>60</v>
      </c>
      <c r="K3252">
        <v>30</v>
      </c>
      <c r="L3252">
        <v>100</v>
      </c>
      <c r="M3252">
        <v>59</v>
      </c>
      <c r="N3252">
        <v>403</v>
      </c>
      <c r="O3252">
        <v>74</v>
      </c>
      <c r="P3252">
        <v>22</v>
      </c>
      <c r="Q3252">
        <v>26</v>
      </c>
      <c r="R3252">
        <v>132</v>
      </c>
      <c r="S3252">
        <v>1.32</v>
      </c>
      <c r="T3252">
        <v>0.8666666666666667</v>
      </c>
      <c r="U3252">
        <v>1.4750000000000001</v>
      </c>
    </row>
    <row r="3253" spans="1:21" x14ac:dyDescent="0.35">
      <c r="A3253">
        <v>239</v>
      </c>
      <c r="B3253" s="16">
        <v>40725</v>
      </c>
      <c r="C3253" s="15" t="s">
        <v>63</v>
      </c>
      <c r="D3253" s="15" t="s">
        <v>38</v>
      </c>
      <c r="E3253" s="15" t="s">
        <v>54</v>
      </c>
      <c r="F3253" s="15" t="s">
        <v>52</v>
      </c>
      <c r="G3253" s="15" t="s">
        <v>65</v>
      </c>
      <c r="H3253" s="15" t="s">
        <v>45</v>
      </c>
      <c r="I3253">
        <v>60</v>
      </c>
      <c r="J3253">
        <v>80</v>
      </c>
      <c r="K3253">
        <v>50</v>
      </c>
      <c r="L3253">
        <v>140</v>
      </c>
      <c r="M3253">
        <v>86</v>
      </c>
      <c r="N3253">
        <v>1081</v>
      </c>
      <c r="O3253">
        <v>103</v>
      </c>
      <c r="P3253">
        <v>26</v>
      </c>
      <c r="Q3253">
        <v>76</v>
      </c>
      <c r="R3253">
        <v>187</v>
      </c>
      <c r="S3253">
        <v>1.3357142857142856</v>
      </c>
      <c r="T3253">
        <v>1.52</v>
      </c>
      <c r="U3253">
        <v>1.4333333333333333</v>
      </c>
    </row>
    <row r="3254" spans="1:21" x14ac:dyDescent="0.35">
      <c r="A3254">
        <v>772</v>
      </c>
      <c r="B3254" s="16">
        <v>40725</v>
      </c>
      <c r="C3254" s="15" t="s">
        <v>63</v>
      </c>
      <c r="D3254" s="15" t="s">
        <v>38</v>
      </c>
      <c r="E3254" s="15" t="s">
        <v>55</v>
      </c>
      <c r="F3254" s="15" t="s">
        <v>47</v>
      </c>
      <c r="G3254" s="15" t="s">
        <v>65</v>
      </c>
      <c r="H3254" s="15" t="s">
        <v>42</v>
      </c>
      <c r="I3254">
        <v>40</v>
      </c>
      <c r="J3254">
        <v>70</v>
      </c>
      <c r="K3254">
        <v>50</v>
      </c>
      <c r="L3254">
        <v>110</v>
      </c>
      <c r="M3254">
        <v>45</v>
      </c>
      <c r="N3254">
        <v>885</v>
      </c>
      <c r="O3254">
        <v>65</v>
      </c>
      <c r="P3254">
        <v>12</v>
      </c>
      <c r="Q3254">
        <v>57</v>
      </c>
      <c r="R3254">
        <v>109</v>
      </c>
      <c r="S3254">
        <v>0.99090909090909096</v>
      </c>
      <c r="T3254">
        <v>1.1399999999999999</v>
      </c>
      <c r="U3254">
        <v>1.125</v>
      </c>
    </row>
    <row r="3255" spans="1:21" x14ac:dyDescent="0.35">
      <c r="A3255">
        <v>239</v>
      </c>
      <c r="B3255" s="16">
        <v>40725</v>
      </c>
      <c r="C3255" s="15" t="s">
        <v>63</v>
      </c>
      <c r="D3255" s="15" t="s">
        <v>38</v>
      </c>
      <c r="E3255" s="15" t="s">
        <v>46</v>
      </c>
      <c r="F3255" s="15" t="s">
        <v>47</v>
      </c>
      <c r="G3255" s="15" t="s">
        <v>65</v>
      </c>
      <c r="H3255" s="15" t="s">
        <v>42</v>
      </c>
      <c r="I3255">
        <v>60</v>
      </c>
      <c r="J3255">
        <v>90</v>
      </c>
      <c r="K3255">
        <v>70</v>
      </c>
      <c r="L3255">
        <v>150</v>
      </c>
      <c r="M3255">
        <v>59</v>
      </c>
      <c r="N3255">
        <v>870</v>
      </c>
      <c r="O3255">
        <v>85</v>
      </c>
      <c r="P3255">
        <v>16</v>
      </c>
      <c r="Q3255">
        <v>80</v>
      </c>
      <c r="R3255">
        <v>143</v>
      </c>
      <c r="S3255">
        <v>0.95333333333333337</v>
      </c>
      <c r="T3255">
        <v>1.1428571428571428</v>
      </c>
      <c r="U3255">
        <v>0.98333333333333328</v>
      </c>
    </row>
    <row r="3256" spans="1:21" x14ac:dyDescent="0.35">
      <c r="A3256">
        <v>239</v>
      </c>
      <c r="B3256" s="16">
        <v>40725</v>
      </c>
      <c r="C3256" s="15" t="s">
        <v>63</v>
      </c>
      <c r="D3256" s="15" t="s">
        <v>38</v>
      </c>
      <c r="E3256" s="15" t="s">
        <v>48</v>
      </c>
      <c r="F3256" s="15" t="s">
        <v>49</v>
      </c>
      <c r="G3256" s="15" t="s">
        <v>65</v>
      </c>
      <c r="H3256" s="15" t="s">
        <v>42</v>
      </c>
      <c r="I3256">
        <v>110</v>
      </c>
      <c r="J3256">
        <v>180</v>
      </c>
      <c r="K3256">
        <v>60</v>
      </c>
      <c r="L3256">
        <v>290</v>
      </c>
      <c r="M3256">
        <v>124</v>
      </c>
      <c r="N3256">
        <v>717</v>
      </c>
      <c r="O3256">
        <v>173</v>
      </c>
      <c r="P3256">
        <v>112</v>
      </c>
      <c r="Q3256">
        <v>44</v>
      </c>
      <c r="R3256">
        <v>294</v>
      </c>
      <c r="S3256">
        <v>1.0137931034482759</v>
      </c>
      <c r="T3256">
        <v>0.73333333333333328</v>
      </c>
      <c r="U3256">
        <v>1.1272727272727272</v>
      </c>
    </row>
    <row r="3257" spans="1:21" x14ac:dyDescent="0.35">
      <c r="A3257">
        <v>754</v>
      </c>
      <c r="B3257" s="16">
        <v>40725</v>
      </c>
      <c r="C3257" s="15" t="s">
        <v>63</v>
      </c>
      <c r="D3257" s="15" t="s">
        <v>38</v>
      </c>
      <c r="E3257" s="15" t="s">
        <v>50</v>
      </c>
      <c r="F3257" s="15" t="s">
        <v>49</v>
      </c>
      <c r="G3257" s="15" t="s">
        <v>65</v>
      </c>
      <c r="H3257" s="15" t="s">
        <v>45</v>
      </c>
      <c r="I3257">
        <v>90</v>
      </c>
      <c r="J3257">
        <v>130</v>
      </c>
      <c r="K3257">
        <v>80</v>
      </c>
      <c r="L3257">
        <v>220</v>
      </c>
      <c r="M3257">
        <v>97</v>
      </c>
      <c r="N3257">
        <v>575</v>
      </c>
      <c r="O3257">
        <v>130</v>
      </c>
      <c r="P3257">
        <v>32</v>
      </c>
      <c r="Q3257">
        <v>98</v>
      </c>
      <c r="R3257">
        <v>225</v>
      </c>
      <c r="S3257">
        <v>1.0227272727272727</v>
      </c>
      <c r="T3257">
        <v>1.2250000000000001</v>
      </c>
      <c r="U3257">
        <v>1.0777777777777777</v>
      </c>
    </row>
    <row r="3258" spans="1:21" x14ac:dyDescent="0.35">
      <c r="A3258">
        <v>305</v>
      </c>
      <c r="B3258" s="16">
        <v>40725</v>
      </c>
      <c r="C3258" s="15" t="s">
        <v>63</v>
      </c>
      <c r="D3258" s="15" t="s">
        <v>38</v>
      </c>
      <c r="E3258" s="15" t="s">
        <v>43</v>
      </c>
      <c r="F3258" s="15" t="s">
        <v>40</v>
      </c>
      <c r="G3258" s="15" t="s">
        <v>65</v>
      </c>
      <c r="H3258" s="15" t="s">
        <v>42</v>
      </c>
      <c r="I3258">
        <v>100</v>
      </c>
      <c r="J3258">
        <v>170</v>
      </c>
      <c r="K3258">
        <v>120</v>
      </c>
      <c r="L3258">
        <v>270</v>
      </c>
      <c r="M3258">
        <v>114</v>
      </c>
      <c r="N3258">
        <v>822</v>
      </c>
      <c r="O3258">
        <v>172</v>
      </c>
      <c r="P3258">
        <v>37</v>
      </c>
      <c r="Q3258">
        <v>144</v>
      </c>
      <c r="R3258">
        <v>283</v>
      </c>
      <c r="S3258">
        <v>1.0481481481481481</v>
      </c>
      <c r="T3258">
        <v>1.2</v>
      </c>
      <c r="U3258">
        <v>1.1399999999999999</v>
      </c>
    </row>
    <row r="3259" spans="1:21" x14ac:dyDescent="0.35">
      <c r="A3259">
        <v>754</v>
      </c>
      <c r="B3259" s="16">
        <v>40725</v>
      </c>
      <c r="C3259" s="15" t="s">
        <v>63</v>
      </c>
      <c r="D3259" s="15" t="s">
        <v>38</v>
      </c>
      <c r="E3259" s="15" t="s">
        <v>44</v>
      </c>
      <c r="F3259" s="15" t="s">
        <v>40</v>
      </c>
      <c r="G3259" s="15" t="s">
        <v>65</v>
      </c>
      <c r="H3259" s="15" t="s">
        <v>45</v>
      </c>
      <c r="I3259">
        <v>130</v>
      </c>
      <c r="J3259">
        <v>180</v>
      </c>
      <c r="K3259">
        <v>130</v>
      </c>
      <c r="L3259">
        <v>310</v>
      </c>
      <c r="M3259">
        <v>141</v>
      </c>
      <c r="N3259">
        <v>692</v>
      </c>
      <c r="O3259">
        <v>195</v>
      </c>
      <c r="P3259">
        <v>43</v>
      </c>
      <c r="Q3259">
        <v>178</v>
      </c>
      <c r="R3259">
        <v>333</v>
      </c>
      <c r="S3259">
        <v>1.0741935483870968</v>
      </c>
      <c r="T3259">
        <v>1.3692307692307693</v>
      </c>
      <c r="U3259">
        <v>1.0846153846153845</v>
      </c>
    </row>
    <row r="3260" spans="1:21" x14ac:dyDescent="0.35">
      <c r="A3260">
        <v>774</v>
      </c>
      <c r="B3260" s="16">
        <v>40725</v>
      </c>
      <c r="C3260" s="15" t="s">
        <v>63</v>
      </c>
      <c r="D3260" s="15" t="s">
        <v>38</v>
      </c>
      <c r="E3260" s="15" t="s">
        <v>53</v>
      </c>
      <c r="F3260" s="15" t="s">
        <v>52</v>
      </c>
      <c r="G3260" s="15" t="s">
        <v>66</v>
      </c>
      <c r="H3260" s="15" t="s">
        <v>45</v>
      </c>
      <c r="I3260">
        <v>30</v>
      </c>
      <c r="J3260">
        <v>50</v>
      </c>
      <c r="K3260">
        <v>20</v>
      </c>
      <c r="L3260">
        <v>80</v>
      </c>
      <c r="M3260">
        <v>51</v>
      </c>
      <c r="N3260">
        <v>419</v>
      </c>
      <c r="O3260">
        <v>64</v>
      </c>
      <c r="P3260">
        <v>19</v>
      </c>
      <c r="Q3260">
        <v>15</v>
      </c>
      <c r="R3260">
        <v>114</v>
      </c>
      <c r="S3260">
        <v>1.425</v>
      </c>
      <c r="T3260">
        <v>0.75</v>
      </c>
      <c r="U3260">
        <v>1.7</v>
      </c>
    </row>
    <row r="3261" spans="1:21" x14ac:dyDescent="0.35">
      <c r="A3261">
        <v>413</v>
      </c>
      <c r="B3261" s="16">
        <v>40725</v>
      </c>
      <c r="C3261" s="15" t="s">
        <v>63</v>
      </c>
      <c r="D3261" s="15" t="s">
        <v>38</v>
      </c>
      <c r="E3261" s="15" t="s">
        <v>55</v>
      </c>
      <c r="F3261" s="15" t="s">
        <v>47</v>
      </c>
      <c r="G3261" s="15" t="s">
        <v>66</v>
      </c>
      <c r="H3261" s="15" t="s">
        <v>42</v>
      </c>
      <c r="I3261">
        <v>20</v>
      </c>
      <c r="J3261">
        <v>40</v>
      </c>
      <c r="K3261">
        <v>30</v>
      </c>
      <c r="L3261">
        <v>60</v>
      </c>
      <c r="M3261">
        <v>23</v>
      </c>
      <c r="N3261">
        <v>868</v>
      </c>
      <c r="O3261">
        <v>34</v>
      </c>
      <c r="P3261">
        <v>6</v>
      </c>
      <c r="Q3261">
        <v>22</v>
      </c>
      <c r="R3261">
        <v>56</v>
      </c>
      <c r="S3261">
        <v>0.93333333333333335</v>
      </c>
      <c r="T3261">
        <v>0.73333333333333328</v>
      </c>
      <c r="U3261">
        <v>1.1499999999999999</v>
      </c>
    </row>
    <row r="3262" spans="1:21" x14ac:dyDescent="0.35">
      <c r="A3262">
        <v>774</v>
      </c>
      <c r="B3262" s="16">
        <v>40725</v>
      </c>
      <c r="C3262" s="15" t="s">
        <v>63</v>
      </c>
      <c r="D3262" s="15" t="s">
        <v>38</v>
      </c>
      <c r="E3262" s="15" t="s">
        <v>46</v>
      </c>
      <c r="F3262" s="15" t="s">
        <v>47</v>
      </c>
      <c r="G3262" s="15" t="s">
        <v>66</v>
      </c>
      <c r="H3262" s="15" t="s">
        <v>42</v>
      </c>
      <c r="I3262">
        <v>10</v>
      </c>
      <c r="J3262">
        <v>30</v>
      </c>
      <c r="K3262">
        <v>20</v>
      </c>
      <c r="L3262">
        <v>40</v>
      </c>
      <c r="M3262">
        <v>18</v>
      </c>
      <c r="N3262">
        <v>486</v>
      </c>
      <c r="O3262">
        <v>26</v>
      </c>
      <c r="P3262">
        <v>5</v>
      </c>
      <c r="Q3262">
        <v>12</v>
      </c>
      <c r="R3262">
        <v>44</v>
      </c>
      <c r="S3262">
        <v>1.1000000000000001</v>
      </c>
      <c r="T3262">
        <v>0.6</v>
      </c>
      <c r="U3262">
        <v>1.8</v>
      </c>
    </row>
    <row r="3263" spans="1:21" x14ac:dyDescent="0.35">
      <c r="A3263">
        <v>413</v>
      </c>
      <c r="B3263" s="16">
        <v>40725</v>
      </c>
      <c r="C3263" s="15" t="s">
        <v>63</v>
      </c>
      <c r="D3263" s="15" t="s">
        <v>38</v>
      </c>
      <c r="E3263" s="15" t="s">
        <v>48</v>
      </c>
      <c r="F3263" s="15" t="s">
        <v>49</v>
      </c>
      <c r="G3263" s="15" t="s">
        <v>66</v>
      </c>
      <c r="H3263" s="15" t="s">
        <v>42</v>
      </c>
      <c r="I3263">
        <v>30</v>
      </c>
      <c r="J3263">
        <v>70</v>
      </c>
      <c r="K3263">
        <v>20</v>
      </c>
      <c r="L3263">
        <v>100</v>
      </c>
      <c r="M3263">
        <v>39</v>
      </c>
      <c r="N3263">
        <v>560</v>
      </c>
      <c r="O3263">
        <v>72</v>
      </c>
      <c r="P3263">
        <v>36</v>
      </c>
      <c r="Q3263">
        <v>10</v>
      </c>
      <c r="R3263">
        <v>110</v>
      </c>
      <c r="S3263">
        <v>1.1000000000000001</v>
      </c>
      <c r="T3263">
        <v>0.5</v>
      </c>
      <c r="U3263">
        <v>1.3</v>
      </c>
    </row>
    <row r="3264" spans="1:21" x14ac:dyDescent="0.35">
      <c r="A3264">
        <v>339</v>
      </c>
      <c r="B3264" s="16">
        <v>40725</v>
      </c>
      <c r="C3264" s="15" t="s">
        <v>63</v>
      </c>
      <c r="D3264" s="15" t="s">
        <v>38</v>
      </c>
      <c r="E3264" s="15" t="s">
        <v>67</v>
      </c>
      <c r="F3264" s="15" t="s">
        <v>49</v>
      </c>
      <c r="G3264" s="15" t="s">
        <v>66</v>
      </c>
      <c r="H3264" s="15" t="s">
        <v>42</v>
      </c>
      <c r="I3264">
        <v>130</v>
      </c>
      <c r="J3264">
        <v>150</v>
      </c>
      <c r="K3264">
        <v>100</v>
      </c>
      <c r="L3264">
        <v>280</v>
      </c>
      <c r="M3264">
        <v>145</v>
      </c>
      <c r="N3264">
        <v>1304</v>
      </c>
      <c r="O3264">
        <v>146</v>
      </c>
      <c r="P3264">
        <v>40</v>
      </c>
      <c r="Q3264">
        <v>112</v>
      </c>
      <c r="R3264">
        <v>288</v>
      </c>
      <c r="S3264">
        <v>1.0285714285714285</v>
      </c>
      <c r="T3264">
        <v>1.1200000000000001</v>
      </c>
      <c r="U3264">
        <v>1.1153846153846154</v>
      </c>
    </row>
    <row r="3265" spans="1:21" x14ac:dyDescent="0.35">
      <c r="A3265">
        <v>978</v>
      </c>
      <c r="B3265" s="16">
        <v>40725</v>
      </c>
      <c r="C3265" s="15" t="s">
        <v>63</v>
      </c>
      <c r="D3265" s="15" t="s">
        <v>38</v>
      </c>
      <c r="E3265" s="15" t="s">
        <v>43</v>
      </c>
      <c r="F3265" s="15" t="s">
        <v>40</v>
      </c>
      <c r="G3265" s="15" t="s">
        <v>66</v>
      </c>
      <c r="H3265" s="15" t="s">
        <v>42</v>
      </c>
      <c r="I3265">
        <v>40</v>
      </c>
      <c r="J3265">
        <v>590</v>
      </c>
      <c r="K3265">
        <v>560</v>
      </c>
      <c r="L3265">
        <v>630</v>
      </c>
      <c r="M3265">
        <v>52</v>
      </c>
      <c r="N3265">
        <v>-1493</v>
      </c>
      <c r="O3265">
        <v>613</v>
      </c>
      <c r="P3265">
        <v>17</v>
      </c>
      <c r="Q3265">
        <v>778</v>
      </c>
      <c r="R3265">
        <v>659</v>
      </c>
      <c r="S3265">
        <v>1.0460317460317461</v>
      </c>
      <c r="T3265">
        <v>1.3892857142857142</v>
      </c>
      <c r="U3265">
        <v>1.3</v>
      </c>
    </row>
    <row r="3266" spans="1:21" x14ac:dyDescent="0.35">
      <c r="A3266">
        <v>603</v>
      </c>
      <c r="B3266" s="16">
        <v>40725</v>
      </c>
      <c r="C3266" s="15" t="s">
        <v>63</v>
      </c>
      <c r="D3266" s="15" t="s">
        <v>58</v>
      </c>
      <c r="E3266" s="15" t="s">
        <v>53</v>
      </c>
      <c r="F3266" s="15" t="s">
        <v>52</v>
      </c>
      <c r="G3266" s="15" t="s">
        <v>68</v>
      </c>
      <c r="H3266" s="15" t="s">
        <v>45</v>
      </c>
      <c r="I3266">
        <v>20</v>
      </c>
      <c r="J3266">
        <v>40</v>
      </c>
      <c r="K3266">
        <v>10</v>
      </c>
      <c r="L3266">
        <v>60</v>
      </c>
      <c r="M3266">
        <v>36</v>
      </c>
      <c r="N3266">
        <v>252</v>
      </c>
      <c r="O3266">
        <v>46</v>
      </c>
      <c r="P3266">
        <v>13</v>
      </c>
      <c r="Q3266">
        <v>0</v>
      </c>
      <c r="R3266">
        <v>81</v>
      </c>
      <c r="S3266">
        <v>1.35</v>
      </c>
      <c r="T3266">
        <v>0</v>
      </c>
      <c r="U3266">
        <v>1.8</v>
      </c>
    </row>
    <row r="3267" spans="1:21" x14ac:dyDescent="0.35">
      <c r="A3267">
        <v>603</v>
      </c>
      <c r="B3267" s="16">
        <v>40725</v>
      </c>
      <c r="C3267" s="15" t="s">
        <v>63</v>
      </c>
      <c r="D3267" s="15" t="s">
        <v>58</v>
      </c>
      <c r="E3267" s="15" t="s">
        <v>55</v>
      </c>
      <c r="F3267" s="15" t="s">
        <v>47</v>
      </c>
      <c r="G3267" s="15" t="s">
        <v>68</v>
      </c>
      <c r="H3267" s="15" t="s">
        <v>42</v>
      </c>
      <c r="I3267">
        <v>20</v>
      </c>
      <c r="J3267">
        <v>40</v>
      </c>
      <c r="K3267">
        <v>30</v>
      </c>
      <c r="L3267">
        <v>60</v>
      </c>
      <c r="M3267">
        <v>25</v>
      </c>
      <c r="N3267">
        <v>854</v>
      </c>
      <c r="O3267">
        <v>36</v>
      </c>
      <c r="P3267">
        <v>7</v>
      </c>
      <c r="Q3267">
        <v>23</v>
      </c>
      <c r="R3267">
        <v>60</v>
      </c>
      <c r="S3267">
        <v>1</v>
      </c>
      <c r="T3267">
        <v>0.76666666666666672</v>
      </c>
      <c r="U3267">
        <v>1.25</v>
      </c>
    </row>
    <row r="3268" spans="1:21" x14ac:dyDescent="0.35">
      <c r="A3268">
        <v>603</v>
      </c>
      <c r="B3268" s="16">
        <v>40725</v>
      </c>
      <c r="C3268" s="15" t="s">
        <v>63</v>
      </c>
      <c r="D3268" s="15" t="s">
        <v>58</v>
      </c>
      <c r="E3268" s="15" t="s">
        <v>46</v>
      </c>
      <c r="F3268" s="15" t="s">
        <v>47</v>
      </c>
      <c r="G3268" s="15" t="s">
        <v>68</v>
      </c>
      <c r="H3268" s="15" t="s">
        <v>42</v>
      </c>
      <c r="I3268">
        <v>0</v>
      </c>
      <c r="J3268">
        <v>40</v>
      </c>
      <c r="K3268">
        <v>30</v>
      </c>
      <c r="L3268">
        <v>40</v>
      </c>
      <c r="M3268">
        <v>0</v>
      </c>
      <c r="N3268">
        <v>559</v>
      </c>
      <c r="O3268">
        <v>43</v>
      </c>
      <c r="P3268">
        <v>0</v>
      </c>
      <c r="Q3268">
        <v>43</v>
      </c>
      <c r="R3268">
        <v>43</v>
      </c>
      <c r="S3268">
        <v>1.075</v>
      </c>
      <c r="T3268">
        <v>1.4333333333333333</v>
      </c>
    </row>
    <row r="3269" spans="1:21" x14ac:dyDescent="0.35">
      <c r="A3269">
        <v>603</v>
      </c>
      <c r="B3269" s="16">
        <v>40725</v>
      </c>
      <c r="C3269" s="15" t="s">
        <v>63</v>
      </c>
      <c r="D3269" s="15" t="s">
        <v>58</v>
      </c>
      <c r="E3269" s="15" t="s">
        <v>48</v>
      </c>
      <c r="F3269" s="15" t="s">
        <v>49</v>
      </c>
      <c r="G3269" s="15" t="s">
        <v>68</v>
      </c>
      <c r="H3269" s="15" t="s">
        <v>42</v>
      </c>
      <c r="I3269">
        <v>50</v>
      </c>
      <c r="J3269">
        <v>80</v>
      </c>
      <c r="K3269">
        <v>10</v>
      </c>
      <c r="L3269">
        <v>130</v>
      </c>
      <c r="M3269">
        <v>59</v>
      </c>
      <c r="N3269">
        <v>338</v>
      </c>
      <c r="O3269">
        <v>82</v>
      </c>
      <c r="P3269">
        <v>53</v>
      </c>
      <c r="Q3269">
        <v>-1</v>
      </c>
      <c r="R3269">
        <v>140</v>
      </c>
      <c r="S3269">
        <v>1.0769230769230769</v>
      </c>
      <c r="T3269">
        <v>-0.1</v>
      </c>
      <c r="U3269">
        <v>1.18</v>
      </c>
    </row>
    <row r="3270" spans="1:21" x14ac:dyDescent="0.35">
      <c r="A3270">
        <v>603</v>
      </c>
      <c r="B3270" s="16">
        <v>40725</v>
      </c>
      <c r="C3270" s="15" t="s">
        <v>63</v>
      </c>
      <c r="D3270" s="15" t="s">
        <v>58</v>
      </c>
      <c r="E3270" s="15" t="s">
        <v>67</v>
      </c>
      <c r="F3270" s="15" t="s">
        <v>49</v>
      </c>
      <c r="G3270" s="15" t="s">
        <v>68</v>
      </c>
      <c r="H3270" s="15" t="s">
        <v>42</v>
      </c>
      <c r="I3270">
        <v>30</v>
      </c>
      <c r="J3270">
        <v>50</v>
      </c>
      <c r="K3270">
        <v>10</v>
      </c>
      <c r="L3270">
        <v>80</v>
      </c>
      <c r="M3270">
        <v>40</v>
      </c>
      <c r="N3270">
        <v>219</v>
      </c>
      <c r="O3270">
        <v>49</v>
      </c>
      <c r="P3270">
        <v>15</v>
      </c>
      <c r="Q3270">
        <v>0</v>
      </c>
      <c r="R3270">
        <v>88</v>
      </c>
      <c r="S3270">
        <v>1.1000000000000001</v>
      </c>
      <c r="T3270">
        <v>0</v>
      </c>
      <c r="U3270">
        <v>1.3333333333333333</v>
      </c>
    </row>
    <row r="3271" spans="1:21" x14ac:dyDescent="0.35">
      <c r="A3271">
        <v>603</v>
      </c>
      <c r="B3271" s="16">
        <v>40725</v>
      </c>
      <c r="C3271" s="15" t="s">
        <v>63</v>
      </c>
      <c r="D3271" s="15" t="s">
        <v>58</v>
      </c>
      <c r="E3271" s="15" t="s">
        <v>39</v>
      </c>
      <c r="F3271" s="15" t="s">
        <v>40</v>
      </c>
      <c r="G3271" s="15" t="s">
        <v>68</v>
      </c>
      <c r="H3271" s="15" t="s">
        <v>42</v>
      </c>
      <c r="I3271">
        <v>50</v>
      </c>
      <c r="J3271">
        <v>90</v>
      </c>
      <c r="K3271">
        <v>70</v>
      </c>
      <c r="L3271">
        <v>140</v>
      </c>
      <c r="M3271">
        <v>61</v>
      </c>
      <c r="N3271">
        <v>329</v>
      </c>
      <c r="O3271">
        <v>90</v>
      </c>
      <c r="P3271">
        <v>19</v>
      </c>
      <c r="Q3271">
        <v>68</v>
      </c>
      <c r="R3271">
        <v>150</v>
      </c>
      <c r="S3271">
        <v>1.0714285714285714</v>
      </c>
      <c r="T3271">
        <v>0.97142857142857142</v>
      </c>
      <c r="U3271">
        <v>1.22</v>
      </c>
    </row>
    <row r="3272" spans="1:21" x14ac:dyDescent="0.35">
      <c r="A3272">
        <v>603</v>
      </c>
      <c r="B3272" s="16">
        <v>40725</v>
      </c>
      <c r="C3272" s="15" t="s">
        <v>63</v>
      </c>
      <c r="D3272" s="15" t="s">
        <v>58</v>
      </c>
      <c r="E3272" s="15" t="s">
        <v>43</v>
      </c>
      <c r="F3272" s="15" t="s">
        <v>40</v>
      </c>
      <c r="G3272" s="15" t="s">
        <v>68</v>
      </c>
      <c r="H3272" s="15" t="s">
        <v>42</v>
      </c>
      <c r="I3272">
        <v>60</v>
      </c>
      <c r="J3272">
        <v>90</v>
      </c>
      <c r="K3272">
        <v>60</v>
      </c>
      <c r="L3272">
        <v>150</v>
      </c>
      <c r="M3272">
        <v>64</v>
      </c>
      <c r="N3272">
        <v>467</v>
      </c>
      <c r="O3272">
        <v>96</v>
      </c>
      <c r="P3272">
        <v>21</v>
      </c>
      <c r="Q3272">
        <v>59</v>
      </c>
      <c r="R3272">
        <v>159</v>
      </c>
      <c r="S3272">
        <v>1.06</v>
      </c>
      <c r="T3272">
        <v>0.98333333333333328</v>
      </c>
      <c r="U3272">
        <v>1.0666666666666667</v>
      </c>
    </row>
    <row r="3273" spans="1:21" x14ac:dyDescent="0.35">
      <c r="A3273">
        <v>516</v>
      </c>
      <c r="B3273" s="16">
        <v>40725</v>
      </c>
      <c r="C3273" s="15" t="s">
        <v>63</v>
      </c>
      <c r="D3273" s="15" t="s">
        <v>38</v>
      </c>
      <c r="E3273" s="15" t="s">
        <v>53</v>
      </c>
      <c r="F3273" s="15" t="s">
        <v>52</v>
      </c>
      <c r="G3273" s="15" t="s">
        <v>69</v>
      </c>
      <c r="H3273" s="15" t="s">
        <v>45</v>
      </c>
      <c r="I3273">
        <v>200</v>
      </c>
      <c r="J3273">
        <v>410</v>
      </c>
      <c r="K3273">
        <v>310</v>
      </c>
      <c r="L3273">
        <v>610</v>
      </c>
      <c r="M3273">
        <v>270</v>
      </c>
      <c r="N3273">
        <v>1781</v>
      </c>
      <c r="O3273">
        <v>523</v>
      </c>
      <c r="P3273">
        <v>102</v>
      </c>
      <c r="Q3273">
        <v>536</v>
      </c>
      <c r="R3273">
        <v>786</v>
      </c>
      <c r="S3273">
        <v>1.2885245901639344</v>
      </c>
      <c r="T3273">
        <v>1.7290322580645161</v>
      </c>
      <c r="U3273">
        <v>1.35</v>
      </c>
    </row>
    <row r="3274" spans="1:21" x14ac:dyDescent="0.35">
      <c r="A3274">
        <v>914</v>
      </c>
      <c r="B3274" s="16">
        <v>40725</v>
      </c>
      <c r="C3274" s="15" t="s">
        <v>63</v>
      </c>
      <c r="D3274" s="15" t="s">
        <v>38</v>
      </c>
      <c r="E3274" s="15" t="s">
        <v>54</v>
      </c>
      <c r="F3274" s="15" t="s">
        <v>52</v>
      </c>
      <c r="G3274" s="15" t="s">
        <v>69</v>
      </c>
      <c r="H3274" s="15" t="s">
        <v>45</v>
      </c>
      <c r="I3274">
        <v>190</v>
      </c>
      <c r="J3274">
        <v>-40</v>
      </c>
      <c r="K3274">
        <v>-110</v>
      </c>
      <c r="L3274">
        <v>150</v>
      </c>
      <c r="M3274">
        <v>260</v>
      </c>
      <c r="N3274">
        <v>3076</v>
      </c>
      <c r="O3274">
        <v>-62</v>
      </c>
      <c r="P3274">
        <v>80</v>
      </c>
      <c r="Q3274">
        <v>-226</v>
      </c>
      <c r="R3274">
        <v>196</v>
      </c>
      <c r="S3274">
        <v>1.3066666666666666</v>
      </c>
      <c r="T3274">
        <v>2.0545454545454547</v>
      </c>
      <c r="U3274">
        <v>1.368421052631579</v>
      </c>
    </row>
    <row r="3275" spans="1:21" x14ac:dyDescent="0.35">
      <c r="A3275">
        <v>212</v>
      </c>
      <c r="B3275" s="16">
        <v>40725</v>
      </c>
      <c r="C3275" s="15" t="s">
        <v>63</v>
      </c>
      <c r="D3275" s="15" t="s">
        <v>38</v>
      </c>
      <c r="E3275" s="15" t="s">
        <v>55</v>
      </c>
      <c r="F3275" s="15" t="s">
        <v>47</v>
      </c>
      <c r="G3275" s="15" t="s">
        <v>69</v>
      </c>
      <c r="H3275" s="15" t="s">
        <v>42</v>
      </c>
      <c r="I3275">
        <v>130</v>
      </c>
      <c r="J3275">
        <v>200</v>
      </c>
      <c r="K3275">
        <v>160</v>
      </c>
      <c r="L3275">
        <v>330</v>
      </c>
      <c r="M3275">
        <v>127</v>
      </c>
      <c r="N3275">
        <v>1007</v>
      </c>
      <c r="O3275">
        <v>185</v>
      </c>
      <c r="P3275">
        <v>35</v>
      </c>
      <c r="Q3275">
        <v>190</v>
      </c>
      <c r="R3275">
        <v>309</v>
      </c>
      <c r="S3275">
        <v>0.9363636363636364</v>
      </c>
      <c r="T3275">
        <v>1.1875</v>
      </c>
      <c r="U3275">
        <v>0.97692307692307689</v>
      </c>
    </row>
    <row r="3276" spans="1:21" x14ac:dyDescent="0.35">
      <c r="A3276">
        <v>914</v>
      </c>
      <c r="B3276" s="16">
        <v>40725</v>
      </c>
      <c r="C3276" s="15" t="s">
        <v>63</v>
      </c>
      <c r="D3276" s="15" t="s">
        <v>38</v>
      </c>
      <c r="E3276" s="15" t="s">
        <v>56</v>
      </c>
      <c r="F3276" s="15" t="s">
        <v>47</v>
      </c>
      <c r="G3276" s="15" t="s">
        <v>69</v>
      </c>
      <c r="H3276" s="15" t="s">
        <v>42</v>
      </c>
      <c r="I3276">
        <v>110</v>
      </c>
      <c r="J3276">
        <v>160</v>
      </c>
      <c r="K3276">
        <v>120</v>
      </c>
      <c r="L3276">
        <v>270</v>
      </c>
      <c r="M3276">
        <v>104</v>
      </c>
      <c r="N3276">
        <v>952</v>
      </c>
      <c r="O3276">
        <v>152</v>
      </c>
      <c r="P3276">
        <v>29</v>
      </c>
      <c r="Q3276">
        <v>153</v>
      </c>
      <c r="R3276">
        <v>254</v>
      </c>
      <c r="S3276">
        <v>0.94074074074074077</v>
      </c>
      <c r="T3276">
        <v>1.2749999999999999</v>
      </c>
      <c r="U3276">
        <v>0.94545454545454544</v>
      </c>
    </row>
    <row r="3277" spans="1:21" x14ac:dyDescent="0.35">
      <c r="A3277">
        <v>631</v>
      </c>
      <c r="B3277" s="16">
        <v>40725</v>
      </c>
      <c r="C3277" s="15" t="s">
        <v>63</v>
      </c>
      <c r="D3277" s="15" t="s">
        <v>38</v>
      </c>
      <c r="E3277" s="15" t="s">
        <v>46</v>
      </c>
      <c r="F3277" s="15" t="s">
        <v>47</v>
      </c>
      <c r="G3277" s="15" t="s">
        <v>69</v>
      </c>
      <c r="H3277" s="15" t="s">
        <v>42</v>
      </c>
      <c r="I3277">
        <v>90</v>
      </c>
      <c r="J3277">
        <v>150</v>
      </c>
      <c r="K3277">
        <v>120</v>
      </c>
      <c r="L3277">
        <v>240</v>
      </c>
      <c r="M3277">
        <v>94</v>
      </c>
      <c r="N3277">
        <v>608</v>
      </c>
      <c r="O3277">
        <v>136</v>
      </c>
      <c r="P3277">
        <v>26</v>
      </c>
      <c r="Q3277">
        <v>135</v>
      </c>
      <c r="R3277">
        <v>228</v>
      </c>
      <c r="S3277">
        <v>0.95</v>
      </c>
      <c r="T3277">
        <v>1.125</v>
      </c>
      <c r="U3277">
        <v>1.0444444444444445</v>
      </c>
    </row>
    <row r="3278" spans="1:21" x14ac:dyDescent="0.35">
      <c r="A3278">
        <v>347</v>
      </c>
      <c r="B3278" s="16">
        <v>40725</v>
      </c>
      <c r="C3278" s="15" t="s">
        <v>63</v>
      </c>
      <c r="D3278" s="15" t="s">
        <v>38</v>
      </c>
      <c r="E3278" s="15" t="s">
        <v>48</v>
      </c>
      <c r="F3278" s="15" t="s">
        <v>49</v>
      </c>
      <c r="G3278" s="15" t="s">
        <v>69</v>
      </c>
      <c r="H3278" s="15" t="s">
        <v>42</v>
      </c>
      <c r="I3278">
        <v>150</v>
      </c>
      <c r="J3278">
        <v>-80</v>
      </c>
      <c r="K3278">
        <v>-240</v>
      </c>
      <c r="L3278">
        <v>70</v>
      </c>
      <c r="M3278">
        <v>162</v>
      </c>
      <c r="N3278">
        <v>2321</v>
      </c>
      <c r="O3278">
        <v>-85</v>
      </c>
      <c r="P3278">
        <v>147</v>
      </c>
      <c r="Q3278">
        <v>-367</v>
      </c>
      <c r="R3278">
        <v>76</v>
      </c>
      <c r="S3278">
        <v>1.0857142857142856</v>
      </c>
      <c r="T3278">
        <v>1.5291666666666666</v>
      </c>
      <c r="U3278">
        <v>1.08</v>
      </c>
    </row>
    <row r="3279" spans="1:21" x14ac:dyDescent="0.35">
      <c r="A3279">
        <v>631</v>
      </c>
      <c r="B3279" s="16">
        <v>40725</v>
      </c>
      <c r="C3279" s="15" t="s">
        <v>63</v>
      </c>
      <c r="D3279" s="15" t="s">
        <v>38</v>
      </c>
      <c r="E3279" s="15" t="s">
        <v>67</v>
      </c>
      <c r="F3279" s="15" t="s">
        <v>49</v>
      </c>
      <c r="G3279" s="15" t="s">
        <v>69</v>
      </c>
      <c r="H3279" s="15" t="s">
        <v>42</v>
      </c>
      <c r="I3279">
        <v>250</v>
      </c>
      <c r="J3279">
        <v>280</v>
      </c>
      <c r="K3279">
        <v>190</v>
      </c>
      <c r="L3279">
        <v>530</v>
      </c>
      <c r="M3279">
        <v>266</v>
      </c>
      <c r="N3279">
        <v>1355</v>
      </c>
      <c r="O3279">
        <v>280</v>
      </c>
      <c r="P3279">
        <v>74</v>
      </c>
      <c r="Q3279">
        <v>251</v>
      </c>
      <c r="R3279">
        <v>541</v>
      </c>
      <c r="S3279">
        <v>1.0207547169811322</v>
      </c>
      <c r="T3279">
        <v>1.3210526315789475</v>
      </c>
      <c r="U3279">
        <v>1.0640000000000001</v>
      </c>
    </row>
    <row r="3280" spans="1:21" x14ac:dyDescent="0.35">
      <c r="A3280">
        <v>716</v>
      </c>
      <c r="B3280" s="16">
        <v>40725</v>
      </c>
      <c r="C3280" s="15" t="s">
        <v>63</v>
      </c>
      <c r="D3280" s="15" t="s">
        <v>38</v>
      </c>
      <c r="E3280" s="15" t="s">
        <v>43</v>
      </c>
      <c r="F3280" s="15" t="s">
        <v>40</v>
      </c>
      <c r="G3280" s="15" t="s">
        <v>69</v>
      </c>
      <c r="H3280" s="15" t="s">
        <v>42</v>
      </c>
      <c r="I3280">
        <v>340</v>
      </c>
      <c r="J3280">
        <v>520</v>
      </c>
      <c r="K3280">
        <v>370</v>
      </c>
      <c r="L3280">
        <v>860</v>
      </c>
      <c r="M3280">
        <v>364</v>
      </c>
      <c r="N3280">
        <v>2654</v>
      </c>
      <c r="O3280">
        <v>548</v>
      </c>
      <c r="P3280">
        <v>127</v>
      </c>
      <c r="Q3280">
        <v>511</v>
      </c>
      <c r="R3280">
        <v>904</v>
      </c>
      <c r="S3280">
        <v>1.0511627906976744</v>
      </c>
      <c r="T3280">
        <v>1.3810810810810812</v>
      </c>
      <c r="U3280">
        <v>1.0705882352941176</v>
      </c>
    </row>
    <row r="3281" spans="1:21" x14ac:dyDescent="0.35">
      <c r="A3281">
        <v>337</v>
      </c>
      <c r="B3281" s="16">
        <v>40725</v>
      </c>
      <c r="C3281" s="15" t="s">
        <v>70</v>
      </c>
      <c r="D3281" s="15" t="s">
        <v>58</v>
      </c>
      <c r="E3281" s="15" t="s">
        <v>51</v>
      </c>
      <c r="F3281" s="15" t="s">
        <v>52</v>
      </c>
      <c r="G3281" s="15" t="s">
        <v>71</v>
      </c>
      <c r="H3281" s="15" t="s">
        <v>45</v>
      </c>
      <c r="I3281">
        <v>40</v>
      </c>
      <c r="J3281">
        <v>60</v>
      </c>
      <c r="K3281">
        <v>40</v>
      </c>
      <c r="L3281">
        <v>100</v>
      </c>
      <c r="M3281">
        <v>46</v>
      </c>
      <c r="N3281">
        <v>587</v>
      </c>
      <c r="O3281">
        <v>60</v>
      </c>
      <c r="P3281">
        <v>15</v>
      </c>
      <c r="Q3281">
        <v>44</v>
      </c>
      <c r="R3281">
        <v>105</v>
      </c>
      <c r="S3281">
        <v>1.05</v>
      </c>
      <c r="T3281">
        <v>1.1000000000000001</v>
      </c>
      <c r="U3281">
        <v>1.1499999999999999</v>
      </c>
    </row>
    <row r="3282" spans="1:21" x14ac:dyDescent="0.35">
      <c r="A3282">
        <v>985</v>
      </c>
      <c r="B3282" s="16">
        <v>40725</v>
      </c>
      <c r="C3282" s="15" t="s">
        <v>70</v>
      </c>
      <c r="D3282" s="15" t="s">
        <v>58</v>
      </c>
      <c r="E3282" s="15" t="s">
        <v>53</v>
      </c>
      <c r="F3282" s="15" t="s">
        <v>52</v>
      </c>
      <c r="G3282" s="15" t="s">
        <v>71</v>
      </c>
      <c r="H3282" s="15" t="s">
        <v>45</v>
      </c>
      <c r="I3282">
        <v>70</v>
      </c>
      <c r="J3282">
        <v>90</v>
      </c>
      <c r="K3282">
        <v>40</v>
      </c>
      <c r="L3282">
        <v>160</v>
      </c>
      <c r="M3282">
        <v>76</v>
      </c>
      <c r="N3282">
        <v>613</v>
      </c>
      <c r="O3282">
        <v>93</v>
      </c>
      <c r="P3282">
        <v>28</v>
      </c>
      <c r="Q3282">
        <v>43</v>
      </c>
      <c r="R3282">
        <v>167</v>
      </c>
      <c r="S3282">
        <v>1.04375</v>
      </c>
      <c r="T3282">
        <v>1.075</v>
      </c>
      <c r="U3282">
        <v>1.0857142857142856</v>
      </c>
    </row>
    <row r="3283" spans="1:21" x14ac:dyDescent="0.35">
      <c r="A3283">
        <v>337</v>
      </c>
      <c r="B3283" s="16">
        <v>40725</v>
      </c>
      <c r="C3283" s="15" t="s">
        <v>70</v>
      </c>
      <c r="D3283" s="15" t="s">
        <v>58</v>
      </c>
      <c r="E3283" s="15" t="s">
        <v>43</v>
      </c>
      <c r="F3283" s="15" t="s">
        <v>40</v>
      </c>
      <c r="G3283" s="15" t="s">
        <v>71</v>
      </c>
      <c r="H3283" s="15" t="s">
        <v>42</v>
      </c>
      <c r="I3283">
        <v>50</v>
      </c>
      <c r="J3283">
        <v>70</v>
      </c>
      <c r="K3283">
        <v>50</v>
      </c>
      <c r="L3283">
        <v>120</v>
      </c>
      <c r="M3283">
        <v>40</v>
      </c>
      <c r="N3283">
        <v>843</v>
      </c>
      <c r="O3283">
        <v>59</v>
      </c>
      <c r="P3283">
        <v>11</v>
      </c>
      <c r="Q3283">
        <v>50</v>
      </c>
      <c r="R3283">
        <v>98</v>
      </c>
      <c r="S3283">
        <v>0.81666666666666665</v>
      </c>
      <c r="T3283">
        <v>1</v>
      </c>
      <c r="U3283">
        <v>0.8</v>
      </c>
    </row>
    <row r="3284" spans="1:21" x14ac:dyDescent="0.35">
      <c r="A3284">
        <v>504</v>
      </c>
      <c r="B3284" s="16">
        <v>40725</v>
      </c>
      <c r="C3284" s="15" t="s">
        <v>70</v>
      </c>
      <c r="D3284" s="15" t="s">
        <v>58</v>
      </c>
      <c r="E3284" s="15" t="s">
        <v>44</v>
      </c>
      <c r="F3284" s="15" t="s">
        <v>40</v>
      </c>
      <c r="G3284" s="15" t="s">
        <v>71</v>
      </c>
      <c r="H3284" s="15" t="s">
        <v>45</v>
      </c>
      <c r="I3284">
        <v>70</v>
      </c>
      <c r="J3284">
        <v>110</v>
      </c>
      <c r="K3284">
        <v>90</v>
      </c>
      <c r="L3284">
        <v>180</v>
      </c>
      <c r="M3284">
        <v>59</v>
      </c>
      <c r="N3284">
        <v>870</v>
      </c>
      <c r="O3284">
        <v>85</v>
      </c>
      <c r="P3284">
        <v>16</v>
      </c>
      <c r="Q3284">
        <v>80</v>
      </c>
      <c r="R3284">
        <v>143</v>
      </c>
      <c r="S3284">
        <v>0.7944444444444444</v>
      </c>
      <c r="T3284">
        <v>0.88888888888888884</v>
      </c>
      <c r="U3284">
        <v>0.84285714285714286</v>
      </c>
    </row>
    <row r="3285" spans="1:21" x14ac:dyDescent="0.35">
      <c r="A3285">
        <v>225</v>
      </c>
      <c r="B3285" s="16">
        <v>40725</v>
      </c>
      <c r="C3285" s="15" t="s">
        <v>70</v>
      </c>
      <c r="D3285" s="15" t="s">
        <v>58</v>
      </c>
      <c r="E3285" s="15" t="s">
        <v>72</v>
      </c>
      <c r="F3285" s="15" t="s">
        <v>49</v>
      </c>
      <c r="G3285" s="15" t="s">
        <v>71</v>
      </c>
      <c r="H3285" s="15" t="s">
        <v>42</v>
      </c>
      <c r="I3285">
        <v>40</v>
      </c>
      <c r="J3285">
        <v>50</v>
      </c>
      <c r="K3285">
        <v>0</v>
      </c>
      <c r="L3285">
        <v>90</v>
      </c>
      <c r="M3285">
        <v>47</v>
      </c>
      <c r="N3285">
        <v>-395</v>
      </c>
      <c r="O3285">
        <v>66</v>
      </c>
      <c r="P3285">
        <v>42</v>
      </c>
      <c r="Q3285">
        <v>-8</v>
      </c>
      <c r="R3285">
        <v>112</v>
      </c>
      <c r="S3285">
        <v>1.2444444444444445</v>
      </c>
      <c r="U3285">
        <v>1.175</v>
      </c>
    </row>
    <row r="3286" spans="1:21" x14ac:dyDescent="0.35">
      <c r="A3286">
        <v>318</v>
      </c>
      <c r="B3286" s="16">
        <v>40725</v>
      </c>
      <c r="C3286" s="15" t="s">
        <v>70</v>
      </c>
      <c r="D3286" s="15" t="s">
        <v>58</v>
      </c>
      <c r="E3286" s="15" t="s">
        <v>48</v>
      </c>
      <c r="F3286" s="15" t="s">
        <v>49</v>
      </c>
      <c r="G3286" s="15" t="s">
        <v>71</v>
      </c>
      <c r="H3286" s="15" t="s">
        <v>42</v>
      </c>
      <c r="I3286">
        <v>30</v>
      </c>
      <c r="J3286">
        <v>50</v>
      </c>
      <c r="K3286">
        <v>30</v>
      </c>
      <c r="L3286">
        <v>80</v>
      </c>
      <c r="M3286">
        <v>39</v>
      </c>
      <c r="N3286">
        <v>380</v>
      </c>
      <c r="O3286">
        <v>65</v>
      </c>
      <c r="P3286">
        <v>12</v>
      </c>
      <c r="Q3286">
        <v>41</v>
      </c>
      <c r="R3286">
        <v>103</v>
      </c>
      <c r="S3286">
        <v>1.2875000000000001</v>
      </c>
      <c r="T3286">
        <v>1.3666666666666667</v>
      </c>
      <c r="U3286">
        <v>1.3</v>
      </c>
    </row>
    <row r="3287" spans="1:21" x14ac:dyDescent="0.35">
      <c r="A3287">
        <v>225</v>
      </c>
      <c r="B3287" s="16">
        <v>40725</v>
      </c>
      <c r="C3287" s="15" t="s">
        <v>70</v>
      </c>
      <c r="D3287" s="15" t="s">
        <v>58</v>
      </c>
      <c r="E3287" s="15" t="s">
        <v>50</v>
      </c>
      <c r="F3287" s="15" t="s">
        <v>49</v>
      </c>
      <c r="G3287" s="15" t="s">
        <v>71</v>
      </c>
      <c r="H3287" s="15" t="s">
        <v>45</v>
      </c>
      <c r="I3287">
        <v>30</v>
      </c>
      <c r="J3287">
        <v>40</v>
      </c>
      <c r="K3287">
        <v>20</v>
      </c>
      <c r="L3287">
        <v>70</v>
      </c>
      <c r="M3287">
        <v>36</v>
      </c>
      <c r="N3287">
        <v>462</v>
      </c>
      <c r="O3287">
        <v>54</v>
      </c>
      <c r="P3287">
        <v>11</v>
      </c>
      <c r="Q3287">
        <v>29</v>
      </c>
      <c r="R3287">
        <v>89</v>
      </c>
      <c r="S3287">
        <v>1.2714285714285714</v>
      </c>
      <c r="T3287">
        <v>1.45</v>
      </c>
      <c r="U3287">
        <v>1.2</v>
      </c>
    </row>
    <row r="3288" spans="1:21" x14ac:dyDescent="0.35">
      <c r="A3288">
        <v>505</v>
      </c>
      <c r="B3288" s="16">
        <v>40725</v>
      </c>
      <c r="C3288" s="15" t="s">
        <v>70</v>
      </c>
      <c r="D3288" s="15" t="s">
        <v>58</v>
      </c>
      <c r="E3288" s="15" t="s">
        <v>51</v>
      </c>
      <c r="F3288" s="15" t="s">
        <v>52</v>
      </c>
      <c r="G3288" s="15" t="s">
        <v>73</v>
      </c>
      <c r="H3288" s="15" t="s">
        <v>45</v>
      </c>
      <c r="I3288">
        <v>20</v>
      </c>
      <c r="J3288">
        <v>30</v>
      </c>
      <c r="K3288">
        <v>20</v>
      </c>
      <c r="L3288">
        <v>50</v>
      </c>
      <c r="M3288">
        <v>25</v>
      </c>
      <c r="N3288">
        <v>854</v>
      </c>
      <c r="O3288">
        <v>36</v>
      </c>
      <c r="P3288">
        <v>7</v>
      </c>
      <c r="Q3288">
        <v>23</v>
      </c>
      <c r="R3288">
        <v>60</v>
      </c>
      <c r="S3288">
        <v>1.2</v>
      </c>
      <c r="T3288">
        <v>1.1499999999999999</v>
      </c>
      <c r="U3288">
        <v>1.25</v>
      </c>
    </row>
    <row r="3289" spans="1:21" x14ac:dyDescent="0.35">
      <c r="A3289">
        <v>505</v>
      </c>
      <c r="B3289" s="16">
        <v>40725</v>
      </c>
      <c r="C3289" s="15" t="s">
        <v>70</v>
      </c>
      <c r="D3289" s="15" t="s">
        <v>58</v>
      </c>
      <c r="E3289" s="15" t="s">
        <v>53</v>
      </c>
      <c r="F3289" s="15" t="s">
        <v>52</v>
      </c>
      <c r="G3289" s="15" t="s">
        <v>73</v>
      </c>
      <c r="H3289" s="15" t="s">
        <v>45</v>
      </c>
      <c r="I3289">
        <v>30</v>
      </c>
      <c r="J3289">
        <v>40</v>
      </c>
      <c r="K3289">
        <v>20</v>
      </c>
      <c r="L3289">
        <v>70</v>
      </c>
      <c r="M3289">
        <v>34</v>
      </c>
      <c r="N3289">
        <v>1010</v>
      </c>
      <c r="O3289">
        <v>41</v>
      </c>
      <c r="P3289">
        <v>10</v>
      </c>
      <c r="Q3289">
        <v>14</v>
      </c>
      <c r="R3289">
        <v>74</v>
      </c>
      <c r="S3289">
        <v>1.0571428571428572</v>
      </c>
      <c r="T3289">
        <v>0.7</v>
      </c>
      <c r="U3289">
        <v>1.1333333333333333</v>
      </c>
    </row>
    <row r="3290" spans="1:21" x14ac:dyDescent="0.35">
      <c r="A3290">
        <v>505</v>
      </c>
      <c r="B3290" s="16">
        <v>40725</v>
      </c>
      <c r="C3290" s="15" t="s">
        <v>70</v>
      </c>
      <c r="D3290" s="15" t="s">
        <v>58</v>
      </c>
      <c r="E3290" s="15" t="s">
        <v>43</v>
      </c>
      <c r="F3290" s="15" t="s">
        <v>40</v>
      </c>
      <c r="G3290" s="15" t="s">
        <v>73</v>
      </c>
      <c r="H3290" s="15" t="s">
        <v>42</v>
      </c>
      <c r="I3290">
        <v>80</v>
      </c>
      <c r="J3290">
        <v>120</v>
      </c>
      <c r="K3290">
        <v>70</v>
      </c>
      <c r="L3290">
        <v>200</v>
      </c>
      <c r="M3290">
        <v>64</v>
      </c>
      <c r="N3290">
        <v>467</v>
      </c>
      <c r="O3290">
        <v>96</v>
      </c>
      <c r="P3290">
        <v>21</v>
      </c>
      <c r="Q3290">
        <v>61</v>
      </c>
      <c r="R3290">
        <v>159</v>
      </c>
      <c r="S3290">
        <v>0.79500000000000004</v>
      </c>
      <c r="T3290">
        <v>0.87142857142857144</v>
      </c>
      <c r="U3290">
        <v>0.8</v>
      </c>
    </row>
    <row r="3291" spans="1:21" x14ac:dyDescent="0.35">
      <c r="A3291">
        <v>505</v>
      </c>
      <c r="B3291" s="16">
        <v>40725</v>
      </c>
      <c r="C3291" s="15" t="s">
        <v>70</v>
      </c>
      <c r="D3291" s="15" t="s">
        <v>58</v>
      </c>
      <c r="E3291" s="15" t="s">
        <v>44</v>
      </c>
      <c r="F3291" s="15" t="s">
        <v>40</v>
      </c>
      <c r="G3291" s="15" t="s">
        <v>73</v>
      </c>
      <c r="H3291" s="15" t="s">
        <v>45</v>
      </c>
      <c r="I3291">
        <v>150</v>
      </c>
      <c r="J3291">
        <v>60</v>
      </c>
      <c r="K3291">
        <v>10</v>
      </c>
      <c r="L3291">
        <v>210</v>
      </c>
      <c r="M3291">
        <v>120</v>
      </c>
      <c r="N3291">
        <v>1334</v>
      </c>
      <c r="O3291">
        <v>49</v>
      </c>
      <c r="P3291">
        <v>37</v>
      </c>
      <c r="Q3291">
        <v>-15</v>
      </c>
      <c r="R3291">
        <v>167</v>
      </c>
      <c r="S3291">
        <v>0.79523809523809519</v>
      </c>
      <c r="T3291">
        <v>-1.5</v>
      </c>
      <c r="U3291">
        <v>0.8</v>
      </c>
    </row>
    <row r="3292" spans="1:21" x14ac:dyDescent="0.35">
      <c r="A3292">
        <v>505</v>
      </c>
      <c r="B3292" s="16">
        <v>40725</v>
      </c>
      <c r="C3292" s="15" t="s">
        <v>70</v>
      </c>
      <c r="D3292" s="15" t="s">
        <v>58</v>
      </c>
      <c r="E3292" s="15" t="s">
        <v>72</v>
      </c>
      <c r="F3292" s="15" t="s">
        <v>49</v>
      </c>
      <c r="G3292" s="15" t="s">
        <v>73</v>
      </c>
      <c r="H3292" s="15" t="s">
        <v>42</v>
      </c>
      <c r="I3292">
        <v>30</v>
      </c>
      <c r="J3292">
        <v>40</v>
      </c>
      <c r="K3292">
        <v>10</v>
      </c>
      <c r="L3292">
        <v>70</v>
      </c>
      <c r="M3292">
        <v>40</v>
      </c>
      <c r="N3292">
        <v>-258</v>
      </c>
      <c r="O3292">
        <v>49</v>
      </c>
      <c r="P3292">
        <v>15</v>
      </c>
      <c r="Q3292">
        <v>1</v>
      </c>
      <c r="R3292">
        <v>88</v>
      </c>
      <c r="S3292">
        <v>1.2571428571428571</v>
      </c>
      <c r="T3292">
        <v>0.1</v>
      </c>
      <c r="U3292">
        <v>1.3333333333333333</v>
      </c>
    </row>
    <row r="3293" spans="1:21" x14ac:dyDescent="0.35">
      <c r="A3293">
        <v>505</v>
      </c>
      <c r="B3293" s="16">
        <v>40725</v>
      </c>
      <c r="C3293" s="15" t="s">
        <v>70</v>
      </c>
      <c r="D3293" s="15" t="s">
        <v>58</v>
      </c>
      <c r="E3293" s="15" t="s">
        <v>48</v>
      </c>
      <c r="F3293" s="15" t="s">
        <v>49</v>
      </c>
      <c r="G3293" s="15" t="s">
        <v>73</v>
      </c>
      <c r="H3293" s="15" t="s">
        <v>42</v>
      </c>
      <c r="I3293">
        <v>50</v>
      </c>
      <c r="J3293">
        <v>70</v>
      </c>
      <c r="K3293">
        <v>0</v>
      </c>
      <c r="L3293">
        <v>120</v>
      </c>
      <c r="M3293">
        <v>59</v>
      </c>
      <c r="N3293">
        <v>338</v>
      </c>
      <c r="O3293">
        <v>82</v>
      </c>
      <c r="P3293">
        <v>53</v>
      </c>
      <c r="Q3293">
        <v>-1</v>
      </c>
      <c r="R3293">
        <v>140</v>
      </c>
      <c r="S3293">
        <v>1.1666666666666667</v>
      </c>
      <c r="U3293">
        <v>1.18</v>
      </c>
    </row>
    <row r="3294" spans="1:21" x14ac:dyDescent="0.35">
      <c r="A3294">
        <v>505</v>
      </c>
      <c r="B3294" s="16">
        <v>40725</v>
      </c>
      <c r="C3294" s="15" t="s">
        <v>70</v>
      </c>
      <c r="D3294" s="15" t="s">
        <v>58</v>
      </c>
      <c r="E3294" s="15" t="s">
        <v>50</v>
      </c>
      <c r="F3294" s="15" t="s">
        <v>49</v>
      </c>
      <c r="G3294" s="15" t="s">
        <v>73</v>
      </c>
      <c r="H3294" s="15" t="s">
        <v>45</v>
      </c>
      <c r="I3294">
        <v>30</v>
      </c>
      <c r="J3294">
        <v>50</v>
      </c>
      <c r="K3294">
        <v>20</v>
      </c>
      <c r="L3294">
        <v>80</v>
      </c>
      <c r="M3294">
        <v>44</v>
      </c>
      <c r="N3294">
        <v>258</v>
      </c>
      <c r="O3294">
        <v>59</v>
      </c>
      <c r="P3294">
        <v>14</v>
      </c>
      <c r="Q3294">
        <v>25</v>
      </c>
      <c r="R3294">
        <v>102</v>
      </c>
      <c r="S3294">
        <v>1.2749999999999999</v>
      </c>
      <c r="T3294">
        <v>1.25</v>
      </c>
      <c r="U3294">
        <v>1.4666666666666666</v>
      </c>
    </row>
    <row r="3295" spans="1:21" x14ac:dyDescent="0.35">
      <c r="A3295">
        <v>580</v>
      </c>
      <c r="B3295" s="16">
        <v>40725</v>
      </c>
      <c r="C3295" s="15" t="s">
        <v>70</v>
      </c>
      <c r="D3295" s="15" t="s">
        <v>58</v>
      </c>
      <c r="E3295" s="15" t="s">
        <v>51</v>
      </c>
      <c r="F3295" s="15" t="s">
        <v>52</v>
      </c>
      <c r="G3295" s="15" t="s">
        <v>74</v>
      </c>
      <c r="H3295" s="15" t="s">
        <v>45</v>
      </c>
      <c r="I3295">
        <v>50</v>
      </c>
      <c r="J3295">
        <v>80</v>
      </c>
      <c r="K3295">
        <v>30</v>
      </c>
      <c r="L3295">
        <v>130</v>
      </c>
      <c r="M3295">
        <v>59</v>
      </c>
      <c r="N3295">
        <v>403</v>
      </c>
      <c r="O3295">
        <v>74</v>
      </c>
      <c r="P3295">
        <v>22</v>
      </c>
      <c r="Q3295">
        <v>26</v>
      </c>
      <c r="R3295">
        <v>132</v>
      </c>
      <c r="S3295">
        <v>1.0153846153846153</v>
      </c>
      <c r="T3295">
        <v>0.8666666666666667</v>
      </c>
      <c r="U3295">
        <v>1.18</v>
      </c>
    </row>
    <row r="3296" spans="1:21" x14ac:dyDescent="0.35">
      <c r="A3296">
        <v>405</v>
      </c>
      <c r="B3296" s="16">
        <v>40725</v>
      </c>
      <c r="C3296" s="15" t="s">
        <v>70</v>
      </c>
      <c r="D3296" s="15" t="s">
        <v>58</v>
      </c>
      <c r="E3296" s="15" t="s">
        <v>53</v>
      </c>
      <c r="F3296" s="15" t="s">
        <v>52</v>
      </c>
      <c r="G3296" s="15" t="s">
        <v>74</v>
      </c>
      <c r="H3296" s="15" t="s">
        <v>45</v>
      </c>
      <c r="I3296">
        <v>110</v>
      </c>
      <c r="J3296">
        <v>180</v>
      </c>
      <c r="K3296">
        <v>60</v>
      </c>
      <c r="L3296">
        <v>290</v>
      </c>
      <c r="M3296">
        <v>124</v>
      </c>
      <c r="N3296">
        <v>717</v>
      </c>
      <c r="O3296">
        <v>173</v>
      </c>
      <c r="P3296">
        <v>112</v>
      </c>
      <c r="Q3296">
        <v>44</v>
      </c>
      <c r="R3296">
        <v>294</v>
      </c>
      <c r="S3296">
        <v>1.0137931034482759</v>
      </c>
      <c r="T3296">
        <v>0.73333333333333328</v>
      </c>
      <c r="U3296">
        <v>1.1272727272727272</v>
      </c>
    </row>
    <row r="3297" spans="1:21" x14ac:dyDescent="0.35">
      <c r="A3297">
        <v>580</v>
      </c>
      <c r="B3297" s="16">
        <v>40725</v>
      </c>
      <c r="C3297" s="15" t="s">
        <v>70</v>
      </c>
      <c r="D3297" s="15" t="s">
        <v>58</v>
      </c>
      <c r="E3297" s="15" t="s">
        <v>43</v>
      </c>
      <c r="F3297" s="15" t="s">
        <v>40</v>
      </c>
      <c r="G3297" s="15" t="s">
        <v>74</v>
      </c>
      <c r="H3297" s="15" t="s">
        <v>42</v>
      </c>
      <c r="I3297">
        <v>50</v>
      </c>
      <c r="J3297">
        <v>60</v>
      </c>
      <c r="K3297">
        <v>40</v>
      </c>
      <c r="L3297">
        <v>110</v>
      </c>
      <c r="M3297">
        <v>41</v>
      </c>
      <c r="N3297">
        <v>592</v>
      </c>
      <c r="O3297">
        <v>53</v>
      </c>
      <c r="P3297">
        <v>13</v>
      </c>
      <c r="Q3297">
        <v>39</v>
      </c>
      <c r="R3297">
        <v>93</v>
      </c>
      <c r="S3297">
        <v>0.84545454545454546</v>
      </c>
      <c r="T3297">
        <v>0.97499999999999998</v>
      </c>
      <c r="U3297">
        <v>0.82</v>
      </c>
    </row>
    <row r="3298" spans="1:21" x14ac:dyDescent="0.35">
      <c r="A3298">
        <v>918</v>
      </c>
      <c r="B3298" s="16">
        <v>40725</v>
      </c>
      <c r="C3298" s="15" t="s">
        <v>70</v>
      </c>
      <c r="D3298" s="15" t="s">
        <v>58</v>
      </c>
      <c r="E3298" s="15" t="s">
        <v>44</v>
      </c>
      <c r="F3298" s="15" t="s">
        <v>40</v>
      </c>
      <c r="G3298" s="15" t="s">
        <v>74</v>
      </c>
      <c r="H3298" s="15" t="s">
        <v>45</v>
      </c>
      <c r="I3298">
        <v>20</v>
      </c>
      <c r="J3298">
        <v>50</v>
      </c>
      <c r="K3298">
        <v>40</v>
      </c>
      <c r="L3298">
        <v>70</v>
      </c>
      <c r="M3298">
        <v>23</v>
      </c>
      <c r="N3298">
        <v>868</v>
      </c>
      <c r="O3298">
        <v>34</v>
      </c>
      <c r="P3298">
        <v>6</v>
      </c>
      <c r="Q3298">
        <v>22</v>
      </c>
      <c r="R3298">
        <v>56</v>
      </c>
      <c r="S3298">
        <v>0.8</v>
      </c>
      <c r="T3298">
        <v>0.55000000000000004</v>
      </c>
      <c r="U3298">
        <v>1.1499999999999999</v>
      </c>
    </row>
    <row r="3299" spans="1:21" x14ac:dyDescent="0.35">
      <c r="A3299">
        <v>405</v>
      </c>
      <c r="B3299" s="16">
        <v>40725</v>
      </c>
      <c r="C3299" s="15" t="s">
        <v>70</v>
      </c>
      <c r="D3299" s="15" t="s">
        <v>58</v>
      </c>
      <c r="E3299" s="15" t="s">
        <v>72</v>
      </c>
      <c r="F3299" s="15" t="s">
        <v>49</v>
      </c>
      <c r="G3299" s="15" t="s">
        <v>74</v>
      </c>
      <c r="H3299" s="15" t="s">
        <v>42</v>
      </c>
      <c r="I3299">
        <v>120</v>
      </c>
      <c r="J3299">
        <v>160</v>
      </c>
      <c r="K3299">
        <v>110</v>
      </c>
      <c r="L3299">
        <v>280</v>
      </c>
      <c r="M3299">
        <v>141</v>
      </c>
      <c r="N3299">
        <v>-942</v>
      </c>
      <c r="O3299">
        <v>195</v>
      </c>
      <c r="P3299">
        <v>43</v>
      </c>
      <c r="Q3299">
        <v>177</v>
      </c>
      <c r="R3299">
        <v>333</v>
      </c>
      <c r="S3299">
        <v>1.1892857142857143</v>
      </c>
      <c r="T3299">
        <v>1.6090909090909091</v>
      </c>
      <c r="U3299">
        <v>1.175</v>
      </c>
    </row>
    <row r="3300" spans="1:21" x14ac:dyDescent="0.35">
      <c r="A3300">
        <v>918</v>
      </c>
      <c r="B3300" s="16">
        <v>40725</v>
      </c>
      <c r="C3300" s="15" t="s">
        <v>70</v>
      </c>
      <c r="D3300" s="15" t="s">
        <v>58</v>
      </c>
      <c r="E3300" s="15" t="s">
        <v>48</v>
      </c>
      <c r="F3300" s="15" t="s">
        <v>49</v>
      </c>
      <c r="G3300" s="15" t="s">
        <v>74</v>
      </c>
      <c r="H3300" s="15" t="s">
        <v>42</v>
      </c>
      <c r="I3300">
        <v>10</v>
      </c>
      <c r="J3300">
        <v>20</v>
      </c>
      <c r="K3300">
        <v>20</v>
      </c>
      <c r="L3300">
        <v>30</v>
      </c>
      <c r="M3300">
        <v>18</v>
      </c>
      <c r="N3300">
        <v>486</v>
      </c>
      <c r="O3300">
        <v>26</v>
      </c>
      <c r="P3300">
        <v>5</v>
      </c>
      <c r="Q3300">
        <v>12</v>
      </c>
      <c r="R3300">
        <v>44</v>
      </c>
      <c r="S3300">
        <v>1.4666666666666666</v>
      </c>
      <c r="T3300">
        <v>0.6</v>
      </c>
      <c r="U3300">
        <v>1.8</v>
      </c>
    </row>
    <row r="3301" spans="1:21" x14ac:dyDescent="0.35">
      <c r="A3301">
        <v>405</v>
      </c>
      <c r="B3301" s="16">
        <v>40725</v>
      </c>
      <c r="C3301" s="15" t="s">
        <v>70</v>
      </c>
      <c r="D3301" s="15" t="s">
        <v>58</v>
      </c>
      <c r="E3301" s="15" t="s">
        <v>50</v>
      </c>
      <c r="F3301" s="15" t="s">
        <v>49</v>
      </c>
      <c r="G3301" s="15" t="s">
        <v>74</v>
      </c>
      <c r="H3301" s="15" t="s">
        <v>45</v>
      </c>
      <c r="I3301">
        <v>90</v>
      </c>
      <c r="J3301">
        <v>150</v>
      </c>
      <c r="K3301">
        <v>100</v>
      </c>
      <c r="L3301">
        <v>240</v>
      </c>
      <c r="M3301">
        <v>114</v>
      </c>
      <c r="N3301">
        <v>822</v>
      </c>
      <c r="O3301">
        <v>172</v>
      </c>
      <c r="P3301">
        <v>37</v>
      </c>
      <c r="Q3301">
        <v>142</v>
      </c>
      <c r="R3301">
        <v>283</v>
      </c>
      <c r="S3301">
        <v>1.1791666666666667</v>
      </c>
      <c r="T3301">
        <v>1.42</v>
      </c>
      <c r="U3301">
        <v>1.2666666666666666</v>
      </c>
    </row>
    <row r="3302" spans="1:21" x14ac:dyDescent="0.35">
      <c r="A3302">
        <v>214</v>
      </c>
      <c r="B3302" s="16">
        <v>40725</v>
      </c>
      <c r="C3302" s="15" t="s">
        <v>70</v>
      </c>
      <c r="D3302" s="15" t="s">
        <v>38</v>
      </c>
      <c r="E3302" s="15" t="s">
        <v>51</v>
      </c>
      <c r="F3302" s="15" t="s">
        <v>52</v>
      </c>
      <c r="G3302" s="15" t="s">
        <v>75</v>
      </c>
      <c r="H3302" s="15" t="s">
        <v>45</v>
      </c>
      <c r="I3302">
        <v>40</v>
      </c>
      <c r="J3302">
        <v>60</v>
      </c>
      <c r="K3302">
        <v>30</v>
      </c>
      <c r="L3302">
        <v>100</v>
      </c>
      <c r="M3302">
        <v>47</v>
      </c>
      <c r="N3302">
        <v>420</v>
      </c>
      <c r="O3302">
        <v>63</v>
      </c>
      <c r="P3302">
        <v>15</v>
      </c>
      <c r="Q3302">
        <v>28</v>
      </c>
      <c r="R3302">
        <v>109</v>
      </c>
      <c r="S3302">
        <v>1.0900000000000001</v>
      </c>
      <c r="T3302">
        <v>0.93333333333333335</v>
      </c>
      <c r="U3302">
        <v>1.175</v>
      </c>
    </row>
    <row r="3303" spans="1:21" x14ac:dyDescent="0.35">
      <c r="A3303">
        <v>254</v>
      </c>
      <c r="B3303" s="16">
        <v>40725</v>
      </c>
      <c r="C3303" s="15" t="s">
        <v>70</v>
      </c>
      <c r="D3303" s="15" t="s">
        <v>38</v>
      </c>
      <c r="E3303" s="15" t="s">
        <v>53</v>
      </c>
      <c r="F3303" s="15" t="s">
        <v>52</v>
      </c>
      <c r="G3303" s="15" t="s">
        <v>75</v>
      </c>
      <c r="H3303" s="15" t="s">
        <v>45</v>
      </c>
      <c r="I3303">
        <v>30</v>
      </c>
      <c r="J3303">
        <v>50</v>
      </c>
      <c r="K3303">
        <v>30</v>
      </c>
      <c r="L3303">
        <v>80</v>
      </c>
      <c r="M3303">
        <v>34</v>
      </c>
      <c r="N3303">
        <v>432</v>
      </c>
      <c r="O3303">
        <v>51</v>
      </c>
      <c r="P3303">
        <v>10</v>
      </c>
      <c r="Q3303">
        <v>26</v>
      </c>
      <c r="R3303">
        <v>84</v>
      </c>
      <c r="S3303">
        <v>1.05</v>
      </c>
      <c r="T3303">
        <v>0.8666666666666667</v>
      </c>
      <c r="U3303">
        <v>1.1333333333333333</v>
      </c>
    </row>
    <row r="3304" spans="1:21" x14ac:dyDescent="0.35">
      <c r="A3304">
        <v>972</v>
      </c>
      <c r="B3304" s="16">
        <v>40725</v>
      </c>
      <c r="C3304" s="15" t="s">
        <v>70</v>
      </c>
      <c r="D3304" s="15" t="s">
        <v>38</v>
      </c>
      <c r="E3304" s="15" t="s">
        <v>43</v>
      </c>
      <c r="F3304" s="15" t="s">
        <v>40</v>
      </c>
      <c r="G3304" s="15" t="s">
        <v>75</v>
      </c>
      <c r="H3304" s="15" t="s">
        <v>42</v>
      </c>
      <c r="I3304">
        <v>320</v>
      </c>
      <c r="J3304">
        <v>380</v>
      </c>
      <c r="K3304">
        <v>290</v>
      </c>
      <c r="L3304">
        <v>700</v>
      </c>
      <c r="M3304">
        <v>260</v>
      </c>
      <c r="N3304">
        <v>1319</v>
      </c>
      <c r="O3304">
        <v>307</v>
      </c>
      <c r="P3304">
        <v>80</v>
      </c>
      <c r="Q3304">
        <v>284</v>
      </c>
      <c r="R3304">
        <v>562</v>
      </c>
      <c r="S3304">
        <v>0.80285714285714282</v>
      </c>
      <c r="T3304">
        <v>0.97931034482758617</v>
      </c>
      <c r="U3304">
        <v>0.8125</v>
      </c>
    </row>
    <row r="3305" spans="1:21" x14ac:dyDescent="0.35">
      <c r="A3305">
        <v>806</v>
      </c>
      <c r="B3305" s="16">
        <v>40725</v>
      </c>
      <c r="C3305" s="15" t="s">
        <v>70</v>
      </c>
      <c r="D3305" s="15" t="s">
        <v>38</v>
      </c>
      <c r="E3305" s="15" t="s">
        <v>44</v>
      </c>
      <c r="F3305" s="15" t="s">
        <v>40</v>
      </c>
      <c r="G3305" s="15" t="s">
        <v>75</v>
      </c>
      <c r="H3305" s="15" t="s">
        <v>45</v>
      </c>
      <c r="I3305">
        <v>100</v>
      </c>
      <c r="J3305">
        <v>140</v>
      </c>
      <c r="K3305">
        <v>110</v>
      </c>
      <c r="L3305">
        <v>240</v>
      </c>
      <c r="M3305">
        <v>87</v>
      </c>
      <c r="N3305">
        <v>564</v>
      </c>
      <c r="O3305">
        <v>112</v>
      </c>
      <c r="P3305">
        <v>28</v>
      </c>
      <c r="Q3305">
        <v>98</v>
      </c>
      <c r="R3305">
        <v>197</v>
      </c>
      <c r="S3305">
        <v>0.8208333333333333</v>
      </c>
      <c r="T3305">
        <v>0.89090909090909087</v>
      </c>
      <c r="U3305">
        <v>0.87</v>
      </c>
    </row>
    <row r="3306" spans="1:21" x14ac:dyDescent="0.35">
      <c r="A3306">
        <v>682</v>
      </c>
      <c r="B3306" s="16">
        <v>40725</v>
      </c>
      <c r="C3306" s="15" t="s">
        <v>70</v>
      </c>
      <c r="D3306" s="15" t="s">
        <v>38</v>
      </c>
      <c r="E3306" s="15" t="s">
        <v>72</v>
      </c>
      <c r="F3306" s="15" t="s">
        <v>49</v>
      </c>
      <c r="G3306" s="15" t="s">
        <v>75</v>
      </c>
      <c r="H3306" s="15" t="s">
        <v>42</v>
      </c>
      <c r="I3306">
        <v>40</v>
      </c>
      <c r="J3306">
        <v>70</v>
      </c>
      <c r="K3306">
        <v>40</v>
      </c>
      <c r="L3306">
        <v>110</v>
      </c>
      <c r="M3306">
        <v>52</v>
      </c>
      <c r="N3306">
        <v>-456</v>
      </c>
      <c r="O3306">
        <v>79</v>
      </c>
      <c r="P3306">
        <v>17</v>
      </c>
      <c r="Q3306">
        <v>41</v>
      </c>
      <c r="R3306">
        <v>130</v>
      </c>
      <c r="S3306">
        <v>1.1818181818181819</v>
      </c>
      <c r="T3306">
        <v>1.0249999999999999</v>
      </c>
      <c r="U3306">
        <v>1.3</v>
      </c>
    </row>
    <row r="3307" spans="1:21" x14ac:dyDescent="0.35">
      <c r="A3307">
        <v>979</v>
      </c>
      <c r="B3307" s="16">
        <v>40725</v>
      </c>
      <c r="C3307" s="15" t="s">
        <v>70</v>
      </c>
      <c r="D3307" s="15" t="s">
        <v>38</v>
      </c>
      <c r="E3307" s="15" t="s">
        <v>48</v>
      </c>
      <c r="F3307" s="15" t="s">
        <v>49</v>
      </c>
      <c r="G3307" s="15" t="s">
        <v>75</v>
      </c>
      <c r="H3307" s="15" t="s">
        <v>42</v>
      </c>
      <c r="I3307">
        <v>80</v>
      </c>
      <c r="J3307">
        <v>140</v>
      </c>
      <c r="K3307">
        <v>120</v>
      </c>
      <c r="L3307">
        <v>220</v>
      </c>
      <c r="M3307">
        <v>104</v>
      </c>
      <c r="N3307">
        <v>952</v>
      </c>
      <c r="O3307">
        <v>152</v>
      </c>
      <c r="P3307">
        <v>29</v>
      </c>
      <c r="Q3307">
        <v>155</v>
      </c>
      <c r="R3307">
        <v>254</v>
      </c>
      <c r="S3307">
        <v>1.1545454545454545</v>
      </c>
      <c r="T3307">
        <v>1.2916666666666667</v>
      </c>
      <c r="U3307">
        <v>1.3</v>
      </c>
    </row>
    <row r="3308" spans="1:21" x14ac:dyDescent="0.35">
      <c r="A3308">
        <v>254</v>
      </c>
      <c r="B3308" s="16">
        <v>40725</v>
      </c>
      <c r="C3308" s="15" t="s">
        <v>70</v>
      </c>
      <c r="D3308" s="15" t="s">
        <v>38</v>
      </c>
      <c r="E3308" s="15" t="s">
        <v>50</v>
      </c>
      <c r="F3308" s="15" t="s">
        <v>49</v>
      </c>
      <c r="G3308" s="15" t="s">
        <v>75</v>
      </c>
      <c r="H3308" s="15" t="s">
        <v>45</v>
      </c>
      <c r="I3308">
        <v>80</v>
      </c>
      <c r="J3308">
        <v>110</v>
      </c>
      <c r="K3308">
        <v>90</v>
      </c>
      <c r="L3308">
        <v>190</v>
      </c>
      <c r="M3308">
        <v>94</v>
      </c>
      <c r="N3308">
        <v>608</v>
      </c>
      <c r="O3308">
        <v>136</v>
      </c>
      <c r="P3308">
        <v>26</v>
      </c>
      <c r="Q3308">
        <v>135</v>
      </c>
      <c r="R3308">
        <v>228</v>
      </c>
      <c r="S3308">
        <v>1.2</v>
      </c>
      <c r="T3308">
        <v>1.5</v>
      </c>
      <c r="U3308">
        <v>1.175</v>
      </c>
    </row>
    <row r="3309" spans="1:21" x14ac:dyDescent="0.35">
      <c r="A3309">
        <v>801</v>
      </c>
      <c r="B3309" s="16">
        <v>40725</v>
      </c>
      <c r="C3309" s="15" t="s">
        <v>76</v>
      </c>
      <c r="D3309" s="15" t="s">
        <v>58</v>
      </c>
      <c r="E3309" s="15" t="s">
        <v>56</v>
      </c>
      <c r="F3309" s="15" t="s">
        <v>47</v>
      </c>
      <c r="G3309" s="15" t="s">
        <v>77</v>
      </c>
      <c r="H3309" s="15" t="s">
        <v>42</v>
      </c>
      <c r="I3309">
        <v>20</v>
      </c>
      <c r="J3309">
        <v>50</v>
      </c>
      <c r="K3309">
        <v>30</v>
      </c>
      <c r="L3309">
        <v>70</v>
      </c>
      <c r="M3309">
        <v>44</v>
      </c>
      <c r="N3309">
        <v>258</v>
      </c>
      <c r="O3309">
        <v>59</v>
      </c>
      <c r="P3309">
        <v>14</v>
      </c>
      <c r="Q3309">
        <v>23</v>
      </c>
      <c r="R3309">
        <v>102</v>
      </c>
      <c r="S3309">
        <v>1.4571428571428571</v>
      </c>
      <c r="T3309">
        <v>0.76666666666666672</v>
      </c>
      <c r="U3309">
        <v>2.2000000000000002</v>
      </c>
    </row>
    <row r="3310" spans="1:21" x14ac:dyDescent="0.35">
      <c r="A3310">
        <v>435</v>
      </c>
      <c r="B3310" s="16">
        <v>40725</v>
      </c>
      <c r="C3310" s="15" t="s">
        <v>76</v>
      </c>
      <c r="D3310" s="15" t="s">
        <v>58</v>
      </c>
      <c r="E3310" s="15" t="s">
        <v>46</v>
      </c>
      <c r="F3310" s="15" t="s">
        <v>47</v>
      </c>
      <c r="G3310" s="15" t="s">
        <v>77</v>
      </c>
      <c r="H3310" s="15" t="s">
        <v>42</v>
      </c>
      <c r="I3310">
        <v>20</v>
      </c>
      <c r="J3310">
        <v>40</v>
      </c>
      <c r="K3310">
        <v>20</v>
      </c>
      <c r="L3310">
        <v>60</v>
      </c>
      <c r="M3310">
        <v>40</v>
      </c>
      <c r="N3310">
        <v>219</v>
      </c>
      <c r="O3310">
        <v>49</v>
      </c>
      <c r="P3310">
        <v>15</v>
      </c>
      <c r="Q3310">
        <v>1</v>
      </c>
      <c r="R3310">
        <v>88</v>
      </c>
      <c r="S3310">
        <v>1.4666666666666666</v>
      </c>
      <c r="T3310">
        <v>0.05</v>
      </c>
      <c r="U3310">
        <v>2</v>
      </c>
    </row>
    <row r="3311" spans="1:21" x14ac:dyDescent="0.35">
      <c r="A3311">
        <v>435</v>
      </c>
      <c r="B3311" s="16">
        <v>40725</v>
      </c>
      <c r="C3311" s="15" t="s">
        <v>76</v>
      </c>
      <c r="D3311" s="15" t="s">
        <v>58</v>
      </c>
      <c r="E3311" s="15" t="s">
        <v>51</v>
      </c>
      <c r="F3311" s="15" t="s">
        <v>52</v>
      </c>
      <c r="G3311" s="15" t="s">
        <v>77</v>
      </c>
      <c r="H3311" s="15" t="s">
        <v>45</v>
      </c>
      <c r="I3311">
        <v>50</v>
      </c>
      <c r="J3311">
        <v>80</v>
      </c>
      <c r="K3311">
        <v>60</v>
      </c>
      <c r="L3311">
        <v>130</v>
      </c>
      <c r="M3311">
        <v>61</v>
      </c>
      <c r="N3311">
        <v>329</v>
      </c>
      <c r="O3311">
        <v>90</v>
      </c>
      <c r="P3311">
        <v>19</v>
      </c>
      <c r="Q3311">
        <v>66</v>
      </c>
      <c r="R3311">
        <v>150</v>
      </c>
      <c r="S3311">
        <v>1.1538461538461537</v>
      </c>
      <c r="T3311">
        <v>1.1000000000000001</v>
      </c>
      <c r="U3311">
        <v>1.22</v>
      </c>
    </row>
    <row r="3312" spans="1:21" x14ac:dyDescent="0.35">
      <c r="A3312">
        <v>435</v>
      </c>
      <c r="B3312" s="16">
        <v>40725</v>
      </c>
      <c r="C3312" s="15" t="s">
        <v>76</v>
      </c>
      <c r="D3312" s="15" t="s">
        <v>58</v>
      </c>
      <c r="E3312" s="15" t="s">
        <v>53</v>
      </c>
      <c r="F3312" s="15" t="s">
        <v>52</v>
      </c>
      <c r="G3312" s="15" t="s">
        <v>77</v>
      </c>
      <c r="H3312" s="15" t="s">
        <v>45</v>
      </c>
      <c r="I3312">
        <v>50</v>
      </c>
      <c r="J3312">
        <v>90</v>
      </c>
      <c r="K3312">
        <v>60</v>
      </c>
      <c r="L3312">
        <v>140</v>
      </c>
      <c r="M3312">
        <v>64</v>
      </c>
      <c r="N3312">
        <v>467</v>
      </c>
      <c r="O3312">
        <v>96</v>
      </c>
      <c r="P3312">
        <v>21</v>
      </c>
      <c r="Q3312">
        <v>61</v>
      </c>
      <c r="R3312">
        <v>159</v>
      </c>
      <c r="S3312">
        <v>1.1357142857142857</v>
      </c>
      <c r="T3312">
        <v>1.0166666666666666</v>
      </c>
      <c r="U3312">
        <v>1.28</v>
      </c>
    </row>
    <row r="3313" spans="1:21" x14ac:dyDescent="0.35">
      <c r="A3313">
        <v>801</v>
      </c>
      <c r="B3313" s="16">
        <v>40725</v>
      </c>
      <c r="C3313" s="15" t="s">
        <v>76</v>
      </c>
      <c r="D3313" s="15" t="s">
        <v>58</v>
      </c>
      <c r="E3313" s="15" t="s">
        <v>54</v>
      </c>
      <c r="F3313" s="15" t="s">
        <v>52</v>
      </c>
      <c r="G3313" s="15" t="s">
        <v>77</v>
      </c>
      <c r="H3313" s="15" t="s">
        <v>45</v>
      </c>
      <c r="I3313">
        <v>100</v>
      </c>
      <c r="J3313">
        <v>40</v>
      </c>
      <c r="K3313">
        <v>-10</v>
      </c>
      <c r="L3313">
        <v>140</v>
      </c>
      <c r="M3313">
        <v>120</v>
      </c>
      <c r="N3313">
        <v>1334</v>
      </c>
      <c r="O3313">
        <v>49</v>
      </c>
      <c r="P3313">
        <v>37</v>
      </c>
      <c r="Q3313">
        <v>-17</v>
      </c>
      <c r="R3313">
        <v>167</v>
      </c>
      <c r="S3313">
        <v>1.1928571428571428</v>
      </c>
      <c r="T3313">
        <v>1.7</v>
      </c>
      <c r="U3313">
        <v>1.2</v>
      </c>
    </row>
    <row r="3314" spans="1:21" x14ac:dyDescent="0.35">
      <c r="A3314">
        <v>801</v>
      </c>
      <c r="B3314" s="16">
        <v>40725</v>
      </c>
      <c r="C3314" s="15" t="s">
        <v>76</v>
      </c>
      <c r="D3314" s="15" t="s">
        <v>58</v>
      </c>
      <c r="E3314" s="15" t="s">
        <v>55</v>
      </c>
      <c r="F3314" s="15" t="s">
        <v>47</v>
      </c>
      <c r="G3314" s="15" t="s">
        <v>77</v>
      </c>
      <c r="H3314" s="15" t="s">
        <v>42</v>
      </c>
      <c r="I3314">
        <v>30</v>
      </c>
      <c r="J3314">
        <v>60</v>
      </c>
      <c r="K3314">
        <v>10</v>
      </c>
      <c r="L3314">
        <v>90</v>
      </c>
      <c r="M3314">
        <v>59</v>
      </c>
      <c r="N3314">
        <v>338</v>
      </c>
      <c r="O3314">
        <v>82</v>
      </c>
      <c r="P3314">
        <v>53</v>
      </c>
      <c r="Q3314">
        <v>0</v>
      </c>
      <c r="R3314">
        <v>140</v>
      </c>
      <c r="S3314">
        <v>1.5555555555555556</v>
      </c>
      <c r="T3314">
        <v>0</v>
      </c>
      <c r="U3314">
        <v>1.9666666666666666</v>
      </c>
    </row>
    <row r="3315" spans="1:21" x14ac:dyDescent="0.35">
      <c r="A3315">
        <v>801</v>
      </c>
      <c r="B3315" s="16">
        <v>40725</v>
      </c>
      <c r="C3315" s="15" t="s">
        <v>76</v>
      </c>
      <c r="D3315" s="15" t="s">
        <v>58</v>
      </c>
      <c r="E3315" s="15" t="s">
        <v>39</v>
      </c>
      <c r="F3315" s="15" t="s">
        <v>40</v>
      </c>
      <c r="G3315" s="15" t="s">
        <v>77</v>
      </c>
      <c r="H3315" s="15" t="s">
        <v>42</v>
      </c>
      <c r="I3315">
        <v>70</v>
      </c>
      <c r="J3315">
        <v>90</v>
      </c>
      <c r="K3315">
        <v>60</v>
      </c>
      <c r="L3315">
        <v>160</v>
      </c>
      <c r="M3315">
        <v>60</v>
      </c>
      <c r="N3315">
        <v>1070</v>
      </c>
      <c r="O3315">
        <v>72</v>
      </c>
      <c r="P3315">
        <v>18</v>
      </c>
      <c r="Q3315">
        <v>44</v>
      </c>
      <c r="R3315">
        <v>131</v>
      </c>
      <c r="S3315">
        <v>0.81874999999999998</v>
      </c>
      <c r="T3315">
        <v>0.73333333333333328</v>
      </c>
      <c r="U3315">
        <v>0.8571428571428571</v>
      </c>
    </row>
    <row r="3316" spans="1:21" x14ac:dyDescent="0.35">
      <c r="A3316">
        <v>435</v>
      </c>
      <c r="B3316" s="16">
        <v>40725</v>
      </c>
      <c r="C3316" s="15" t="s">
        <v>76</v>
      </c>
      <c r="D3316" s="15" t="s">
        <v>58</v>
      </c>
      <c r="E3316" s="15" t="s">
        <v>43</v>
      </c>
      <c r="F3316" s="15" t="s">
        <v>40</v>
      </c>
      <c r="G3316" s="15" t="s">
        <v>77</v>
      </c>
      <c r="H3316" s="15" t="s">
        <v>42</v>
      </c>
      <c r="I3316">
        <v>50</v>
      </c>
      <c r="J3316">
        <v>70</v>
      </c>
      <c r="K3316">
        <v>40</v>
      </c>
      <c r="L3316">
        <v>120</v>
      </c>
      <c r="M3316">
        <v>43</v>
      </c>
      <c r="N3316">
        <v>388</v>
      </c>
      <c r="O3316">
        <v>57</v>
      </c>
      <c r="P3316">
        <v>14</v>
      </c>
      <c r="Q3316">
        <v>22</v>
      </c>
      <c r="R3316">
        <v>99</v>
      </c>
      <c r="S3316">
        <v>0.82499999999999996</v>
      </c>
      <c r="T3316">
        <v>0.55000000000000004</v>
      </c>
      <c r="U3316">
        <v>0.86</v>
      </c>
    </row>
    <row r="3317" spans="1:21" x14ac:dyDescent="0.35">
      <c r="A3317">
        <v>435</v>
      </c>
      <c r="B3317" s="16">
        <v>40725</v>
      </c>
      <c r="C3317" s="15" t="s">
        <v>76</v>
      </c>
      <c r="D3317" s="15" t="s">
        <v>58</v>
      </c>
      <c r="E3317" s="15" t="s">
        <v>44</v>
      </c>
      <c r="F3317" s="15" t="s">
        <v>40</v>
      </c>
      <c r="G3317" s="15" t="s">
        <v>77</v>
      </c>
      <c r="H3317" s="15" t="s">
        <v>45</v>
      </c>
      <c r="I3317">
        <v>90</v>
      </c>
      <c r="J3317">
        <v>120</v>
      </c>
      <c r="K3317">
        <v>70</v>
      </c>
      <c r="L3317">
        <v>210</v>
      </c>
      <c r="M3317">
        <v>76</v>
      </c>
      <c r="N3317">
        <v>613</v>
      </c>
      <c r="O3317">
        <v>93</v>
      </c>
      <c r="P3317">
        <v>28</v>
      </c>
      <c r="Q3317">
        <v>43</v>
      </c>
      <c r="R3317">
        <v>167</v>
      </c>
      <c r="S3317">
        <v>0.79523809523809519</v>
      </c>
      <c r="T3317">
        <v>0.61428571428571432</v>
      </c>
      <c r="U3317">
        <v>0.84444444444444444</v>
      </c>
    </row>
    <row r="3318" spans="1:21" x14ac:dyDescent="0.35">
      <c r="A3318">
        <v>435</v>
      </c>
      <c r="B3318" s="16">
        <v>40725</v>
      </c>
      <c r="C3318" s="15" t="s">
        <v>76</v>
      </c>
      <c r="D3318" s="15" t="s">
        <v>58</v>
      </c>
      <c r="E3318" s="15" t="s">
        <v>72</v>
      </c>
      <c r="F3318" s="15" t="s">
        <v>49</v>
      </c>
      <c r="G3318" s="15" t="s">
        <v>77</v>
      </c>
      <c r="H3318" s="15" t="s">
        <v>42</v>
      </c>
      <c r="I3318">
        <v>30</v>
      </c>
      <c r="J3318">
        <v>60</v>
      </c>
      <c r="K3318">
        <v>50</v>
      </c>
      <c r="L3318">
        <v>90</v>
      </c>
      <c r="M3318">
        <v>39</v>
      </c>
      <c r="N3318">
        <v>845</v>
      </c>
      <c r="O3318">
        <v>57</v>
      </c>
      <c r="P3318">
        <v>10</v>
      </c>
      <c r="Q3318">
        <v>50</v>
      </c>
      <c r="R3318">
        <v>95</v>
      </c>
      <c r="S3318">
        <v>1.0555555555555556</v>
      </c>
      <c r="T3318">
        <v>1</v>
      </c>
      <c r="U3318">
        <v>1.3</v>
      </c>
    </row>
    <row r="3319" spans="1:21" x14ac:dyDescent="0.35">
      <c r="A3319">
        <v>435</v>
      </c>
      <c r="B3319" s="16">
        <v>40725</v>
      </c>
      <c r="C3319" s="15" t="s">
        <v>76</v>
      </c>
      <c r="D3319" s="15" t="s">
        <v>58</v>
      </c>
      <c r="E3319" s="15" t="s">
        <v>48</v>
      </c>
      <c r="F3319" s="15" t="s">
        <v>49</v>
      </c>
      <c r="G3319" s="15" t="s">
        <v>77</v>
      </c>
      <c r="H3319" s="15" t="s">
        <v>42</v>
      </c>
      <c r="I3319">
        <v>40</v>
      </c>
      <c r="J3319">
        <v>60</v>
      </c>
      <c r="K3319">
        <v>40</v>
      </c>
      <c r="L3319">
        <v>100</v>
      </c>
      <c r="M3319">
        <v>46</v>
      </c>
      <c r="N3319">
        <v>587</v>
      </c>
      <c r="O3319">
        <v>60</v>
      </c>
      <c r="P3319">
        <v>15</v>
      </c>
      <c r="Q3319">
        <v>44</v>
      </c>
      <c r="R3319">
        <v>105</v>
      </c>
      <c r="S3319">
        <v>1.05</v>
      </c>
      <c r="T3319">
        <v>1.1000000000000001</v>
      </c>
      <c r="U3319">
        <v>1.1499999999999999</v>
      </c>
    </row>
    <row r="3320" spans="1:21" x14ac:dyDescent="0.35">
      <c r="A3320">
        <v>435</v>
      </c>
      <c r="B3320" s="16">
        <v>40725</v>
      </c>
      <c r="C3320" s="15" t="s">
        <v>76</v>
      </c>
      <c r="D3320" s="15" t="s">
        <v>58</v>
      </c>
      <c r="E3320" s="15" t="s">
        <v>50</v>
      </c>
      <c r="F3320" s="15" t="s">
        <v>49</v>
      </c>
      <c r="G3320" s="15" t="s">
        <v>77</v>
      </c>
      <c r="H3320" s="15" t="s">
        <v>45</v>
      </c>
      <c r="I3320">
        <v>30</v>
      </c>
      <c r="J3320">
        <v>50</v>
      </c>
      <c r="K3320">
        <v>40</v>
      </c>
      <c r="L3320">
        <v>80</v>
      </c>
      <c r="M3320">
        <v>35</v>
      </c>
      <c r="N3320">
        <v>894</v>
      </c>
      <c r="O3320">
        <v>52</v>
      </c>
      <c r="P3320">
        <v>9</v>
      </c>
      <c r="Q3320">
        <v>43</v>
      </c>
      <c r="R3320">
        <v>86</v>
      </c>
      <c r="S3320">
        <v>1.075</v>
      </c>
      <c r="T3320">
        <v>1.075</v>
      </c>
      <c r="U3320">
        <v>1.1666666666666667</v>
      </c>
    </row>
    <row r="3321" spans="1:21" x14ac:dyDescent="0.35">
      <c r="A3321">
        <v>707</v>
      </c>
      <c r="B3321" s="16">
        <v>40725</v>
      </c>
      <c r="C3321" s="15" t="s">
        <v>76</v>
      </c>
      <c r="D3321" s="15" t="s">
        <v>38</v>
      </c>
      <c r="E3321" s="15" t="s">
        <v>56</v>
      </c>
      <c r="F3321" s="15" t="s">
        <v>47</v>
      </c>
      <c r="G3321" s="15" t="s">
        <v>78</v>
      </c>
      <c r="H3321" s="15" t="s">
        <v>42</v>
      </c>
      <c r="I3321">
        <v>60</v>
      </c>
      <c r="J3321">
        <v>90</v>
      </c>
      <c r="K3321">
        <v>80</v>
      </c>
      <c r="L3321">
        <v>150</v>
      </c>
      <c r="M3321">
        <v>94</v>
      </c>
      <c r="N3321">
        <v>608</v>
      </c>
      <c r="O3321">
        <v>136</v>
      </c>
      <c r="P3321">
        <v>26</v>
      </c>
      <c r="Q3321">
        <v>135</v>
      </c>
      <c r="R3321">
        <v>228</v>
      </c>
      <c r="S3321">
        <v>1.52</v>
      </c>
      <c r="T3321">
        <v>1.6875</v>
      </c>
      <c r="U3321">
        <v>1.5666666666666667</v>
      </c>
    </row>
    <row r="3322" spans="1:21" x14ac:dyDescent="0.35">
      <c r="A3322">
        <v>949</v>
      </c>
      <c r="B3322" s="16">
        <v>40725</v>
      </c>
      <c r="C3322" s="15" t="s">
        <v>76</v>
      </c>
      <c r="D3322" s="15" t="s">
        <v>38</v>
      </c>
      <c r="E3322" s="15" t="s">
        <v>46</v>
      </c>
      <c r="F3322" s="15" t="s">
        <v>47</v>
      </c>
      <c r="G3322" s="15" t="s">
        <v>78</v>
      </c>
      <c r="H3322" s="15" t="s">
        <v>42</v>
      </c>
      <c r="I3322">
        <v>30</v>
      </c>
      <c r="J3322">
        <v>50</v>
      </c>
      <c r="K3322">
        <v>20</v>
      </c>
      <c r="L3322">
        <v>80</v>
      </c>
      <c r="M3322">
        <v>52</v>
      </c>
      <c r="N3322">
        <v>668</v>
      </c>
      <c r="O3322">
        <v>79</v>
      </c>
      <c r="P3322">
        <v>17</v>
      </c>
      <c r="Q3322">
        <v>41</v>
      </c>
      <c r="R3322">
        <v>130</v>
      </c>
      <c r="S3322">
        <v>1.625</v>
      </c>
      <c r="T3322">
        <v>2.0499999999999998</v>
      </c>
      <c r="U3322">
        <v>1.7333333333333334</v>
      </c>
    </row>
    <row r="3323" spans="1:21" x14ac:dyDescent="0.35">
      <c r="A3323">
        <v>619</v>
      </c>
      <c r="B3323" s="16">
        <v>40725</v>
      </c>
      <c r="C3323" s="15" t="s">
        <v>76</v>
      </c>
      <c r="D3323" s="15" t="s">
        <v>38</v>
      </c>
      <c r="E3323" s="15" t="s">
        <v>51</v>
      </c>
      <c r="F3323" s="15" t="s">
        <v>52</v>
      </c>
      <c r="G3323" s="15" t="s">
        <v>78</v>
      </c>
      <c r="H3323" s="15" t="s">
        <v>45</v>
      </c>
      <c r="I3323">
        <v>100</v>
      </c>
      <c r="J3323">
        <v>170</v>
      </c>
      <c r="K3323">
        <v>150</v>
      </c>
      <c r="L3323">
        <v>270</v>
      </c>
      <c r="M3323">
        <v>127</v>
      </c>
      <c r="N3323">
        <v>1007</v>
      </c>
      <c r="O3323">
        <v>185</v>
      </c>
      <c r="P3323">
        <v>35</v>
      </c>
      <c r="Q3323">
        <v>192</v>
      </c>
      <c r="R3323">
        <v>309</v>
      </c>
      <c r="S3323">
        <v>1.1444444444444444</v>
      </c>
      <c r="T3323">
        <v>1.28</v>
      </c>
      <c r="U3323">
        <v>1.27</v>
      </c>
    </row>
    <row r="3324" spans="1:21" x14ac:dyDescent="0.35">
      <c r="A3324">
        <v>714</v>
      </c>
      <c r="B3324" s="16">
        <v>40725</v>
      </c>
      <c r="C3324" s="15" t="s">
        <v>76</v>
      </c>
      <c r="D3324" s="15" t="s">
        <v>38</v>
      </c>
      <c r="E3324" s="15" t="s">
        <v>53</v>
      </c>
      <c r="F3324" s="15" t="s">
        <v>52</v>
      </c>
      <c r="G3324" s="15" t="s">
        <v>78</v>
      </c>
      <c r="H3324" s="15" t="s">
        <v>45</v>
      </c>
      <c r="I3324">
        <v>220</v>
      </c>
      <c r="J3324">
        <v>270</v>
      </c>
      <c r="K3324">
        <v>200</v>
      </c>
      <c r="L3324">
        <v>490</v>
      </c>
      <c r="M3324">
        <v>260</v>
      </c>
      <c r="N3324">
        <v>1319</v>
      </c>
      <c r="O3324">
        <v>307</v>
      </c>
      <c r="P3324">
        <v>80</v>
      </c>
      <c r="Q3324">
        <v>283</v>
      </c>
      <c r="R3324">
        <v>562</v>
      </c>
      <c r="S3324">
        <v>1.1469387755102041</v>
      </c>
      <c r="T3324">
        <v>1.415</v>
      </c>
      <c r="U3324">
        <v>1.1818181818181819</v>
      </c>
    </row>
    <row r="3325" spans="1:21" x14ac:dyDescent="0.35">
      <c r="A3325">
        <v>909</v>
      </c>
      <c r="B3325" s="16">
        <v>40725</v>
      </c>
      <c r="C3325" s="15" t="s">
        <v>76</v>
      </c>
      <c r="D3325" s="15" t="s">
        <v>38</v>
      </c>
      <c r="E3325" s="15" t="s">
        <v>54</v>
      </c>
      <c r="F3325" s="15" t="s">
        <v>52</v>
      </c>
      <c r="G3325" s="15" t="s">
        <v>78</v>
      </c>
      <c r="H3325" s="15" t="s">
        <v>45</v>
      </c>
      <c r="I3325">
        <v>70</v>
      </c>
      <c r="J3325">
        <v>100</v>
      </c>
      <c r="K3325">
        <v>70</v>
      </c>
      <c r="L3325">
        <v>170</v>
      </c>
      <c r="M3325">
        <v>87</v>
      </c>
      <c r="N3325">
        <v>564</v>
      </c>
      <c r="O3325">
        <v>112</v>
      </c>
      <c r="P3325">
        <v>28</v>
      </c>
      <c r="Q3325">
        <v>99</v>
      </c>
      <c r="R3325">
        <v>197</v>
      </c>
      <c r="S3325">
        <v>1.1588235294117648</v>
      </c>
      <c r="T3325">
        <v>1.4142857142857144</v>
      </c>
      <c r="U3325">
        <v>1.2428571428571429</v>
      </c>
    </row>
    <row r="3326" spans="1:21" x14ac:dyDescent="0.35">
      <c r="A3326">
        <v>619</v>
      </c>
      <c r="B3326" s="16">
        <v>40725</v>
      </c>
      <c r="C3326" s="15" t="s">
        <v>76</v>
      </c>
      <c r="D3326" s="15" t="s">
        <v>38</v>
      </c>
      <c r="E3326" s="15" t="s">
        <v>55</v>
      </c>
      <c r="F3326" s="15" t="s">
        <v>47</v>
      </c>
      <c r="G3326" s="15" t="s">
        <v>78</v>
      </c>
      <c r="H3326" s="15" t="s">
        <v>42</v>
      </c>
      <c r="I3326">
        <v>60</v>
      </c>
      <c r="J3326">
        <v>110</v>
      </c>
      <c r="K3326">
        <v>100</v>
      </c>
      <c r="L3326">
        <v>170</v>
      </c>
      <c r="M3326">
        <v>104</v>
      </c>
      <c r="N3326">
        <v>952</v>
      </c>
      <c r="O3326">
        <v>152</v>
      </c>
      <c r="P3326">
        <v>29</v>
      </c>
      <c r="Q3326">
        <v>155</v>
      </c>
      <c r="R3326">
        <v>254</v>
      </c>
      <c r="S3326">
        <v>1.4941176470588236</v>
      </c>
      <c r="T3326">
        <v>1.55</v>
      </c>
      <c r="U3326">
        <v>1.7333333333333334</v>
      </c>
    </row>
    <row r="3327" spans="1:21" x14ac:dyDescent="0.35">
      <c r="A3327">
        <v>661</v>
      </c>
      <c r="B3327" s="16">
        <v>40725</v>
      </c>
      <c r="C3327" s="15" t="s">
        <v>76</v>
      </c>
      <c r="D3327" s="15" t="s">
        <v>38</v>
      </c>
      <c r="E3327" s="15" t="s">
        <v>39</v>
      </c>
      <c r="F3327" s="15" t="s">
        <v>40</v>
      </c>
      <c r="G3327" s="15" t="s">
        <v>78</v>
      </c>
      <c r="H3327" s="15" t="s">
        <v>42</v>
      </c>
      <c r="I3327">
        <v>190</v>
      </c>
      <c r="J3327">
        <v>-90</v>
      </c>
      <c r="K3327">
        <v>-150</v>
      </c>
      <c r="L3327">
        <v>100</v>
      </c>
      <c r="M3327">
        <v>154</v>
      </c>
      <c r="N3327">
        <v>1832</v>
      </c>
      <c r="O3327">
        <v>-67</v>
      </c>
      <c r="P3327">
        <v>49</v>
      </c>
      <c r="Q3327">
        <v>-190</v>
      </c>
      <c r="R3327">
        <v>86</v>
      </c>
      <c r="S3327">
        <v>0.86</v>
      </c>
      <c r="T3327">
        <v>1.2666666666666666</v>
      </c>
      <c r="U3327">
        <v>0.81052631578947365</v>
      </c>
    </row>
    <row r="3328" spans="1:21" x14ac:dyDescent="0.35">
      <c r="A3328">
        <v>650</v>
      </c>
      <c r="B3328" s="16">
        <v>40725</v>
      </c>
      <c r="C3328" s="15" t="s">
        <v>76</v>
      </c>
      <c r="D3328" s="15" t="s">
        <v>38</v>
      </c>
      <c r="E3328" s="15" t="s">
        <v>43</v>
      </c>
      <c r="F3328" s="15" t="s">
        <v>40</v>
      </c>
      <c r="G3328" s="15" t="s">
        <v>78</v>
      </c>
      <c r="H3328" s="15" t="s">
        <v>42</v>
      </c>
      <c r="I3328">
        <v>450</v>
      </c>
      <c r="J3328">
        <v>690</v>
      </c>
      <c r="K3328">
        <v>530</v>
      </c>
      <c r="L3328">
        <v>1140</v>
      </c>
      <c r="M3328">
        <v>364</v>
      </c>
      <c r="N3328">
        <v>2654</v>
      </c>
      <c r="O3328">
        <v>548</v>
      </c>
      <c r="P3328">
        <v>127</v>
      </c>
      <c r="Q3328">
        <v>511</v>
      </c>
      <c r="R3328">
        <v>904</v>
      </c>
      <c r="S3328">
        <v>0.7929824561403509</v>
      </c>
      <c r="T3328">
        <v>0.96415094339622642</v>
      </c>
      <c r="U3328">
        <v>0.80888888888888888</v>
      </c>
    </row>
    <row r="3329" spans="1:21" x14ac:dyDescent="0.35">
      <c r="A3329">
        <v>909</v>
      </c>
      <c r="B3329" s="16">
        <v>40725</v>
      </c>
      <c r="C3329" s="15" t="s">
        <v>76</v>
      </c>
      <c r="D3329" s="15" t="s">
        <v>38</v>
      </c>
      <c r="E3329" s="15" t="s">
        <v>44</v>
      </c>
      <c r="F3329" s="15" t="s">
        <v>40</v>
      </c>
      <c r="G3329" s="15" t="s">
        <v>78</v>
      </c>
      <c r="H3329" s="15" t="s">
        <v>45</v>
      </c>
      <c r="I3329">
        <v>290</v>
      </c>
      <c r="J3329">
        <v>-40</v>
      </c>
      <c r="K3329">
        <v>-150</v>
      </c>
      <c r="L3329">
        <v>250</v>
      </c>
      <c r="M3329">
        <v>238</v>
      </c>
      <c r="N3329">
        <v>2797</v>
      </c>
      <c r="O3329">
        <v>-36</v>
      </c>
      <c r="P3329">
        <v>78</v>
      </c>
      <c r="Q3329">
        <v>-217</v>
      </c>
      <c r="R3329">
        <v>200</v>
      </c>
      <c r="S3329">
        <v>0.8</v>
      </c>
      <c r="T3329">
        <v>1.4466666666666668</v>
      </c>
      <c r="U3329">
        <v>0.82068965517241377</v>
      </c>
    </row>
    <row r="3330" spans="1:21" x14ac:dyDescent="0.35">
      <c r="A3330">
        <v>213</v>
      </c>
      <c r="B3330" s="16">
        <v>40725</v>
      </c>
      <c r="C3330" s="15" t="s">
        <v>76</v>
      </c>
      <c r="D3330" s="15" t="s">
        <v>38</v>
      </c>
      <c r="E3330" s="15" t="s">
        <v>72</v>
      </c>
      <c r="F3330" s="15" t="s">
        <v>49</v>
      </c>
      <c r="G3330" s="15" t="s">
        <v>78</v>
      </c>
      <c r="H3330" s="15" t="s">
        <v>42</v>
      </c>
      <c r="I3330">
        <v>250</v>
      </c>
      <c r="J3330">
        <v>260</v>
      </c>
      <c r="K3330">
        <v>170</v>
      </c>
      <c r="L3330">
        <v>510</v>
      </c>
      <c r="M3330">
        <v>266</v>
      </c>
      <c r="N3330">
        <v>1819</v>
      </c>
      <c r="O3330">
        <v>266</v>
      </c>
      <c r="P3330">
        <v>74</v>
      </c>
      <c r="Q3330">
        <v>230</v>
      </c>
      <c r="R3330">
        <v>527</v>
      </c>
      <c r="S3330">
        <v>1.0333333333333334</v>
      </c>
      <c r="T3330">
        <v>1.3529411764705883</v>
      </c>
      <c r="U3330">
        <v>1.0640000000000001</v>
      </c>
    </row>
    <row r="3331" spans="1:21" x14ac:dyDescent="0.35">
      <c r="A3331">
        <v>408</v>
      </c>
      <c r="B3331" s="16">
        <v>40725</v>
      </c>
      <c r="C3331" s="15" t="s">
        <v>76</v>
      </c>
      <c r="D3331" s="15" t="s">
        <v>38</v>
      </c>
      <c r="E3331" s="15" t="s">
        <v>48</v>
      </c>
      <c r="F3331" s="15" t="s">
        <v>49</v>
      </c>
      <c r="G3331" s="15" t="s">
        <v>78</v>
      </c>
      <c r="H3331" s="15" t="s">
        <v>42</v>
      </c>
      <c r="I3331">
        <v>150</v>
      </c>
      <c r="J3331">
        <v>220</v>
      </c>
      <c r="K3331">
        <v>60</v>
      </c>
      <c r="L3331">
        <v>370</v>
      </c>
      <c r="M3331">
        <v>162</v>
      </c>
      <c r="N3331">
        <v>943</v>
      </c>
      <c r="O3331">
        <v>225</v>
      </c>
      <c r="P3331">
        <v>147</v>
      </c>
      <c r="Q3331">
        <v>62</v>
      </c>
      <c r="R3331">
        <v>384</v>
      </c>
      <c r="S3331">
        <v>1.0378378378378379</v>
      </c>
      <c r="T3331">
        <v>1.0333333333333334</v>
      </c>
      <c r="U3331">
        <v>1.08</v>
      </c>
    </row>
    <row r="3332" spans="1:21" x14ac:dyDescent="0.35">
      <c r="A3332">
        <v>562</v>
      </c>
      <c r="B3332" s="16">
        <v>40725</v>
      </c>
      <c r="C3332" s="15" t="s">
        <v>76</v>
      </c>
      <c r="D3332" s="15" t="s">
        <v>38</v>
      </c>
      <c r="E3332" s="15" t="s">
        <v>50</v>
      </c>
      <c r="F3332" s="15" t="s">
        <v>49</v>
      </c>
      <c r="G3332" s="15" t="s">
        <v>78</v>
      </c>
      <c r="H3332" s="15" t="s">
        <v>45</v>
      </c>
      <c r="I3332">
        <v>270</v>
      </c>
      <c r="J3332">
        <v>380</v>
      </c>
      <c r="K3332">
        <v>260</v>
      </c>
      <c r="L3332">
        <v>650</v>
      </c>
      <c r="M3332">
        <v>291</v>
      </c>
      <c r="N3332">
        <v>1742</v>
      </c>
      <c r="O3332">
        <v>387</v>
      </c>
      <c r="P3332">
        <v>96</v>
      </c>
      <c r="Q3332">
        <v>357</v>
      </c>
      <c r="R3332">
        <v>672</v>
      </c>
      <c r="S3332">
        <v>1.0338461538461539</v>
      </c>
      <c r="T3332">
        <v>1.3730769230769231</v>
      </c>
      <c r="U3332">
        <v>1.0777777777777777</v>
      </c>
    </row>
    <row r="3333" spans="1:21" x14ac:dyDescent="0.35">
      <c r="A3333">
        <v>702</v>
      </c>
      <c r="B3333" s="16">
        <v>40725</v>
      </c>
      <c r="C3333" s="15" t="s">
        <v>76</v>
      </c>
      <c r="D3333" s="15" t="s">
        <v>58</v>
      </c>
      <c r="E3333" s="15" t="s">
        <v>55</v>
      </c>
      <c r="F3333" s="15" t="s">
        <v>47</v>
      </c>
      <c r="G3333" s="15" t="s">
        <v>79</v>
      </c>
      <c r="H3333" s="15" t="s">
        <v>42</v>
      </c>
      <c r="I3333">
        <v>190</v>
      </c>
      <c r="J3333">
        <v>270</v>
      </c>
      <c r="K3333">
        <v>190</v>
      </c>
      <c r="L3333">
        <v>460</v>
      </c>
      <c r="M3333">
        <v>291</v>
      </c>
      <c r="N3333">
        <v>1742</v>
      </c>
      <c r="O3333">
        <v>387</v>
      </c>
      <c r="P3333">
        <v>96</v>
      </c>
      <c r="Q3333">
        <v>356</v>
      </c>
      <c r="R3333">
        <v>672</v>
      </c>
      <c r="S3333">
        <v>1.4608695652173913</v>
      </c>
      <c r="T3333">
        <v>1.8736842105263158</v>
      </c>
      <c r="U3333">
        <v>1.5315789473684212</v>
      </c>
    </row>
    <row r="3334" spans="1:21" x14ac:dyDescent="0.35">
      <c r="A3334">
        <v>702</v>
      </c>
      <c r="B3334" s="16">
        <v>40725</v>
      </c>
      <c r="C3334" s="15" t="s">
        <v>76</v>
      </c>
      <c r="D3334" s="15" t="s">
        <v>58</v>
      </c>
      <c r="E3334" s="15" t="s">
        <v>56</v>
      </c>
      <c r="F3334" s="15" t="s">
        <v>47</v>
      </c>
      <c r="G3334" s="15" t="s">
        <v>79</v>
      </c>
      <c r="H3334" s="15" t="s">
        <v>42</v>
      </c>
      <c r="I3334">
        <v>170</v>
      </c>
      <c r="J3334">
        <v>190</v>
      </c>
      <c r="K3334">
        <v>130</v>
      </c>
      <c r="L3334">
        <v>360</v>
      </c>
      <c r="M3334">
        <v>266</v>
      </c>
      <c r="N3334">
        <v>1819</v>
      </c>
      <c r="O3334">
        <v>266</v>
      </c>
      <c r="P3334">
        <v>74</v>
      </c>
      <c r="Q3334">
        <v>232</v>
      </c>
      <c r="R3334">
        <v>527</v>
      </c>
      <c r="S3334">
        <v>1.4638888888888888</v>
      </c>
      <c r="T3334">
        <v>1.7846153846153847</v>
      </c>
      <c r="U3334">
        <v>1.5647058823529412</v>
      </c>
    </row>
    <row r="3335" spans="1:21" x14ac:dyDescent="0.35">
      <c r="A3335">
        <v>775</v>
      </c>
      <c r="B3335" s="16">
        <v>40725</v>
      </c>
      <c r="C3335" s="15" t="s">
        <v>76</v>
      </c>
      <c r="D3335" s="15" t="s">
        <v>58</v>
      </c>
      <c r="E3335" s="15" t="s">
        <v>46</v>
      </c>
      <c r="F3335" s="15" t="s">
        <v>47</v>
      </c>
      <c r="G3335" s="15" t="s">
        <v>79</v>
      </c>
      <c r="H3335" s="15" t="s">
        <v>42</v>
      </c>
      <c r="I3335">
        <v>170</v>
      </c>
      <c r="J3335">
        <v>-170</v>
      </c>
      <c r="K3335">
        <v>-250</v>
      </c>
      <c r="L3335">
        <v>0</v>
      </c>
      <c r="M3335">
        <v>270</v>
      </c>
      <c r="N3335">
        <v>5230</v>
      </c>
      <c r="O3335">
        <v>-270</v>
      </c>
      <c r="P3335">
        <v>102</v>
      </c>
      <c r="Q3335">
        <v>-522</v>
      </c>
      <c r="R3335">
        <v>27</v>
      </c>
      <c r="T3335">
        <v>2.0880000000000001</v>
      </c>
      <c r="U3335">
        <v>1.588235294117647</v>
      </c>
    </row>
    <row r="3336" spans="1:21" x14ac:dyDescent="0.35">
      <c r="A3336">
        <v>702</v>
      </c>
      <c r="B3336" s="16">
        <v>40725</v>
      </c>
      <c r="C3336" s="15" t="s">
        <v>76</v>
      </c>
      <c r="D3336" s="15" t="s">
        <v>58</v>
      </c>
      <c r="E3336" s="15" t="s">
        <v>51</v>
      </c>
      <c r="F3336" s="15" t="s">
        <v>52</v>
      </c>
      <c r="G3336" s="15" t="s">
        <v>79</v>
      </c>
      <c r="H3336" s="15" t="s">
        <v>45</v>
      </c>
      <c r="I3336">
        <v>130</v>
      </c>
      <c r="J3336">
        <v>210</v>
      </c>
      <c r="K3336">
        <v>70</v>
      </c>
      <c r="L3336">
        <v>340</v>
      </c>
      <c r="M3336">
        <v>162</v>
      </c>
      <c r="N3336">
        <v>943</v>
      </c>
      <c r="O3336">
        <v>225</v>
      </c>
      <c r="P3336">
        <v>147</v>
      </c>
      <c r="Q3336">
        <v>62</v>
      </c>
      <c r="R3336">
        <v>384</v>
      </c>
      <c r="S3336">
        <v>1.1294117647058823</v>
      </c>
      <c r="T3336">
        <v>0.88571428571428568</v>
      </c>
      <c r="U3336">
        <v>1.2461538461538462</v>
      </c>
    </row>
    <row r="3337" spans="1:21" x14ac:dyDescent="0.35">
      <c r="A3337">
        <v>702</v>
      </c>
      <c r="B3337" s="16">
        <v>40725</v>
      </c>
      <c r="C3337" s="15" t="s">
        <v>76</v>
      </c>
      <c r="D3337" s="15" t="s">
        <v>58</v>
      </c>
      <c r="E3337" s="15" t="s">
        <v>53</v>
      </c>
      <c r="F3337" s="15" t="s">
        <v>52</v>
      </c>
      <c r="G3337" s="15" t="s">
        <v>79</v>
      </c>
      <c r="H3337" s="15" t="s">
        <v>45</v>
      </c>
      <c r="I3337">
        <v>200</v>
      </c>
      <c r="J3337">
        <v>290</v>
      </c>
      <c r="K3337">
        <v>200</v>
      </c>
      <c r="L3337">
        <v>490</v>
      </c>
      <c r="M3337">
        <v>238</v>
      </c>
      <c r="N3337">
        <v>1190</v>
      </c>
      <c r="O3337">
        <v>329</v>
      </c>
      <c r="P3337">
        <v>78</v>
      </c>
      <c r="Q3337">
        <v>287</v>
      </c>
      <c r="R3337">
        <v>562</v>
      </c>
      <c r="S3337">
        <v>1.1469387755102041</v>
      </c>
      <c r="T3337">
        <v>1.4350000000000001</v>
      </c>
      <c r="U3337">
        <v>1.19</v>
      </c>
    </row>
    <row r="3338" spans="1:21" x14ac:dyDescent="0.35">
      <c r="A3338">
        <v>702</v>
      </c>
      <c r="B3338" s="16">
        <v>40725</v>
      </c>
      <c r="C3338" s="15" t="s">
        <v>76</v>
      </c>
      <c r="D3338" s="15" t="s">
        <v>58</v>
      </c>
      <c r="E3338" s="15" t="s">
        <v>54</v>
      </c>
      <c r="F3338" s="15" t="s">
        <v>52</v>
      </c>
      <c r="G3338" s="15" t="s">
        <v>79</v>
      </c>
      <c r="H3338" s="15" t="s">
        <v>45</v>
      </c>
      <c r="I3338">
        <v>130</v>
      </c>
      <c r="J3338">
        <v>200</v>
      </c>
      <c r="K3338">
        <v>150</v>
      </c>
      <c r="L3338">
        <v>330</v>
      </c>
      <c r="M3338">
        <v>154</v>
      </c>
      <c r="N3338">
        <v>833</v>
      </c>
      <c r="O3338">
        <v>222</v>
      </c>
      <c r="P3338">
        <v>49</v>
      </c>
      <c r="Q3338">
        <v>207</v>
      </c>
      <c r="R3338">
        <v>373</v>
      </c>
      <c r="S3338">
        <v>1.1303030303030304</v>
      </c>
      <c r="T3338">
        <v>1.38</v>
      </c>
      <c r="U3338">
        <v>1.1846153846153846</v>
      </c>
    </row>
    <row r="3339" spans="1:21" x14ac:dyDescent="0.35">
      <c r="A3339">
        <v>775</v>
      </c>
      <c r="B3339" s="16">
        <v>40725</v>
      </c>
      <c r="C3339" s="15" t="s">
        <v>76</v>
      </c>
      <c r="D3339" s="15" t="s">
        <v>58</v>
      </c>
      <c r="E3339" s="15" t="s">
        <v>43</v>
      </c>
      <c r="F3339" s="15" t="s">
        <v>40</v>
      </c>
      <c r="G3339" s="15" t="s">
        <v>79</v>
      </c>
      <c r="H3339" s="15" t="s">
        <v>42</v>
      </c>
      <c r="I3339">
        <v>40</v>
      </c>
      <c r="J3339">
        <v>60</v>
      </c>
      <c r="K3339">
        <v>20</v>
      </c>
      <c r="L3339">
        <v>100</v>
      </c>
      <c r="M3339">
        <v>36</v>
      </c>
      <c r="N3339">
        <v>252</v>
      </c>
      <c r="O3339">
        <v>46</v>
      </c>
      <c r="P3339">
        <v>13</v>
      </c>
      <c r="Q3339">
        <v>-1</v>
      </c>
      <c r="R3339">
        <v>81</v>
      </c>
      <c r="S3339">
        <v>0.81</v>
      </c>
      <c r="T3339">
        <v>-0.05</v>
      </c>
      <c r="U3339">
        <v>0.9</v>
      </c>
    </row>
    <row r="3340" spans="1:21" x14ac:dyDescent="0.35">
      <c r="A3340">
        <v>702</v>
      </c>
      <c r="B3340" s="16">
        <v>40725</v>
      </c>
      <c r="C3340" s="15" t="s">
        <v>76</v>
      </c>
      <c r="D3340" s="15" t="s">
        <v>58</v>
      </c>
      <c r="E3340" s="15" t="s">
        <v>44</v>
      </c>
      <c r="F3340" s="15" t="s">
        <v>40</v>
      </c>
      <c r="G3340" s="15" t="s">
        <v>79</v>
      </c>
      <c r="H3340" s="15" t="s">
        <v>45</v>
      </c>
      <c r="I3340">
        <v>40</v>
      </c>
      <c r="J3340">
        <v>50</v>
      </c>
      <c r="K3340">
        <v>30</v>
      </c>
      <c r="L3340">
        <v>90</v>
      </c>
      <c r="M3340">
        <v>34</v>
      </c>
      <c r="N3340">
        <v>1010</v>
      </c>
      <c r="O3340">
        <v>41</v>
      </c>
      <c r="P3340">
        <v>10</v>
      </c>
      <c r="Q3340">
        <v>12</v>
      </c>
      <c r="R3340">
        <v>74</v>
      </c>
      <c r="S3340">
        <v>0.82222222222222219</v>
      </c>
      <c r="T3340">
        <v>0.4</v>
      </c>
      <c r="U3340">
        <v>0.85</v>
      </c>
    </row>
    <row r="3341" spans="1:21" x14ac:dyDescent="0.35">
      <c r="A3341">
        <v>775</v>
      </c>
      <c r="B3341" s="16">
        <v>40725</v>
      </c>
      <c r="C3341" s="15" t="s">
        <v>76</v>
      </c>
      <c r="D3341" s="15" t="s">
        <v>58</v>
      </c>
      <c r="E3341" s="15" t="s">
        <v>72</v>
      </c>
      <c r="F3341" s="15" t="s">
        <v>49</v>
      </c>
      <c r="G3341" s="15" t="s">
        <v>79</v>
      </c>
      <c r="H3341" s="15" t="s">
        <v>42</v>
      </c>
      <c r="I3341">
        <v>0</v>
      </c>
      <c r="J3341">
        <v>40</v>
      </c>
      <c r="K3341">
        <v>30</v>
      </c>
      <c r="L3341">
        <v>40</v>
      </c>
      <c r="M3341">
        <v>0</v>
      </c>
      <c r="N3341">
        <v>559</v>
      </c>
      <c r="O3341">
        <v>43</v>
      </c>
      <c r="P3341">
        <v>0</v>
      </c>
      <c r="Q3341">
        <v>44</v>
      </c>
      <c r="R3341">
        <v>43</v>
      </c>
      <c r="S3341">
        <v>1.075</v>
      </c>
      <c r="T3341">
        <v>1.4666666666666666</v>
      </c>
    </row>
    <row r="3342" spans="1:21" x14ac:dyDescent="0.35">
      <c r="A3342">
        <v>702</v>
      </c>
      <c r="B3342" s="16">
        <v>40725</v>
      </c>
      <c r="C3342" s="15" t="s">
        <v>76</v>
      </c>
      <c r="D3342" s="15" t="s">
        <v>58</v>
      </c>
      <c r="E3342" s="15" t="s">
        <v>48</v>
      </c>
      <c r="F3342" s="15" t="s">
        <v>49</v>
      </c>
      <c r="G3342" s="15" t="s">
        <v>79</v>
      </c>
      <c r="H3342" s="15" t="s">
        <v>42</v>
      </c>
      <c r="I3342">
        <v>20</v>
      </c>
      <c r="J3342">
        <v>30</v>
      </c>
      <c r="K3342">
        <v>20</v>
      </c>
      <c r="L3342">
        <v>50</v>
      </c>
      <c r="M3342">
        <v>25</v>
      </c>
      <c r="N3342">
        <v>854</v>
      </c>
      <c r="O3342">
        <v>36</v>
      </c>
      <c r="P3342">
        <v>7</v>
      </c>
      <c r="Q3342">
        <v>23</v>
      </c>
      <c r="R3342">
        <v>60</v>
      </c>
      <c r="S3342">
        <v>1.2</v>
      </c>
      <c r="T3342">
        <v>1.1499999999999999</v>
      </c>
      <c r="U3342">
        <v>1.25</v>
      </c>
    </row>
    <row r="3343" spans="1:21" x14ac:dyDescent="0.35">
      <c r="A3343">
        <v>775</v>
      </c>
      <c r="B3343" s="16">
        <v>40725</v>
      </c>
      <c r="C3343" s="15" t="s">
        <v>76</v>
      </c>
      <c r="D3343" s="15" t="s">
        <v>58</v>
      </c>
      <c r="E3343" s="15" t="s">
        <v>50</v>
      </c>
      <c r="F3343" s="15" t="s">
        <v>49</v>
      </c>
      <c r="G3343" s="15" t="s">
        <v>79</v>
      </c>
      <c r="H3343" s="15" t="s">
        <v>45</v>
      </c>
      <c r="I3343">
        <v>10</v>
      </c>
      <c r="J3343">
        <v>30</v>
      </c>
      <c r="K3343">
        <v>20</v>
      </c>
      <c r="L3343">
        <v>40</v>
      </c>
      <c r="M3343">
        <v>20</v>
      </c>
      <c r="N3343">
        <v>808</v>
      </c>
      <c r="O3343">
        <v>29</v>
      </c>
      <c r="P3343">
        <v>5</v>
      </c>
      <c r="Q3343">
        <v>17</v>
      </c>
      <c r="R3343">
        <v>49</v>
      </c>
      <c r="S3343">
        <v>1.2250000000000001</v>
      </c>
      <c r="T3343">
        <v>0.85</v>
      </c>
      <c r="U3343">
        <v>2</v>
      </c>
    </row>
    <row r="3344" spans="1:21" x14ac:dyDescent="0.35">
      <c r="A3344">
        <v>503</v>
      </c>
      <c r="B3344" s="16">
        <v>40725</v>
      </c>
      <c r="C3344" s="15" t="s">
        <v>76</v>
      </c>
      <c r="D3344" s="15" t="s">
        <v>58</v>
      </c>
      <c r="E3344" s="15" t="s">
        <v>55</v>
      </c>
      <c r="F3344" s="15" t="s">
        <v>47</v>
      </c>
      <c r="G3344" s="15" t="s">
        <v>80</v>
      </c>
      <c r="H3344" s="15" t="s">
        <v>42</v>
      </c>
      <c r="I3344">
        <v>10</v>
      </c>
      <c r="J3344">
        <v>10</v>
      </c>
      <c r="K3344">
        <v>10</v>
      </c>
      <c r="L3344">
        <v>20</v>
      </c>
      <c r="M3344">
        <v>18</v>
      </c>
      <c r="N3344">
        <v>486</v>
      </c>
      <c r="O3344">
        <v>26</v>
      </c>
      <c r="P3344">
        <v>5</v>
      </c>
      <c r="Q3344">
        <v>12</v>
      </c>
      <c r="R3344">
        <v>44</v>
      </c>
      <c r="S3344">
        <v>2.2000000000000002</v>
      </c>
      <c r="T3344">
        <v>1.2</v>
      </c>
      <c r="U3344">
        <v>1.8</v>
      </c>
    </row>
    <row r="3345" spans="1:21" x14ac:dyDescent="0.35">
      <c r="A3345">
        <v>541</v>
      </c>
      <c r="B3345" s="16">
        <v>40725</v>
      </c>
      <c r="C3345" s="15" t="s">
        <v>76</v>
      </c>
      <c r="D3345" s="15" t="s">
        <v>58</v>
      </c>
      <c r="E3345" s="15" t="s">
        <v>56</v>
      </c>
      <c r="F3345" s="15" t="s">
        <v>47</v>
      </c>
      <c r="G3345" s="15" t="s">
        <v>80</v>
      </c>
      <c r="H3345" s="15" t="s">
        <v>42</v>
      </c>
      <c r="I3345">
        <v>70</v>
      </c>
      <c r="J3345">
        <v>120</v>
      </c>
      <c r="K3345">
        <v>80</v>
      </c>
      <c r="L3345">
        <v>190</v>
      </c>
      <c r="M3345">
        <v>114</v>
      </c>
      <c r="N3345">
        <v>822</v>
      </c>
      <c r="O3345">
        <v>172</v>
      </c>
      <c r="P3345">
        <v>37</v>
      </c>
      <c r="Q3345">
        <v>144</v>
      </c>
      <c r="R3345">
        <v>283</v>
      </c>
      <c r="S3345">
        <v>1.4894736842105263</v>
      </c>
      <c r="T3345">
        <v>1.8</v>
      </c>
      <c r="U3345">
        <v>1.6285714285714286</v>
      </c>
    </row>
    <row r="3346" spans="1:21" x14ac:dyDescent="0.35">
      <c r="A3346">
        <v>541</v>
      </c>
      <c r="B3346" s="16">
        <v>40725</v>
      </c>
      <c r="C3346" s="15" t="s">
        <v>76</v>
      </c>
      <c r="D3346" s="15" t="s">
        <v>58</v>
      </c>
      <c r="E3346" s="15" t="s">
        <v>46</v>
      </c>
      <c r="F3346" s="15" t="s">
        <v>47</v>
      </c>
      <c r="G3346" s="15" t="s">
        <v>80</v>
      </c>
      <c r="H3346" s="15" t="s">
        <v>42</v>
      </c>
      <c r="I3346">
        <v>90</v>
      </c>
      <c r="J3346">
        <v>130</v>
      </c>
      <c r="K3346">
        <v>90</v>
      </c>
      <c r="L3346">
        <v>220</v>
      </c>
      <c r="M3346">
        <v>141</v>
      </c>
      <c r="N3346">
        <v>692</v>
      </c>
      <c r="O3346">
        <v>195</v>
      </c>
      <c r="P3346">
        <v>43</v>
      </c>
      <c r="Q3346">
        <v>178</v>
      </c>
      <c r="R3346">
        <v>333</v>
      </c>
      <c r="S3346">
        <v>1.5136363636363637</v>
      </c>
      <c r="T3346">
        <v>1.9777777777777779</v>
      </c>
      <c r="U3346">
        <v>1.5666666666666667</v>
      </c>
    </row>
    <row r="3347" spans="1:21" x14ac:dyDescent="0.35">
      <c r="A3347">
        <v>503</v>
      </c>
      <c r="B3347" s="16">
        <v>40725</v>
      </c>
      <c r="C3347" s="15" t="s">
        <v>76</v>
      </c>
      <c r="D3347" s="15" t="s">
        <v>58</v>
      </c>
      <c r="E3347" s="15" t="s">
        <v>51</v>
      </c>
      <c r="F3347" s="15" t="s">
        <v>52</v>
      </c>
      <c r="G3347" s="15" t="s">
        <v>80</v>
      </c>
      <c r="H3347" s="15" t="s">
        <v>45</v>
      </c>
      <c r="I3347">
        <v>20</v>
      </c>
      <c r="J3347">
        <v>40</v>
      </c>
      <c r="K3347">
        <v>40</v>
      </c>
      <c r="L3347">
        <v>60</v>
      </c>
      <c r="M3347">
        <v>30</v>
      </c>
      <c r="N3347">
        <v>829</v>
      </c>
      <c r="O3347">
        <v>44</v>
      </c>
      <c r="P3347">
        <v>8</v>
      </c>
      <c r="Q3347">
        <v>33</v>
      </c>
      <c r="R3347">
        <v>73</v>
      </c>
      <c r="S3347">
        <v>1.2166666666666666</v>
      </c>
      <c r="T3347">
        <v>0.82499999999999996</v>
      </c>
      <c r="U3347">
        <v>1.5</v>
      </c>
    </row>
    <row r="3348" spans="1:21" x14ac:dyDescent="0.35">
      <c r="A3348">
        <v>503</v>
      </c>
      <c r="B3348" s="16">
        <v>40725</v>
      </c>
      <c r="C3348" s="15" t="s">
        <v>76</v>
      </c>
      <c r="D3348" s="15" t="s">
        <v>58</v>
      </c>
      <c r="E3348" s="15" t="s">
        <v>53</v>
      </c>
      <c r="F3348" s="15" t="s">
        <v>52</v>
      </c>
      <c r="G3348" s="15" t="s">
        <v>80</v>
      </c>
      <c r="H3348" s="15" t="s">
        <v>45</v>
      </c>
      <c r="I3348">
        <v>30</v>
      </c>
      <c r="J3348">
        <v>50</v>
      </c>
      <c r="K3348">
        <v>30</v>
      </c>
      <c r="L3348">
        <v>80</v>
      </c>
      <c r="M3348">
        <v>41</v>
      </c>
      <c r="N3348">
        <v>592</v>
      </c>
      <c r="O3348">
        <v>53</v>
      </c>
      <c r="P3348">
        <v>13</v>
      </c>
      <c r="Q3348">
        <v>37</v>
      </c>
      <c r="R3348">
        <v>93</v>
      </c>
      <c r="S3348">
        <v>1.1625000000000001</v>
      </c>
      <c r="T3348">
        <v>1.2333333333333334</v>
      </c>
      <c r="U3348">
        <v>1.3666666666666667</v>
      </c>
    </row>
    <row r="3349" spans="1:21" x14ac:dyDescent="0.35">
      <c r="A3349">
        <v>503</v>
      </c>
      <c r="B3349" s="16">
        <v>40725</v>
      </c>
      <c r="C3349" s="15" t="s">
        <v>76</v>
      </c>
      <c r="D3349" s="15" t="s">
        <v>58</v>
      </c>
      <c r="E3349" s="15" t="s">
        <v>39</v>
      </c>
      <c r="F3349" s="15" t="s">
        <v>40</v>
      </c>
      <c r="G3349" s="15" t="s">
        <v>80</v>
      </c>
      <c r="H3349" s="15" t="s">
        <v>42</v>
      </c>
      <c r="I3349">
        <v>40</v>
      </c>
      <c r="J3349">
        <v>70</v>
      </c>
      <c r="K3349">
        <v>20</v>
      </c>
      <c r="L3349">
        <v>110</v>
      </c>
      <c r="M3349">
        <v>39</v>
      </c>
      <c r="N3349">
        <v>517</v>
      </c>
      <c r="O3349">
        <v>56</v>
      </c>
      <c r="P3349">
        <v>36</v>
      </c>
      <c r="Q3349">
        <v>-14</v>
      </c>
      <c r="R3349">
        <v>94</v>
      </c>
      <c r="S3349">
        <v>0.8545454545454545</v>
      </c>
      <c r="T3349">
        <v>-0.7</v>
      </c>
      <c r="U3349">
        <v>0.97499999999999998</v>
      </c>
    </row>
    <row r="3350" spans="1:21" x14ac:dyDescent="0.35">
      <c r="A3350">
        <v>541</v>
      </c>
      <c r="B3350" s="16">
        <v>40725</v>
      </c>
      <c r="C3350" s="15" t="s">
        <v>76</v>
      </c>
      <c r="D3350" s="15" t="s">
        <v>58</v>
      </c>
      <c r="E3350" s="15" t="s">
        <v>43</v>
      </c>
      <c r="F3350" s="15" t="s">
        <v>40</v>
      </c>
      <c r="G3350" s="15" t="s">
        <v>80</v>
      </c>
      <c r="H3350" s="15" t="s">
        <v>42</v>
      </c>
      <c r="I3350">
        <v>40</v>
      </c>
      <c r="J3350">
        <v>70</v>
      </c>
      <c r="K3350">
        <v>20</v>
      </c>
      <c r="L3350">
        <v>110</v>
      </c>
      <c r="M3350">
        <v>39</v>
      </c>
      <c r="N3350">
        <v>478</v>
      </c>
      <c r="O3350">
        <v>55</v>
      </c>
      <c r="P3350">
        <v>12</v>
      </c>
      <c r="Q3350">
        <v>0</v>
      </c>
      <c r="R3350">
        <v>93</v>
      </c>
      <c r="S3350">
        <v>0.84545454545454546</v>
      </c>
      <c r="T3350">
        <v>0</v>
      </c>
      <c r="U3350">
        <v>0.97499999999999998</v>
      </c>
    </row>
    <row r="3351" spans="1:21" x14ac:dyDescent="0.35">
      <c r="A3351">
        <v>541</v>
      </c>
      <c r="B3351" s="16">
        <v>40725</v>
      </c>
      <c r="C3351" s="15" t="s">
        <v>76</v>
      </c>
      <c r="D3351" s="15" t="s">
        <v>58</v>
      </c>
      <c r="E3351" s="15" t="s">
        <v>44</v>
      </c>
      <c r="F3351" s="15" t="s">
        <v>40</v>
      </c>
      <c r="G3351" s="15" t="s">
        <v>80</v>
      </c>
      <c r="H3351" s="15" t="s">
        <v>45</v>
      </c>
      <c r="I3351">
        <v>40</v>
      </c>
      <c r="J3351">
        <v>60</v>
      </c>
      <c r="K3351">
        <v>40</v>
      </c>
      <c r="L3351">
        <v>100</v>
      </c>
      <c r="M3351">
        <v>34</v>
      </c>
      <c r="N3351">
        <v>432</v>
      </c>
      <c r="O3351">
        <v>51</v>
      </c>
      <c r="P3351">
        <v>10</v>
      </c>
      <c r="Q3351">
        <v>25</v>
      </c>
      <c r="R3351">
        <v>84</v>
      </c>
      <c r="S3351">
        <v>0.84</v>
      </c>
      <c r="T3351">
        <v>0.625</v>
      </c>
      <c r="U3351">
        <v>0.85</v>
      </c>
    </row>
    <row r="3352" spans="1:21" x14ac:dyDescent="0.35">
      <c r="A3352">
        <v>971</v>
      </c>
      <c r="B3352" s="16">
        <v>40725</v>
      </c>
      <c r="C3352" s="15" t="s">
        <v>76</v>
      </c>
      <c r="D3352" s="15" t="s">
        <v>58</v>
      </c>
      <c r="E3352" s="15" t="s">
        <v>72</v>
      </c>
      <c r="F3352" s="15" t="s">
        <v>49</v>
      </c>
      <c r="G3352" s="15" t="s">
        <v>80</v>
      </c>
      <c r="H3352" s="15" t="s">
        <v>42</v>
      </c>
      <c r="I3352">
        <v>40</v>
      </c>
      <c r="J3352">
        <v>70</v>
      </c>
      <c r="K3352">
        <v>30</v>
      </c>
      <c r="L3352">
        <v>110</v>
      </c>
      <c r="M3352">
        <v>51</v>
      </c>
      <c r="N3352">
        <v>419</v>
      </c>
      <c r="O3352">
        <v>64</v>
      </c>
      <c r="P3352">
        <v>19</v>
      </c>
      <c r="Q3352">
        <v>17</v>
      </c>
      <c r="R3352">
        <v>114</v>
      </c>
      <c r="S3352">
        <v>1.0363636363636364</v>
      </c>
      <c r="T3352">
        <v>0.56666666666666665</v>
      </c>
      <c r="U3352">
        <v>1.2749999999999999</v>
      </c>
    </row>
    <row r="3353" spans="1:21" x14ac:dyDescent="0.35">
      <c r="A3353">
        <v>503</v>
      </c>
      <c r="B3353" s="16">
        <v>40725</v>
      </c>
      <c r="C3353" s="15" t="s">
        <v>76</v>
      </c>
      <c r="D3353" s="15" t="s">
        <v>58</v>
      </c>
      <c r="E3353" s="15" t="s">
        <v>48</v>
      </c>
      <c r="F3353" s="15" t="s">
        <v>49</v>
      </c>
      <c r="G3353" s="15" t="s">
        <v>80</v>
      </c>
      <c r="H3353" s="15" t="s">
        <v>42</v>
      </c>
      <c r="I3353">
        <v>40</v>
      </c>
      <c r="J3353">
        <v>60</v>
      </c>
      <c r="K3353">
        <v>30</v>
      </c>
      <c r="L3353">
        <v>100</v>
      </c>
      <c r="M3353">
        <v>47</v>
      </c>
      <c r="N3353">
        <v>420</v>
      </c>
      <c r="O3353">
        <v>63</v>
      </c>
      <c r="P3353">
        <v>15</v>
      </c>
      <c r="Q3353">
        <v>28</v>
      </c>
      <c r="R3353">
        <v>109</v>
      </c>
      <c r="S3353">
        <v>1.0900000000000001</v>
      </c>
      <c r="T3353">
        <v>0.93333333333333335</v>
      </c>
      <c r="U3353">
        <v>1.175</v>
      </c>
    </row>
    <row r="3354" spans="1:21" x14ac:dyDescent="0.35">
      <c r="A3354">
        <v>503</v>
      </c>
      <c r="B3354" s="16">
        <v>40725</v>
      </c>
      <c r="C3354" s="15" t="s">
        <v>76</v>
      </c>
      <c r="D3354" s="15" t="s">
        <v>58</v>
      </c>
      <c r="E3354" s="15" t="s">
        <v>50</v>
      </c>
      <c r="F3354" s="15" t="s">
        <v>49</v>
      </c>
      <c r="G3354" s="15" t="s">
        <v>80</v>
      </c>
      <c r="H3354" s="15" t="s">
        <v>45</v>
      </c>
      <c r="I3354">
        <v>130</v>
      </c>
      <c r="J3354">
        <v>140</v>
      </c>
      <c r="K3354">
        <v>90</v>
      </c>
      <c r="L3354">
        <v>270</v>
      </c>
      <c r="M3354">
        <v>145</v>
      </c>
      <c r="N3354">
        <v>1304</v>
      </c>
      <c r="O3354">
        <v>146</v>
      </c>
      <c r="P3354">
        <v>40</v>
      </c>
      <c r="Q3354">
        <v>112</v>
      </c>
      <c r="R3354">
        <v>288</v>
      </c>
      <c r="S3354">
        <v>1.0666666666666667</v>
      </c>
      <c r="T3354">
        <v>1.2444444444444445</v>
      </c>
      <c r="U3354">
        <v>1.1153846153846154</v>
      </c>
    </row>
    <row r="3355" spans="1:21" x14ac:dyDescent="0.35">
      <c r="A3355">
        <v>360</v>
      </c>
      <c r="B3355" s="16">
        <v>40725</v>
      </c>
      <c r="C3355" s="15" t="s">
        <v>76</v>
      </c>
      <c r="D3355" s="15" t="s">
        <v>58</v>
      </c>
      <c r="E3355" s="15" t="s">
        <v>55</v>
      </c>
      <c r="F3355" s="15" t="s">
        <v>47</v>
      </c>
      <c r="G3355" s="15" t="s">
        <v>81</v>
      </c>
      <c r="H3355" s="15" t="s">
        <v>42</v>
      </c>
      <c r="I3355">
        <v>20</v>
      </c>
      <c r="J3355">
        <v>50</v>
      </c>
      <c r="K3355">
        <v>30</v>
      </c>
      <c r="L3355">
        <v>70</v>
      </c>
      <c r="M3355">
        <v>39</v>
      </c>
      <c r="N3355">
        <v>380</v>
      </c>
      <c r="O3355">
        <v>65</v>
      </c>
      <c r="P3355">
        <v>12</v>
      </c>
      <c r="Q3355">
        <v>40</v>
      </c>
      <c r="R3355">
        <v>103</v>
      </c>
      <c r="S3355">
        <v>1.4714285714285715</v>
      </c>
      <c r="T3355">
        <v>1.3333333333333333</v>
      </c>
      <c r="U3355">
        <v>1.95</v>
      </c>
    </row>
    <row r="3356" spans="1:21" x14ac:dyDescent="0.35">
      <c r="A3356">
        <v>509</v>
      </c>
      <c r="B3356" s="16">
        <v>40725</v>
      </c>
      <c r="C3356" s="15" t="s">
        <v>76</v>
      </c>
      <c r="D3356" s="15" t="s">
        <v>58</v>
      </c>
      <c r="E3356" s="15" t="s">
        <v>56</v>
      </c>
      <c r="F3356" s="15" t="s">
        <v>47</v>
      </c>
      <c r="G3356" s="15" t="s">
        <v>81</v>
      </c>
      <c r="H3356" s="15" t="s">
        <v>42</v>
      </c>
      <c r="I3356">
        <v>20</v>
      </c>
      <c r="J3356">
        <v>40</v>
      </c>
      <c r="K3356">
        <v>30</v>
      </c>
      <c r="L3356">
        <v>60</v>
      </c>
      <c r="M3356">
        <v>36</v>
      </c>
      <c r="N3356">
        <v>462</v>
      </c>
      <c r="O3356">
        <v>54</v>
      </c>
      <c r="P3356">
        <v>11</v>
      </c>
      <c r="Q3356">
        <v>28</v>
      </c>
      <c r="R3356">
        <v>89</v>
      </c>
      <c r="S3356">
        <v>1.4833333333333334</v>
      </c>
      <c r="T3356">
        <v>0.93333333333333335</v>
      </c>
      <c r="U3356">
        <v>1.8</v>
      </c>
    </row>
    <row r="3357" spans="1:21" x14ac:dyDescent="0.35">
      <c r="A3357">
        <v>360</v>
      </c>
      <c r="B3357" s="16">
        <v>40725</v>
      </c>
      <c r="C3357" s="15" t="s">
        <v>76</v>
      </c>
      <c r="D3357" s="15" t="s">
        <v>58</v>
      </c>
      <c r="E3357" s="15" t="s">
        <v>46</v>
      </c>
      <c r="F3357" s="15" t="s">
        <v>47</v>
      </c>
      <c r="G3357" s="15" t="s">
        <v>81</v>
      </c>
      <c r="H3357" s="15" t="s">
        <v>42</v>
      </c>
      <c r="I3357">
        <v>30</v>
      </c>
      <c r="J3357">
        <v>40</v>
      </c>
      <c r="K3357">
        <v>0</v>
      </c>
      <c r="L3357">
        <v>70</v>
      </c>
      <c r="M3357">
        <v>47</v>
      </c>
      <c r="N3357">
        <v>622</v>
      </c>
      <c r="O3357">
        <v>66</v>
      </c>
      <c r="P3357">
        <v>42</v>
      </c>
      <c r="Q3357">
        <v>-7</v>
      </c>
      <c r="R3357">
        <v>112</v>
      </c>
      <c r="S3357">
        <v>1.6</v>
      </c>
      <c r="U3357">
        <v>1.5666666666666667</v>
      </c>
    </row>
    <row r="3358" spans="1:21" x14ac:dyDescent="0.35">
      <c r="A3358">
        <v>425</v>
      </c>
      <c r="B3358" s="16">
        <v>40725</v>
      </c>
      <c r="C3358" s="15" t="s">
        <v>76</v>
      </c>
      <c r="D3358" s="15" t="s">
        <v>58</v>
      </c>
      <c r="E3358" s="15" t="s">
        <v>51</v>
      </c>
      <c r="F3358" s="15" t="s">
        <v>52</v>
      </c>
      <c r="G3358" s="15" t="s">
        <v>81</v>
      </c>
      <c r="H3358" s="15" t="s">
        <v>45</v>
      </c>
      <c r="I3358">
        <v>70</v>
      </c>
      <c r="J3358">
        <v>120</v>
      </c>
      <c r="K3358">
        <v>80</v>
      </c>
      <c r="L3358">
        <v>190</v>
      </c>
      <c r="M3358">
        <v>90</v>
      </c>
      <c r="N3358">
        <v>1148</v>
      </c>
      <c r="O3358">
        <v>135</v>
      </c>
      <c r="P3358">
        <v>29</v>
      </c>
      <c r="Q3358">
        <v>104</v>
      </c>
      <c r="R3358">
        <v>223</v>
      </c>
      <c r="S3358">
        <v>1.1736842105263159</v>
      </c>
      <c r="T3358">
        <v>1.3</v>
      </c>
      <c r="U3358">
        <v>1.2857142857142858</v>
      </c>
    </row>
    <row r="3359" spans="1:21" x14ac:dyDescent="0.35">
      <c r="A3359">
        <v>425</v>
      </c>
      <c r="B3359" s="16">
        <v>40725</v>
      </c>
      <c r="C3359" s="15" t="s">
        <v>76</v>
      </c>
      <c r="D3359" s="15" t="s">
        <v>58</v>
      </c>
      <c r="E3359" s="15" t="s">
        <v>53</v>
      </c>
      <c r="F3359" s="15" t="s">
        <v>52</v>
      </c>
      <c r="G3359" s="15" t="s">
        <v>81</v>
      </c>
      <c r="H3359" s="15" t="s">
        <v>45</v>
      </c>
      <c r="I3359">
        <v>30</v>
      </c>
      <c r="J3359">
        <v>50</v>
      </c>
      <c r="K3359">
        <v>50</v>
      </c>
      <c r="L3359">
        <v>80</v>
      </c>
      <c r="M3359">
        <v>40</v>
      </c>
      <c r="N3359">
        <v>843</v>
      </c>
      <c r="O3359">
        <v>59</v>
      </c>
      <c r="P3359">
        <v>11</v>
      </c>
      <c r="Q3359">
        <v>51</v>
      </c>
      <c r="R3359">
        <v>98</v>
      </c>
      <c r="S3359">
        <v>1.2250000000000001</v>
      </c>
      <c r="T3359">
        <v>1.02</v>
      </c>
      <c r="U3359">
        <v>1.3333333333333333</v>
      </c>
    </row>
    <row r="3360" spans="1:21" x14ac:dyDescent="0.35">
      <c r="A3360">
        <v>253</v>
      </c>
      <c r="B3360" s="16">
        <v>40725</v>
      </c>
      <c r="C3360" s="15" t="s">
        <v>76</v>
      </c>
      <c r="D3360" s="15" t="s">
        <v>58</v>
      </c>
      <c r="E3360" s="15" t="s">
        <v>43</v>
      </c>
      <c r="F3360" s="15" t="s">
        <v>40</v>
      </c>
      <c r="G3360" s="15" t="s">
        <v>81</v>
      </c>
      <c r="H3360" s="15" t="s">
        <v>42</v>
      </c>
      <c r="I3360">
        <v>100</v>
      </c>
      <c r="J3360">
        <v>160</v>
      </c>
      <c r="K3360">
        <v>120</v>
      </c>
      <c r="L3360">
        <v>260</v>
      </c>
      <c r="M3360">
        <v>86</v>
      </c>
      <c r="N3360">
        <v>463</v>
      </c>
      <c r="O3360">
        <v>125</v>
      </c>
      <c r="P3360">
        <v>27</v>
      </c>
      <c r="Q3360">
        <v>104</v>
      </c>
      <c r="R3360">
        <v>209</v>
      </c>
      <c r="S3360">
        <v>0.80384615384615388</v>
      </c>
      <c r="T3360">
        <v>0.8666666666666667</v>
      </c>
      <c r="U3360">
        <v>0.86</v>
      </c>
    </row>
    <row r="3361" spans="1:21" x14ac:dyDescent="0.35">
      <c r="A3361">
        <v>206</v>
      </c>
      <c r="B3361" s="16">
        <v>40725</v>
      </c>
      <c r="C3361" s="15" t="s">
        <v>76</v>
      </c>
      <c r="D3361" s="15" t="s">
        <v>58</v>
      </c>
      <c r="E3361" s="15" t="s">
        <v>44</v>
      </c>
      <c r="F3361" s="15" t="s">
        <v>40</v>
      </c>
      <c r="G3361" s="15" t="s">
        <v>81</v>
      </c>
      <c r="H3361" s="15" t="s">
        <v>45</v>
      </c>
      <c r="I3361">
        <v>150</v>
      </c>
      <c r="J3361">
        <v>220</v>
      </c>
      <c r="K3361">
        <v>100</v>
      </c>
      <c r="L3361">
        <v>370</v>
      </c>
      <c r="M3361">
        <v>124</v>
      </c>
      <c r="N3361">
        <v>717</v>
      </c>
      <c r="O3361">
        <v>173</v>
      </c>
      <c r="P3361">
        <v>112</v>
      </c>
      <c r="Q3361">
        <v>43</v>
      </c>
      <c r="R3361">
        <v>294</v>
      </c>
      <c r="S3361">
        <v>0.79459459459459458</v>
      </c>
      <c r="T3361">
        <v>0.43</v>
      </c>
      <c r="U3361">
        <v>0.82666666666666666</v>
      </c>
    </row>
    <row r="3362" spans="1:21" x14ac:dyDescent="0.35">
      <c r="A3362">
        <v>206</v>
      </c>
      <c r="B3362" s="16">
        <v>40725</v>
      </c>
      <c r="C3362" s="15" t="s">
        <v>76</v>
      </c>
      <c r="D3362" s="15" t="s">
        <v>58</v>
      </c>
      <c r="E3362" s="15" t="s">
        <v>72</v>
      </c>
      <c r="F3362" s="15" t="s">
        <v>49</v>
      </c>
      <c r="G3362" s="15" t="s">
        <v>81</v>
      </c>
      <c r="H3362" s="15" t="s">
        <v>42</v>
      </c>
      <c r="I3362">
        <v>40</v>
      </c>
      <c r="J3362">
        <v>70</v>
      </c>
      <c r="K3362">
        <v>50</v>
      </c>
      <c r="L3362">
        <v>110</v>
      </c>
      <c r="M3362">
        <v>50</v>
      </c>
      <c r="N3362">
        <v>587</v>
      </c>
      <c r="O3362">
        <v>65</v>
      </c>
      <c r="P3362">
        <v>16</v>
      </c>
      <c r="Q3362">
        <v>50</v>
      </c>
      <c r="R3362">
        <v>114</v>
      </c>
      <c r="S3362">
        <v>1.0363636363636364</v>
      </c>
      <c r="T3362">
        <v>1</v>
      </c>
      <c r="U3362">
        <v>1.25</v>
      </c>
    </row>
    <row r="3363" spans="1:21" x14ac:dyDescent="0.35">
      <c r="A3363">
        <v>360</v>
      </c>
      <c r="B3363" s="16">
        <v>40725</v>
      </c>
      <c r="C3363" s="15" t="s">
        <v>76</v>
      </c>
      <c r="D3363" s="15" t="s">
        <v>58</v>
      </c>
      <c r="E3363" s="15" t="s">
        <v>48</v>
      </c>
      <c r="F3363" s="15" t="s">
        <v>49</v>
      </c>
      <c r="G3363" s="15" t="s">
        <v>81</v>
      </c>
      <c r="H3363" s="15" t="s">
        <v>42</v>
      </c>
      <c r="I3363">
        <v>50</v>
      </c>
      <c r="J3363">
        <v>70</v>
      </c>
      <c r="K3363">
        <v>20</v>
      </c>
      <c r="L3363">
        <v>120</v>
      </c>
      <c r="M3363">
        <v>59</v>
      </c>
      <c r="N3363">
        <v>403</v>
      </c>
      <c r="O3363">
        <v>74</v>
      </c>
      <c r="P3363">
        <v>22</v>
      </c>
      <c r="Q3363">
        <v>25</v>
      </c>
      <c r="R3363">
        <v>132</v>
      </c>
      <c r="S3363">
        <v>1.1000000000000001</v>
      </c>
      <c r="T3363">
        <v>1.25</v>
      </c>
      <c r="U3363">
        <v>1.18</v>
      </c>
    </row>
    <row r="3364" spans="1:21" x14ac:dyDescent="0.35">
      <c r="A3364">
        <v>360</v>
      </c>
      <c r="B3364" s="16">
        <v>40725</v>
      </c>
      <c r="C3364" s="15" t="s">
        <v>76</v>
      </c>
      <c r="D3364" s="15" t="s">
        <v>58</v>
      </c>
      <c r="E3364" s="15" t="s">
        <v>50</v>
      </c>
      <c r="F3364" s="15" t="s">
        <v>49</v>
      </c>
      <c r="G3364" s="15" t="s">
        <v>81</v>
      </c>
      <c r="H3364" s="15" t="s">
        <v>45</v>
      </c>
      <c r="I3364">
        <v>80</v>
      </c>
      <c r="J3364">
        <v>100</v>
      </c>
      <c r="K3364">
        <v>70</v>
      </c>
      <c r="L3364">
        <v>180</v>
      </c>
      <c r="M3364">
        <v>86</v>
      </c>
      <c r="N3364">
        <v>1081</v>
      </c>
      <c r="O3364">
        <v>103</v>
      </c>
      <c r="P3364">
        <v>26</v>
      </c>
      <c r="Q3364">
        <v>77</v>
      </c>
      <c r="R3364">
        <v>187</v>
      </c>
      <c r="S3364">
        <v>1.038888888888889</v>
      </c>
      <c r="T3364">
        <v>1.1000000000000001</v>
      </c>
      <c r="U3364">
        <v>1.075</v>
      </c>
    </row>
    <row r="3365" spans="1:21" x14ac:dyDescent="0.35">
      <c r="A3365">
        <v>719</v>
      </c>
      <c r="B3365" s="16">
        <v>40756</v>
      </c>
      <c r="C3365" s="15" t="s">
        <v>37</v>
      </c>
      <c r="D3365" s="15" t="s">
        <v>38</v>
      </c>
      <c r="E3365" s="15" t="s">
        <v>51</v>
      </c>
      <c r="F3365" s="15" t="s">
        <v>52</v>
      </c>
      <c r="G3365" s="15" t="s">
        <v>41</v>
      </c>
      <c r="H3365" s="15" t="s">
        <v>45</v>
      </c>
      <c r="I3365">
        <v>120</v>
      </c>
      <c r="J3365">
        <v>130</v>
      </c>
      <c r="K3365">
        <v>80</v>
      </c>
      <c r="L3365">
        <v>250</v>
      </c>
      <c r="M3365">
        <v>145</v>
      </c>
      <c r="N3365">
        <v>1292</v>
      </c>
      <c r="O3365">
        <v>146</v>
      </c>
      <c r="P3365">
        <v>40</v>
      </c>
      <c r="Q3365">
        <v>113</v>
      </c>
      <c r="R3365">
        <v>288</v>
      </c>
      <c r="S3365">
        <v>1.1519999999999999</v>
      </c>
      <c r="T3365">
        <v>1.4125000000000001</v>
      </c>
      <c r="U3365">
        <v>1.2083333333333333</v>
      </c>
    </row>
    <row r="3366" spans="1:21" x14ac:dyDescent="0.35">
      <c r="A3366">
        <v>719</v>
      </c>
      <c r="B3366" s="16">
        <v>40756</v>
      </c>
      <c r="C3366" s="15" t="s">
        <v>37</v>
      </c>
      <c r="D3366" s="15" t="s">
        <v>38</v>
      </c>
      <c r="E3366" s="15" t="s">
        <v>53</v>
      </c>
      <c r="F3366" s="15" t="s">
        <v>52</v>
      </c>
      <c r="G3366" s="15" t="s">
        <v>41</v>
      </c>
      <c r="H3366" s="15" t="s">
        <v>45</v>
      </c>
      <c r="I3366">
        <v>30</v>
      </c>
      <c r="J3366">
        <v>40</v>
      </c>
      <c r="K3366">
        <v>0</v>
      </c>
      <c r="L3366">
        <v>70</v>
      </c>
      <c r="M3366">
        <v>37</v>
      </c>
      <c r="N3366">
        <v>513</v>
      </c>
      <c r="O3366">
        <v>52</v>
      </c>
      <c r="P3366">
        <v>33</v>
      </c>
      <c r="Q3366">
        <v>-14</v>
      </c>
      <c r="R3366">
        <v>88</v>
      </c>
      <c r="S3366">
        <v>1.2571428571428571</v>
      </c>
      <c r="U3366">
        <v>1.2333333333333334</v>
      </c>
    </row>
    <row r="3367" spans="1:21" x14ac:dyDescent="0.35">
      <c r="A3367">
        <v>303</v>
      </c>
      <c r="B3367" s="16">
        <v>40756</v>
      </c>
      <c r="C3367" s="15" t="s">
        <v>37</v>
      </c>
      <c r="D3367" s="15" t="s">
        <v>38</v>
      </c>
      <c r="E3367" s="15" t="s">
        <v>54</v>
      </c>
      <c r="F3367" s="15" t="s">
        <v>52</v>
      </c>
      <c r="G3367" s="15" t="s">
        <v>41</v>
      </c>
      <c r="H3367" s="15" t="s">
        <v>45</v>
      </c>
      <c r="I3367">
        <v>30</v>
      </c>
      <c r="J3367">
        <v>60</v>
      </c>
      <c r="K3367">
        <v>30</v>
      </c>
      <c r="L3367">
        <v>90</v>
      </c>
      <c r="M3367">
        <v>46</v>
      </c>
      <c r="N3367">
        <v>415</v>
      </c>
      <c r="O3367">
        <v>62</v>
      </c>
      <c r="P3367">
        <v>15</v>
      </c>
      <c r="Q3367">
        <v>28</v>
      </c>
      <c r="R3367">
        <v>107</v>
      </c>
      <c r="S3367">
        <v>1.1888888888888889</v>
      </c>
      <c r="T3367">
        <v>0.93333333333333335</v>
      </c>
      <c r="U3367">
        <v>1.5333333333333334</v>
      </c>
    </row>
    <row r="3368" spans="1:21" x14ac:dyDescent="0.35">
      <c r="A3368">
        <v>720</v>
      </c>
      <c r="B3368" s="16">
        <v>40756</v>
      </c>
      <c r="C3368" s="15" t="s">
        <v>37</v>
      </c>
      <c r="D3368" s="15" t="s">
        <v>38</v>
      </c>
      <c r="E3368" s="15" t="s">
        <v>55</v>
      </c>
      <c r="F3368" s="15" t="s">
        <v>47</v>
      </c>
      <c r="G3368" s="15" t="s">
        <v>41</v>
      </c>
      <c r="H3368" s="15" t="s">
        <v>42</v>
      </c>
      <c r="I3368">
        <v>40</v>
      </c>
      <c r="J3368">
        <v>50</v>
      </c>
      <c r="K3368">
        <v>10</v>
      </c>
      <c r="L3368">
        <v>90</v>
      </c>
      <c r="M3368">
        <v>49</v>
      </c>
      <c r="N3368">
        <v>414</v>
      </c>
      <c r="O3368">
        <v>60</v>
      </c>
      <c r="P3368">
        <v>18</v>
      </c>
      <c r="Q3368">
        <v>12</v>
      </c>
      <c r="R3368">
        <v>108</v>
      </c>
      <c r="S3368">
        <v>1.2</v>
      </c>
      <c r="T3368">
        <v>1.2</v>
      </c>
      <c r="U3368">
        <v>1.2250000000000001</v>
      </c>
    </row>
    <row r="3369" spans="1:21" x14ac:dyDescent="0.35">
      <c r="A3369">
        <v>720</v>
      </c>
      <c r="B3369" s="16">
        <v>40756</v>
      </c>
      <c r="C3369" s="15" t="s">
        <v>37</v>
      </c>
      <c r="D3369" s="15" t="s">
        <v>38</v>
      </c>
      <c r="E3369" s="15" t="s">
        <v>56</v>
      </c>
      <c r="F3369" s="15" t="s">
        <v>47</v>
      </c>
      <c r="G3369" s="15" t="s">
        <v>41</v>
      </c>
      <c r="H3369" s="15" t="s">
        <v>42</v>
      </c>
      <c r="I3369">
        <v>30</v>
      </c>
      <c r="J3369">
        <v>50</v>
      </c>
      <c r="K3369">
        <v>20</v>
      </c>
      <c r="L3369">
        <v>80</v>
      </c>
      <c r="M3369">
        <v>41</v>
      </c>
      <c r="N3369">
        <v>1046</v>
      </c>
      <c r="O3369">
        <v>50</v>
      </c>
      <c r="P3369">
        <v>12</v>
      </c>
      <c r="Q3369">
        <v>22</v>
      </c>
      <c r="R3369">
        <v>90</v>
      </c>
      <c r="S3369">
        <v>1.125</v>
      </c>
      <c r="T3369">
        <v>1.1000000000000001</v>
      </c>
      <c r="U3369">
        <v>1.3666666666666667</v>
      </c>
    </row>
    <row r="3370" spans="1:21" x14ac:dyDescent="0.35">
      <c r="A3370">
        <v>720</v>
      </c>
      <c r="B3370" s="16">
        <v>40756</v>
      </c>
      <c r="C3370" s="15" t="s">
        <v>37</v>
      </c>
      <c r="D3370" s="15" t="s">
        <v>38</v>
      </c>
      <c r="E3370" s="15" t="s">
        <v>46</v>
      </c>
      <c r="F3370" s="15" t="s">
        <v>47</v>
      </c>
      <c r="G3370" s="15" t="s">
        <v>41</v>
      </c>
      <c r="H3370" s="15" t="s">
        <v>42</v>
      </c>
      <c r="I3370">
        <v>50</v>
      </c>
      <c r="J3370">
        <v>80</v>
      </c>
      <c r="K3370">
        <v>50</v>
      </c>
      <c r="L3370">
        <v>130</v>
      </c>
      <c r="M3370">
        <v>68</v>
      </c>
      <c r="N3370">
        <v>587</v>
      </c>
      <c r="O3370">
        <v>87</v>
      </c>
      <c r="P3370">
        <v>22</v>
      </c>
      <c r="Q3370">
        <v>73</v>
      </c>
      <c r="R3370">
        <v>154</v>
      </c>
      <c r="S3370">
        <v>1.1846153846153846</v>
      </c>
      <c r="T3370">
        <v>1.46</v>
      </c>
      <c r="U3370">
        <v>1.36</v>
      </c>
    </row>
    <row r="3371" spans="1:21" x14ac:dyDescent="0.35">
      <c r="A3371">
        <v>720</v>
      </c>
      <c r="B3371" s="16">
        <v>40756</v>
      </c>
      <c r="C3371" s="15" t="s">
        <v>37</v>
      </c>
      <c r="D3371" s="15" t="s">
        <v>38</v>
      </c>
      <c r="E3371" s="15" t="s">
        <v>39</v>
      </c>
      <c r="F3371" s="15" t="s">
        <v>40</v>
      </c>
      <c r="G3371" s="15" t="s">
        <v>41</v>
      </c>
      <c r="H3371" s="15" t="s">
        <v>42</v>
      </c>
      <c r="I3371">
        <v>130</v>
      </c>
      <c r="J3371">
        <v>180</v>
      </c>
      <c r="K3371">
        <v>140</v>
      </c>
      <c r="L3371">
        <v>310</v>
      </c>
      <c r="M3371">
        <v>123</v>
      </c>
      <c r="N3371">
        <v>941</v>
      </c>
      <c r="O3371">
        <v>178</v>
      </c>
      <c r="P3371">
        <v>34</v>
      </c>
      <c r="Q3371">
        <v>184</v>
      </c>
      <c r="R3371">
        <v>298</v>
      </c>
      <c r="S3371">
        <v>0.96129032258064517</v>
      </c>
      <c r="T3371">
        <v>1.3142857142857143</v>
      </c>
      <c r="U3371">
        <v>0.94615384615384612</v>
      </c>
    </row>
    <row r="3372" spans="1:21" x14ac:dyDescent="0.35">
      <c r="A3372">
        <v>970</v>
      </c>
      <c r="B3372" s="16">
        <v>40756</v>
      </c>
      <c r="C3372" s="15" t="s">
        <v>37</v>
      </c>
      <c r="D3372" s="15" t="s">
        <v>38</v>
      </c>
      <c r="E3372" s="15" t="s">
        <v>43</v>
      </c>
      <c r="F3372" s="15" t="s">
        <v>40</v>
      </c>
      <c r="G3372" s="15" t="s">
        <v>41</v>
      </c>
      <c r="H3372" s="15" t="s">
        <v>42</v>
      </c>
      <c r="I3372">
        <v>50</v>
      </c>
      <c r="J3372">
        <v>70</v>
      </c>
      <c r="K3372">
        <v>50</v>
      </c>
      <c r="L3372">
        <v>120</v>
      </c>
      <c r="M3372">
        <v>52</v>
      </c>
      <c r="N3372">
        <v>554</v>
      </c>
      <c r="O3372">
        <v>68</v>
      </c>
      <c r="P3372">
        <v>17</v>
      </c>
      <c r="Q3372">
        <v>54</v>
      </c>
      <c r="R3372">
        <v>119</v>
      </c>
      <c r="S3372">
        <v>0.9916666666666667</v>
      </c>
      <c r="T3372">
        <v>1.08</v>
      </c>
      <c r="U3372">
        <v>1.04</v>
      </c>
    </row>
    <row r="3373" spans="1:21" x14ac:dyDescent="0.35">
      <c r="A3373">
        <v>720</v>
      </c>
      <c r="B3373" s="16">
        <v>40756</v>
      </c>
      <c r="C3373" s="15" t="s">
        <v>37</v>
      </c>
      <c r="D3373" s="15" t="s">
        <v>38</v>
      </c>
      <c r="E3373" s="15" t="s">
        <v>44</v>
      </c>
      <c r="F3373" s="15" t="s">
        <v>40</v>
      </c>
      <c r="G3373" s="15" t="s">
        <v>41</v>
      </c>
      <c r="H3373" s="15" t="s">
        <v>45</v>
      </c>
      <c r="I3373">
        <v>130</v>
      </c>
      <c r="J3373">
        <v>200</v>
      </c>
      <c r="K3373">
        <v>160</v>
      </c>
      <c r="L3373">
        <v>330</v>
      </c>
      <c r="M3373">
        <v>132</v>
      </c>
      <c r="N3373">
        <v>994</v>
      </c>
      <c r="O3373">
        <v>191</v>
      </c>
      <c r="P3373">
        <v>36</v>
      </c>
      <c r="Q3373">
        <v>199</v>
      </c>
      <c r="R3373">
        <v>320</v>
      </c>
      <c r="S3373">
        <v>0.96969696969696972</v>
      </c>
      <c r="T3373">
        <v>1.2437499999999999</v>
      </c>
      <c r="U3373">
        <v>1.0153846153846153</v>
      </c>
    </row>
    <row r="3374" spans="1:21" x14ac:dyDescent="0.35">
      <c r="A3374">
        <v>719</v>
      </c>
      <c r="B3374" s="16">
        <v>40756</v>
      </c>
      <c r="C3374" s="15" t="s">
        <v>37</v>
      </c>
      <c r="D3374" s="15" t="s">
        <v>38</v>
      </c>
      <c r="E3374" s="15" t="s">
        <v>48</v>
      </c>
      <c r="F3374" s="15" t="s">
        <v>49</v>
      </c>
      <c r="G3374" s="15" t="s">
        <v>41</v>
      </c>
      <c r="H3374" s="15" t="s">
        <v>42</v>
      </c>
      <c r="I3374">
        <v>110</v>
      </c>
      <c r="J3374">
        <v>170</v>
      </c>
      <c r="K3374">
        <v>130</v>
      </c>
      <c r="L3374">
        <v>280</v>
      </c>
      <c r="M3374">
        <v>100</v>
      </c>
      <c r="N3374">
        <v>598</v>
      </c>
      <c r="O3374">
        <v>145</v>
      </c>
      <c r="P3374">
        <v>28</v>
      </c>
      <c r="Q3374">
        <v>145</v>
      </c>
      <c r="R3374">
        <v>243</v>
      </c>
      <c r="S3374">
        <v>0.86785714285714288</v>
      </c>
      <c r="T3374">
        <v>1.1153846153846154</v>
      </c>
      <c r="U3374">
        <v>0.90909090909090906</v>
      </c>
    </row>
    <row r="3375" spans="1:21" x14ac:dyDescent="0.35">
      <c r="A3375">
        <v>720</v>
      </c>
      <c r="B3375" s="16">
        <v>40756</v>
      </c>
      <c r="C3375" s="15" t="s">
        <v>37</v>
      </c>
      <c r="D3375" s="15" t="s">
        <v>38</v>
      </c>
      <c r="E3375" s="15" t="s">
        <v>50</v>
      </c>
      <c r="F3375" s="15" t="s">
        <v>49</v>
      </c>
      <c r="G3375" s="15" t="s">
        <v>41</v>
      </c>
      <c r="H3375" s="15" t="s">
        <v>45</v>
      </c>
      <c r="I3375">
        <v>60</v>
      </c>
      <c r="J3375">
        <v>90</v>
      </c>
      <c r="K3375">
        <v>50</v>
      </c>
      <c r="L3375">
        <v>150</v>
      </c>
      <c r="M3375">
        <v>52</v>
      </c>
      <c r="N3375">
        <v>662</v>
      </c>
      <c r="O3375">
        <v>79</v>
      </c>
      <c r="P3375">
        <v>17</v>
      </c>
      <c r="Q3375">
        <v>41</v>
      </c>
      <c r="R3375">
        <v>130</v>
      </c>
      <c r="S3375">
        <v>0.8666666666666667</v>
      </c>
      <c r="T3375">
        <v>0.82</v>
      </c>
      <c r="U3375">
        <v>0.8666666666666667</v>
      </c>
    </row>
    <row r="3376" spans="1:21" x14ac:dyDescent="0.35">
      <c r="A3376">
        <v>815</v>
      </c>
      <c r="B3376" s="16">
        <v>40756</v>
      </c>
      <c r="C3376" s="15" t="s">
        <v>37</v>
      </c>
      <c r="D3376" s="15" t="s">
        <v>38</v>
      </c>
      <c r="E3376" s="15" t="s">
        <v>51</v>
      </c>
      <c r="F3376" s="15" t="s">
        <v>52</v>
      </c>
      <c r="G3376" s="15" t="s">
        <v>57</v>
      </c>
      <c r="H3376" s="15" t="s">
        <v>45</v>
      </c>
      <c r="I3376">
        <v>100</v>
      </c>
      <c r="J3376">
        <v>160</v>
      </c>
      <c r="K3376">
        <v>140</v>
      </c>
      <c r="L3376">
        <v>260</v>
      </c>
      <c r="M3376">
        <v>123</v>
      </c>
      <c r="N3376">
        <v>941</v>
      </c>
      <c r="O3376">
        <v>178</v>
      </c>
      <c r="P3376">
        <v>34</v>
      </c>
      <c r="Q3376">
        <v>182</v>
      </c>
      <c r="R3376">
        <v>298</v>
      </c>
      <c r="S3376">
        <v>1.1461538461538461</v>
      </c>
      <c r="T3376">
        <v>1.3</v>
      </c>
      <c r="U3376">
        <v>1.23</v>
      </c>
    </row>
    <row r="3377" spans="1:21" x14ac:dyDescent="0.35">
      <c r="A3377">
        <v>312</v>
      </c>
      <c r="B3377" s="16">
        <v>40756</v>
      </c>
      <c r="C3377" s="15" t="s">
        <v>37</v>
      </c>
      <c r="D3377" s="15" t="s">
        <v>38</v>
      </c>
      <c r="E3377" s="15" t="s">
        <v>53</v>
      </c>
      <c r="F3377" s="15" t="s">
        <v>52</v>
      </c>
      <c r="G3377" s="15" t="s">
        <v>57</v>
      </c>
      <c r="H3377" s="15" t="s">
        <v>45</v>
      </c>
      <c r="I3377">
        <v>40</v>
      </c>
      <c r="J3377">
        <v>60</v>
      </c>
      <c r="K3377">
        <v>40</v>
      </c>
      <c r="L3377">
        <v>100</v>
      </c>
      <c r="M3377">
        <v>52</v>
      </c>
      <c r="N3377">
        <v>554</v>
      </c>
      <c r="O3377">
        <v>68</v>
      </c>
      <c r="P3377">
        <v>17</v>
      </c>
      <c r="Q3377">
        <v>54</v>
      </c>
      <c r="R3377">
        <v>119</v>
      </c>
      <c r="S3377">
        <v>1.19</v>
      </c>
      <c r="T3377">
        <v>1.35</v>
      </c>
      <c r="U3377">
        <v>1.3</v>
      </c>
    </row>
    <row r="3378" spans="1:21" x14ac:dyDescent="0.35">
      <c r="A3378">
        <v>312</v>
      </c>
      <c r="B3378" s="16">
        <v>40756</v>
      </c>
      <c r="C3378" s="15" t="s">
        <v>37</v>
      </c>
      <c r="D3378" s="15" t="s">
        <v>38</v>
      </c>
      <c r="E3378" s="15" t="s">
        <v>54</v>
      </c>
      <c r="F3378" s="15" t="s">
        <v>52</v>
      </c>
      <c r="G3378" s="15" t="s">
        <v>57</v>
      </c>
      <c r="H3378" s="15" t="s">
        <v>45</v>
      </c>
      <c r="I3378">
        <v>110</v>
      </c>
      <c r="J3378">
        <v>170</v>
      </c>
      <c r="K3378">
        <v>140</v>
      </c>
      <c r="L3378">
        <v>280</v>
      </c>
      <c r="M3378">
        <v>132</v>
      </c>
      <c r="N3378">
        <v>994</v>
      </c>
      <c r="O3378">
        <v>191</v>
      </c>
      <c r="P3378">
        <v>36</v>
      </c>
      <c r="Q3378">
        <v>197</v>
      </c>
      <c r="R3378">
        <v>320</v>
      </c>
      <c r="S3378">
        <v>1.1428571428571428</v>
      </c>
      <c r="T3378">
        <v>1.4071428571428573</v>
      </c>
      <c r="U3378">
        <v>1.2</v>
      </c>
    </row>
    <row r="3379" spans="1:21" x14ac:dyDescent="0.35">
      <c r="A3379">
        <v>312</v>
      </c>
      <c r="B3379" s="16">
        <v>40756</v>
      </c>
      <c r="C3379" s="15" t="s">
        <v>37</v>
      </c>
      <c r="D3379" s="15" t="s">
        <v>38</v>
      </c>
      <c r="E3379" s="15" t="s">
        <v>55</v>
      </c>
      <c r="F3379" s="15" t="s">
        <v>47</v>
      </c>
      <c r="G3379" s="15" t="s">
        <v>57</v>
      </c>
      <c r="H3379" s="15" t="s">
        <v>42</v>
      </c>
      <c r="I3379">
        <v>80</v>
      </c>
      <c r="J3379">
        <v>130</v>
      </c>
      <c r="K3379">
        <v>100</v>
      </c>
      <c r="L3379">
        <v>210</v>
      </c>
      <c r="M3379">
        <v>100</v>
      </c>
      <c r="N3379">
        <v>598</v>
      </c>
      <c r="O3379">
        <v>145</v>
      </c>
      <c r="P3379">
        <v>28</v>
      </c>
      <c r="Q3379">
        <v>145</v>
      </c>
      <c r="R3379">
        <v>243</v>
      </c>
      <c r="S3379">
        <v>1.1571428571428573</v>
      </c>
      <c r="T3379">
        <v>1.45</v>
      </c>
      <c r="U3379">
        <v>1.25</v>
      </c>
    </row>
    <row r="3380" spans="1:21" x14ac:dyDescent="0.35">
      <c r="A3380">
        <v>815</v>
      </c>
      <c r="B3380" s="16">
        <v>40756</v>
      </c>
      <c r="C3380" s="15" t="s">
        <v>37</v>
      </c>
      <c r="D3380" s="15" t="s">
        <v>38</v>
      </c>
      <c r="E3380" s="15" t="s">
        <v>56</v>
      </c>
      <c r="F3380" s="15" t="s">
        <v>47</v>
      </c>
      <c r="G3380" s="15" t="s">
        <v>57</v>
      </c>
      <c r="H3380" s="15" t="s">
        <v>42</v>
      </c>
      <c r="I3380">
        <v>40</v>
      </c>
      <c r="J3380">
        <v>70</v>
      </c>
      <c r="K3380">
        <v>30</v>
      </c>
      <c r="L3380">
        <v>110</v>
      </c>
      <c r="M3380">
        <v>52</v>
      </c>
      <c r="N3380">
        <v>662</v>
      </c>
      <c r="O3380">
        <v>79</v>
      </c>
      <c r="P3380">
        <v>17</v>
      </c>
      <c r="Q3380">
        <v>41</v>
      </c>
      <c r="R3380">
        <v>130</v>
      </c>
      <c r="S3380">
        <v>1.1818181818181819</v>
      </c>
      <c r="T3380">
        <v>1.3666666666666667</v>
      </c>
      <c r="U3380">
        <v>1.3</v>
      </c>
    </row>
    <row r="3381" spans="1:21" x14ac:dyDescent="0.35">
      <c r="A3381">
        <v>224</v>
      </c>
      <c r="B3381" s="16">
        <v>40756</v>
      </c>
      <c r="C3381" s="15" t="s">
        <v>37</v>
      </c>
      <c r="D3381" s="15" t="s">
        <v>38</v>
      </c>
      <c r="E3381" s="15" t="s">
        <v>43</v>
      </c>
      <c r="F3381" s="15" t="s">
        <v>40</v>
      </c>
      <c r="G3381" s="15" t="s">
        <v>57</v>
      </c>
      <c r="H3381" s="15" t="s">
        <v>42</v>
      </c>
      <c r="I3381">
        <v>200</v>
      </c>
      <c r="J3381">
        <v>290</v>
      </c>
      <c r="K3381">
        <v>190</v>
      </c>
      <c r="L3381">
        <v>490</v>
      </c>
      <c r="M3381">
        <v>196</v>
      </c>
      <c r="N3381">
        <v>1167</v>
      </c>
      <c r="O3381">
        <v>271</v>
      </c>
      <c r="P3381">
        <v>64</v>
      </c>
      <c r="Q3381">
        <v>225</v>
      </c>
      <c r="R3381">
        <v>463</v>
      </c>
      <c r="S3381">
        <v>0.94489795918367347</v>
      </c>
      <c r="T3381">
        <v>1.1842105263157894</v>
      </c>
      <c r="U3381">
        <v>0.98</v>
      </c>
    </row>
    <row r="3382" spans="1:21" x14ac:dyDescent="0.35">
      <c r="A3382">
        <v>309</v>
      </c>
      <c r="B3382" s="16">
        <v>40756</v>
      </c>
      <c r="C3382" s="15" t="s">
        <v>37</v>
      </c>
      <c r="D3382" s="15" t="s">
        <v>38</v>
      </c>
      <c r="E3382" s="15" t="s">
        <v>44</v>
      </c>
      <c r="F3382" s="15" t="s">
        <v>40</v>
      </c>
      <c r="G3382" s="15" t="s">
        <v>57</v>
      </c>
      <c r="H3382" s="15" t="s">
        <v>45</v>
      </c>
      <c r="I3382">
        <v>160</v>
      </c>
      <c r="J3382">
        <v>230</v>
      </c>
      <c r="K3382">
        <v>170</v>
      </c>
      <c r="L3382">
        <v>390</v>
      </c>
      <c r="M3382">
        <v>154</v>
      </c>
      <c r="N3382">
        <v>817</v>
      </c>
      <c r="O3382">
        <v>222</v>
      </c>
      <c r="P3382">
        <v>49</v>
      </c>
      <c r="Q3382">
        <v>207</v>
      </c>
      <c r="R3382">
        <v>373</v>
      </c>
      <c r="S3382">
        <v>0.95641025641025645</v>
      </c>
      <c r="T3382">
        <v>1.2176470588235293</v>
      </c>
      <c r="U3382">
        <v>0.96250000000000002</v>
      </c>
    </row>
    <row r="3383" spans="1:21" x14ac:dyDescent="0.35">
      <c r="A3383">
        <v>773</v>
      </c>
      <c r="B3383" s="16">
        <v>40756</v>
      </c>
      <c r="C3383" s="15" t="s">
        <v>37</v>
      </c>
      <c r="D3383" s="15" t="s">
        <v>38</v>
      </c>
      <c r="E3383" s="15" t="s">
        <v>48</v>
      </c>
      <c r="F3383" s="15" t="s">
        <v>49</v>
      </c>
      <c r="G3383" s="15" t="s">
        <v>57</v>
      </c>
      <c r="H3383" s="15" t="s">
        <v>42</v>
      </c>
      <c r="I3383">
        <v>340</v>
      </c>
      <c r="J3383">
        <v>470</v>
      </c>
      <c r="K3383">
        <v>340</v>
      </c>
      <c r="L3383">
        <v>810</v>
      </c>
      <c r="M3383">
        <v>295</v>
      </c>
      <c r="N3383">
        <v>1714</v>
      </c>
      <c r="O3383">
        <v>392</v>
      </c>
      <c r="P3383">
        <v>97</v>
      </c>
      <c r="Q3383">
        <v>362</v>
      </c>
      <c r="R3383">
        <v>681</v>
      </c>
      <c r="S3383">
        <v>0.84074074074074079</v>
      </c>
      <c r="T3383">
        <v>1.0647058823529412</v>
      </c>
      <c r="U3383">
        <v>0.86764705882352944</v>
      </c>
    </row>
    <row r="3384" spans="1:21" x14ac:dyDescent="0.35">
      <c r="A3384">
        <v>847</v>
      </c>
      <c r="B3384" s="16">
        <v>40756</v>
      </c>
      <c r="C3384" s="15" t="s">
        <v>37</v>
      </c>
      <c r="D3384" s="15" t="s">
        <v>38</v>
      </c>
      <c r="E3384" s="15" t="s">
        <v>50</v>
      </c>
      <c r="F3384" s="15" t="s">
        <v>49</v>
      </c>
      <c r="G3384" s="15" t="s">
        <v>57</v>
      </c>
      <c r="H3384" s="15" t="s">
        <v>45</v>
      </c>
      <c r="I3384">
        <v>300</v>
      </c>
      <c r="J3384">
        <v>320</v>
      </c>
      <c r="K3384">
        <v>220</v>
      </c>
      <c r="L3384">
        <v>620</v>
      </c>
      <c r="M3384">
        <v>266</v>
      </c>
      <c r="N3384">
        <v>1797</v>
      </c>
      <c r="O3384">
        <v>266</v>
      </c>
      <c r="P3384">
        <v>74</v>
      </c>
      <c r="Q3384">
        <v>230</v>
      </c>
      <c r="R3384">
        <v>527</v>
      </c>
      <c r="S3384">
        <v>0.85</v>
      </c>
      <c r="T3384">
        <v>1.0454545454545454</v>
      </c>
      <c r="U3384">
        <v>0.88666666666666671</v>
      </c>
    </row>
    <row r="3385" spans="1:21" x14ac:dyDescent="0.35">
      <c r="A3385">
        <v>515</v>
      </c>
      <c r="B3385" s="16">
        <v>40756</v>
      </c>
      <c r="C3385" s="15" t="s">
        <v>37</v>
      </c>
      <c r="D3385" s="15" t="s">
        <v>58</v>
      </c>
      <c r="E3385" s="15" t="s">
        <v>51</v>
      </c>
      <c r="F3385" s="15" t="s">
        <v>52</v>
      </c>
      <c r="G3385" s="15" t="s">
        <v>59</v>
      </c>
      <c r="H3385" s="15" t="s">
        <v>45</v>
      </c>
      <c r="I3385">
        <v>250</v>
      </c>
      <c r="J3385">
        <v>350</v>
      </c>
      <c r="K3385">
        <v>250</v>
      </c>
      <c r="L3385">
        <v>600</v>
      </c>
      <c r="M3385">
        <v>295</v>
      </c>
      <c r="N3385">
        <v>1714</v>
      </c>
      <c r="O3385">
        <v>392</v>
      </c>
      <c r="P3385">
        <v>97</v>
      </c>
      <c r="Q3385">
        <v>362</v>
      </c>
      <c r="R3385">
        <v>681</v>
      </c>
      <c r="S3385">
        <v>1.135</v>
      </c>
      <c r="T3385">
        <v>1.448</v>
      </c>
      <c r="U3385">
        <v>1.18</v>
      </c>
    </row>
    <row r="3386" spans="1:21" x14ac:dyDescent="0.35">
      <c r="A3386">
        <v>515</v>
      </c>
      <c r="B3386" s="16">
        <v>40756</v>
      </c>
      <c r="C3386" s="15" t="s">
        <v>37</v>
      </c>
      <c r="D3386" s="15" t="s">
        <v>58</v>
      </c>
      <c r="E3386" s="15" t="s">
        <v>53</v>
      </c>
      <c r="F3386" s="15" t="s">
        <v>52</v>
      </c>
      <c r="G3386" s="15" t="s">
        <v>59</v>
      </c>
      <c r="H3386" s="15" t="s">
        <v>45</v>
      </c>
      <c r="I3386">
        <v>130</v>
      </c>
      <c r="J3386">
        <v>200</v>
      </c>
      <c r="K3386">
        <v>150</v>
      </c>
      <c r="L3386">
        <v>330</v>
      </c>
      <c r="M3386">
        <v>154</v>
      </c>
      <c r="N3386">
        <v>817</v>
      </c>
      <c r="O3386">
        <v>222</v>
      </c>
      <c r="P3386">
        <v>49</v>
      </c>
      <c r="Q3386">
        <v>208</v>
      </c>
      <c r="R3386">
        <v>373</v>
      </c>
      <c r="S3386">
        <v>1.1303030303030304</v>
      </c>
      <c r="T3386">
        <v>1.3866666666666667</v>
      </c>
      <c r="U3386">
        <v>1.1846153846153846</v>
      </c>
    </row>
    <row r="3387" spans="1:21" x14ac:dyDescent="0.35">
      <c r="A3387">
        <v>319</v>
      </c>
      <c r="B3387" s="16">
        <v>40756</v>
      </c>
      <c r="C3387" s="15" t="s">
        <v>37</v>
      </c>
      <c r="D3387" s="15" t="s">
        <v>58</v>
      </c>
      <c r="E3387" s="15" t="s">
        <v>55</v>
      </c>
      <c r="F3387" s="15" t="s">
        <v>47</v>
      </c>
      <c r="G3387" s="15" t="s">
        <v>59</v>
      </c>
      <c r="H3387" s="15" t="s">
        <v>42</v>
      </c>
      <c r="I3387">
        <v>220</v>
      </c>
      <c r="J3387">
        <v>240</v>
      </c>
      <c r="K3387">
        <v>150</v>
      </c>
      <c r="L3387">
        <v>460</v>
      </c>
      <c r="M3387">
        <v>266</v>
      </c>
      <c r="N3387">
        <v>1797</v>
      </c>
      <c r="O3387">
        <v>266</v>
      </c>
      <c r="P3387">
        <v>74</v>
      </c>
      <c r="Q3387">
        <v>230</v>
      </c>
      <c r="R3387">
        <v>527</v>
      </c>
      <c r="S3387">
        <v>1.1456521739130434</v>
      </c>
      <c r="T3387">
        <v>1.5333333333333334</v>
      </c>
      <c r="U3387">
        <v>1.209090909090909</v>
      </c>
    </row>
    <row r="3388" spans="1:21" x14ac:dyDescent="0.35">
      <c r="A3388">
        <v>515</v>
      </c>
      <c r="B3388" s="16">
        <v>40756</v>
      </c>
      <c r="C3388" s="15" t="s">
        <v>37</v>
      </c>
      <c r="D3388" s="15" t="s">
        <v>58</v>
      </c>
      <c r="E3388" s="15" t="s">
        <v>56</v>
      </c>
      <c r="F3388" s="15" t="s">
        <v>47</v>
      </c>
      <c r="G3388" s="15" t="s">
        <v>59</v>
      </c>
      <c r="H3388" s="15" t="s">
        <v>42</v>
      </c>
      <c r="I3388">
        <v>240</v>
      </c>
      <c r="J3388">
        <v>310</v>
      </c>
      <c r="K3388">
        <v>180</v>
      </c>
      <c r="L3388">
        <v>550</v>
      </c>
      <c r="M3388">
        <v>284</v>
      </c>
      <c r="N3388">
        <v>1809</v>
      </c>
      <c r="O3388">
        <v>348</v>
      </c>
      <c r="P3388">
        <v>107</v>
      </c>
      <c r="Q3388">
        <v>286</v>
      </c>
      <c r="R3388">
        <v>626</v>
      </c>
      <c r="S3388">
        <v>1.1381818181818182</v>
      </c>
      <c r="T3388">
        <v>1.5888888888888888</v>
      </c>
      <c r="U3388">
        <v>1.1833333333333333</v>
      </c>
    </row>
    <row r="3389" spans="1:21" x14ac:dyDescent="0.35">
      <c r="A3389">
        <v>319</v>
      </c>
      <c r="B3389" s="16">
        <v>40756</v>
      </c>
      <c r="C3389" s="15" t="s">
        <v>37</v>
      </c>
      <c r="D3389" s="15" t="s">
        <v>58</v>
      </c>
      <c r="E3389" s="15" t="s">
        <v>39</v>
      </c>
      <c r="F3389" s="15" t="s">
        <v>40</v>
      </c>
      <c r="G3389" s="15" t="s">
        <v>59</v>
      </c>
      <c r="H3389" s="15" t="s">
        <v>42</v>
      </c>
      <c r="I3389">
        <v>20</v>
      </c>
      <c r="J3389">
        <v>40</v>
      </c>
      <c r="K3389">
        <v>30</v>
      </c>
      <c r="L3389">
        <v>60</v>
      </c>
      <c r="M3389">
        <v>25</v>
      </c>
      <c r="N3389">
        <v>851</v>
      </c>
      <c r="O3389">
        <v>38</v>
      </c>
      <c r="P3389">
        <v>7</v>
      </c>
      <c r="Q3389">
        <v>26</v>
      </c>
      <c r="R3389">
        <v>62</v>
      </c>
      <c r="S3389">
        <v>1.0333333333333334</v>
      </c>
      <c r="T3389">
        <v>0.8666666666666667</v>
      </c>
      <c r="U3389">
        <v>1.25</v>
      </c>
    </row>
    <row r="3390" spans="1:21" x14ac:dyDescent="0.35">
      <c r="A3390">
        <v>319</v>
      </c>
      <c r="B3390" s="16">
        <v>40756</v>
      </c>
      <c r="C3390" s="15" t="s">
        <v>37</v>
      </c>
      <c r="D3390" s="15" t="s">
        <v>58</v>
      </c>
      <c r="E3390" s="15" t="s">
        <v>43</v>
      </c>
      <c r="F3390" s="15" t="s">
        <v>40</v>
      </c>
      <c r="G3390" s="15" t="s">
        <v>59</v>
      </c>
      <c r="H3390" s="15" t="s">
        <v>42</v>
      </c>
      <c r="I3390">
        <v>40</v>
      </c>
      <c r="J3390">
        <v>50</v>
      </c>
      <c r="K3390">
        <v>20</v>
      </c>
      <c r="L3390">
        <v>90</v>
      </c>
      <c r="M3390">
        <v>41</v>
      </c>
      <c r="N3390">
        <v>1007</v>
      </c>
      <c r="O3390">
        <v>49</v>
      </c>
      <c r="P3390">
        <v>12</v>
      </c>
      <c r="Q3390">
        <v>21</v>
      </c>
      <c r="R3390">
        <v>89</v>
      </c>
      <c r="S3390">
        <v>0.98888888888888893</v>
      </c>
      <c r="T3390">
        <v>1.05</v>
      </c>
      <c r="U3390">
        <v>1.0249999999999999</v>
      </c>
    </row>
    <row r="3391" spans="1:21" x14ac:dyDescent="0.35">
      <c r="A3391">
        <v>641</v>
      </c>
      <c r="B3391" s="16">
        <v>40756</v>
      </c>
      <c r="C3391" s="15" t="s">
        <v>37</v>
      </c>
      <c r="D3391" s="15" t="s">
        <v>58</v>
      </c>
      <c r="E3391" s="15" t="s">
        <v>44</v>
      </c>
      <c r="F3391" s="15" t="s">
        <v>40</v>
      </c>
      <c r="G3391" s="15" t="s">
        <v>59</v>
      </c>
      <c r="H3391" s="15" t="s">
        <v>45</v>
      </c>
      <c r="I3391">
        <v>10</v>
      </c>
      <c r="J3391">
        <v>20</v>
      </c>
      <c r="K3391">
        <v>10</v>
      </c>
      <c r="L3391">
        <v>30</v>
      </c>
      <c r="M3391">
        <v>14</v>
      </c>
      <c r="N3391">
        <v>602</v>
      </c>
      <c r="O3391">
        <v>18</v>
      </c>
      <c r="P3391">
        <v>4</v>
      </c>
      <c r="Q3391">
        <v>1</v>
      </c>
      <c r="R3391">
        <v>32</v>
      </c>
      <c r="S3391">
        <v>1.0666666666666667</v>
      </c>
      <c r="T3391">
        <v>0.1</v>
      </c>
      <c r="U3391">
        <v>1.4</v>
      </c>
    </row>
    <row r="3392" spans="1:21" x14ac:dyDescent="0.35">
      <c r="A3392">
        <v>563</v>
      </c>
      <c r="B3392" s="16">
        <v>40756</v>
      </c>
      <c r="C3392" s="15" t="s">
        <v>37</v>
      </c>
      <c r="D3392" s="15" t="s">
        <v>58</v>
      </c>
      <c r="E3392" s="15" t="s">
        <v>48</v>
      </c>
      <c r="F3392" s="15" t="s">
        <v>49</v>
      </c>
      <c r="G3392" s="15" t="s">
        <v>59</v>
      </c>
      <c r="H3392" s="15" t="s">
        <v>42</v>
      </c>
      <c r="I3392">
        <v>20</v>
      </c>
      <c r="J3392">
        <v>40</v>
      </c>
      <c r="K3392">
        <v>30</v>
      </c>
      <c r="L3392">
        <v>60</v>
      </c>
      <c r="M3392">
        <v>23</v>
      </c>
      <c r="N3392">
        <v>806</v>
      </c>
      <c r="O3392">
        <v>35</v>
      </c>
      <c r="P3392">
        <v>6</v>
      </c>
      <c r="Q3392">
        <v>25</v>
      </c>
      <c r="R3392">
        <v>57</v>
      </c>
      <c r="S3392">
        <v>0.95</v>
      </c>
      <c r="T3392">
        <v>0.83333333333333337</v>
      </c>
      <c r="U3392">
        <v>1.1499999999999999</v>
      </c>
    </row>
    <row r="3393" spans="1:21" x14ac:dyDescent="0.35">
      <c r="A3393">
        <v>563</v>
      </c>
      <c r="B3393" s="16">
        <v>40756</v>
      </c>
      <c r="C3393" s="15" t="s">
        <v>37</v>
      </c>
      <c r="D3393" s="15" t="s">
        <v>58</v>
      </c>
      <c r="E3393" s="15" t="s">
        <v>50</v>
      </c>
      <c r="F3393" s="15" t="s">
        <v>49</v>
      </c>
      <c r="G3393" s="15" t="s">
        <v>59</v>
      </c>
      <c r="H3393" s="15" t="s">
        <v>45</v>
      </c>
      <c r="I3393">
        <v>0</v>
      </c>
      <c r="J3393">
        <v>50</v>
      </c>
      <c r="K3393">
        <v>40</v>
      </c>
      <c r="L3393">
        <v>50</v>
      </c>
      <c r="M3393">
        <v>0</v>
      </c>
      <c r="N3393">
        <v>516</v>
      </c>
      <c r="O3393">
        <v>43</v>
      </c>
      <c r="P3393">
        <v>0</v>
      </c>
      <c r="Q3393">
        <v>43</v>
      </c>
      <c r="R3393">
        <v>43</v>
      </c>
      <c r="S3393">
        <v>0.86</v>
      </c>
      <c r="T3393">
        <v>1.075</v>
      </c>
    </row>
    <row r="3394" spans="1:21" x14ac:dyDescent="0.35">
      <c r="A3394">
        <v>636</v>
      </c>
      <c r="B3394" s="16">
        <v>40756</v>
      </c>
      <c r="C3394" s="15" t="s">
        <v>37</v>
      </c>
      <c r="D3394" s="15" t="s">
        <v>58</v>
      </c>
      <c r="E3394" s="15" t="s">
        <v>51</v>
      </c>
      <c r="F3394" s="15" t="s">
        <v>52</v>
      </c>
      <c r="G3394" s="15" t="s">
        <v>60</v>
      </c>
      <c r="H3394" s="15" t="s">
        <v>45</v>
      </c>
      <c r="I3394">
        <v>50</v>
      </c>
      <c r="J3394">
        <v>80</v>
      </c>
      <c r="K3394">
        <v>20</v>
      </c>
      <c r="L3394">
        <v>130</v>
      </c>
      <c r="M3394">
        <v>63</v>
      </c>
      <c r="N3394">
        <v>332</v>
      </c>
      <c r="O3394">
        <v>88</v>
      </c>
      <c r="P3394">
        <v>57</v>
      </c>
      <c r="Q3394">
        <v>3</v>
      </c>
      <c r="R3394">
        <v>150</v>
      </c>
      <c r="S3394">
        <v>1.1538461538461537</v>
      </c>
      <c r="T3394">
        <v>0.15</v>
      </c>
      <c r="U3394">
        <v>1.26</v>
      </c>
    </row>
    <row r="3395" spans="1:21" x14ac:dyDescent="0.35">
      <c r="A3395">
        <v>816</v>
      </c>
      <c r="B3395" s="16">
        <v>40756</v>
      </c>
      <c r="C3395" s="15" t="s">
        <v>37</v>
      </c>
      <c r="D3395" s="15" t="s">
        <v>58</v>
      </c>
      <c r="E3395" s="15" t="s">
        <v>53</v>
      </c>
      <c r="F3395" s="15" t="s">
        <v>52</v>
      </c>
      <c r="G3395" s="15" t="s">
        <v>60</v>
      </c>
      <c r="H3395" s="15" t="s">
        <v>45</v>
      </c>
      <c r="I3395">
        <v>100</v>
      </c>
      <c r="J3395">
        <v>20</v>
      </c>
      <c r="K3395">
        <v>-20</v>
      </c>
      <c r="L3395">
        <v>120</v>
      </c>
      <c r="M3395">
        <v>120</v>
      </c>
      <c r="N3395">
        <v>1439</v>
      </c>
      <c r="O3395">
        <v>19</v>
      </c>
      <c r="P3395">
        <v>37</v>
      </c>
      <c r="Q3395">
        <v>-57</v>
      </c>
      <c r="R3395">
        <v>138</v>
      </c>
      <c r="S3395">
        <v>1.1499999999999999</v>
      </c>
      <c r="T3395">
        <v>2.85</v>
      </c>
      <c r="U3395">
        <v>1.2</v>
      </c>
    </row>
    <row r="3396" spans="1:21" x14ac:dyDescent="0.35">
      <c r="A3396">
        <v>573</v>
      </c>
      <c r="B3396" s="16">
        <v>40756</v>
      </c>
      <c r="C3396" s="15" t="s">
        <v>37</v>
      </c>
      <c r="D3396" s="15" t="s">
        <v>58</v>
      </c>
      <c r="E3396" s="15" t="s">
        <v>55</v>
      </c>
      <c r="F3396" s="15" t="s">
        <v>47</v>
      </c>
      <c r="G3396" s="15" t="s">
        <v>60</v>
      </c>
      <c r="H3396" s="15" t="s">
        <v>42</v>
      </c>
      <c r="I3396">
        <v>30</v>
      </c>
      <c r="J3396">
        <v>60</v>
      </c>
      <c r="K3396">
        <v>30</v>
      </c>
      <c r="L3396">
        <v>90</v>
      </c>
      <c r="M3396">
        <v>45</v>
      </c>
      <c r="N3396">
        <v>253</v>
      </c>
      <c r="O3396">
        <v>60</v>
      </c>
      <c r="P3396">
        <v>14</v>
      </c>
      <c r="Q3396">
        <v>26</v>
      </c>
      <c r="R3396">
        <v>104</v>
      </c>
      <c r="S3396">
        <v>1.1555555555555554</v>
      </c>
      <c r="T3396">
        <v>0.8666666666666667</v>
      </c>
      <c r="U3396">
        <v>1.5</v>
      </c>
    </row>
    <row r="3397" spans="1:21" x14ac:dyDescent="0.35">
      <c r="A3397">
        <v>314</v>
      </c>
      <c r="B3397" s="16">
        <v>40756</v>
      </c>
      <c r="C3397" s="15" t="s">
        <v>37</v>
      </c>
      <c r="D3397" s="15" t="s">
        <v>58</v>
      </c>
      <c r="E3397" s="15" t="s">
        <v>56</v>
      </c>
      <c r="F3397" s="15" t="s">
        <v>47</v>
      </c>
      <c r="G3397" s="15" t="s">
        <v>60</v>
      </c>
      <c r="H3397" s="15" t="s">
        <v>42</v>
      </c>
      <c r="I3397">
        <v>20</v>
      </c>
      <c r="J3397">
        <v>30</v>
      </c>
      <c r="K3397">
        <v>-10</v>
      </c>
      <c r="L3397">
        <v>50</v>
      </c>
      <c r="M3397">
        <v>29</v>
      </c>
      <c r="N3397">
        <v>215</v>
      </c>
      <c r="O3397">
        <v>36</v>
      </c>
      <c r="P3397">
        <v>11</v>
      </c>
      <c r="Q3397">
        <v>-12</v>
      </c>
      <c r="R3397">
        <v>64</v>
      </c>
      <c r="S3397">
        <v>1.28</v>
      </c>
      <c r="T3397">
        <v>1.2</v>
      </c>
      <c r="U3397">
        <v>1.45</v>
      </c>
    </row>
    <row r="3398" spans="1:21" x14ac:dyDescent="0.35">
      <c r="A3398">
        <v>573</v>
      </c>
      <c r="B3398" s="16">
        <v>40756</v>
      </c>
      <c r="C3398" s="15" t="s">
        <v>37</v>
      </c>
      <c r="D3398" s="15" t="s">
        <v>58</v>
      </c>
      <c r="E3398" s="15" t="s">
        <v>46</v>
      </c>
      <c r="F3398" s="15" t="s">
        <v>47</v>
      </c>
      <c r="G3398" s="15" t="s">
        <v>60</v>
      </c>
      <c r="H3398" s="15" t="s">
        <v>42</v>
      </c>
      <c r="I3398">
        <v>30</v>
      </c>
      <c r="J3398">
        <v>40</v>
      </c>
      <c r="K3398">
        <v>0</v>
      </c>
      <c r="L3398">
        <v>70</v>
      </c>
      <c r="M3398">
        <v>38</v>
      </c>
      <c r="N3398">
        <v>248</v>
      </c>
      <c r="O3398">
        <v>48</v>
      </c>
      <c r="P3398">
        <v>14</v>
      </c>
      <c r="Q3398">
        <v>1</v>
      </c>
      <c r="R3398">
        <v>85</v>
      </c>
      <c r="S3398">
        <v>1.2142857142857142</v>
      </c>
      <c r="U3398">
        <v>1.2666666666666666</v>
      </c>
    </row>
    <row r="3399" spans="1:21" x14ac:dyDescent="0.35">
      <c r="A3399">
        <v>660</v>
      </c>
      <c r="B3399" s="16">
        <v>40756</v>
      </c>
      <c r="C3399" s="15" t="s">
        <v>37</v>
      </c>
      <c r="D3399" s="15" t="s">
        <v>58</v>
      </c>
      <c r="E3399" s="15" t="s">
        <v>43</v>
      </c>
      <c r="F3399" s="15" t="s">
        <v>40</v>
      </c>
      <c r="G3399" s="15" t="s">
        <v>60</v>
      </c>
      <c r="H3399" s="15" t="s">
        <v>42</v>
      </c>
      <c r="I3399">
        <v>70</v>
      </c>
      <c r="J3399">
        <v>90</v>
      </c>
      <c r="K3399">
        <v>40</v>
      </c>
      <c r="L3399">
        <v>160</v>
      </c>
      <c r="M3399">
        <v>72</v>
      </c>
      <c r="N3399">
        <v>606</v>
      </c>
      <c r="O3399">
        <v>88</v>
      </c>
      <c r="P3399">
        <v>27</v>
      </c>
      <c r="Q3399">
        <v>37</v>
      </c>
      <c r="R3399">
        <v>159</v>
      </c>
      <c r="S3399">
        <v>0.99375000000000002</v>
      </c>
      <c r="T3399">
        <v>0.92500000000000004</v>
      </c>
      <c r="U3399">
        <v>1.0285714285714285</v>
      </c>
    </row>
    <row r="3400" spans="1:21" x14ac:dyDescent="0.35">
      <c r="A3400">
        <v>417</v>
      </c>
      <c r="B3400" s="16">
        <v>40756</v>
      </c>
      <c r="C3400" s="15" t="s">
        <v>37</v>
      </c>
      <c r="D3400" s="15" t="s">
        <v>58</v>
      </c>
      <c r="E3400" s="15" t="s">
        <v>44</v>
      </c>
      <c r="F3400" s="15" t="s">
        <v>40</v>
      </c>
      <c r="G3400" s="15" t="s">
        <v>60</v>
      </c>
      <c r="H3400" s="15" t="s">
        <v>45</v>
      </c>
      <c r="I3400">
        <v>50</v>
      </c>
      <c r="J3400">
        <v>60</v>
      </c>
      <c r="K3400">
        <v>30</v>
      </c>
      <c r="L3400">
        <v>110</v>
      </c>
      <c r="M3400">
        <v>50</v>
      </c>
      <c r="N3400">
        <v>1064</v>
      </c>
      <c r="O3400">
        <v>60</v>
      </c>
      <c r="P3400">
        <v>15</v>
      </c>
      <c r="Q3400">
        <v>33</v>
      </c>
      <c r="R3400">
        <v>109</v>
      </c>
      <c r="S3400">
        <v>0.99090909090909096</v>
      </c>
      <c r="T3400">
        <v>1.1000000000000001</v>
      </c>
      <c r="U3400">
        <v>1</v>
      </c>
    </row>
    <row r="3401" spans="1:21" x14ac:dyDescent="0.35">
      <c r="A3401">
        <v>636</v>
      </c>
      <c r="B3401" s="16">
        <v>40756</v>
      </c>
      <c r="C3401" s="15" t="s">
        <v>37</v>
      </c>
      <c r="D3401" s="15" t="s">
        <v>58</v>
      </c>
      <c r="E3401" s="15" t="s">
        <v>48</v>
      </c>
      <c r="F3401" s="15" t="s">
        <v>49</v>
      </c>
      <c r="G3401" s="15" t="s">
        <v>60</v>
      </c>
      <c r="H3401" s="15" t="s">
        <v>42</v>
      </c>
      <c r="I3401">
        <v>30</v>
      </c>
      <c r="J3401">
        <v>60</v>
      </c>
      <c r="K3401">
        <v>40</v>
      </c>
      <c r="L3401">
        <v>90</v>
      </c>
      <c r="M3401">
        <v>34</v>
      </c>
      <c r="N3401">
        <v>890</v>
      </c>
      <c r="O3401">
        <v>49</v>
      </c>
      <c r="P3401">
        <v>9</v>
      </c>
      <c r="Q3401">
        <v>40</v>
      </c>
      <c r="R3401">
        <v>82</v>
      </c>
      <c r="S3401">
        <v>0.91111111111111109</v>
      </c>
      <c r="T3401">
        <v>1</v>
      </c>
      <c r="U3401">
        <v>1.1333333333333333</v>
      </c>
    </row>
    <row r="3402" spans="1:21" x14ac:dyDescent="0.35">
      <c r="A3402">
        <v>573</v>
      </c>
      <c r="B3402" s="16">
        <v>40756</v>
      </c>
      <c r="C3402" s="15" t="s">
        <v>37</v>
      </c>
      <c r="D3402" s="15" t="s">
        <v>58</v>
      </c>
      <c r="E3402" s="15" t="s">
        <v>50</v>
      </c>
      <c r="F3402" s="15" t="s">
        <v>49</v>
      </c>
      <c r="G3402" s="15" t="s">
        <v>60</v>
      </c>
      <c r="H3402" s="15" t="s">
        <v>45</v>
      </c>
      <c r="I3402">
        <v>30</v>
      </c>
      <c r="J3402">
        <v>60</v>
      </c>
      <c r="K3402">
        <v>50</v>
      </c>
      <c r="L3402">
        <v>90</v>
      </c>
      <c r="M3402">
        <v>32</v>
      </c>
      <c r="N3402">
        <v>841</v>
      </c>
      <c r="O3402">
        <v>48</v>
      </c>
      <c r="P3402">
        <v>8</v>
      </c>
      <c r="Q3402">
        <v>39</v>
      </c>
      <c r="R3402">
        <v>79</v>
      </c>
      <c r="S3402">
        <v>0.87777777777777777</v>
      </c>
      <c r="T3402">
        <v>0.78</v>
      </c>
      <c r="U3402">
        <v>1.0666666666666667</v>
      </c>
    </row>
    <row r="3403" spans="1:21" x14ac:dyDescent="0.35">
      <c r="A3403">
        <v>513</v>
      </c>
      <c r="B3403" s="16">
        <v>40756</v>
      </c>
      <c r="C3403" s="15" t="s">
        <v>37</v>
      </c>
      <c r="D3403" s="15" t="s">
        <v>38</v>
      </c>
      <c r="E3403" s="15" t="s">
        <v>51</v>
      </c>
      <c r="F3403" s="15" t="s">
        <v>52</v>
      </c>
      <c r="G3403" s="15" t="s">
        <v>61</v>
      </c>
      <c r="H3403" s="15" t="s">
        <v>45</v>
      </c>
      <c r="I3403">
        <v>10</v>
      </c>
      <c r="J3403">
        <v>20</v>
      </c>
      <c r="K3403">
        <v>20</v>
      </c>
      <c r="L3403">
        <v>30</v>
      </c>
      <c r="M3403">
        <v>16</v>
      </c>
      <c r="N3403">
        <v>484</v>
      </c>
      <c r="O3403">
        <v>25</v>
      </c>
      <c r="P3403">
        <v>4</v>
      </c>
      <c r="Q3403">
        <v>12</v>
      </c>
      <c r="R3403">
        <v>41</v>
      </c>
      <c r="S3403">
        <v>1.3666666666666667</v>
      </c>
      <c r="T3403">
        <v>0.6</v>
      </c>
      <c r="U3403">
        <v>1.6</v>
      </c>
    </row>
    <row r="3404" spans="1:21" x14ac:dyDescent="0.35">
      <c r="A3404">
        <v>513</v>
      </c>
      <c r="B3404" s="16">
        <v>40756</v>
      </c>
      <c r="C3404" s="15" t="s">
        <v>37</v>
      </c>
      <c r="D3404" s="15" t="s">
        <v>38</v>
      </c>
      <c r="E3404" s="15" t="s">
        <v>53</v>
      </c>
      <c r="F3404" s="15" t="s">
        <v>52</v>
      </c>
      <c r="G3404" s="15" t="s">
        <v>61</v>
      </c>
      <c r="H3404" s="15" t="s">
        <v>45</v>
      </c>
      <c r="I3404">
        <v>10</v>
      </c>
      <c r="J3404">
        <v>30</v>
      </c>
      <c r="K3404">
        <v>30</v>
      </c>
      <c r="L3404">
        <v>40</v>
      </c>
      <c r="M3404">
        <v>22</v>
      </c>
      <c r="N3404">
        <v>865</v>
      </c>
      <c r="O3404">
        <v>33</v>
      </c>
      <c r="P3404">
        <v>6</v>
      </c>
      <c r="Q3404">
        <v>22</v>
      </c>
      <c r="R3404">
        <v>55</v>
      </c>
      <c r="S3404">
        <v>1.375</v>
      </c>
      <c r="T3404">
        <v>0.73333333333333328</v>
      </c>
      <c r="U3404">
        <v>2.2000000000000002</v>
      </c>
    </row>
    <row r="3405" spans="1:21" x14ac:dyDescent="0.35">
      <c r="A3405">
        <v>614</v>
      </c>
      <c r="B3405" s="16">
        <v>40756</v>
      </c>
      <c r="C3405" s="15" t="s">
        <v>37</v>
      </c>
      <c r="D3405" s="15" t="s">
        <v>38</v>
      </c>
      <c r="E3405" s="15" t="s">
        <v>55</v>
      </c>
      <c r="F3405" s="15" t="s">
        <v>47</v>
      </c>
      <c r="G3405" s="15" t="s">
        <v>61</v>
      </c>
      <c r="H3405" s="15" t="s">
        <v>42</v>
      </c>
      <c r="I3405">
        <v>90</v>
      </c>
      <c r="J3405">
        <v>160</v>
      </c>
      <c r="K3405">
        <v>100</v>
      </c>
      <c r="L3405">
        <v>250</v>
      </c>
      <c r="M3405">
        <v>114</v>
      </c>
      <c r="N3405">
        <v>810</v>
      </c>
      <c r="O3405">
        <v>172</v>
      </c>
      <c r="P3405">
        <v>37</v>
      </c>
      <c r="Q3405">
        <v>142</v>
      </c>
      <c r="R3405">
        <v>283</v>
      </c>
      <c r="S3405">
        <v>1.1319999999999999</v>
      </c>
      <c r="T3405">
        <v>1.42</v>
      </c>
      <c r="U3405">
        <v>1.2666666666666666</v>
      </c>
    </row>
    <row r="3406" spans="1:21" x14ac:dyDescent="0.35">
      <c r="A3406">
        <v>419</v>
      </c>
      <c r="B3406" s="16">
        <v>40756</v>
      </c>
      <c r="C3406" s="15" t="s">
        <v>37</v>
      </c>
      <c r="D3406" s="15" t="s">
        <v>38</v>
      </c>
      <c r="E3406" s="15" t="s">
        <v>56</v>
      </c>
      <c r="F3406" s="15" t="s">
        <v>47</v>
      </c>
      <c r="G3406" s="15" t="s">
        <v>61</v>
      </c>
      <c r="H3406" s="15" t="s">
        <v>42</v>
      </c>
      <c r="I3406">
        <v>90</v>
      </c>
      <c r="J3406">
        <v>150</v>
      </c>
      <c r="K3406">
        <v>100</v>
      </c>
      <c r="L3406">
        <v>240</v>
      </c>
      <c r="M3406">
        <v>116</v>
      </c>
      <c r="N3406">
        <v>678</v>
      </c>
      <c r="O3406">
        <v>161</v>
      </c>
      <c r="P3406">
        <v>35</v>
      </c>
      <c r="Q3406">
        <v>142</v>
      </c>
      <c r="R3406">
        <v>275</v>
      </c>
      <c r="S3406">
        <v>1.1458333333333333</v>
      </c>
      <c r="T3406">
        <v>1.42</v>
      </c>
      <c r="U3406">
        <v>1.288888888888889</v>
      </c>
    </row>
    <row r="3407" spans="1:21" x14ac:dyDescent="0.35">
      <c r="A3407">
        <v>216</v>
      </c>
      <c r="B3407" s="16">
        <v>40756</v>
      </c>
      <c r="C3407" s="15" t="s">
        <v>37</v>
      </c>
      <c r="D3407" s="15" t="s">
        <v>38</v>
      </c>
      <c r="E3407" s="15" t="s">
        <v>50</v>
      </c>
      <c r="F3407" s="15" t="s">
        <v>49</v>
      </c>
      <c r="G3407" s="15" t="s">
        <v>61</v>
      </c>
      <c r="H3407" s="15" t="s">
        <v>45</v>
      </c>
      <c r="I3407">
        <v>50</v>
      </c>
      <c r="J3407">
        <v>70</v>
      </c>
      <c r="K3407">
        <v>20</v>
      </c>
      <c r="L3407">
        <v>120</v>
      </c>
      <c r="M3407">
        <v>49</v>
      </c>
      <c r="N3407">
        <v>414</v>
      </c>
      <c r="O3407">
        <v>60</v>
      </c>
      <c r="P3407">
        <v>18</v>
      </c>
      <c r="Q3407">
        <v>11</v>
      </c>
      <c r="R3407">
        <v>108</v>
      </c>
      <c r="S3407">
        <v>0.9</v>
      </c>
      <c r="T3407">
        <v>0.55000000000000004</v>
      </c>
      <c r="U3407">
        <v>0.98</v>
      </c>
    </row>
    <row r="3408" spans="1:21" x14ac:dyDescent="0.35">
      <c r="A3408">
        <v>419</v>
      </c>
      <c r="B3408" s="16">
        <v>40756</v>
      </c>
      <c r="C3408" s="15" t="s">
        <v>37</v>
      </c>
      <c r="D3408" s="15" t="s">
        <v>38</v>
      </c>
      <c r="E3408" s="15" t="s">
        <v>39</v>
      </c>
      <c r="F3408" s="15" t="s">
        <v>40</v>
      </c>
      <c r="G3408" s="15" t="s">
        <v>61</v>
      </c>
      <c r="H3408" s="15" t="s">
        <v>42</v>
      </c>
      <c r="I3408">
        <v>40</v>
      </c>
      <c r="J3408">
        <v>70</v>
      </c>
      <c r="K3408">
        <v>40</v>
      </c>
      <c r="L3408">
        <v>110</v>
      </c>
      <c r="M3408">
        <v>46</v>
      </c>
      <c r="N3408">
        <v>415</v>
      </c>
      <c r="O3408">
        <v>62</v>
      </c>
      <c r="P3408">
        <v>15</v>
      </c>
      <c r="Q3408">
        <v>26</v>
      </c>
      <c r="R3408">
        <v>107</v>
      </c>
      <c r="S3408">
        <v>0.97272727272727277</v>
      </c>
      <c r="T3408">
        <v>0.65</v>
      </c>
      <c r="U3408">
        <v>1.1499999999999999</v>
      </c>
    </row>
    <row r="3409" spans="1:21" x14ac:dyDescent="0.35">
      <c r="A3409">
        <v>330</v>
      </c>
      <c r="B3409" s="16">
        <v>40756</v>
      </c>
      <c r="C3409" s="15" t="s">
        <v>37</v>
      </c>
      <c r="D3409" s="15" t="s">
        <v>38</v>
      </c>
      <c r="E3409" s="15" t="s">
        <v>43</v>
      </c>
      <c r="F3409" s="15" t="s">
        <v>40</v>
      </c>
      <c r="G3409" s="15" t="s">
        <v>61</v>
      </c>
      <c r="H3409" s="15" t="s">
        <v>42</v>
      </c>
      <c r="I3409">
        <v>30</v>
      </c>
      <c r="J3409">
        <v>50</v>
      </c>
      <c r="K3409">
        <v>30</v>
      </c>
      <c r="L3409">
        <v>80</v>
      </c>
      <c r="M3409">
        <v>34</v>
      </c>
      <c r="N3409">
        <v>428</v>
      </c>
      <c r="O3409">
        <v>51</v>
      </c>
      <c r="P3409">
        <v>10</v>
      </c>
      <c r="Q3409">
        <v>26</v>
      </c>
      <c r="R3409">
        <v>84</v>
      </c>
      <c r="S3409">
        <v>1.05</v>
      </c>
      <c r="T3409">
        <v>0.8666666666666667</v>
      </c>
      <c r="U3409">
        <v>1.1333333333333333</v>
      </c>
    </row>
    <row r="3410" spans="1:21" x14ac:dyDescent="0.35">
      <c r="A3410">
        <v>513</v>
      </c>
      <c r="B3410" s="16">
        <v>40756</v>
      </c>
      <c r="C3410" s="15" t="s">
        <v>37</v>
      </c>
      <c r="D3410" s="15" t="s">
        <v>38</v>
      </c>
      <c r="E3410" s="15" t="s">
        <v>44</v>
      </c>
      <c r="F3410" s="15" t="s">
        <v>40</v>
      </c>
      <c r="G3410" s="15" t="s">
        <v>61</v>
      </c>
      <c r="H3410" s="15" t="s">
        <v>45</v>
      </c>
      <c r="I3410">
        <v>30</v>
      </c>
      <c r="J3410">
        <v>60</v>
      </c>
      <c r="K3410">
        <v>10</v>
      </c>
      <c r="L3410">
        <v>90</v>
      </c>
      <c r="M3410">
        <v>37</v>
      </c>
      <c r="N3410">
        <v>513</v>
      </c>
      <c r="O3410">
        <v>52</v>
      </c>
      <c r="P3410">
        <v>33</v>
      </c>
      <c r="Q3410">
        <v>-15</v>
      </c>
      <c r="R3410">
        <v>88</v>
      </c>
      <c r="S3410">
        <v>0.97777777777777775</v>
      </c>
      <c r="T3410">
        <v>-1.5</v>
      </c>
      <c r="U3410">
        <v>1.2333333333333334</v>
      </c>
    </row>
    <row r="3411" spans="1:21" x14ac:dyDescent="0.35">
      <c r="A3411">
        <v>513</v>
      </c>
      <c r="B3411" s="16">
        <v>40756</v>
      </c>
      <c r="C3411" s="15" t="s">
        <v>37</v>
      </c>
      <c r="D3411" s="15" t="s">
        <v>38</v>
      </c>
      <c r="E3411" s="15" t="s">
        <v>48</v>
      </c>
      <c r="F3411" s="15" t="s">
        <v>49</v>
      </c>
      <c r="G3411" s="15" t="s">
        <v>61</v>
      </c>
      <c r="H3411" s="15" t="s">
        <v>42</v>
      </c>
      <c r="I3411">
        <v>160</v>
      </c>
      <c r="J3411">
        <v>180</v>
      </c>
      <c r="K3411">
        <v>120</v>
      </c>
      <c r="L3411">
        <v>340</v>
      </c>
      <c r="M3411">
        <v>145</v>
      </c>
      <c r="N3411">
        <v>1292</v>
      </c>
      <c r="O3411">
        <v>146</v>
      </c>
      <c r="P3411">
        <v>40</v>
      </c>
      <c r="Q3411">
        <v>112</v>
      </c>
      <c r="R3411">
        <v>288</v>
      </c>
      <c r="S3411">
        <v>0.84705882352941175</v>
      </c>
      <c r="T3411">
        <v>0.93333333333333335</v>
      </c>
      <c r="U3411">
        <v>0.90625</v>
      </c>
    </row>
    <row r="3412" spans="1:21" x14ac:dyDescent="0.35">
      <c r="A3412">
        <v>414</v>
      </c>
      <c r="B3412" s="16">
        <v>40756</v>
      </c>
      <c r="C3412" s="15" t="s">
        <v>37</v>
      </c>
      <c r="D3412" s="15" t="s">
        <v>58</v>
      </c>
      <c r="E3412" s="15" t="s">
        <v>51</v>
      </c>
      <c r="F3412" s="15" t="s">
        <v>52</v>
      </c>
      <c r="G3412" s="15" t="s">
        <v>62</v>
      </c>
      <c r="H3412" s="15" t="s">
        <v>45</v>
      </c>
      <c r="I3412">
        <v>40</v>
      </c>
      <c r="J3412">
        <v>70</v>
      </c>
      <c r="K3412">
        <v>50</v>
      </c>
      <c r="L3412">
        <v>110</v>
      </c>
      <c r="M3412">
        <v>47</v>
      </c>
      <c r="N3412">
        <v>366</v>
      </c>
      <c r="O3412">
        <v>79</v>
      </c>
      <c r="P3412">
        <v>14</v>
      </c>
      <c r="Q3412">
        <v>57</v>
      </c>
      <c r="R3412">
        <v>125</v>
      </c>
      <c r="S3412">
        <v>1.1363636363636365</v>
      </c>
      <c r="T3412">
        <v>1.1399999999999999</v>
      </c>
      <c r="U3412">
        <v>1.175</v>
      </c>
    </row>
    <row r="3413" spans="1:21" x14ac:dyDescent="0.35">
      <c r="A3413">
        <v>262</v>
      </c>
      <c r="B3413" s="16">
        <v>40756</v>
      </c>
      <c r="C3413" s="15" t="s">
        <v>37</v>
      </c>
      <c r="D3413" s="15" t="s">
        <v>58</v>
      </c>
      <c r="E3413" s="15" t="s">
        <v>53</v>
      </c>
      <c r="F3413" s="15" t="s">
        <v>52</v>
      </c>
      <c r="G3413" s="15" t="s">
        <v>62</v>
      </c>
      <c r="H3413" s="15" t="s">
        <v>45</v>
      </c>
      <c r="I3413">
        <v>50</v>
      </c>
      <c r="J3413">
        <v>80</v>
      </c>
      <c r="K3413">
        <v>70</v>
      </c>
      <c r="L3413">
        <v>130</v>
      </c>
      <c r="M3413">
        <v>63</v>
      </c>
      <c r="N3413">
        <v>864</v>
      </c>
      <c r="O3413">
        <v>91</v>
      </c>
      <c r="P3413">
        <v>17</v>
      </c>
      <c r="Q3413">
        <v>87</v>
      </c>
      <c r="R3413">
        <v>153</v>
      </c>
      <c r="S3413">
        <v>1.176923076923077</v>
      </c>
      <c r="T3413">
        <v>1.2428571428571429</v>
      </c>
      <c r="U3413">
        <v>1.26</v>
      </c>
    </row>
    <row r="3414" spans="1:21" x14ac:dyDescent="0.35">
      <c r="A3414">
        <v>715</v>
      </c>
      <c r="B3414" s="16">
        <v>40756</v>
      </c>
      <c r="C3414" s="15" t="s">
        <v>37</v>
      </c>
      <c r="D3414" s="15" t="s">
        <v>58</v>
      </c>
      <c r="E3414" s="15" t="s">
        <v>55</v>
      </c>
      <c r="F3414" s="15" t="s">
        <v>47</v>
      </c>
      <c r="G3414" s="15" t="s">
        <v>62</v>
      </c>
      <c r="H3414" s="15" t="s">
        <v>42</v>
      </c>
      <c r="I3414">
        <v>30</v>
      </c>
      <c r="J3414">
        <v>40</v>
      </c>
      <c r="K3414">
        <v>10</v>
      </c>
      <c r="L3414">
        <v>70</v>
      </c>
      <c r="M3414">
        <v>36</v>
      </c>
      <c r="N3414">
        <v>458</v>
      </c>
      <c r="O3414">
        <v>54</v>
      </c>
      <c r="P3414">
        <v>11</v>
      </c>
      <c r="Q3414">
        <v>28</v>
      </c>
      <c r="R3414">
        <v>89</v>
      </c>
      <c r="S3414">
        <v>1.2714285714285714</v>
      </c>
      <c r="T3414">
        <v>2.8</v>
      </c>
      <c r="U3414">
        <v>1.2</v>
      </c>
    </row>
    <row r="3415" spans="1:21" x14ac:dyDescent="0.35">
      <c r="A3415">
        <v>715</v>
      </c>
      <c r="B3415" s="16">
        <v>40756</v>
      </c>
      <c r="C3415" s="15" t="s">
        <v>37</v>
      </c>
      <c r="D3415" s="15" t="s">
        <v>58</v>
      </c>
      <c r="E3415" s="15" t="s">
        <v>56</v>
      </c>
      <c r="F3415" s="15" t="s">
        <v>47</v>
      </c>
      <c r="G3415" s="15" t="s">
        <v>62</v>
      </c>
      <c r="H3415" s="15" t="s">
        <v>42</v>
      </c>
      <c r="I3415">
        <v>30</v>
      </c>
      <c r="J3415">
        <v>60</v>
      </c>
      <c r="K3415">
        <v>10</v>
      </c>
      <c r="L3415">
        <v>90</v>
      </c>
      <c r="M3415">
        <v>44</v>
      </c>
      <c r="N3415">
        <v>617</v>
      </c>
      <c r="O3415">
        <v>61</v>
      </c>
      <c r="P3415">
        <v>39</v>
      </c>
      <c r="Q3415">
        <v>-10</v>
      </c>
      <c r="R3415">
        <v>104</v>
      </c>
      <c r="S3415">
        <v>1.1555555555555554</v>
      </c>
      <c r="T3415">
        <v>-1</v>
      </c>
      <c r="U3415">
        <v>1.4666666666666666</v>
      </c>
    </row>
    <row r="3416" spans="1:21" x14ac:dyDescent="0.35">
      <c r="A3416">
        <v>262</v>
      </c>
      <c r="B3416" s="16">
        <v>40756</v>
      </c>
      <c r="C3416" s="15" t="s">
        <v>37</v>
      </c>
      <c r="D3416" s="15" t="s">
        <v>58</v>
      </c>
      <c r="E3416" s="15" t="s">
        <v>50</v>
      </c>
      <c r="F3416" s="15" t="s">
        <v>49</v>
      </c>
      <c r="G3416" s="15" t="s">
        <v>62</v>
      </c>
      <c r="H3416" s="15" t="s">
        <v>45</v>
      </c>
      <c r="I3416">
        <v>30</v>
      </c>
      <c r="J3416">
        <v>50</v>
      </c>
      <c r="K3416">
        <v>30</v>
      </c>
      <c r="L3416">
        <v>80</v>
      </c>
      <c r="M3416">
        <v>30</v>
      </c>
      <c r="N3416">
        <v>581</v>
      </c>
      <c r="O3416">
        <v>39</v>
      </c>
      <c r="P3416">
        <v>9</v>
      </c>
      <c r="Q3416">
        <v>25</v>
      </c>
      <c r="R3416">
        <v>68</v>
      </c>
      <c r="S3416">
        <v>0.85</v>
      </c>
      <c r="T3416">
        <v>0.83333333333333337</v>
      </c>
      <c r="U3416">
        <v>1</v>
      </c>
    </row>
    <row r="3417" spans="1:21" x14ac:dyDescent="0.35">
      <c r="A3417">
        <v>414</v>
      </c>
      <c r="B3417" s="16">
        <v>40756</v>
      </c>
      <c r="C3417" s="15" t="s">
        <v>37</v>
      </c>
      <c r="D3417" s="15" t="s">
        <v>58</v>
      </c>
      <c r="E3417" s="15" t="s">
        <v>39</v>
      </c>
      <c r="F3417" s="15" t="s">
        <v>40</v>
      </c>
      <c r="G3417" s="15" t="s">
        <v>62</v>
      </c>
      <c r="H3417" s="15" t="s">
        <v>42</v>
      </c>
      <c r="I3417">
        <v>60</v>
      </c>
      <c r="J3417">
        <v>80</v>
      </c>
      <c r="K3417">
        <v>30</v>
      </c>
      <c r="L3417">
        <v>140</v>
      </c>
      <c r="M3417">
        <v>63</v>
      </c>
      <c r="N3417">
        <v>397</v>
      </c>
      <c r="O3417">
        <v>77</v>
      </c>
      <c r="P3417">
        <v>23</v>
      </c>
      <c r="Q3417">
        <v>29</v>
      </c>
      <c r="R3417">
        <v>139</v>
      </c>
      <c r="S3417">
        <v>0.99285714285714288</v>
      </c>
      <c r="T3417">
        <v>0.96666666666666667</v>
      </c>
      <c r="U3417">
        <v>1.05</v>
      </c>
    </row>
    <row r="3418" spans="1:21" x14ac:dyDescent="0.35">
      <c r="A3418">
        <v>920</v>
      </c>
      <c r="B3418" s="16">
        <v>40756</v>
      </c>
      <c r="C3418" s="15" t="s">
        <v>37</v>
      </c>
      <c r="D3418" s="15" t="s">
        <v>58</v>
      </c>
      <c r="E3418" s="15" t="s">
        <v>43</v>
      </c>
      <c r="F3418" s="15" t="s">
        <v>40</v>
      </c>
      <c r="G3418" s="15" t="s">
        <v>62</v>
      </c>
      <c r="H3418" s="15" t="s">
        <v>42</v>
      </c>
      <c r="I3418">
        <v>140</v>
      </c>
      <c r="J3418">
        <v>190</v>
      </c>
      <c r="K3418">
        <v>60</v>
      </c>
      <c r="L3418">
        <v>330</v>
      </c>
      <c r="M3418">
        <v>133</v>
      </c>
      <c r="N3418">
        <v>705</v>
      </c>
      <c r="O3418">
        <v>184</v>
      </c>
      <c r="P3418">
        <v>120</v>
      </c>
      <c r="Q3418">
        <v>48</v>
      </c>
      <c r="R3418">
        <v>314</v>
      </c>
      <c r="S3418">
        <v>0.95151515151515154</v>
      </c>
      <c r="T3418">
        <v>0.8</v>
      </c>
      <c r="U3418">
        <v>0.95</v>
      </c>
    </row>
    <row r="3419" spans="1:21" x14ac:dyDescent="0.35">
      <c r="A3419">
        <v>715</v>
      </c>
      <c r="B3419" s="16">
        <v>40756</v>
      </c>
      <c r="C3419" s="15" t="s">
        <v>37</v>
      </c>
      <c r="D3419" s="15" t="s">
        <v>58</v>
      </c>
      <c r="E3419" s="15" t="s">
        <v>44</v>
      </c>
      <c r="F3419" s="15" t="s">
        <v>40</v>
      </c>
      <c r="G3419" s="15" t="s">
        <v>62</v>
      </c>
      <c r="H3419" s="15" t="s">
        <v>45</v>
      </c>
      <c r="I3419">
        <v>100</v>
      </c>
      <c r="J3419">
        <v>140</v>
      </c>
      <c r="K3419">
        <v>90</v>
      </c>
      <c r="L3419">
        <v>240</v>
      </c>
      <c r="M3419">
        <v>99</v>
      </c>
      <c r="N3419">
        <v>565</v>
      </c>
      <c r="O3419">
        <v>132</v>
      </c>
      <c r="P3419">
        <v>32</v>
      </c>
      <c r="Q3419">
        <v>101</v>
      </c>
      <c r="R3419">
        <v>229</v>
      </c>
      <c r="S3419">
        <v>0.95416666666666672</v>
      </c>
      <c r="T3419">
        <v>1.1222222222222222</v>
      </c>
      <c r="U3419">
        <v>0.99</v>
      </c>
    </row>
    <row r="3420" spans="1:21" x14ac:dyDescent="0.35">
      <c r="A3420">
        <v>715</v>
      </c>
      <c r="B3420" s="16">
        <v>40756</v>
      </c>
      <c r="C3420" s="15" t="s">
        <v>37</v>
      </c>
      <c r="D3420" s="15" t="s">
        <v>58</v>
      </c>
      <c r="E3420" s="15" t="s">
        <v>48</v>
      </c>
      <c r="F3420" s="15" t="s">
        <v>49</v>
      </c>
      <c r="G3420" s="15" t="s">
        <v>62</v>
      </c>
      <c r="H3420" s="15" t="s">
        <v>42</v>
      </c>
      <c r="I3420">
        <v>110</v>
      </c>
      <c r="J3420">
        <v>150</v>
      </c>
      <c r="K3420">
        <v>100</v>
      </c>
      <c r="L3420">
        <v>260</v>
      </c>
      <c r="M3420">
        <v>103</v>
      </c>
      <c r="N3420">
        <v>1073</v>
      </c>
      <c r="O3420">
        <v>123</v>
      </c>
      <c r="P3420">
        <v>31</v>
      </c>
      <c r="Q3420">
        <v>97</v>
      </c>
      <c r="R3420">
        <v>224</v>
      </c>
      <c r="S3420">
        <v>0.86153846153846159</v>
      </c>
      <c r="T3420">
        <v>0.97</v>
      </c>
      <c r="U3420">
        <v>0.9363636363636364</v>
      </c>
    </row>
    <row r="3421" spans="1:21" x14ac:dyDescent="0.35">
      <c r="A3421">
        <v>959</v>
      </c>
      <c r="B3421" s="16">
        <v>40756</v>
      </c>
      <c r="C3421" s="15" t="s">
        <v>63</v>
      </c>
      <c r="D3421" s="15" t="s">
        <v>58</v>
      </c>
      <c r="E3421" s="15" t="s">
        <v>53</v>
      </c>
      <c r="F3421" s="15" t="s">
        <v>52</v>
      </c>
      <c r="G3421" s="15" t="s">
        <v>64</v>
      </c>
      <c r="H3421" s="15" t="s">
        <v>45</v>
      </c>
      <c r="I3421">
        <v>50</v>
      </c>
      <c r="J3421">
        <v>70</v>
      </c>
      <c r="K3421">
        <v>30</v>
      </c>
      <c r="L3421">
        <v>120</v>
      </c>
      <c r="M3421">
        <v>72</v>
      </c>
      <c r="N3421">
        <v>606</v>
      </c>
      <c r="O3421">
        <v>88</v>
      </c>
      <c r="P3421">
        <v>27</v>
      </c>
      <c r="Q3421">
        <v>39</v>
      </c>
      <c r="R3421">
        <v>159</v>
      </c>
      <c r="S3421">
        <v>1.325</v>
      </c>
      <c r="T3421">
        <v>1.3</v>
      </c>
      <c r="U3421">
        <v>1.44</v>
      </c>
    </row>
    <row r="3422" spans="1:21" x14ac:dyDescent="0.35">
      <c r="A3422">
        <v>475</v>
      </c>
      <c r="B3422" s="16">
        <v>40756</v>
      </c>
      <c r="C3422" s="15" t="s">
        <v>63</v>
      </c>
      <c r="D3422" s="15" t="s">
        <v>58</v>
      </c>
      <c r="E3422" s="15" t="s">
        <v>54</v>
      </c>
      <c r="F3422" s="15" t="s">
        <v>52</v>
      </c>
      <c r="G3422" s="15" t="s">
        <v>64</v>
      </c>
      <c r="H3422" s="15" t="s">
        <v>45</v>
      </c>
      <c r="I3422">
        <v>30</v>
      </c>
      <c r="J3422">
        <v>50</v>
      </c>
      <c r="K3422">
        <v>30</v>
      </c>
      <c r="L3422">
        <v>80</v>
      </c>
      <c r="M3422">
        <v>50</v>
      </c>
      <c r="N3422">
        <v>1064</v>
      </c>
      <c r="O3422">
        <v>60</v>
      </c>
      <c r="P3422">
        <v>15</v>
      </c>
      <c r="Q3422">
        <v>33</v>
      </c>
      <c r="R3422">
        <v>109</v>
      </c>
      <c r="S3422">
        <v>1.3625</v>
      </c>
      <c r="T3422">
        <v>1.1000000000000001</v>
      </c>
      <c r="U3422">
        <v>1.6666666666666667</v>
      </c>
    </row>
    <row r="3423" spans="1:21" x14ac:dyDescent="0.35">
      <c r="A3423">
        <v>959</v>
      </c>
      <c r="B3423" s="16">
        <v>40756</v>
      </c>
      <c r="C3423" s="15" t="s">
        <v>63</v>
      </c>
      <c r="D3423" s="15" t="s">
        <v>58</v>
      </c>
      <c r="E3423" s="15" t="s">
        <v>55</v>
      </c>
      <c r="F3423" s="15" t="s">
        <v>47</v>
      </c>
      <c r="G3423" s="15" t="s">
        <v>64</v>
      </c>
      <c r="H3423" s="15" t="s">
        <v>42</v>
      </c>
      <c r="I3423">
        <v>30</v>
      </c>
      <c r="J3423">
        <v>50</v>
      </c>
      <c r="K3423">
        <v>40</v>
      </c>
      <c r="L3423">
        <v>80</v>
      </c>
      <c r="M3423">
        <v>34</v>
      </c>
      <c r="N3423">
        <v>890</v>
      </c>
      <c r="O3423">
        <v>49</v>
      </c>
      <c r="P3423">
        <v>9</v>
      </c>
      <c r="Q3423">
        <v>39</v>
      </c>
      <c r="R3423">
        <v>82</v>
      </c>
      <c r="S3423">
        <v>1.0249999999999999</v>
      </c>
      <c r="T3423">
        <v>0.97499999999999998</v>
      </c>
      <c r="U3423">
        <v>1.1333333333333333</v>
      </c>
    </row>
    <row r="3424" spans="1:21" x14ac:dyDescent="0.35">
      <c r="A3424">
        <v>203</v>
      </c>
      <c r="B3424" s="16">
        <v>40756</v>
      </c>
      <c r="C3424" s="15" t="s">
        <v>63</v>
      </c>
      <c r="D3424" s="15" t="s">
        <v>58</v>
      </c>
      <c r="E3424" s="15" t="s">
        <v>46</v>
      </c>
      <c r="F3424" s="15" t="s">
        <v>47</v>
      </c>
      <c r="G3424" s="15" t="s">
        <v>64</v>
      </c>
      <c r="H3424" s="15" t="s">
        <v>42</v>
      </c>
      <c r="I3424">
        <v>20</v>
      </c>
      <c r="J3424">
        <v>30</v>
      </c>
      <c r="K3424">
        <v>20</v>
      </c>
      <c r="L3424">
        <v>50</v>
      </c>
      <c r="M3424">
        <v>19</v>
      </c>
      <c r="N3424">
        <v>811</v>
      </c>
      <c r="O3424">
        <v>28</v>
      </c>
      <c r="P3424">
        <v>5</v>
      </c>
      <c r="Q3424">
        <v>17</v>
      </c>
      <c r="R3424">
        <v>47</v>
      </c>
      <c r="S3424">
        <v>0.94</v>
      </c>
      <c r="T3424">
        <v>0.85</v>
      </c>
      <c r="U3424">
        <v>0.95</v>
      </c>
    </row>
    <row r="3425" spans="1:21" x14ac:dyDescent="0.35">
      <c r="A3425">
        <v>475</v>
      </c>
      <c r="B3425" s="16">
        <v>40756</v>
      </c>
      <c r="C3425" s="15" t="s">
        <v>63</v>
      </c>
      <c r="D3425" s="15" t="s">
        <v>58</v>
      </c>
      <c r="E3425" s="15" t="s">
        <v>48</v>
      </c>
      <c r="F3425" s="15" t="s">
        <v>49</v>
      </c>
      <c r="G3425" s="15" t="s">
        <v>64</v>
      </c>
      <c r="H3425" s="15" t="s">
        <v>42</v>
      </c>
      <c r="I3425">
        <v>40</v>
      </c>
      <c r="J3425">
        <v>60</v>
      </c>
      <c r="K3425">
        <v>10</v>
      </c>
      <c r="L3425">
        <v>100</v>
      </c>
      <c r="M3425">
        <v>44</v>
      </c>
      <c r="N3425">
        <v>617</v>
      </c>
      <c r="O3425">
        <v>61</v>
      </c>
      <c r="P3425">
        <v>39</v>
      </c>
      <c r="Q3425">
        <v>-11</v>
      </c>
      <c r="R3425">
        <v>104</v>
      </c>
      <c r="S3425">
        <v>1.04</v>
      </c>
      <c r="T3425">
        <v>-1.1000000000000001</v>
      </c>
      <c r="U3425">
        <v>1.1000000000000001</v>
      </c>
    </row>
    <row r="3426" spans="1:21" x14ac:dyDescent="0.35">
      <c r="A3426">
        <v>203</v>
      </c>
      <c r="B3426" s="16">
        <v>40756</v>
      </c>
      <c r="C3426" s="15" t="s">
        <v>63</v>
      </c>
      <c r="D3426" s="15" t="s">
        <v>58</v>
      </c>
      <c r="E3426" s="15" t="s">
        <v>50</v>
      </c>
      <c r="F3426" s="15" t="s">
        <v>49</v>
      </c>
      <c r="G3426" s="15" t="s">
        <v>64</v>
      </c>
      <c r="H3426" s="15" t="s">
        <v>45</v>
      </c>
      <c r="I3426">
        <v>40</v>
      </c>
      <c r="J3426">
        <v>50</v>
      </c>
      <c r="K3426">
        <v>20</v>
      </c>
      <c r="L3426">
        <v>90</v>
      </c>
      <c r="M3426">
        <v>42</v>
      </c>
      <c r="N3426">
        <v>384</v>
      </c>
      <c r="O3426">
        <v>56</v>
      </c>
      <c r="P3426">
        <v>13</v>
      </c>
      <c r="Q3426">
        <v>22</v>
      </c>
      <c r="R3426">
        <v>97</v>
      </c>
      <c r="S3426">
        <v>1.0777777777777777</v>
      </c>
      <c r="T3426">
        <v>1.1000000000000001</v>
      </c>
      <c r="U3426">
        <v>1.05</v>
      </c>
    </row>
    <row r="3427" spans="1:21" x14ac:dyDescent="0.35">
      <c r="A3427">
        <v>203</v>
      </c>
      <c r="B3427" s="16">
        <v>40756</v>
      </c>
      <c r="C3427" s="15" t="s">
        <v>63</v>
      </c>
      <c r="D3427" s="15" t="s">
        <v>58</v>
      </c>
      <c r="E3427" s="15" t="s">
        <v>43</v>
      </c>
      <c r="F3427" s="15" t="s">
        <v>40</v>
      </c>
      <c r="G3427" s="15" t="s">
        <v>64</v>
      </c>
      <c r="H3427" s="15" t="s">
        <v>42</v>
      </c>
      <c r="I3427">
        <v>80</v>
      </c>
      <c r="J3427">
        <v>130</v>
      </c>
      <c r="K3427">
        <v>90</v>
      </c>
      <c r="L3427">
        <v>210</v>
      </c>
      <c r="M3427">
        <v>90</v>
      </c>
      <c r="N3427">
        <v>1139</v>
      </c>
      <c r="O3427">
        <v>135</v>
      </c>
      <c r="P3427">
        <v>29</v>
      </c>
      <c r="Q3427">
        <v>104</v>
      </c>
      <c r="R3427">
        <v>223</v>
      </c>
      <c r="S3427">
        <v>1.0619047619047619</v>
      </c>
      <c r="T3427">
        <v>1.1555555555555554</v>
      </c>
      <c r="U3427">
        <v>1.125</v>
      </c>
    </row>
    <row r="3428" spans="1:21" x14ac:dyDescent="0.35">
      <c r="A3428">
        <v>786</v>
      </c>
      <c r="B3428" s="16">
        <v>40756</v>
      </c>
      <c r="C3428" s="15" t="s">
        <v>63</v>
      </c>
      <c r="D3428" s="15" t="s">
        <v>38</v>
      </c>
      <c r="E3428" s="15" t="s">
        <v>51</v>
      </c>
      <c r="F3428" s="15" t="s">
        <v>52</v>
      </c>
      <c r="G3428" s="15" t="s">
        <v>65</v>
      </c>
      <c r="H3428" s="15" t="s">
        <v>45</v>
      </c>
      <c r="I3428">
        <v>20</v>
      </c>
      <c r="J3428">
        <v>30</v>
      </c>
      <c r="K3428">
        <v>20</v>
      </c>
      <c r="L3428">
        <v>50</v>
      </c>
      <c r="M3428">
        <v>30</v>
      </c>
      <c r="N3428">
        <v>581</v>
      </c>
      <c r="O3428">
        <v>39</v>
      </c>
      <c r="P3428">
        <v>9</v>
      </c>
      <c r="Q3428">
        <v>25</v>
      </c>
      <c r="R3428">
        <v>68</v>
      </c>
      <c r="S3428">
        <v>1.36</v>
      </c>
      <c r="T3428">
        <v>1.25</v>
      </c>
      <c r="U3428">
        <v>1.5</v>
      </c>
    </row>
    <row r="3429" spans="1:21" x14ac:dyDescent="0.35">
      <c r="A3429">
        <v>727</v>
      </c>
      <c r="B3429" s="16">
        <v>40756</v>
      </c>
      <c r="C3429" s="15" t="s">
        <v>63</v>
      </c>
      <c r="D3429" s="15" t="s">
        <v>38</v>
      </c>
      <c r="E3429" s="15" t="s">
        <v>53</v>
      </c>
      <c r="F3429" s="15" t="s">
        <v>52</v>
      </c>
      <c r="G3429" s="15" t="s">
        <v>65</v>
      </c>
      <c r="H3429" s="15" t="s">
        <v>45</v>
      </c>
      <c r="I3429">
        <v>40</v>
      </c>
      <c r="J3429">
        <v>60</v>
      </c>
      <c r="K3429">
        <v>30</v>
      </c>
      <c r="L3429">
        <v>100</v>
      </c>
      <c r="M3429">
        <v>63</v>
      </c>
      <c r="N3429">
        <v>397</v>
      </c>
      <c r="O3429">
        <v>77</v>
      </c>
      <c r="P3429">
        <v>23</v>
      </c>
      <c r="Q3429">
        <v>28</v>
      </c>
      <c r="R3429">
        <v>139</v>
      </c>
      <c r="S3429">
        <v>1.39</v>
      </c>
      <c r="T3429">
        <v>0.93333333333333335</v>
      </c>
      <c r="U3429">
        <v>1.575</v>
      </c>
    </row>
    <row r="3430" spans="1:21" x14ac:dyDescent="0.35">
      <c r="A3430">
        <v>850</v>
      </c>
      <c r="B3430" s="16">
        <v>40756</v>
      </c>
      <c r="C3430" s="15" t="s">
        <v>63</v>
      </c>
      <c r="D3430" s="15" t="s">
        <v>38</v>
      </c>
      <c r="E3430" s="15" t="s">
        <v>54</v>
      </c>
      <c r="F3430" s="15" t="s">
        <v>52</v>
      </c>
      <c r="G3430" s="15" t="s">
        <v>65</v>
      </c>
      <c r="H3430" s="15" t="s">
        <v>45</v>
      </c>
      <c r="I3430">
        <v>70</v>
      </c>
      <c r="J3430">
        <v>100</v>
      </c>
      <c r="K3430">
        <v>70</v>
      </c>
      <c r="L3430">
        <v>170</v>
      </c>
      <c r="M3430">
        <v>103</v>
      </c>
      <c r="N3430">
        <v>1073</v>
      </c>
      <c r="O3430">
        <v>123</v>
      </c>
      <c r="P3430">
        <v>31</v>
      </c>
      <c r="Q3430">
        <v>97</v>
      </c>
      <c r="R3430">
        <v>224</v>
      </c>
      <c r="S3430">
        <v>1.3176470588235294</v>
      </c>
      <c r="T3430">
        <v>1.3857142857142857</v>
      </c>
      <c r="U3430">
        <v>1.4714285714285715</v>
      </c>
    </row>
    <row r="3431" spans="1:21" x14ac:dyDescent="0.35">
      <c r="A3431">
        <v>954</v>
      </c>
      <c r="B3431" s="16">
        <v>40756</v>
      </c>
      <c r="C3431" s="15" t="s">
        <v>63</v>
      </c>
      <c r="D3431" s="15" t="s">
        <v>38</v>
      </c>
      <c r="E3431" s="15" t="s">
        <v>55</v>
      </c>
      <c r="F3431" s="15" t="s">
        <v>47</v>
      </c>
      <c r="G3431" s="15" t="s">
        <v>65</v>
      </c>
      <c r="H3431" s="15" t="s">
        <v>42</v>
      </c>
      <c r="I3431">
        <v>40</v>
      </c>
      <c r="J3431">
        <v>80</v>
      </c>
      <c r="K3431">
        <v>60</v>
      </c>
      <c r="L3431">
        <v>120</v>
      </c>
      <c r="M3431">
        <v>46</v>
      </c>
      <c r="N3431">
        <v>880</v>
      </c>
      <c r="O3431">
        <v>68</v>
      </c>
      <c r="P3431">
        <v>12</v>
      </c>
      <c r="Q3431">
        <v>61</v>
      </c>
      <c r="R3431">
        <v>113</v>
      </c>
      <c r="S3431">
        <v>0.94166666666666665</v>
      </c>
      <c r="T3431">
        <v>1.0166666666666666</v>
      </c>
      <c r="U3431">
        <v>1.1499999999999999</v>
      </c>
    </row>
    <row r="3432" spans="1:21" x14ac:dyDescent="0.35">
      <c r="A3432">
        <v>904</v>
      </c>
      <c r="B3432" s="16">
        <v>40756</v>
      </c>
      <c r="C3432" s="15" t="s">
        <v>63</v>
      </c>
      <c r="D3432" s="15" t="s">
        <v>38</v>
      </c>
      <c r="E3432" s="15" t="s">
        <v>46</v>
      </c>
      <c r="F3432" s="15" t="s">
        <v>47</v>
      </c>
      <c r="G3432" s="15" t="s">
        <v>65</v>
      </c>
      <c r="H3432" s="15" t="s">
        <v>42</v>
      </c>
      <c r="I3432">
        <v>60</v>
      </c>
      <c r="J3432">
        <v>100</v>
      </c>
      <c r="K3432">
        <v>80</v>
      </c>
      <c r="L3432">
        <v>160</v>
      </c>
      <c r="M3432">
        <v>63</v>
      </c>
      <c r="N3432">
        <v>864</v>
      </c>
      <c r="O3432">
        <v>91</v>
      </c>
      <c r="P3432">
        <v>17</v>
      </c>
      <c r="Q3432">
        <v>87</v>
      </c>
      <c r="R3432">
        <v>153</v>
      </c>
      <c r="S3432">
        <v>0.95625000000000004</v>
      </c>
      <c r="T3432">
        <v>1.0874999999999999</v>
      </c>
      <c r="U3432">
        <v>1.05</v>
      </c>
    </row>
    <row r="3433" spans="1:21" x14ac:dyDescent="0.35">
      <c r="A3433">
        <v>941</v>
      </c>
      <c r="B3433" s="16">
        <v>40756</v>
      </c>
      <c r="C3433" s="15" t="s">
        <v>63</v>
      </c>
      <c r="D3433" s="15" t="s">
        <v>38</v>
      </c>
      <c r="E3433" s="15" t="s">
        <v>48</v>
      </c>
      <c r="F3433" s="15" t="s">
        <v>49</v>
      </c>
      <c r="G3433" s="15" t="s">
        <v>65</v>
      </c>
      <c r="H3433" s="15" t="s">
        <v>42</v>
      </c>
      <c r="I3433">
        <v>120</v>
      </c>
      <c r="J3433">
        <v>190</v>
      </c>
      <c r="K3433">
        <v>60</v>
      </c>
      <c r="L3433">
        <v>310</v>
      </c>
      <c r="M3433">
        <v>133</v>
      </c>
      <c r="N3433">
        <v>705</v>
      </c>
      <c r="O3433">
        <v>184</v>
      </c>
      <c r="P3433">
        <v>120</v>
      </c>
      <c r="Q3433">
        <v>48</v>
      </c>
      <c r="R3433">
        <v>314</v>
      </c>
      <c r="S3433">
        <v>1.0129032258064516</v>
      </c>
      <c r="T3433">
        <v>0.8</v>
      </c>
      <c r="U3433">
        <v>1.1083333333333334</v>
      </c>
    </row>
    <row r="3434" spans="1:21" x14ac:dyDescent="0.35">
      <c r="A3434">
        <v>904</v>
      </c>
      <c r="B3434" s="16">
        <v>40756</v>
      </c>
      <c r="C3434" s="15" t="s">
        <v>63</v>
      </c>
      <c r="D3434" s="15" t="s">
        <v>38</v>
      </c>
      <c r="E3434" s="15" t="s">
        <v>50</v>
      </c>
      <c r="F3434" s="15" t="s">
        <v>49</v>
      </c>
      <c r="G3434" s="15" t="s">
        <v>65</v>
      </c>
      <c r="H3434" s="15" t="s">
        <v>45</v>
      </c>
      <c r="I3434">
        <v>90</v>
      </c>
      <c r="J3434">
        <v>130</v>
      </c>
      <c r="K3434">
        <v>80</v>
      </c>
      <c r="L3434">
        <v>220</v>
      </c>
      <c r="M3434">
        <v>99</v>
      </c>
      <c r="N3434">
        <v>565</v>
      </c>
      <c r="O3434">
        <v>132</v>
      </c>
      <c r="P3434">
        <v>32</v>
      </c>
      <c r="Q3434">
        <v>101</v>
      </c>
      <c r="R3434">
        <v>229</v>
      </c>
      <c r="S3434">
        <v>1.040909090909091</v>
      </c>
      <c r="T3434">
        <v>1.2625</v>
      </c>
      <c r="U3434">
        <v>1.1000000000000001</v>
      </c>
    </row>
    <row r="3435" spans="1:21" x14ac:dyDescent="0.35">
      <c r="A3435">
        <v>954</v>
      </c>
      <c r="B3435" s="16">
        <v>40756</v>
      </c>
      <c r="C3435" s="15" t="s">
        <v>63</v>
      </c>
      <c r="D3435" s="15" t="s">
        <v>38</v>
      </c>
      <c r="E3435" s="15" t="s">
        <v>43</v>
      </c>
      <c r="F3435" s="15" t="s">
        <v>40</v>
      </c>
      <c r="G3435" s="15" t="s">
        <v>65</v>
      </c>
      <c r="H3435" s="15" t="s">
        <v>42</v>
      </c>
      <c r="I3435">
        <v>100</v>
      </c>
      <c r="J3435">
        <v>170</v>
      </c>
      <c r="K3435">
        <v>120</v>
      </c>
      <c r="L3435">
        <v>270</v>
      </c>
      <c r="M3435">
        <v>114</v>
      </c>
      <c r="N3435">
        <v>810</v>
      </c>
      <c r="O3435">
        <v>172</v>
      </c>
      <c r="P3435">
        <v>37</v>
      </c>
      <c r="Q3435">
        <v>144</v>
      </c>
      <c r="R3435">
        <v>283</v>
      </c>
      <c r="S3435">
        <v>1.0481481481481481</v>
      </c>
      <c r="T3435">
        <v>1.2</v>
      </c>
      <c r="U3435">
        <v>1.1399999999999999</v>
      </c>
    </row>
    <row r="3436" spans="1:21" x14ac:dyDescent="0.35">
      <c r="A3436">
        <v>561</v>
      </c>
      <c r="B3436" s="16">
        <v>40756</v>
      </c>
      <c r="C3436" s="15" t="s">
        <v>63</v>
      </c>
      <c r="D3436" s="15" t="s">
        <v>38</v>
      </c>
      <c r="E3436" s="15" t="s">
        <v>44</v>
      </c>
      <c r="F3436" s="15" t="s">
        <v>40</v>
      </c>
      <c r="G3436" s="15" t="s">
        <v>65</v>
      </c>
      <c r="H3436" s="15" t="s">
        <v>45</v>
      </c>
      <c r="I3436">
        <v>110</v>
      </c>
      <c r="J3436">
        <v>150</v>
      </c>
      <c r="K3436">
        <v>100</v>
      </c>
      <c r="L3436">
        <v>260</v>
      </c>
      <c r="M3436">
        <v>116</v>
      </c>
      <c r="N3436">
        <v>678</v>
      </c>
      <c r="O3436">
        <v>161</v>
      </c>
      <c r="P3436">
        <v>35</v>
      </c>
      <c r="Q3436">
        <v>141</v>
      </c>
      <c r="R3436">
        <v>275</v>
      </c>
      <c r="S3436">
        <v>1.0576923076923077</v>
      </c>
      <c r="T3436">
        <v>1.41</v>
      </c>
      <c r="U3436">
        <v>1.0545454545454545</v>
      </c>
    </row>
    <row r="3437" spans="1:21" x14ac:dyDescent="0.35">
      <c r="A3437">
        <v>978</v>
      </c>
      <c r="B3437" s="16">
        <v>40756</v>
      </c>
      <c r="C3437" s="15" t="s">
        <v>63</v>
      </c>
      <c r="D3437" s="15" t="s">
        <v>38</v>
      </c>
      <c r="E3437" s="15" t="s">
        <v>53</v>
      </c>
      <c r="F3437" s="15" t="s">
        <v>52</v>
      </c>
      <c r="G3437" s="15" t="s">
        <v>66</v>
      </c>
      <c r="H3437" s="15" t="s">
        <v>45</v>
      </c>
      <c r="I3437">
        <v>30</v>
      </c>
      <c r="J3437">
        <v>50</v>
      </c>
      <c r="K3437">
        <v>20</v>
      </c>
      <c r="L3437">
        <v>80</v>
      </c>
      <c r="M3437">
        <v>49</v>
      </c>
      <c r="N3437">
        <v>414</v>
      </c>
      <c r="O3437">
        <v>60</v>
      </c>
      <c r="P3437">
        <v>18</v>
      </c>
      <c r="Q3437">
        <v>12</v>
      </c>
      <c r="R3437">
        <v>108</v>
      </c>
      <c r="S3437">
        <v>1.35</v>
      </c>
      <c r="T3437">
        <v>0.6</v>
      </c>
      <c r="U3437">
        <v>1.6333333333333333</v>
      </c>
    </row>
    <row r="3438" spans="1:21" x14ac:dyDescent="0.35">
      <c r="A3438">
        <v>508</v>
      </c>
      <c r="B3438" s="16">
        <v>40756</v>
      </c>
      <c r="C3438" s="15" t="s">
        <v>63</v>
      </c>
      <c r="D3438" s="15" t="s">
        <v>38</v>
      </c>
      <c r="E3438" s="15" t="s">
        <v>55</v>
      </c>
      <c r="F3438" s="15" t="s">
        <v>47</v>
      </c>
      <c r="G3438" s="15" t="s">
        <v>66</v>
      </c>
      <c r="H3438" s="15" t="s">
        <v>42</v>
      </c>
      <c r="I3438">
        <v>20</v>
      </c>
      <c r="J3438">
        <v>30</v>
      </c>
      <c r="K3438">
        <v>20</v>
      </c>
      <c r="L3438">
        <v>50</v>
      </c>
      <c r="M3438">
        <v>22</v>
      </c>
      <c r="N3438">
        <v>865</v>
      </c>
      <c r="O3438">
        <v>33</v>
      </c>
      <c r="P3438">
        <v>6</v>
      </c>
      <c r="Q3438">
        <v>22</v>
      </c>
      <c r="R3438">
        <v>55</v>
      </c>
      <c r="S3438">
        <v>1.1000000000000001</v>
      </c>
      <c r="T3438">
        <v>1.1000000000000001</v>
      </c>
      <c r="U3438">
        <v>1.1000000000000001</v>
      </c>
    </row>
    <row r="3439" spans="1:21" x14ac:dyDescent="0.35">
      <c r="A3439">
        <v>781</v>
      </c>
      <c r="B3439" s="16">
        <v>40756</v>
      </c>
      <c r="C3439" s="15" t="s">
        <v>63</v>
      </c>
      <c r="D3439" s="15" t="s">
        <v>38</v>
      </c>
      <c r="E3439" s="15" t="s">
        <v>46</v>
      </c>
      <c r="F3439" s="15" t="s">
        <v>47</v>
      </c>
      <c r="G3439" s="15" t="s">
        <v>66</v>
      </c>
      <c r="H3439" s="15" t="s">
        <v>42</v>
      </c>
      <c r="I3439">
        <v>10</v>
      </c>
      <c r="J3439">
        <v>30</v>
      </c>
      <c r="K3439">
        <v>20</v>
      </c>
      <c r="L3439">
        <v>40</v>
      </c>
      <c r="M3439">
        <v>16</v>
      </c>
      <c r="N3439">
        <v>484</v>
      </c>
      <c r="O3439">
        <v>25</v>
      </c>
      <c r="P3439">
        <v>4</v>
      </c>
      <c r="Q3439">
        <v>12</v>
      </c>
      <c r="R3439">
        <v>41</v>
      </c>
      <c r="S3439">
        <v>1.0249999999999999</v>
      </c>
      <c r="T3439">
        <v>0.6</v>
      </c>
      <c r="U3439">
        <v>1.6</v>
      </c>
    </row>
    <row r="3440" spans="1:21" x14ac:dyDescent="0.35">
      <c r="A3440">
        <v>339</v>
      </c>
      <c r="B3440" s="16">
        <v>40756</v>
      </c>
      <c r="C3440" s="15" t="s">
        <v>63</v>
      </c>
      <c r="D3440" s="15" t="s">
        <v>38</v>
      </c>
      <c r="E3440" s="15" t="s">
        <v>48</v>
      </c>
      <c r="F3440" s="15" t="s">
        <v>49</v>
      </c>
      <c r="G3440" s="15" t="s">
        <v>66</v>
      </c>
      <c r="H3440" s="15" t="s">
        <v>42</v>
      </c>
      <c r="I3440">
        <v>30</v>
      </c>
      <c r="J3440">
        <v>70</v>
      </c>
      <c r="K3440">
        <v>20</v>
      </c>
      <c r="L3440">
        <v>100</v>
      </c>
      <c r="M3440">
        <v>37</v>
      </c>
      <c r="N3440">
        <v>540</v>
      </c>
      <c r="O3440">
        <v>68</v>
      </c>
      <c r="P3440">
        <v>33</v>
      </c>
      <c r="Q3440">
        <v>8</v>
      </c>
      <c r="R3440">
        <v>104</v>
      </c>
      <c r="S3440">
        <v>1.04</v>
      </c>
      <c r="T3440">
        <v>0.4</v>
      </c>
      <c r="U3440">
        <v>1.2333333333333334</v>
      </c>
    </row>
    <row r="3441" spans="1:21" x14ac:dyDescent="0.35">
      <c r="A3441">
        <v>857</v>
      </c>
      <c r="B3441" s="16">
        <v>40756</v>
      </c>
      <c r="C3441" s="15" t="s">
        <v>63</v>
      </c>
      <c r="D3441" s="15" t="s">
        <v>38</v>
      </c>
      <c r="E3441" s="15" t="s">
        <v>67</v>
      </c>
      <c r="F3441" s="15" t="s">
        <v>49</v>
      </c>
      <c r="G3441" s="15" t="s">
        <v>66</v>
      </c>
      <c r="H3441" s="15" t="s">
        <v>42</v>
      </c>
      <c r="I3441">
        <v>130</v>
      </c>
      <c r="J3441">
        <v>150</v>
      </c>
      <c r="K3441">
        <v>100</v>
      </c>
      <c r="L3441">
        <v>280</v>
      </c>
      <c r="M3441">
        <v>145</v>
      </c>
      <c r="N3441">
        <v>1292</v>
      </c>
      <c r="O3441">
        <v>146</v>
      </c>
      <c r="P3441">
        <v>40</v>
      </c>
      <c r="Q3441">
        <v>113</v>
      </c>
      <c r="R3441">
        <v>288</v>
      </c>
      <c r="S3441">
        <v>1.0285714285714285</v>
      </c>
      <c r="T3441">
        <v>1.1299999999999999</v>
      </c>
      <c r="U3441">
        <v>1.1153846153846154</v>
      </c>
    </row>
    <row r="3442" spans="1:21" x14ac:dyDescent="0.35">
      <c r="A3442">
        <v>617</v>
      </c>
      <c r="B3442" s="16">
        <v>40756</v>
      </c>
      <c r="C3442" s="15" t="s">
        <v>63</v>
      </c>
      <c r="D3442" s="15" t="s">
        <v>38</v>
      </c>
      <c r="E3442" s="15" t="s">
        <v>43</v>
      </c>
      <c r="F3442" s="15" t="s">
        <v>40</v>
      </c>
      <c r="G3442" s="15" t="s">
        <v>66</v>
      </c>
      <c r="H3442" s="15" t="s">
        <v>42</v>
      </c>
      <c r="I3442">
        <v>40</v>
      </c>
      <c r="J3442">
        <v>590</v>
      </c>
      <c r="K3442">
        <v>560</v>
      </c>
      <c r="L3442">
        <v>630</v>
      </c>
      <c r="M3442">
        <v>52</v>
      </c>
      <c r="N3442">
        <v>-2033</v>
      </c>
      <c r="O3442">
        <v>612</v>
      </c>
      <c r="P3442">
        <v>17</v>
      </c>
      <c r="Q3442">
        <v>777</v>
      </c>
      <c r="R3442">
        <v>658</v>
      </c>
      <c r="S3442">
        <v>1.0444444444444445</v>
      </c>
      <c r="T3442">
        <v>1.3875</v>
      </c>
      <c r="U3442">
        <v>1.3</v>
      </c>
    </row>
    <row r="3443" spans="1:21" x14ac:dyDescent="0.35">
      <c r="A3443">
        <v>603</v>
      </c>
      <c r="B3443" s="16">
        <v>40756</v>
      </c>
      <c r="C3443" s="15" t="s">
        <v>63</v>
      </c>
      <c r="D3443" s="15" t="s">
        <v>58</v>
      </c>
      <c r="E3443" s="15" t="s">
        <v>53</v>
      </c>
      <c r="F3443" s="15" t="s">
        <v>52</v>
      </c>
      <c r="G3443" s="15" t="s">
        <v>68</v>
      </c>
      <c r="H3443" s="15" t="s">
        <v>45</v>
      </c>
      <c r="I3443">
        <v>20</v>
      </c>
      <c r="J3443">
        <v>40</v>
      </c>
      <c r="K3443">
        <v>10</v>
      </c>
      <c r="L3443">
        <v>60</v>
      </c>
      <c r="M3443">
        <v>38</v>
      </c>
      <c r="N3443">
        <v>248</v>
      </c>
      <c r="O3443">
        <v>48</v>
      </c>
      <c r="P3443">
        <v>14</v>
      </c>
      <c r="Q3443">
        <v>1</v>
      </c>
      <c r="R3443">
        <v>85</v>
      </c>
      <c r="S3443">
        <v>1.4166666666666667</v>
      </c>
      <c r="T3443">
        <v>0.1</v>
      </c>
      <c r="U3443">
        <v>1.9</v>
      </c>
    </row>
    <row r="3444" spans="1:21" x14ac:dyDescent="0.35">
      <c r="A3444">
        <v>603</v>
      </c>
      <c r="B3444" s="16">
        <v>40756</v>
      </c>
      <c r="C3444" s="15" t="s">
        <v>63</v>
      </c>
      <c r="D3444" s="15" t="s">
        <v>58</v>
      </c>
      <c r="E3444" s="15" t="s">
        <v>55</v>
      </c>
      <c r="F3444" s="15" t="s">
        <v>47</v>
      </c>
      <c r="G3444" s="15" t="s">
        <v>68</v>
      </c>
      <c r="H3444" s="15" t="s">
        <v>42</v>
      </c>
      <c r="I3444">
        <v>20</v>
      </c>
      <c r="J3444">
        <v>40</v>
      </c>
      <c r="K3444">
        <v>30</v>
      </c>
      <c r="L3444">
        <v>60</v>
      </c>
      <c r="M3444">
        <v>25</v>
      </c>
      <c r="N3444">
        <v>851</v>
      </c>
      <c r="O3444">
        <v>38</v>
      </c>
      <c r="P3444">
        <v>7</v>
      </c>
      <c r="Q3444">
        <v>28</v>
      </c>
      <c r="R3444">
        <v>62</v>
      </c>
      <c r="S3444">
        <v>1.0333333333333334</v>
      </c>
      <c r="T3444">
        <v>0.93333333333333335</v>
      </c>
      <c r="U3444">
        <v>1.25</v>
      </c>
    </row>
    <row r="3445" spans="1:21" x14ac:dyDescent="0.35">
      <c r="A3445">
        <v>603</v>
      </c>
      <c r="B3445" s="16">
        <v>40756</v>
      </c>
      <c r="C3445" s="15" t="s">
        <v>63</v>
      </c>
      <c r="D3445" s="15" t="s">
        <v>58</v>
      </c>
      <c r="E3445" s="15" t="s">
        <v>46</v>
      </c>
      <c r="F3445" s="15" t="s">
        <v>47</v>
      </c>
      <c r="G3445" s="15" t="s">
        <v>68</v>
      </c>
      <c r="H3445" s="15" t="s">
        <v>42</v>
      </c>
      <c r="I3445">
        <v>0</v>
      </c>
      <c r="J3445">
        <v>40</v>
      </c>
      <c r="K3445">
        <v>30</v>
      </c>
      <c r="L3445">
        <v>40</v>
      </c>
      <c r="M3445">
        <v>0</v>
      </c>
      <c r="N3445">
        <v>516</v>
      </c>
      <c r="O3445">
        <v>43</v>
      </c>
      <c r="P3445">
        <v>0</v>
      </c>
      <c r="Q3445">
        <v>43</v>
      </c>
      <c r="R3445">
        <v>43</v>
      </c>
      <c r="S3445">
        <v>1.075</v>
      </c>
      <c r="T3445">
        <v>1.4333333333333333</v>
      </c>
    </row>
    <row r="3446" spans="1:21" x14ac:dyDescent="0.35">
      <c r="A3446">
        <v>603</v>
      </c>
      <c r="B3446" s="16">
        <v>40756</v>
      </c>
      <c r="C3446" s="15" t="s">
        <v>63</v>
      </c>
      <c r="D3446" s="15" t="s">
        <v>58</v>
      </c>
      <c r="E3446" s="15" t="s">
        <v>48</v>
      </c>
      <c r="F3446" s="15" t="s">
        <v>49</v>
      </c>
      <c r="G3446" s="15" t="s">
        <v>68</v>
      </c>
      <c r="H3446" s="15" t="s">
        <v>42</v>
      </c>
      <c r="I3446">
        <v>60</v>
      </c>
      <c r="J3446">
        <v>80</v>
      </c>
      <c r="K3446">
        <v>10</v>
      </c>
      <c r="L3446">
        <v>140</v>
      </c>
      <c r="M3446">
        <v>63</v>
      </c>
      <c r="N3446">
        <v>332</v>
      </c>
      <c r="O3446">
        <v>88</v>
      </c>
      <c r="P3446">
        <v>57</v>
      </c>
      <c r="Q3446">
        <v>1</v>
      </c>
      <c r="R3446">
        <v>150</v>
      </c>
      <c r="S3446">
        <v>1.0714285714285714</v>
      </c>
      <c r="T3446">
        <v>0.1</v>
      </c>
      <c r="U3446">
        <v>1.05</v>
      </c>
    </row>
    <row r="3447" spans="1:21" x14ac:dyDescent="0.35">
      <c r="A3447">
        <v>603</v>
      </c>
      <c r="B3447" s="16">
        <v>40756</v>
      </c>
      <c r="C3447" s="15" t="s">
        <v>63</v>
      </c>
      <c r="D3447" s="15" t="s">
        <v>58</v>
      </c>
      <c r="E3447" s="15" t="s">
        <v>67</v>
      </c>
      <c r="F3447" s="15" t="s">
        <v>49</v>
      </c>
      <c r="G3447" s="15" t="s">
        <v>68</v>
      </c>
      <c r="H3447" s="15" t="s">
        <v>42</v>
      </c>
      <c r="I3447">
        <v>20</v>
      </c>
      <c r="J3447">
        <v>40</v>
      </c>
      <c r="K3447">
        <v>0</v>
      </c>
      <c r="L3447">
        <v>60</v>
      </c>
      <c r="M3447">
        <v>29</v>
      </c>
      <c r="N3447">
        <v>215</v>
      </c>
      <c r="O3447">
        <v>36</v>
      </c>
      <c r="P3447">
        <v>11</v>
      </c>
      <c r="Q3447">
        <v>-12</v>
      </c>
      <c r="R3447">
        <v>64</v>
      </c>
      <c r="S3447">
        <v>1.0666666666666667</v>
      </c>
      <c r="U3447">
        <v>1.45</v>
      </c>
    </row>
    <row r="3448" spans="1:21" x14ac:dyDescent="0.35">
      <c r="A3448">
        <v>603</v>
      </c>
      <c r="B3448" s="16">
        <v>40756</v>
      </c>
      <c r="C3448" s="15" t="s">
        <v>63</v>
      </c>
      <c r="D3448" s="15" t="s">
        <v>58</v>
      </c>
      <c r="E3448" s="15" t="s">
        <v>39</v>
      </c>
      <c r="F3448" s="15" t="s">
        <v>40</v>
      </c>
      <c r="G3448" s="15" t="s">
        <v>68</v>
      </c>
      <c r="H3448" s="15" t="s">
        <v>42</v>
      </c>
      <c r="I3448">
        <v>50</v>
      </c>
      <c r="J3448">
        <v>90</v>
      </c>
      <c r="K3448">
        <v>70</v>
      </c>
      <c r="L3448">
        <v>140</v>
      </c>
      <c r="M3448">
        <v>61</v>
      </c>
      <c r="N3448">
        <v>322</v>
      </c>
      <c r="O3448">
        <v>90</v>
      </c>
      <c r="P3448">
        <v>19</v>
      </c>
      <c r="Q3448">
        <v>66</v>
      </c>
      <c r="R3448">
        <v>150</v>
      </c>
      <c r="S3448">
        <v>1.0714285714285714</v>
      </c>
      <c r="T3448">
        <v>0.94285714285714284</v>
      </c>
      <c r="U3448">
        <v>1.22</v>
      </c>
    </row>
    <row r="3449" spans="1:21" x14ac:dyDescent="0.35">
      <c r="A3449">
        <v>603</v>
      </c>
      <c r="B3449" s="16">
        <v>40756</v>
      </c>
      <c r="C3449" s="15" t="s">
        <v>63</v>
      </c>
      <c r="D3449" s="15" t="s">
        <v>58</v>
      </c>
      <c r="E3449" s="15" t="s">
        <v>43</v>
      </c>
      <c r="F3449" s="15" t="s">
        <v>40</v>
      </c>
      <c r="G3449" s="15" t="s">
        <v>68</v>
      </c>
      <c r="H3449" s="15" t="s">
        <v>42</v>
      </c>
      <c r="I3449">
        <v>60</v>
      </c>
      <c r="J3449">
        <v>90</v>
      </c>
      <c r="K3449">
        <v>60</v>
      </c>
      <c r="L3449">
        <v>150</v>
      </c>
      <c r="M3449">
        <v>64</v>
      </c>
      <c r="N3449">
        <v>460</v>
      </c>
      <c r="O3449">
        <v>96</v>
      </c>
      <c r="P3449">
        <v>21</v>
      </c>
      <c r="Q3449">
        <v>61</v>
      </c>
      <c r="R3449">
        <v>159</v>
      </c>
      <c r="S3449">
        <v>1.06</v>
      </c>
      <c r="T3449">
        <v>1.0166666666666666</v>
      </c>
      <c r="U3449">
        <v>1.0666666666666667</v>
      </c>
    </row>
    <row r="3450" spans="1:21" x14ac:dyDescent="0.35">
      <c r="A3450">
        <v>212</v>
      </c>
      <c r="B3450" s="16">
        <v>40756</v>
      </c>
      <c r="C3450" s="15" t="s">
        <v>63</v>
      </c>
      <c r="D3450" s="15" t="s">
        <v>38</v>
      </c>
      <c r="E3450" s="15" t="s">
        <v>53</v>
      </c>
      <c r="F3450" s="15" t="s">
        <v>52</v>
      </c>
      <c r="G3450" s="15" t="s">
        <v>69</v>
      </c>
      <c r="H3450" s="15" t="s">
        <v>45</v>
      </c>
      <c r="I3450">
        <v>210</v>
      </c>
      <c r="J3450">
        <v>290</v>
      </c>
      <c r="K3450">
        <v>180</v>
      </c>
      <c r="L3450">
        <v>500</v>
      </c>
      <c r="M3450">
        <v>284</v>
      </c>
      <c r="N3450">
        <v>1565</v>
      </c>
      <c r="O3450">
        <v>369</v>
      </c>
      <c r="P3450">
        <v>107</v>
      </c>
      <c r="Q3450">
        <v>316</v>
      </c>
      <c r="R3450">
        <v>647</v>
      </c>
      <c r="S3450">
        <v>1.294</v>
      </c>
      <c r="T3450">
        <v>1.7555555555555555</v>
      </c>
      <c r="U3450">
        <v>1.3523809523809525</v>
      </c>
    </row>
    <row r="3451" spans="1:21" x14ac:dyDescent="0.35">
      <c r="A3451">
        <v>718</v>
      </c>
      <c r="B3451" s="16">
        <v>40756</v>
      </c>
      <c r="C3451" s="15" t="s">
        <v>63</v>
      </c>
      <c r="D3451" s="15" t="s">
        <v>38</v>
      </c>
      <c r="E3451" s="15" t="s">
        <v>54</v>
      </c>
      <c r="F3451" s="15" t="s">
        <v>52</v>
      </c>
      <c r="G3451" s="15" t="s">
        <v>69</v>
      </c>
      <c r="H3451" s="15" t="s">
        <v>45</v>
      </c>
      <c r="I3451">
        <v>230</v>
      </c>
      <c r="J3451">
        <v>-140</v>
      </c>
      <c r="K3451">
        <v>-230</v>
      </c>
      <c r="L3451">
        <v>90</v>
      </c>
      <c r="M3451">
        <v>311</v>
      </c>
      <c r="N3451">
        <v>3422</v>
      </c>
      <c r="O3451">
        <v>-187</v>
      </c>
      <c r="P3451">
        <v>96</v>
      </c>
      <c r="Q3451">
        <v>-420</v>
      </c>
      <c r="R3451">
        <v>123</v>
      </c>
      <c r="S3451">
        <v>1.3666666666666667</v>
      </c>
      <c r="T3451">
        <v>1.826086956521739</v>
      </c>
      <c r="U3451">
        <v>1.3521739130434782</v>
      </c>
    </row>
    <row r="3452" spans="1:21" x14ac:dyDescent="0.35">
      <c r="A3452">
        <v>646</v>
      </c>
      <c r="B3452" s="16">
        <v>40756</v>
      </c>
      <c r="C3452" s="15" t="s">
        <v>63</v>
      </c>
      <c r="D3452" s="15" t="s">
        <v>38</v>
      </c>
      <c r="E3452" s="15" t="s">
        <v>55</v>
      </c>
      <c r="F3452" s="15" t="s">
        <v>47</v>
      </c>
      <c r="G3452" s="15" t="s">
        <v>69</v>
      </c>
      <c r="H3452" s="15" t="s">
        <v>42</v>
      </c>
      <c r="I3452">
        <v>130</v>
      </c>
      <c r="J3452">
        <v>210</v>
      </c>
      <c r="K3452">
        <v>170</v>
      </c>
      <c r="L3452">
        <v>340</v>
      </c>
      <c r="M3452">
        <v>132</v>
      </c>
      <c r="N3452">
        <v>994</v>
      </c>
      <c r="O3452">
        <v>191</v>
      </c>
      <c r="P3452">
        <v>36</v>
      </c>
      <c r="Q3452">
        <v>199</v>
      </c>
      <c r="R3452">
        <v>320</v>
      </c>
      <c r="S3452">
        <v>0.94117647058823528</v>
      </c>
      <c r="T3452">
        <v>1.1705882352941177</v>
      </c>
      <c r="U3452">
        <v>1.0153846153846153</v>
      </c>
    </row>
    <row r="3453" spans="1:21" x14ac:dyDescent="0.35">
      <c r="A3453">
        <v>716</v>
      </c>
      <c r="B3453" s="16">
        <v>40756</v>
      </c>
      <c r="C3453" s="15" t="s">
        <v>63</v>
      </c>
      <c r="D3453" s="15" t="s">
        <v>38</v>
      </c>
      <c r="E3453" s="15" t="s">
        <v>56</v>
      </c>
      <c r="F3453" s="15" t="s">
        <v>47</v>
      </c>
      <c r="G3453" s="15" t="s">
        <v>69</v>
      </c>
      <c r="H3453" s="15" t="s">
        <v>42</v>
      </c>
      <c r="I3453">
        <v>130</v>
      </c>
      <c r="J3453">
        <v>190</v>
      </c>
      <c r="K3453">
        <v>150</v>
      </c>
      <c r="L3453">
        <v>320</v>
      </c>
      <c r="M3453">
        <v>123</v>
      </c>
      <c r="N3453">
        <v>941</v>
      </c>
      <c r="O3453">
        <v>178</v>
      </c>
      <c r="P3453">
        <v>34</v>
      </c>
      <c r="Q3453">
        <v>184</v>
      </c>
      <c r="R3453">
        <v>298</v>
      </c>
      <c r="S3453">
        <v>0.93125000000000002</v>
      </c>
      <c r="T3453">
        <v>1.2266666666666666</v>
      </c>
      <c r="U3453">
        <v>0.94615384615384612</v>
      </c>
    </row>
    <row r="3454" spans="1:21" x14ac:dyDescent="0.35">
      <c r="A3454">
        <v>845</v>
      </c>
      <c r="B3454" s="16">
        <v>40756</v>
      </c>
      <c r="C3454" s="15" t="s">
        <v>63</v>
      </c>
      <c r="D3454" s="15" t="s">
        <v>38</v>
      </c>
      <c r="E3454" s="15" t="s">
        <v>46</v>
      </c>
      <c r="F3454" s="15" t="s">
        <v>47</v>
      </c>
      <c r="G3454" s="15" t="s">
        <v>69</v>
      </c>
      <c r="H3454" s="15" t="s">
        <v>42</v>
      </c>
      <c r="I3454">
        <v>100</v>
      </c>
      <c r="J3454">
        <v>160</v>
      </c>
      <c r="K3454">
        <v>130</v>
      </c>
      <c r="L3454">
        <v>260</v>
      </c>
      <c r="M3454">
        <v>100</v>
      </c>
      <c r="N3454">
        <v>598</v>
      </c>
      <c r="O3454">
        <v>145</v>
      </c>
      <c r="P3454">
        <v>28</v>
      </c>
      <c r="Q3454">
        <v>145</v>
      </c>
      <c r="R3454">
        <v>243</v>
      </c>
      <c r="S3454">
        <v>0.93461538461538463</v>
      </c>
      <c r="T3454">
        <v>1.1153846153846154</v>
      </c>
      <c r="U3454">
        <v>1</v>
      </c>
    </row>
    <row r="3455" spans="1:21" x14ac:dyDescent="0.35">
      <c r="A3455">
        <v>212</v>
      </c>
      <c r="B3455" s="16">
        <v>40756</v>
      </c>
      <c r="C3455" s="15" t="s">
        <v>63</v>
      </c>
      <c r="D3455" s="15" t="s">
        <v>38</v>
      </c>
      <c r="E3455" s="15" t="s">
        <v>48</v>
      </c>
      <c r="F3455" s="15" t="s">
        <v>49</v>
      </c>
      <c r="G3455" s="15" t="s">
        <v>69</v>
      </c>
      <c r="H3455" s="15" t="s">
        <v>42</v>
      </c>
      <c r="I3455">
        <v>160</v>
      </c>
      <c r="J3455">
        <v>-90</v>
      </c>
      <c r="K3455">
        <v>-260</v>
      </c>
      <c r="L3455">
        <v>70</v>
      </c>
      <c r="M3455">
        <v>173</v>
      </c>
      <c r="N3455">
        <v>2615</v>
      </c>
      <c r="O3455">
        <v>-95</v>
      </c>
      <c r="P3455">
        <v>156</v>
      </c>
      <c r="Q3455">
        <v>-392</v>
      </c>
      <c r="R3455">
        <v>77</v>
      </c>
      <c r="S3455">
        <v>1.1000000000000001</v>
      </c>
      <c r="T3455">
        <v>1.5076923076923077</v>
      </c>
      <c r="U3455">
        <v>1.08125</v>
      </c>
    </row>
    <row r="3456" spans="1:21" x14ac:dyDescent="0.35">
      <c r="A3456">
        <v>585</v>
      </c>
      <c r="B3456" s="16">
        <v>40756</v>
      </c>
      <c r="C3456" s="15" t="s">
        <v>63</v>
      </c>
      <c r="D3456" s="15" t="s">
        <v>38</v>
      </c>
      <c r="E3456" s="15" t="s">
        <v>67</v>
      </c>
      <c r="F3456" s="15" t="s">
        <v>49</v>
      </c>
      <c r="G3456" s="15" t="s">
        <v>69</v>
      </c>
      <c r="H3456" s="15" t="s">
        <v>42</v>
      </c>
      <c r="I3456">
        <v>250</v>
      </c>
      <c r="J3456">
        <v>280</v>
      </c>
      <c r="K3456">
        <v>190</v>
      </c>
      <c r="L3456">
        <v>530</v>
      </c>
      <c r="M3456">
        <v>266</v>
      </c>
      <c r="N3456">
        <v>1319</v>
      </c>
      <c r="O3456">
        <v>277</v>
      </c>
      <c r="P3456">
        <v>74</v>
      </c>
      <c r="Q3456">
        <v>247</v>
      </c>
      <c r="R3456">
        <v>538</v>
      </c>
      <c r="S3456">
        <v>1.0150943396226415</v>
      </c>
      <c r="T3456">
        <v>1.3</v>
      </c>
      <c r="U3456">
        <v>1.0640000000000001</v>
      </c>
    </row>
    <row r="3457" spans="1:21" x14ac:dyDescent="0.35">
      <c r="A3457">
        <v>914</v>
      </c>
      <c r="B3457" s="16">
        <v>40756</v>
      </c>
      <c r="C3457" s="15" t="s">
        <v>63</v>
      </c>
      <c r="D3457" s="15" t="s">
        <v>38</v>
      </c>
      <c r="E3457" s="15" t="s">
        <v>43</v>
      </c>
      <c r="F3457" s="15" t="s">
        <v>40</v>
      </c>
      <c r="G3457" s="15" t="s">
        <v>69</v>
      </c>
      <c r="H3457" s="15" t="s">
        <v>42</v>
      </c>
      <c r="I3457">
        <v>340</v>
      </c>
      <c r="J3457">
        <v>520</v>
      </c>
      <c r="K3457">
        <v>370</v>
      </c>
      <c r="L3457">
        <v>860</v>
      </c>
      <c r="M3457">
        <v>364</v>
      </c>
      <c r="N3457">
        <v>2617</v>
      </c>
      <c r="O3457">
        <v>546</v>
      </c>
      <c r="P3457">
        <v>127</v>
      </c>
      <c r="Q3457">
        <v>508</v>
      </c>
      <c r="R3457">
        <v>902</v>
      </c>
      <c r="S3457">
        <v>1.0488372093023255</v>
      </c>
      <c r="T3457">
        <v>1.3729729729729729</v>
      </c>
      <c r="U3457">
        <v>1.0705882352941176</v>
      </c>
    </row>
    <row r="3458" spans="1:21" x14ac:dyDescent="0.35">
      <c r="A3458">
        <v>504</v>
      </c>
      <c r="B3458" s="16">
        <v>40756</v>
      </c>
      <c r="C3458" s="15" t="s">
        <v>70</v>
      </c>
      <c r="D3458" s="15" t="s">
        <v>58</v>
      </c>
      <c r="E3458" s="15" t="s">
        <v>51</v>
      </c>
      <c r="F3458" s="15" t="s">
        <v>52</v>
      </c>
      <c r="G3458" s="15" t="s">
        <v>71</v>
      </c>
      <c r="H3458" s="15" t="s">
        <v>45</v>
      </c>
      <c r="I3458">
        <v>70</v>
      </c>
      <c r="J3458">
        <v>100</v>
      </c>
      <c r="K3458">
        <v>70</v>
      </c>
      <c r="L3458">
        <v>170</v>
      </c>
      <c r="M3458">
        <v>77</v>
      </c>
      <c r="N3458">
        <v>581</v>
      </c>
      <c r="O3458">
        <v>99</v>
      </c>
      <c r="P3458">
        <v>25</v>
      </c>
      <c r="Q3458">
        <v>84</v>
      </c>
      <c r="R3458">
        <v>174</v>
      </c>
      <c r="S3458">
        <v>1.0235294117647058</v>
      </c>
      <c r="T3458">
        <v>1.2</v>
      </c>
      <c r="U3458">
        <v>1.1000000000000001</v>
      </c>
    </row>
    <row r="3459" spans="1:21" x14ac:dyDescent="0.35">
      <c r="A3459">
        <v>225</v>
      </c>
      <c r="B3459" s="16">
        <v>40756</v>
      </c>
      <c r="C3459" s="15" t="s">
        <v>70</v>
      </c>
      <c r="D3459" s="15" t="s">
        <v>58</v>
      </c>
      <c r="E3459" s="15" t="s">
        <v>53</v>
      </c>
      <c r="F3459" s="15" t="s">
        <v>52</v>
      </c>
      <c r="G3459" s="15" t="s">
        <v>71</v>
      </c>
      <c r="H3459" s="15" t="s">
        <v>45</v>
      </c>
      <c r="I3459">
        <v>60</v>
      </c>
      <c r="J3459">
        <v>90</v>
      </c>
      <c r="K3459">
        <v>40</v>
      </c>
      <c r="L3459">
        <v>150</v>
      </c>
      <c r="M3459">
        <v>72</v>
      </c>
      <c r="N3459">
        <v>606</v>
      </c>
      <c r="O3459">
        <v>88</v>
      </c>
      <c r="P3459">
        <v>27</v>
      </c>
      <c r="Q3459">
        <v>39</v>
      </c>
      <c r="R3459">
        <v>159</v>
      </c>
      <c r="S3459">
        <v>1.06</v>
      </c>
      <c r="T3459">
        <v>0.97499999999999998</v>
      </c>
      <c r="U3459">
        <v>1.2</v>
      </c>
    </row>
    <row r="3460" spans="1:21" x14ac:dyDescent="0.35">
      <c r="A3460">
        <v>504</v>
      </c>
      <c r="B3460" s="16">
        <v>40756</v>
      </c>
      <c r="C3460" s="15" t="s">
        <v>70</v>
      </c>
      <c r="D3460" s="15" t="s">
        <v>58</v>
      </c>
      <c r="E3460" s="15" t="s">
        <v>43</v>
      </c>
      <c r="F3460" s="15" t="s">
        <v>40</v>
      </c>
      <c r="G3460" s="15" t="s">
        <v>71</v>
      </c>
      <c r="H3460" s="15" t="s">
        <v>42</v>
      </c>
      <c r="I3460">
        <v>60</v>
      </c>
      <c r="J3460">
        <v>80</v>
      </c>
      <c r="K3460">
        <v>60</v>
      </c>
      <c r="L3460">
        <v>140</v>
      </c>
      <c r="M3460">
        <v>48</v>
      </c>
      <c r="N3460">
        <v>839</v>
      </c>
      <c r="O3460">
        <v>70</v>
      </c>
      <c r="P3460">
        <v>13</v>
      </c>
      <c r="Q3460">
        <v>63</v>
      </c>
      <c r="R3460">
        <v>117</v>
      </c>
      <c r="S3460">
        <v>0.83571428571428574</v>
      </c>
      <c r="T3460">
        <v>1.05</v>
      </c>
      <c r="U3460">
        <v>0.8</v>
      </c>
    </row>
    <row r="3461" spans="1:21" x14ac:dyDescent="0.35">
      <c r="A3461">
        <v>985</v>
      </c>
      <c r="B3461" s="16">
        <v>40756</v>
      </c>
      <c r="C3461" s="15" t="s">
        <v>70</v>
      </c>
      <c r="D3461" s="15" t="s">
        <v>58</v>
      </c>
      <c r="E3461" s="15" t="s">
        <v>44</v>
      </c>
      <c r="F3461" s="15" t="s">
        <v>40</v>
      </c>
      <c r="G3461" s="15" t="s">
        <v>71</v>
      </c>
      <c r="H3461" s="15" t="s">
        <v>45</v>
      </c>
      <c r="I3461">
        <v>70</v>
      </c>
      <c r="J3461">
        <v>120</v>
      </c>
      <c r="K3461">
        <v>100</v>
      </c>
      <c r="L3461">
        <v>190</v>
      </c>
      <c r="M3461">
        <v>63</v>
      </c>
      <c r="N3461">
        <v>864</v>
      </c>
      <c r="O3461">
        <v>91</v>
      </c>
      <c r="P3461">
        <v>17</v>
      </c>
      <c r="Q3461">
        <v>87</v>
      </c>
      <c r="R3461">
        <v>153</v>
      </c>
      <c r="S3461">
        <v>0.80526315789473679</v>
      </c>
      <c r="T3461">
        <v>0.87</v>
      </c>
      <c r="U3461">
        <v>0.9</v>
      </c>
    </row>
    <row r="3462" spans="1:21" x14ac:dyDescent="0.35">
      <c r="A3462">
        <v>337</v>
      </c>
      <c r="B3462" s="16">
        <v>40756</v>
      </c>
      <c r="C3462" s="15" t="s">
        <v>70</v>
      </c>
      <c r="D3462" s="15" t="s">
        <v>58</v>
      </c>
      <c r="E3462" s="15" t="s">
        <v>72</v>
      </c>
      <c r="F3462" s="15" t="s">
        <v>49</v>
      </c>
      <c r="G3462" s="15" t="s">
        <v>71</v>
      </c>
      <c r="H3462" s="15" t="s">
        <v>42</v>
      </c>
      <c r="I3462">
        <v>30</v>
      </c>
      <c r="J3462">
        <v>60</v>
      </c>
      <c r="K3462">
        <v>10</v>
      </c>
      <c r="L3462">
        <v>90</v>
      </c>
      <c r="M3462">
        <v>44</v>
      </c>
      <c r="N3462">
        <v>-508</v>
      </c>
      <c r="O3462">
        <v>61</v>
      </c>
      <c r="P3462">
        <v>39</v>
      </c>
      <c r="Q3462">
        <v>-10</v>
      </c>
      <c r="R3462">
        <v>104</v>
      </c>
      <c r="S3462">
        <v>1.1555555555555554</v>
      </c>
      <c r="T3462">
        <v>-1</v>
      </c>
      <c r="U3462">
        <v>1.4666666666666666</v>
      </c>
    </row>
    <row r="3463" spans="1:21" x14ac:dyDescent="0.35">
      <c r="A3463">
        <v>318</v>
      </c>
      <c r="B3463" s="16">
        <v>40756</v>
      </c>
      <c r="C3463" s="15" t="s">
        <v>70</v>
      </c>
      <c r="D3463" s="15" t="s">
        <v>58</v>
      </c>
      <c r="E3463" s="15" t="s">
        <v>48</v>
      </c>
      <c r="F3463" s="15" t="s">
        <v>49</v>
      </c>
      <c r="G3463" s="15" t="s">
        <v>71</v>
      </c>
      <c r="H3463" s="15" t="s">
        <v>42</v>
      </c>
      <c r="I3463">
        <v>40</v>
      </c>
      <c r="J3463">
        <v>60</v>
      </c>
      <c r="K3463">
        <v>40</v>
      </c>
      <c r="L3463">
        <v>100</v>
      </c>
      <c r="M3463">
        <v>47</v>
      </c>
      <c r="N3463">
        <v>366</v>
      </c>
      <c r="O3463">
        <v>79</v>
      </c>
      <c r="P3463">
        <v>14</v>
      </c>
      <c r="Q3463">
        <v>57</v>
      </c>
      <c r="R3463">
        <v>125</v>
      </c>
      <c r="S3463">
        <v>1.25</v>
      </c>
      <c r="T3463">
        <v>1.425</v>
      </c>
      <c r="U3463">
        <v>1.175</v>
      </c>
    </row>
    <row r="3464" spans="1:21" x14ac:dyDescent="0.35">
      <c r="A3464">
        <v>504</v>
      </c>
      <c r="B3464" s="16">
        <v>40756</v>
      </c>
      <c r="C3464" s="15" t="s">
        <v>70</v>
      </c>
      <c r="D3464" s="15" t="s">
        <v>58</v>
      </c>
      <c r="E3464" s="15" t="s">
        <v>50</v>
      </c>
      <c r="F3464" s="15" t="s">
        <v>49</v>
      </c>
      <c r="G3464" s="15" t="s">
        <v>71</v>
      </c>
      <c r="H3464" s="15" t="s">
        <v>45</v>
      </c>
      <c r="I3464">
        <v>30</v>
      </c>
      <c r="J3464">
        <v>40</v>
      </c>
      <c r="K3464">
        <v>20</v>
      </c>
      <c r="L3464">
        <v>70</v>
      </c>
      <c r="M3464">
        <v>36</v>
      </c>
      <c r="N3464">
        <v>458</v>
      </c>
      <c r="O3464">
        <v>54</v>
      </c>
      <c r="P3464">
        <v>11</v>
      </c>
      <c r="Q3464">
        <v>29</v>
      </c>
      <c r="R3464">
        <v>89</v>
      </c>
      <c r="S3464">
        <v>1.2714285714285714</v>
      </c>
      <c r="T3464">
        <v>1.45</v>
      </c>
      <c r="U3464">
        <v>1.2</v>
      </c>
    </row>
    <row r="3465" spans="1:21" x14ac:dyDescent="0.35">
      <c r="A3465">
        <v>505</v>
      </c>
      <c r="B3465" s="16">
        <v>40756</v>
      </c>
      <c r="C3465" s="15" t="s">
        <v>70</v>
      </c>
      <c r="D3465" s="15" t="s">
        <v>58</v>
      </c>
      <c r="E3465" s="15" t="s">
        <v>51</v>
      </c>
      <c r="F3465" s="15" t="s">
        <v>52</v>
      </c>
      <c r="G3465" s="15" t="s">
        <v>73</v>
      </c>
      <c r="H3465" s="15" t="s">
        <v>45</v>
      </c>
      <c r="I3465">
        <v>20</v>
      </c>
      <c r="J3465">
        <v>40</v>
      </c>
      <c r="K3465">
        <v>30</v>
      </c>
      <c r="L3465">
        <v>60</v>
      </c>
      <c r="M3465">
        <v>25</v>
      </c>
      <c r="N3465">
        <v>851</v>
      </c>
      <c r="O3465">
        <v>38</v>
      </c>
      <c r="P3465">
        <v>7</v>
      </c>
      <c r="Q3465">
        <v>26</v>
      </c>
      <c r="R3465">
        <v>62</v>
      </c>
      <c r="S3465">
        <v>1.0333333333333334</v>
      </c>
      <c r="T3465">
        <v>0.8666666666666667</v>
      </c>
      <c r="U3465">
        <v>1.25</v>
      </c>
    </row>
    <row r="3466" spans="1:21" x14ac:dyDescent="0.35">
      <c r="A3466">
        <v>505</v>
      </c>
      <c r="B3466" s="16">
        <v>40756</v>
      </c>
      <c r="C3466" s="15" t="s">
        <v>70</v>
      </c>
      <c r="D3466" s="15" t="s">
        <v>58</v>
      </c>
      <c r="E3466" s="15" t="s">
        <v>53</v>
      </c>
      <c r="F3466" s="15" t="s">
        <v>52</v>
      </c>
      <c r="G3466" s="15" t="s">
        <v>73</v>
      </c>
      <c r="H3466" s="15" t="s">
        <v>45</v>
      </c>
      <c r="I3466">
        <v>30</v>
      </c>
      <c r="J3466">
        <v>50</v>
      </c>
      <c r="K3466">
        <v>20</v>
      </c>
      <c r="L3466">
        <v>80</v>
      </c>
      <c r="M3466">
        <v>41</v>
      </c>
      <c r="N3466">
        <v>1007</v>
      </c>
      <c r="O3466">
        <v>49</v>
      </c>
      <c r="P3466">
        <v>12</v>
      </c>
      <c r="Q3466">
        <v>21</v>
      </c>
      <c r="R3466">
        <v>89</v>
      </c>
      <c r="S3466">
        <v>1.1125</v>
      </c>
      <c r="T3466">
        <v>1.05</v>
      </c>
      <c r="U3466">
        <v>1.3666666666666667</v>
      </c>
    </row>
    <row r="3467" spans="1:21" x14ac:dyDescent="0.35">
      <c r="A3467">
        <v>505</v>
      </c>
      <c r="B3467" s="16">
        <v>40756</v>
      </c>
      <c r="C3467" s="15" t="s">
        <v>70</v>
      </c>
      <c r="D3467" s="15" t="s">
        <v>58</v>
      </c>
      <c r="E3467" s="15" t="s">
        <v>43</v>
      </c>
      <c r="F3467" s="15" t="s">
        <v>40</v>
      </c>
      <c r="G3467" s="15" t="s">
        <v>73</v>
      </c>
      <c r="H3467" s="15" t="s">
        <v>42</v>
      </c>
      <c r="I3467">
        <v>80</v>
      </c>
      <c r="J3467">
        <v>120</v>
      </c>
      <c r="K3467">
        <v>70</v>
      </c>
      <c r="L3467">
        <v>200</v>
      </c>
      <c r="M3467">
        <v>64</v>
      </c>
      <c r="N3467">
        <v>460</v>
      </c>
      <c r="O3467">
        <v>96</v>
      </c>
      <c r="P3467">
        <v>21</v>
      </c>
      <c r="Q3467">
        <v>61</v>
      </c>
      <c r="R3467">
        <v>159</v>
      </c>
      <c r="S3467">
        <v>0.79500000000000004</v>
      </c>
      <c r="T3467">
        <v>0.87142857142857144</v>
      </c>
      <c r="U3467">
        <v>0.8</v>
      </c>
    </row>
    <row r="3468" spans="1:21" x14ac:dyDescent="0.35">
      <c r="A3468">
        <v>505</v>
      </c>
      <c r="B3468" s="16">
        <v>40756</v>
      </c>
      <c r="C3468" s="15" t="s">
        <v>70</v>
      </c>
      <c r="D3468" s="15" t="s">
        <v>58</v>
      </c>
      <c r="E3468" s="15" t="s">
        <v>44</v>
      </c>
      <c r="F3468" s="15" t="s">
        <v>40</v>
      </c>
      <c r="G3468" s="15" t="s">
        <v>73</v>
      </c>
      <c r="H3468" s="15" t="s">
        <v>45</v>
      </c>
      <c r="I3468">
        <v>150</v>
      </c>
      <c r="J3468">
        <v>20</v>
      </c>
      <c r="K3468">
        <v>-30</v>
      </c>
      <c r="L3468">
        <v>170</v>
      </c>
      <c r="M3468">
        <v>120</v>
      </c>
      <c r="N3468">
        <v>1439</v>
      </c>
      <c r="O3468">
        <v>19</v>
      </c>
      <c r="P3468">
        <v>37</v>
      </c>
      <c r="Q3468">
        <v>-58</v>
      </c>
      <c r="R3468">
        <v>138</v>
      </c>
      <c r="S3468">
        <v>0.81176470588235294</v>
      </c>
      <c r="T3468">
        <v>1.9333333333333333</v>
      </c>
      <c r="U3468">
        <v>0.8</v>
      </c>
    </row>
    <row r="3469" spans="1:21" x14ac:dyDescent="0.35">
      <c r="A3469">
        <v>505</v>
      </c>
      <c r="B3469" s="16">
        <v>40756</v>
      </c>
      <c r="C3469" s="15" t="s">
        <v>70</v>
      </c>
      <c r="D3469" s="15" t="s">
        <v>58</v>
      </c>
      <c r="E3469" s="15" t="s">
        <v>72</v>
      </c>
      <c r="F3469" s="15" t="s">
        <v>49</v>
      </c>
      <c r="G3469" s="15" t="s">
        <v>73</v>
      </c>
      <c r="H3469" s="15" t="s">
        <v>42</v>
      </c>
      <c r="I3469">
        <v>20</v>
      </c>
      <c r="J3469">
        <v>30</v>
      </c>
      <c r="K3469">
        <v>0</v>
      </c>
      <c r="L3469">
        <v>50</v>
      </c>
      <c r="M3469">
        <v>29</v>
      </c>
      <c r="N3469">
        <v>-347</v>
      </c>
      <c r="O3469">
        <v>36</v>
      </c>
      <c r="P3469">
        <v>11</v>
      </c>
      <c r="Q3469">
        <v>-11</v>
      </c>
      <c r="R3469">
        <v>64</v>
      </c>
      <c r="S3469">
        <v>1.28</v>
      </c>
      <c r="U3469">
        <v>1.45</v>
      </c>
    </row>
    <row r="3470" spans="1:21" x14ac:dyDescent="0.35">
      <c r="A3470">
        <v>505</v>
      </c>
      <c r="B3470" s="16">
        <v>40756</v>
      </c>
      <c r="C3470" s="15" t="s">
        <v>70</v>
      </c>
      <c r="D3470" s="15" t="s">
        <v>58</v>
      </c>
      <c r="E3470" s="15" t="s">
        <v>48</v>
      </c>
      <c r="F3470" s="15" t="s">
        <v>49</v>
      </c>
      <c r="G3470" s="15" t="s">
        <v>73</v>
      </c>
      <c r="H3470" s="15" t="s">
        <v>42</v>
      </c>
      <c r="I3470">
        <v>50</v>
      </c>
      <c r="J3470">
        <v>70</v>
      </c>
      <c r="K3470">
        <v>0</v>
      </c>
      <c r="L3470">
        <v>120</v>
      </c>
      <c r="M3470">
        <v>63</v>
      </c>
      <c r="N3470">
        <v>332</v>
      </c>
      <c r="O3470">
        <v>88</v>
      </c>
      <c r="P3470">
        <v>57</v>
      </c>
      <c r="Q3470">
        <v>3</v>
      </c>
      <c r="R3470">
        <v>150</v>
      </c>
      <c r="S3470">
        <v>1.25</v>
      </c>
      <c r="U3470">
        <v>1.26</v>
      </c>
    </row>
    <row r="3471" spans="1:21" x14ac:dyDescent="0.35">
      <c r="A3471">
        <v>505</v>
      </c>
      <c r="B3471" s="16">
        <v>40756</v>
      </c>
      <c r="C3471" s="15" t="s">
        <v>70</v>
      </c>
      <c r="D3471" s="15" t="s">
        <v>58</v>
      </c>
      <c r="E3471" s="15" t="s">
        <v>50</v>
      </c>
      <c r="F3471" s="15" t="s">
        <v>49</v>
      </c>
      <c r="G3471" s="15" t="s">
        <v>73</v>
      </c>
      <c r="H3471" s="15" t="s">
        <v>45</v>
      </c>
      <c r="I3471">
        <v>30</v>
      </c>
      <c r="J3471">
        <v>60</v>
      </c>
      <c r="K3471">
        <v>30</v>
      </c>
      <c r="L3471">
        <v>90</v>
      </c>
      <c r="M3471">
        <v>45</v>
      </c>
      <c r="N3471">
        <v>253</v>
      </c>
      <c r="O3471">
        <v>60</v>
      </c>
      <c r="P3471">
        <v>14</v>
      </c>
      <c r="Q3471">
        <v>25</v>
      </c>
      <c r="R3471">
        <v>104</v>
      </c>
      <c r="S3471">
        <v>1.1555555555555554</v>
      </c>
      <c r="T3471">
        <v>0.83333333333333337</v>
      </c>
      <c r="U3471">
        <v>1.5</v>
      </c>
    </row>
    <row r="3472" spans="1:21" x14ac:dyDescent="0.35">
      <c r="A3472">
        <v>918</v>
      </c>
      <c r="B3472" s="16">
        <v>40756</v>
      </c>
      <c r="C3472" s="15" t="s">
        <v>70</v>
      </c>
      <c r="D3472" s="15" t="s">
        <v>58</v>
      </c>
      <c r="E3472" s="15" t="s">
        <v>51</v>
      </c>
      <c r="F3472" s="15" t="s">
        <v>52</v>
      </c>
      <c r="G3472" s="15" t="s">
        <v>74</v>
      </c>
      <c r="H3472" s="15" t="s">
        <v>45</v>
      </c>
      <c r="I3472">
        <v>60</v>
      </c>
      <c r="J3472">
        <v>70</v>
      </c>
      <c r="K3472">
        <v>20</v>
      </c>
      <c r="L3472">
        <v>130</v>
      </c>
      <c r="M3472">
        <v>63</v>
      </c>
      <c r="N3472">
        <v>397</v>
      </c>
      <c r="O3472">
        <v>77</v>
      </c>
      <c r="P3472">
        <v>23</v>
      </c>
      <c r="Q3472">
        <v>28</v>
      </c>
      <c r="R3472">
        <v>139</v>
      </c>
      <c r="S3472">
        <v>1.0692307692307692</v>
      </c>
      <c r="T3472">
        <v>1.4</v>
      </c>
      <c r="U3472">
        <v>1.05</v>
      </c>
    </row>
    <row r="3473" spans="1:21" x14ac:dyDescent="0.35">
      <c r="A3473">
        <v>405</v>
      </c>
      <c r="B3473" s="16">
        <v>40756</v>
      </c>
      <c r="C3473" s="15" t="s">
        <v>70</v>
      </c>
      <c r="D3473" s="15" t="s">
        <v>58</v>
      </c>
      <c r="E3473" s="15" t="s">
        <v>53</v>
      </c>
      <c r="F3473" s="15" t="s">
        <v>52</v>
      </c>
      <c r="G3473" s="15" t="s">
        <v>74</v>
      </c>
      <c r="H3473" s="15" t="s">
        <v>45</v>
      </c>
      <c r="I3473">
        <v>120</v>
      </c>
      <c r="J3473">
        <v>190</v>
      </c>
      <c r="K3473">
        <v>60</v>
      </c>
      <c r="L3473">
        <v>310</v>
      </c>
      <c r="M3473">
        <v>133</v>
      </c>
      <c r="N3473">
        <v>705</v>
      </c>
      <c r="O3473">
        <v>184</v>
      </c>
      <c r="P3473">
        <v>120</v>
      </c>
      <c r="Q3473">
        <v>47</v>
      </c>
      <c r="R3473">
        <v>314</v>
      </c>
      <c r="S3473">
        <v>1.0129032258064516</v>
      </c>
      <c r="T3473">
        <v>0.78333333333333333</v>
      </c>
      <c r="U3473">
        <v>1.1083333333333334</v>
      </c>
    </row>
    <row r="3474" spans="1:21" x14ac:dyDescent="0.35">
      <c r="A3474">
        <v>580</v>
      </c>
      <c r="B3474" s="16">
        <v>40756</v>
      </c>
      <c r="C3474" s="15" t="s">
        <v>70</v>
      </c>
      <c r="D3474" s="15" t="s">
        <v>58</v>
      </c>
      <c r="E3474" s="15" t="s">
        <v>43</v>
      </c>
      <c r="F3474" s="15" t="s">
        <v>40</v>
      </c>
      <c r="G3474" s="15" t="s">
        <v>74</v>
      </c>
      <c r="H3474" s="15" t="s">
        <v>42</v>
      </c>
      <c r="I3474">
        <v>80</v>
      </c>
      <c r="J3474">
        <v>110</v>
      </c>
      <c r="K3474">
        <v>80</v>
      </c>
      <c r="L3474">
        <v>190</v>
      </c>
      <c r="M3474">
        <v>68</v>
      </c>
      <c r="N3474">
        <v>587</v>
      </c>
      <c r="O3474">
        <v>87</v>
      </c>
      <c r="P3474">
        <v>22</v>
      </c>
      <c r="Q3474">
        <v>73</v>
      </c>
      <c r="R3474">
        <v>154</v>
      </c>
      <c r="S3474">
        <v>0.81052631578947365</v>
      </c>
      <c r="T3474">
        <v>0.91249999999999998</v>
      </c>
      <c r="U3474">
        <v>0.85</v>
      </c>
    </row>
    <row r="3475" spans="1:21" x14ac:dyDescent="0.35">
      <c r="A3475">
        <v>918</v>
      </c>
      <c r="B3475" s="16">
        <v>40756</v>
      </c>
      <c r="C3475" s="15" t="s">
        <v>70</v>
      </c>
      <c r="D3475" s="15" t="s">
        <v>58</v>
      </c>
      <c r="E3475" s="15" t="s">
        <v>44</v>
      </c>
      <c r="F3475" s="15" t="s">
        <v>40</v>
      </c>
      <c r="G3475" s="15" t="s">
        <v>74</v>
      </c>
      <c r="H3475" s="15" t="s">
        <v>45</v>
      </c>
      <c r="I3475">
        <v>20</v>
      </c>
      <c r="J3475">
        <v>40</v>
      </c>
      <c r="K3475">
        <v>30</v>
      </c>
      <c r="L3475">
        <v>60</v>
      </c>
      <c r="M3475">
        <v>22</v>
      </c>
      <c r="N3475">
        <v>865</v>
      </c>
      <c r="O3475">
        <v>33</v>
      </c>
      <c r="P3475">
        <v>6</v>
      </c>
      <c r="Q3475">
        <v>22</v>
      </c>
      <c r="R3475">
        <v>55</v>
      </c>
      <c r="S3475">
        <v>0.91666666666666663</v>
      </c>
      <c r="T3475">
        <v>0.73333333333333328</v>
      </c>
      <c r="U3475">
        <v>1.1000000000000001</v>
      </c>
    </row>
    <row r="3476" spans="1:21" x14ac:dyDescent="0.35">
      <c r="A3476">
        <v>918</v>
      </c>
      <c r="B3476" s="16">
        <v>40756</v>
      </c>
      <c r="C3476" s="15" t="s">
        <v>70</v>
      </c>
      <c r="D3476" s="15" t="s">
        <v>58</v>
      </c>
      <c r="E3476" s="15" t="s">
        <v>72</v>
      </c>
      <c r="F3476" s="15" t="s">
        <v>49</v>
      </c>
      <c r="G3476" s="15" t="s">
        <v>74</v>
      </c>
      <c r="H3476" s="15" t="s">
        <v>42</v>
      </c>
      <c r="I3476">
        <v>90</v>
      </c>
      <c r="J3476">
        <v>140</v>
      </c>
      <c r="K3476">
        <v>100</v>
      </c>
      <c r="L3476">
        <v>230</v>
      </c>
      <c r="M3476">
        <v>116</v>
      </c>
      <c r="N3476">
        <v>-1278</v>
      </c>
      <c r="O3476">
        <v>161</v>
      </c>
      <c r="P3476">
        <v>35</v>
      </c>
      <c r="Q3476">
        <v>141</v>
      </c>
      <c r="R3476">
        <v>275</v>
      </c>
      <c r="S3476">
        <v>1.1956521739130435</v>
      </c>
      <c r="T3476">
        <v>1.41</v>
      </c>
      <c r="U3476">
        <v>1.288888888888889</v>
      </c>
    </row>
    <row r="3477" spans="1:21" x14ac:dyDescent="0.35">
      <c r="A3477">
        <v>580</v>
      </c>
      <c r="B3477" s="16">
        <v>40756</v>
      </c>
      <c r="C3477" s="15" t="s">
        <v>70</v>
      </c>
      <c r="D3477" s="15" t="s">
        <v>58</v>
      </c>
      <c r="E3477" s="15" t="s">
        <v>48</v>
      </c>
      <c r="F3477" s="15" t="s">
        <v>49</v>
      </c>
      <c r="G3477" s="15" t="s">
        <v>74</v>
      </c>
      <c r="H3477" s="15" t="s">
        <v>42</v>
      </c>
      <c r="I3477">
        <v>10</v>
      </c>
      <c r="J3477">
        <v>20</v>
      </c>
      <c r="K3477">
        <v>20</v>
      </c>
      <c r="L3477">
        <v>30</v>
      </c>
      <c r="M3477">
        <v>16</v>
      </c>
      <c r="N3477">
        <v>484</v>
      </c>
      <c r="O3477">
        <v>25</v>
      </c>
      <c r="P3477">
        <v>4</v>
      </c>
      <c r="Q3477">
        <v>14</v>
      </c>
      <c r="R3477">
        <v>41</v>
      </c>
      <c r="S3477">
        <v>1.3666666666666667</v>
      </c>
      <c r="T3477">
        <v>0.7</v>
      </c>
      <c r="U3477">
        <v>1.6</v>
      </c>
    </row>
    <row r="3478" spans="1:21" x14ac:dyDescent="0.35">
      <c r="A3478">
        <v>580</v>
      </c>
      <c r="B3478" s="16">
        <v>40756</v>
      </c>
      <c r="C3478" s="15" t="s">
        <v>70</v>
      </c>
      <c r="D3478" s="15" t="s">
        <v>58</v>
      </c>
      <c r="E3478" s="15" t="s">
        <v>50</v>
      </c>
      <c r="F3478" s="15" t="s">
        <v>49</v>
      </c>
      <c r="G3478" s="15" t="s">
        <v>74</v>
      </c>
      <c r="H3478" s="15" t="s">
        <v>45</v>
      </c>
      <c r="I3478">
        <v>90</v>
      </c>
      <c r="J3478">
        <v>150</v>
      </c>
      <c r="K3478">
        <v>100</v>
      </c>
      <c r="L3478">
        <v>240</v>
      </c>
      <c r="M3478">
        <v>114</v>
      </c>
      <c r="N3478">
        <v>810</v>
      </c>
      <c r="O3478">
        <v>172</v>
      </c>
      <c r="P3478">
        <v>37</v>
      </c>
      <c r="Q3478">
        <v>142</v>
      </c>
      <c r="R3478">
        <v>283</v>
      </c>
      <c r="S3478">
        <v>1.1791666666666667</v>
      </c>
      <c r="T3478">
        <v>1.42</v>
      </c>
      <c r="U3478">
        <v>1.2666666666666666</v>
      </c>
    </row>
    <row r="3479" spans="1:21" x14ac:dyDescent="0.35">
      <c r="A3479">
        <v>817</v>
      </c>
      <c r="B3479" s="16">
        <v>40756</v>
      </c>
      <c r="C3479" s="15" t="s">
        <v>70</v>
      </c>
      <c r="D3479" s="15" t="s">
        <v>38</v>
      </c>
      <c r="E3479" s="15" t="s">
        <v>51</v>
      </c>
      <c r="F3479" s="15" t="s">
        <v>52</v>
      </c>
      <c r="G3479" s="15" t="s">
        <v>75</v>
      </c>
      <c r="H3479" s="15" t="s">
        <v>45</v>
      </c>
      <c r="I3479">
        <v>40</v>
      </c>
      <c r="J3479">
        <v>60</v>
      </c>
      <c r="K3479">
        <v>30</v>
      </c>
      <c r="L3479">
        <v>100</v>
      </c>
      <c r="M3479">
        <v>46</v>
      </c>
      <c r="N3479">
        <v>415</v>
      </c>
      <c r="O3479">
        <v>62</v>
      </c>
      <c r="P3479">
        <v>15</v>
      </c>
      <c r="Q3479">
        <v>26</v>
      </c>
      <c r="R3479">
        <v>107</v>
      </c>
      <c r="S3479">
        <v>1.07</v>
      </c>
      <c r="T3479">
        <v>0.8666666666666667</v>
      </c>
      <c r="U3479">
        <v>1.1499999999999999</v>
      </c>
    </row>
    <row r="3480" spans="1:21" x14ac:dyDescent="0.35">
      <c r="A3480">
        <v>210</v>
      </c>
      <c r="B3480" s="16">
        <v>40756</v>
      </c>
      <c r="C3480" s="15" t="s">
        <v>70</v>
      </c>
      <c r="D3480" s="15" t="s">
        <v>38</v>
      </c>
      <c r="E3480" s="15" t="s">
        <v>53</v>
      </c>
      <c r="F3480" s="15" t="s">
        <v>52</v>
      </c>
      <c r="G3480" s="15" t="s">
        <v>75</v>
      </c>
      <c r="H3480" s="15" t="s">
        <v>45</v>
      </c>
      <c r="I3480">
        <v>30</v>
      </c>
      <c r="J3480">
        <v>50</v>
      </c>
      <c r="K3480">
        <v>30</v>
      </c>
      <c r="L3480">
        <v>80</v>
      </c>
      <c r="M3480">
        <v>34</v>
      </c>
      <c r="N3480">
        <v>428</v>
      </c>
      <c r="O3480">
        <v>51</v>
      </c>
      <c r="P3480">
        <v>10</v>
      </c>
      <c r="Q3480">
        <v>26</v>
      </c>
      <c r="R3480">
        <v>84</v>
      </c>
      <c r="S3480">
        <v>1.05</v>
      </c>
      <c r="T3480">
        <v>0.8666666666666667</v>
      </c>
      <c r="U3480">
        <v>1.1333333333333333</v>
      </c>
    </row>
    <row r="3481" spans="1:21" x14ac:dyDescent="0.35">
      <c r="A3481">
        <v>940</v>
      </c>
      <c r="B3481" s="16">
        <v>40756</v>
      </c>
      <c r="C3481" s="15" t="s">
        <v>70</v>
      </c>
      <c r="D3481" s="15" t="s">
        <v>38</v>
      </c>
      <c r="E3481" s="15" t="s">
        <v>43</v>
      </c>
      <c r="F3481" s="15" t="s">
        <v>40</v>
      </c>
      <c r="G3481" s="15" t="s">
        <v>75</v>
      </c>
      <c r="H3481" s="15" t="s">
        <v>42</v>
      </c>
      <c r="I3481">
        <v>390</v>
      </c>
      <c r="J3481">
        <v>450</v>
      </c>
      <c r="K3481">
        <v>340</v>
      </c>
      <c r="L3481">
        <v>840</v>
      </c>
      <c r="M3481">
        <v>311</v>
      </c>
      <c r="N3481">
        <v>1296</v>
      </c>
      <c r="O3481">
        <v>367</v>
      </c>
      <c r="P3481">
        <v>96</v>
      </c>
      <c r="Q3481">
        <v>345</v>
      </c>
      <c r="R3481">
        <v>672</v>
      </c>
      <c r="S3481">
        <v>0.8</v>
      </c>
      <c r="T3481">
        <v>1.0147058823529411</v>
      </c>
      <c r="U3481">
        <v>0.79743589743589749</v>
      </c>
    </row>
    <row r="3482" spans="1:21" x14ac:dyDescent="0.35">
      <c r="A3482">
        <v>469</v>
      </c>
      <c r="B3482" s="16">
        <v>40756</v>
      </c>
      <c r="C3482" s="15" t="s">
        <v>70</v>
      </c>
      <c r="D3482" s="15" t="s">
        <v>38</v>
      </c>
      <c r="E3482" s="15" t="s">
        <v>44</v>
      </c>
      <c r="F3482" s="15" t="s">
        <v>40</v>
      </c>
      <c r="G3482" s="15" t="s">
        <v>75</v>
      </c>
      <c r="H3482" s="15" t="s">
        <v>45</v>
      </c>
      <c r="I3482">
        <v>60</v>
      </c>
      <c r="J3482">
        <v>90</v>
      </c>
      <c r="K3482">
        <v>70</v>
      </c>
      <c r="L3482">
        <v>150</v>
      </c>
      <c r="M3482">
        <v>52</v>
      </c>
      <c r="N3482">
        <v>554</v>
      </c>
      <c r="O3482">
        <v>68</v>
      </c>
      <c r="P3482">
        <v>17</v>
      </c>
      <c r="Q3482">
        <v>54</v>
      </c>
      <c r="R3482">
        <v>119</v>
      </c>
      <c r="S3482">
        <v>0.79333333333333333</v>
      </c>
      <c r="T3482">
        <v>0.77142857142857146</v>
      </c>
      <c r="U3482">
        <v>0.8666666666666667</v>
      </c>
    </row>
    <row r="3483" spans="1:21" x14ac:dyDescent="0.35">
      <c r="A3483">
        <v>817</v>
      </c>
      <c r="B3483" s="16">
        <v>40756</v>
      </c>
      <c r="C3483" s="15" t="s">
        <v>70</v>
      </c>
      <c r="D3483" s="15" t="s">
        <v>38</v>
      </c>
      <c r="E3483" s="15" t="s">
        <v>72</v>
      </c>
      <c r="F3483" s="15" t="s">
        <v>49</v>
      </c>
      <c r="G3483" s="15" t="s">
        <v>75</v>
      </c>
      <c r="H3483" s="15" t="s">
        <v>42</v>
      </c>
      <c r="I3483">
        <v>40</v>
      </c>
      <c r="J3483">
        <v>70</v>
      </c>
      <c r="K3483">
        <v>40</v>
      </c>
      <c r="L3483">
        <v>110</v>
      </c>
      <c r="M3483">
        <v>52</v>
      </c>
      <c r="N3483">
        <v>-587</v>
      </c>
      <c r="O3483">
        <v>79</v>
      </c>
      <c r="P3483">
        <v>17</v>
      </c>
      <c r="Q3483">
        <v>41</v>
      </c>
      <c r="R3483">
        <v>130</v>
      </c>
      <c r="S3483">
        <v>1.1818181818181819</v>
      </c>
      <c r="T3483">
        <v>1.0249999999999999</v>
      </c>
      <c r="U3483">
        <v>1.3</v>
      </c>
    </row>
    <row r="3484" spans="1:21" x14ac:dyDescent="0.35">
      <c r="A3484">
        <v>210</v>
      </c>
      <c r="B3484" s="16">
        <v>40756</v>
      </c>
      <c r="C3484" s="15" t="s">
        <v>70</v>
      </c>
      <c r="D3484" s="15" t="s">
        <v>38</v>
      </c>
      <c r="E3484" s="15" t="s">
        <v>48</v>
      </c>
      <c r="F3484" s="15" t="s">
        <v>49</v>
      </c>
      <c r="G3484" s="15" t="s">
        <v>75</v>
      </c>
      <c r="H3484" s="15" t="s">
        <v>42</v>
      </c>
      <c r="I3484">
        <v>100</v>
      </c>
      <c r="J3484">
        <v>150</v>
      </c>
      <c r="K3484">
        <v>120</v>
      </c>
      <c r="L3484">
        <v>250</v>
      </c>
      <c r="M3484">
        <v>123</v>
      </c>
      <c r="N3484">
        <v>941</v>
      </c>
      <c r="O3484">
        <v>178</v>
      </c>
      <c r="P3484">
        <v>34</v>
      </c>
      <c r="Q3484">
        <v>184</v>
      </c>
      <c r="R3484">
        <v>298</v>
      </c>
      <c r="S3484">
        <v>1.1919999999999999</v>
      </c>
      <c r="T3484">
        <v>1.5333333333333334</v>
      </c>
      <c r="U3484">
        <v>1.23</v>
      </c>
    </row>
    <row r="3485" spans="1:21" x14ac:dyDescent="0.35">
      <c r="A3485">
        <v>469</v>
      </c>
      <c r="B3485" s="16">
        <v>40756</v>
      </c>
      <c r="C3485" s="15" t="s">
        <v>70</v>
      </c>
      <c r="D3485" s="15" t="s">
        <v>38</v>
      </c>
      <c r="E3485" s="15" t="s">
        <v>50</v>
      </c>
      <c r="F3485" s="15" t="s">
        <v>49</v>
      </c>
      <c r="G3485" s="15" t="s">
        <v>75</v>
      </c>
      <c r="H3485" s="15" t="s">
        <v>45</v>
      </c>
      <c r="I3485">
        <v>80</v>
      </c>
      <c r="J3485">
        <v>130</v>
      </c>
      <c r="K3485">
        <v>110</v>
      </c>
      <c r="L3485">
        <v>210</v>
      </c>
      <c r="M3485">
        <v>100</v>
      </c>
      <c r="N3485">
        <v>598</v>
      </c>
      <c r="O3485">
        <v>145</v>
      </c>
      <c r="P3485">
        <v>28</v>
      </c>
      <c r="Q3485">
        <v>145</v>
      </c>
      <c r="R3485">
        <v>243</v>
      </c>
      <c r="S3485">
        <v>1.1571428571428573</v>
      </c>
      <c r="T3485">
        <v>1.3181818181818181</v>
      </c>
      <c r="U3485">
        <v>1.25</v>
      </c>
    </row>
    <row r="3486" spans="1:21" x14ac:dyDescent="0.35">
      <c r="A3486">
        <v>435</v>
      </c>
      <c r="B3486" s="16">
        <v>40756</v>
      </c>
      <c r="C3486" s="15" t="s">
        <v>76</v>
      </c>
      <c r="D3486" s="15" t="s">
        <v>58</v>
      </c>
      <c r="E3486" s="15" t="s">
        <v>55</v>
      </c>
      <c r="F3486" s="15" t="s">
        <v>47</v>
      </c>
      <c r="G3486" s="15" t="s">
        <v>77</v>
      </c>
      <c r="H3486" s="15" t="s">
        <v>42</v>
      </c>
      <c r="I3486">
        <v>40</v>
      </c>
      <c r="J3486">
        <v>60</v>
      </c>
      <c r="K3486">
        <v>10</v>
      </c>
      <c r="L3486">
        <v>100</v>
      </c>
      <c r="M3486">
        <v>63</v>
      </c>
      <c r="N3486">
        <v>332</v>
      </c>
      <c r="O3486">
        <v>88</v>
      </c>
      <c r="P3486">
        <v>57</v>
      </c>
      <c r="Q3486">
        <v>3</v>
      </c>
      <c r="R3486">
        <v>150</v>
      </c>
      <c r="S3486">
        <v>1.5</v>
      </c>
      <c r="T3486">
        <v>0.3</v>
      </c>
      <c r="U3486">
        <v>1.575</v>
      </c>
    </row>
    <row r="3487" spans="1:21" x14ac:dyDescent="0.35">
      <c r="A3487">
        <v>435</v>
      </c>
      <c r="B3487" s="16">
        <v>40756</v>
      </c>
      <c r="C3487" s="15" t="s">
        <v>76</v>
      </c>
      <c r="D3487" s="15" t="s">
        <v>58</v>
      </c>
      <c r="E3487" s="15" t="s">
        <v>56</v>
      </c>
      <c r="F3487" s="15" t="s">
        <v>47</v>
      </c>
      <c r="G3487" s="15" t="s">
        <v>77</v>
      </c>
      <c r="H3487" s="15" t="s">
        <v>42</v>
      </c>
      <c r="I3487">
        <v>20</v>
      </c>
      <c r="J3487">
        <v>50</v>
      </c>
      <c r="K3487">
        <v>30</v>
      </c>
      <c r="L3487">
        <v>70</v>
      </c>
      <c r="M3487">
        <v>45</v>
      </c>
      <c r="N3487">
        <v>253</v>
      </c>
      <c r="O3487">
        <v>60</v>
      </c>
      <c r="P3487">
        <v>14</v>
      </c>
      <c r="Q3487">
        <v>26</v>
      </c>
      <c r="R3487">
        <v>104</v>
      </c>
      <c r="S3487">
        <v>1.4857142857142858</v>
      </c>
      <c r="T3487">
        <v>0.8666666666666667</v>
      </c>
      <c r="U3487">
        <v>2.25</v>
      </c>
    </row>
    <row r="3488" spans="1:21" x14ac:dyDescent="0.35">
      <c r="A3488">
        <v>435</v>
      </c>
      <c r="B3488" s="16">
        <v>40756</v>
      </c>
      <c r="C3488" s="15" t="s">
        <v>76</v>
      </c>
      <c r="D3488" s="15" t="s">
        <v>58</v>
      </c>
      <c r="E3488" s="15" t="s">
        <v>46</v>
      </c>
      <c r="F3488" s="15" t="s">
        <v>47</v>
      </c>
      <c r="G3488" s="15" t="s">
        <v>77</v>
      </c>
      <c r="H3488" s="15" t="s">
        <v>42</v>
      </c>
      <c r="I3488">
        <v>10</v>
      </c>
      <c r="J3488">
        <v>30</v>
      </c>
      <c r="K3488">
        <v>10</v>
      </c>
      <c r="L3488">
        <v>40</v>
      </c>
      <c r="M3488">
        <v>29</v>
      </c>
      <c r="N3488">
        <v>215</v>
      </c>
      <c r="O3488">
        <v>36</v>
      </c>
      <c r="P3488">
        <v>11</v>
      </c>
      <c r="Q3488">
        <v>-12</v>
      </c>
      <c r="R3488">
        <v>64</v>
      </c>
      <c r="S3488">
        <v>1.6</v>
      </c>
      <c r="T3488">
        <v>-1.2</v>
      </c>
      <c r="U3488">
        <v>2.9</v>
      </c>
    </row>
    <row r="3489" spans="1:21" x14ac:dyDescent="0.35">
      <c r="A3489">
        <v>435</v>
      </c>
      <c r="B3489" s="16">
        <v>40756</v>
      </c>
      <c r="C3489" s="15" t="s">
        <v>76</v>
      </c>
      <c r="D3489" s="15" t="s">
        <v>58</v>
      </c>
      <c r="E3489" s="15" t="s">
        <v>51</v>
      </c>
      <c r="F3489" s="15" t="s">
        <v>52</v>
      </c>
      <c r="G3489" s="15" t="s">
        <v>77</v>
      </c>
      <c r="H3489" s="15" t="s">
        <v>45</v>
      </c>
      <c r="I3489">
        <v>50</v>
      </c>
      <c r="J3489">
        <v>80</v>
      </c>
      <c r="K3489">
        <v>60</v>
      </c>
      <c r="L3489">
        <v>130</v>
      </c>
      <c r="M3489">
        <v>61</v>
      </c>
      <c r="N3489">
        <v>322</v>
      </c>
      <c r="O3489">
        <v>90</v>
      </c>
      <c r="P3489">
        <v>19</v>
      </c>
      <c r="Q3489">
        <v>68</v>
      </c>
      <c r="R3489">
        <v>150</v>
      </c>
      <c r="S3489">
        <v>1.1538461538461537</v>
      </c>
      <c r="T3489">
        <v>1.1333333333333333</v>
      </c>
      <c r="U3489">
        <v>1.22</v>
      </c>
    </row>
    <row r="3490" spans="1:21" x14ac:dyDescent="0.35">
      <c r="A3490">
        <v>435</v>
      </c>
      <c r="B3490" s="16">
        <v>40756</v>
      </c>
      <c r="C3490" s="15" t="s">
        <v>76</v>
      </c>
      <c r="D3490" s="15" t="s">
        <v>58</v>
      </c>
      <c r="E3490" s="15" t="s">
        <v>53</v>
      </c>
      <c r="F3490" s="15" t="s">
        <v>52</v>
      </c>
      <c r="G3490" s="15" t="s">
        <v>77</v>
      </c>
      <c r="H3490" s="15" t="s">
        <v>45</v>
      </c>
      <c r="I3490">
        <v>50</v>
      </c>
      <c r="J3490">
        <v>90</v>
      </c>
      <c r="K3490">
        <v>60</v>
      </c>
      <c r="L3490">
        <v>140</v>
      </c>
      <c r="M3490">
        <v>64</v>
      </c>
      <c r="N3490">
        <v>460</v>
      </c>
      <c r="O3490">
        <v>96</v>
      </c>
      <c r="P3490">
        <v>21</v>
      </c>
      <c r="Q3490">
        <v>61</v>
      </c>
      <c r="R3490">
        <v>159</v>
      </c>
      <c r="S3490">
        <v>1.1357142857142857</v>
      </c>
      <c r="T3490">
        <v>1.0166666666666666</v>
      </c>
      <c r="U3490">
        <v>1.28</v>
      </c>
    </row>
    <row r="3491" spans="1:21" x14ac:dyDescent="0.35">
      <c r="A3491">
        <v>801</v>
      </c>
      <c r="B3491" s="16">
        <v>40756</v>
      </c>
      <c r="C3491" s="15" t="s">
        <v>76</v>
      </c>
      <c r="D3491" s="15" t="s">
        <v>58</v>
      </c>
      <c r="E3491" s="15" t="s">
        <v>54</v>
      </c>
      <c r="F3491" s="15" t="s">
        <v>52</v>
      </c>
      <c r="G3491" s="15" t="s">
        <v>77</v>
      </c>
      <c r="H3491" s="15" t="s">
        <v>45</v>
      </c>
      <c r="I3491">
        <v>100</v>
      </c>
      <c r="J3491">
        <v>20</v>
      </c>
      <c r="K3491">
        <v>-30</v>
      </c>
      <c r="L3491">
        <v>120</v>
      </c>
      <c r="M3491">
        <v>120</v>
      </c>
      <c r="N3491">
        <v>1439</v>
      </c>
      <c r="O3491">
        <v>19</v>
      </c>
      <c r="P3491">
        <v>37</v>
      </c>
      <c r="Q3491">
        <v>-57</v>
      </c>
      <c r="R3491">
        <v>138</v>
      </c>
      <c r="S3491">
        <v>1.1499999999999999</v>
      </c>
      <c r="T3491">
        <v>1.9</v>
      </c>
      <c r="U3491">
        <v>1.2</v>
      </c>
    </row>
    <row r="3492" spans="1:21" x14ac:dyDescent="0.35">
      <c r="A3492">
        <v>435</v>
      </c>
      <c r="B3492" s="16">
        <v>40756</v>
      </c>
      <c r="C3492" s="15" t="s">
        <v>76</v>
      </c>
      <c r="D3492" s="15" t="s">
        <v>58</v>
      </c>
      <c r="E3492" s="15" t="s">
        <v>39</v>
      </c>
      <c r="F3492" s="15" t="s">
        <v>40</v>
      </c>
      <c r="G3492" s="15" t="s">
        <v>77</v>
      </c>
      <c r="H3492" s="15" t="s">
        <v>42</v>
      </c>
      <c r="I3492">
        <v>60</v>
      </c>
      <c r="J3492">
        <v>70</v>
      </c>
      <c r="K3492">
        <v>40</v>
      </c>
      <c r="L3492">
        <v>130</v>
      </c>
      <c r="M3492">
        <v>50</v>
      </c>
      <c r="N3492">
        <v>1064</v>
      </c>
      <c r="O3492">
        <v>60</v>
      </c>
      <c r="P3492">
        <v>15</v>
      </c>
      <c r="Q3492">
        <v>33</v>
      </c>
      <c r="R3492">
        <v>109</v>
      </c>
      <c r="S3492">
        <v>0.83846153846153848</v>
      </c>
      <c r="T3492">
        <v>0.82499999999999996</v>
      </c>
      <c r="U3492">
        <v>0.83333333333333337</v>
      </c>
    </row>
    <row r="3493" spans="1:21" x14ac:dyDescent="0.35">
      <c r="A3493">
        <v>435</v>
      </c>
      <c r="B3493" s="16">
        <v>40756</v>
      </c>
      <c r="C3493" s="15" t="s">
        <v>76</v>
      </c>
      <c r="D3493" s="15" t="s">
        <v>58</v>
      </c>
      <c r="E3493" s="15" t="s">
        <v>43</v>
      </c>
      <c r="F3493" s="15" t="s">
        <v>40</v>
      </c>
      <c r="G3493" s="15" t="s">
        <v>77</v>
      </c>
      <c r="H3493" s="15" t="s">
        <v>42</v>
      </c>
      <c r="I3493">
        <v>50</v>
      </c>
      <c r="J3493">
        <v>70</v>
      </c>
      <c r="K3493">
        <v>40</v>
      </c>
      <c r="L3493">
        <v>120</v>
      </c>
      <c r="M3493">
        <v>42</v>
      </c>
      <c r="N3493">
        <v>384</v>
      </c>
      <c r="O3493">
        <v>56</v>
      </c>
      <c r="P3493">
        <v>13</v>
      </c>
      <c r="Q3493">
        <v>21</v>
      </c>
      <c r="R3493">
        <v>97</v>
      </c>
      <c r="S3493">
        <v>0.80833333333333335</v>
      </c>
      <c r="T3493">
        <v>0.52500000000000002</v>
      </c>
      <c r="U3493">
        <v>0.84</v>
      </c>
    </row>
    <row r="3494" spans="1:21" x14ac:dyDescent="0.35">
      <c r="A3494">
        <v>801</v>
      </c>
      <c r="B3494" s="16">
        <v>40756</v>
      </c>
      <c r="C3494" s="15" t="s">
        <v>76</v>
      </c>
      <c r="D3494" s="15" t="s">
        <v>58</v>
      </c>
      <c r="E3494" s="15" t="s">
        <v>44</v>
      </c>
      <c r="F3494" s="15" t="s">
        <v>40</v>
      </c>
      <c r="G3494" s="15" t="s">
        <v>77</v>
      </c>
      <c r="H3494" s="15" t="s">
        <v>45</v>
      </c>
      <c r="I3494">
        <v>90</v>
      </c>
      <c r="J3494">
        <v>110</v>
      </c>
      <c r="K3494">
        <v>60</v>
      </c>
      <c r="L3494">
        <v>200</v>
      </c>
      <c r="M3494">
        <v>72</v>
      </c>
      <c r="N3494">
        <v>606</v>
      </c>
      <c r="O3494">
        <v>88</v>
      </c>
      <c r="P3494">
        <v>27</v>
      </c>
      <c r="Q3494">
        <v>37</v>
      </c>
      <c r="R3494">
        <v>159</v>
      </c>
      <c r="S3494">
        <v>0.79500000000000004</v>
      </c>
      <c r="T3494">
        <v>0.6166666666666667</v>
      </c>
      <c r="U3494">
        <v>0.8</v>
      </c>
    </row>
    <row r="3495" spans="1:21" x14ac:dyDescent="0.35">
      <c r="A3495">
        <v>435</v>
      </c>
      <c r="B3495" s="16">
        <v>40756</v>
      </c>
      <c r="C3495" s="15" t="s">
        <v>76</v>
      </c>
      <c r="D3495" s="15" t="s">
        <v>58</v>
      </c>
      <c r="E3495" s="15" t="s">
        <v>72</v>
      </c>
      <c r="F3495" s="15" t="s">
        <v>49</v>
      </c>
      <c r="G3495" s="15" t="s">
        <v>77</v>
      </c>
      <c r="H3495" s="15" t="s">
        <v>42</v>
      </c>
      <c r="I3495">
        <v>30</v>
      </c>
      <c r="J3495">
        <v>40</v>
      </c>
      <c r="K3495">
        <v>30</v>
      </c>
      <c r="L3495">
        <v>70</v>
      </c>
      <c r="M3495">
        <v>32</v>
      </c>
      <c r="N3495">
        <v>841</v>
      </c>
      <c r="O3495">
        <v>48</v>
      </c>
      <c r="P3495">
        <v>8</v>
      </c>
      <c r="Q3495">
        <v>39</v>
      </c>
      <c r="R3495">
        <v>79</v>
      </c>
      <c r="S3495">
        <v>1.1285714285714286</v>
      </c>
      <c r="T3495">
        <v>1.3</v>
      </c>
      <c r="U3495">
        <v>1.0666666666666667</v>
      </c>
    </row>
    <row r="3496" spans="1:21" x14ac:dyDescent="0.35">
      <c r="A3496">
        <v>435</v>
      </c>
      <c r="B3496" s="16">
        <v>40756</v>
      </c>
      <c r="C3496" s="15" t="s">
        <v>76</v>
      </c>
      <c r="D3496" s="15" t="s">
        <v>58</v>
      </c>
      <c r="E3496" s="15" t="s">
        <v>48</v>
      </c>
      <c r="F3496" s="15" t="s">
        <v>49</v>
      </c>
      <c r="G3496" s="15" t="s">
        <v>77</v>
      </c>
      <c r="H3496" s="15" t="s">
        <v>42</v>
      </c>
      <c r="I3496">
        <v>70</v>
      </c>
      <c r="J3496">
        <v>90</v>
      </c>
      <c r="K3496">
        <v>60</v>
      </c>
      <c r="L3496">
        <v>160</v>
      </c>
      <c r="M3496">
        <v>77</v>
      </c>
      <c r="N3496">
        <v>581</v>
      </c>
      <c r="O3496">
        <v>99</v>
      </c>
      <c r="P3496">
        <v>25</v>
      </c>
      <c r="Q3496">
        <v>86</v>
      </c>
      <c r="R3496">
        <v>174</v>
      </c>
      <c r="S3496">
        <v>1.0874999999999999</v>
      </c>
      <c r="T3496">
        <v>1.4333333333333333</v>
      </c>
      <c r="U3496">
        <v>1.1000000000000001</v>
      </c>
    </row>
    <row r="3497" spans="1:21" x14ac:dyDescent="0.35">
      <c r="A3497">
        <v>435</v>
      </c>
      <c r="B3497" s="16">
        <v>40756</v>
      </c>
      <c r="C3497" s="15" t="s">
        <v>76</v>
      </c>
      <c r="D3497" s="15" t="s">
        <v>58</v>
      </c>
      <c r="E3497" s="15" t="s">
        <v>50</v>
      </c>
      <c r="F3497" s="15" t="s">
        <v>49</v>
      </c>
      <c r="G3497" s="15" t="s">
        <v>77</v>
      </c>
      <c r="H3497" s="15" t="s">
        <v>45</v>
      </c>
      <c r="I3497">
        <v>30</v>
      </c>
      <c r="J3497">
        <v>40</v>
      </c>
      <c r="K3497">
        <v>30</v>
      </c>
      <c r="L3497">
        <v>70</v>
      </c>
      <c r="M3497">
        <v>34</v>
      </c>
      <c r="N3497">
        <v>890</v>
      </c>
      <c r="O3497">
        <v>49</v>
      </c>
      <c r="P3497">
        <v>9</v>
      </c>
      <c r="Q3497">
        <v>39</v>
      </c>
      <c r="R3497">
        <v>82</v>
      </c>
      <c r="S3497">
        <v>1.1714285714285715</v>
      </c>
      <c r="T3497">
        <v>1.3</v>
      </c>
      <c r="U3497">
        <v>1.1333333333333333</v>
      </c>
    </row>
    <row r="3498" spans="1:21" x14ac:dyDescent="0.35">
      <c r="A3498">
        <v>805</v>
      </c>
      <c r="B3498" s="16">
        <v>40756</v>
      </c>
      <c r="C3498" s="15" t="s">
        <v>76</v>
      </c>
      <c r="D3498" s="15" t="s">
        <v>38</v>
      </c>
      <c r="E3498" s="15" t="s">
        <v>55</v>
      </c>
      <c r="F3498" s="15" t="s">
        <v>47</v>
      </c>
      <c r="G3498" s="15" t="s">
        <v>78</v>
      </c>
      <c r="H3498" s="15" t="s">
        <v>42</v>
      </c>
      <c r="I3498">
        <v>80</v>
      </c>
      <c r="J3498">
        <v>120</v>
      </c>
      <c r="K3498">
        <v>100</v>
      </c>
      <c r="L3498">
        <v>200</v>
      </c>
      <c r="M3498">
        <v>123</v>
      </c>
      <c r="N3498">
        <v>941</v>
      </c>
      <c r="O3498">
        <v>178</v>
      </c>
      <c r="P3498">
        <v>34</v>
      </c>
      <c r="Q3498">
        <v>184</v>
      </c>
      <c r="R3498">
        <v>298</v>
      </c>
      <c r="S3498">
        <v>1.49</v>
      </c>
      <c r="T3498">
        <v>1.84</v>
      </c>
      <c r="U3498">
        <v>1.5375000000000001</v>
      </c>
    </row>
    <row r="3499" spans="1:21" x14ac:dyDescent="0.35">
      <c r="A3499">
        <v>760</v>
      </c>
      <c r="B3499" s="16">
        <v>40756</v>
      </c>
      <c r="C3499" s="15" t="s">
        <v>76</v>
      </c>
      <c r="D3499" s="15" t="s">
        <v>38</v>
      </c>
      <c r="E3499" s="15" t="s">
        <v>56</v>
      </c>
      <c r="F3499" s="15" t="s">
        <v>47</v>
      </c>
      <c r="G3499" s="15" t="s">
        <v>78</v>
      </c>
      <c r="H3499" s="15" t="s">
        <v>42</v>
      </c>
      <c r="I3499">
        <v>60</v>
      </c>
      <c r="J3499">
        <v>100</v>
      </c>
      <c r="K3499">
        <v>90</v>
      </c>
      <c r="L3499">
        <v>160</v>
      </c>
      <c r="M3499">
        <v>100</v>
      </c>
      <c r="N3499">
        <v>598</v>
      </c>
      <c r="O3499">
        <v>145</v>
      </c>
      <c r="P3499">
        <v>28</v>
      </c>
      <c r="Q3499">
        <v>145</v>
      </c>
      <c r="R3499">
        <v>243</v>
      </c>
      <c r="S3499">
        <v>1.51875</v>
      </c>
      <c r="T3499">
        <v>1.6111111111111112</v>
      </c>
      <c r="U3499">
        <v>1.6666666666666667</v>
      </c>
    </row>
    <row r="3500" spans="1:21" x14ac:dyDescent="0.35">
      <c r="A3500">
        <v>650</v>
      </c>
      <c r="B3500" s="16">
        <v>40756</v>
      </c>
      <c r="C3500" s="15" t="s">
        <v>76</v>
      </c>
      <c r="D3500" s="15" t="s">
        <v>38</v>
      </c>
      <c r="E3500" s="15" t="s">
        <v>46</v>
      </c>
      <c r="F3500" s="15" t="s">
        <v>47</v>
      </c>
      <c r="G3500" s="15" t="s">
        <v>78</v>
      </c>
      <c r="H3500" s="15" t="s">
        <v>42</v>
      </c>
      <c r="I3500">
        <v>30</v>
      </c>
      <c r="J3500">
        <v>50</v>
      </c>
      <c r="K3500">
        <v>20</v>
      </c>
      <c r="L3500">
        <v>80</v>
      </c>
      <c r="M3500">
        <v>52</v>
      </c>
      <c r="N3500">
        <v>662</v>
      </c>
      <c r="O3500">
        <v>79</v>
      </c>
      <c r="P3500">
        <v>17</v>
      </c>
      <c r="Q3500">
        <v>41</v>
      </c>
      <c r="R3500">
        <v>130</v>
      </c>
      <c r="S3500">
        <v>1.625</v>
      </c>
      <c r="T3500">
        <v>2.0499999999999998</v>
      </c>
      <c r="U3500">
        <v>1.7333333333333334</v>
      </c>
    </row>
    <row r="3501" spans="1:21" x14ac:dyDescent="0.35">
      <c r="A3501">
        <v>916</v>
      </c>
      <c r="B3501" s="16">
        <v>40756</v>
      </c>
      <c r="C3501" s="15" t="s">
        <v>76</v>
      </c>
      <c r="D3501" s="15" t="s">
        <v>38</v>
      </c>
      <c r="E3501" s="15" t="s">
        <v>51</v>
      </c>
      <c r="F3501" s="15" t="s">
        <v>52</v>
      </c>
      <c r="G3501" s="15" t="s">
        <v>78</v>
      </c>
      <c r="H3501" s="15" t="s">
        <v>45</v>
      </c>
      <c r="I3501">
        <v>110</v>
      </c>
      <c r="J3501">
        <v>170</v>
      </c>
      <c r="K3501">
        <v>140</v>
      </c>
      <c r="L3501">
        <v>280</v>
      </c>
      <c r="M3501">
        <v>132</v>
      </c>
      <c r="N3501">
        <v>994</v>
      </c>
      <c r="O3501">
        <v>191</v>
      </c>
      <c r="P3501">
        <v>36</v>
      </c>
      <c r="Q3501">
        <v>197</v>
      </c>
      <c r="R3501">
        <v>320</v>
      </c>
      <c r="S3501">
        <v>1.1428571428571428</v>
      </c>
      <c r="T3501">
        <v>1.4071428571428573</v>
      </c>
      <c r="U3501">
        <v>1.2</v>
      </c>
    </row>
    <row r="3502" spans="1:21" x14ac:dyDescent="0.35">
      <c r="A3502">
        <v>818</v>
      </c>
      <c r="B3502" s="16">
        <v>40756</v>
      </c>
      <c r="C3502" s="15" t="s">
        <v>76</v>
      </c>
      <c r="D3502" s="15" t="s">
        <v>38</v>
      </c>
      <c r="E3502" s="15" t="s">
        <v>53</v>
      </c>
      <c r="F3502" s="15" t="s">
        <v>52</v>
      </c>
      <c r="G3502" s="15" t="s">
        <v>78</v>
      </c>
      <c r="H3502" s="15" t="s">
        <v>45</v>
      </c>
      <c r="I3502">
        <v>260</v>
      </c>
      <c r="J3502">
        <v>330</v>
      </c>
      <c r="K3502">
        <v>240</v>
      </c>
      <c r="L3502">
        <v>590</v>
      </c>
      <c r="M3502">
        <v>311</v>
      </c>
      <c r="N3502">
        <v>1296</v>
      </c>
      <c r="O3502">
        <v>367</v>
      </c>
      <c r="P3502">
        <v>96</v>
      </c>
      <c r="Q3502">
        <v>344</v>
      </c>
      <c r="R3502">
        <v>672</v>
      </c>
      <c r="S3502">
        <v>1.1389830508474577</v>
      </c>
      <c r="T3502">
        <v>1.4333333333333333</v>
      </c>
      <c r="U3502">
        <v>1.1961538461538461</v>
      </c>
    </row>
    <row r="3503" spans="1:21" x14ac:dyDescent="0.35">
      <c r="A3503">
        <v>213</v>
      </c>
      <c r="B3503" s="16">
        <v>40756</v>
      </c>
      <c r="C3503" s="15" t="s">
        <v>76</v>
      </c>
      <c r="D3503" s="15" t="s">
        <v>38</v>
      </c>
      <c r="E3503" s="15" t="s">
        <v>54</v>
      </c>
      <c r="F3503" s="15" t="s">
        <v>52</v>
      </c>
      <c r="G3503" s="15" t="s">
        <v>78</v>
      </c>
      <c r="H3503" s="15" t="s">
        <v>45</v>
      </c>
      <c r="I3503">
        <v>40</v>
      </c>
      <c r="J3503">
        <v>60</v>
      </c>
      <c r="K3503">
        <v>40</v>
      </c>
      <c r="L3503">
        <v>100</v>
      </c>
      <c r="M3503">
        <v>52</v>
      </c>
      <c r="N3503">
        <v>554</v>
      </c>
      <c r="O3503">
        <v>68</v>
      </c>
      <c r="P3503">
        <v>17</v>
      </c>
      <c r="Q3503">
        <v>52</v>
      </c>
      <c r="R3503">
        <v>119</v>
      </c>
      <c r="S3503">
        <v>1.19</v>
      </c>
      <c r="T3503">
        <v>1.3</v>
      </c>
      <c r="U3503">
        <v>1.3</v>
      </c>
    </row>
    <row r="3504" spans="1:21" x14ac:dyDescent="0.35">
      <c r="A3504">
        <v>858</v>
      </c>
      <c r="B3504" s="16">
        <v>40756</v>
      </c>
      <c r="C3504" s="15" t="s">
        <v>76</v>
      </c>
      <c r="D3504" s="15" t="s">
        <v>38</v>
      </c>
      <c r="E3504" s="15" t="s">
        <v>39</v>
      </c>
      <c r="F3504" s="15" t="s">
        <v>40</v>
      </c>
      <c r="G3504" s="15" t="s">
        <v>78</v>
      </c>
      <c r="H3504" s="15" t="s">
        <v>42</v>
      </c>
      <c r="I3504">
        <v>190</v>
      </c>
      <c r="J3504">
        <v>-90</v>
      </c>
      <c r="K3504">
        <v>-150</v>
      </c>
      <c r="L3504">
        <v>100</v>
      </c>
      <c r="M3504">
        <v>154</v>
      </c>
      <c r="N3504">
        <v>2105</v>
      </c>
      <c r="O3504">
        <v>-67</v>
      </c>
      <c r="P3504">
        <v>49</v>
      </c>
      <c r="Q3504">
        <v>-192</v>
      </c>
      <c r="R3504">
        <v>86</v>
      </c>
      <c r="S3504">
        <v>0.86</v>
      </c>
      <c r="T3504">
        <v>1.28</v>
      </c>
      <c r="U3504">
        <v>0.81052631578947365</v>
      </c>
    </row>
    <row r="3505" spans="1:21" x14ac:dyDescent="0.35">
      <c r="A3505">
        <v>213</v>
      </c>
      <c r="B3505" s="16">
        <v>40756</v>
      </c>
      <c r="C3505" s="15" t="s">
        <v>76</v>
      </c>
      <c r="D3505" s="15" t="s">
        <v>38</v>
      </c>
      <c r="E3505" s="15" t="s">
        <v>43</v>
      </c>
      <c r="F3505" s="15" t="s">
        <v>40</v>
      </c>
      <c r="G3505" s="15" t="s">
        <v>78</v>
      </c>
      <c r="H3505" s="15" t="s">
        <v>42</v>
      </c>
      <c r="I3505">
        <v>450</v>
      </c>
      <c r="J3505">
        <v>680</v>
      </c>
      <c r="K3505">
        <v>520</v>
      </c>
      <c r="L3505">
        <v>1130</v>
      </c>
      <c r="M3505">
        <v>364</v>
      </c>
      <c r="N3505">
        <v>2617</v>
      </c>
      <c r="O3505">
        <v>546</v>
      </c>
      <c r="P3505">
        <v>127</v>
      </c>
      <c r="Q3505">
        <v>508</v>
      </c>
      <c r="R3505">
        <v>902</v>
      </c>
      <c r="S3505">
        <v>0.7982300884955752</v>
      </c>
      <c r="T3505">
        <v>0.97692307692307689</v>
      </c>
      <c r="U3505">
        <v>0.80888888888888888</v>
      </c>
    </row>
    <row r="3506" spans="1:21" x14ac:dyDescent="0.35">
      <c r="A3506">
        <v>530</v>
      </c>
      <c r="B3506" s="16">
        <v>40756</v>
      </c>
      <c r="C3506" s="15" t="s">
        <v>76</v>
      </c>
      <c r="D3506" s="15" t="s">
        <v>38</v>
      </c>
      <c r="E3506" s="15" t="s">
        <v>44</v>
      </c>
      <c r="F3506" s="15" t="s">
        <v>40</v>
      </c>
      <c r="G3506" s="15" t="s">
        <v>78</v>
      </c>
      <c r="H3506" s="15" t="s">
        <v>45</v>
      </c>
      <c r="I3506">
        <v>240</v>
      </c>
      <c r="J3506">
        <v>-40</v>
      </c>
      <c r="K3506">
        <v>-140</v>
      </c>
      <c r="L3506">
        <v>200</v>
      </c>
      <c r="M3506">
        <v>196</v>
      </c>
      <c r="N3506">
        <v>3139</v>
      </c>
      <c r="O3506">
        <v>-30</v>
      </c>
      <c r="P3506">
        <v>64</v>
      </c>
      <c r="Q3506">
        <v>-189</v>
      </c>
      <c r="R3506">
        <v>165</v>
      </c>
      <c r="S3506">
        <v>0.82499999999999996</v>
      </c>
      <c r="T3506">
        <v>1.35</v>
      </c>
      <c r="U3506">
        <v>0.81666666666666665</v>
      </c>
    </row>
    <row r="3507" spans="1:21" x14ac:dyDescent="0.35">
      <c r="A3507">
        <v>213</v>
      </c>
      <c r="B3507" s="16">
        <v>40756</v>
      </c>
      <c r="C3507" s="15" t="s">
        <v>76</v>
      </c>
      <c r="D3507" s="15" t="s">
        <v>38</v>
      </c>
      <c r="E3507" s="15" t="s">
        <v>72</v>
      </c>
      <c r="F3507" s="15" t="s">
        <v>49</v>
      </c>
      <c r="G3507" s="15" t="s">
        <v>78</v>
      </c>
      <c r="H3507" s="15" t="s">
        <v>42</v>
      </c>
      <c r="I3507">
        <v>250</v>
      </c>
      <c r="J3507">
        <v>260</v>
      </c>
      <c r="K3507">
        <v>170</v>
      </c>
      <c r="L3507">
        <v>510</v>
      </c>
      <c r="M3507">
        <v>266</v>
      </c>
      <c r="N3507">
        <v>1797</v>
      </c>
      <c r="O3507">
        <v>266</v>
      </c>
      <c r="P3507">
        <v>74</v>
      </c>
      <c r="Q3507">
        <v>230</v>
      </c>
      <c r="R3507">
        <v>527</v>
      </c>
      <c r="S3507">
        <v>1.0333333333333334</v>
      </c>
      <c r="T3507">
        <v>1.3529411764705883</v>
      </c>
      <c r="U3507">
        <v>1.0640000000000001</v>
      </c>
    </row>
    <row r="3508" spans="1:21" x14ac:dyDescent="0.35">
      <c r="A3508">
        <v>951</v>
      </c>
      <c r="B3508" s="16">
        <v>40756</v>
      </c>
      <c r="C3508" s="15" t="s">
        <v>76</v>
      </c>
      <c r="D3508" s="15" t="s">
        <v>38</v>
      </c>
      <c r="E3508" s="15" t="s">
        <v>48</v>
      </c>
      <c r="F3508" s="15" t="s">
        <v>49</v>
      </c>
      <c r="G3508" s="15" t="s">
        <v>78</v>
      </c>
      <c r="H3508" s="15" t="s">
        <v>42</v>
      </c>
      <c r="I3508">
        <v>160</v>
      </c>
      <c r="J3508">
        <v>230</v>
      </c>
      <c r="K3508">
        <v>60</v>
      </c>
      <c r="L3508">
        <v>390</v>
      </c>
      <c r="M3508">
        <v>173</v>
      </c>
      <c r="N3508">
        <v>927</v>
      </c>
      <c r="O3508">
        <v>239</v>
      </c>
      <c r="P3508">
        <v>156</v>
      </c>
      <c r="Q3508">
        <v>69</v>
      </c>
      <c r="R3508">
        <v>408</v>
      </c>
      <c r="S3508">
        <v>1.0461538461538462</v>
      </c>
      <c r="T3508">
        <v>1.1499999999999999</v>
      </c>
      <c r="U3508">
        <v>1.08125</v>
      </c>
    </row>
    <row r="3509" spans="1:21" x14ac:dyDescent="0.35">
      <c r="A3509">
        <v>909</v>
      </c>
      <c r="B3509" s="16">
        <v>40756</v>
      </c>
      <c r="C3509" s="15" t="s">
        <v>76</v>
      </c>
      <c r="D3509" s="15" t="s">
        <v>38</v>
      </c>
      <c r="E3509" s="15" t="s">
        <v>50</v>
      </c>
      <c r="F3509" s="15" t="s">
        <v>49</v>
      </c>
      <c r="G3509" s="15" t="s">
        <v>78</v>
      </c>
      <c r="H3509" s="15" t="s">
        <v>45</v>
      </c>
      <c r="I3509">
        <v>280</v>
      </c>
      <c r="J3509">
        <v>370</v>
      </c>
      <c r="K3509">
        <v>250</v>
      </c>
      <c r="L3509">
        <v>650</v>
      </c>
      <c r="M3509">
        <v>295</v>
      </c>
      <c r="N3509">
        <v>1714</v>
      </c>
      <c r="O3509">
        <v>392</v>
      </c>
      <c r="P3509">
        <v>97</v>
      </c>
      <c r="Q3509">
        <v>362</v>
      </c>
      <c r="R3509">
        <v>681</v>
      </c>
      <c r="S3509">
        <v>1.0476923076923077</v>
      </c>
      <c r="T3509">
        <v>1.448</v>
      </c>
      <c r="U3509">
        <v>1.0535714285714286</v>
      </c>
    </row>
    <row r="3510" spans="1:21" x14ac:dyDescent="0.35">
      <c r="A3510">
        <v>702</v>
      </c>
      <c r="B3510" s="16">
        <v>40756</v>
      </c>
      <c r="C3510" s="15" t="s">
        <v>76</v>
      </c>
      <c r="D3510" s="15" t="s">
        <v>58</v>
      </c>
      <c r="E3510" s="15" t="s">
        <v>55</v>
      </c>
      <c r="F3510" s="15" t="s">
        <v>47</v>
      </c>
      <c r="G3510" s="15" t="s">
        <v>79</v>
      </c>
      <c r="H3510" s="15" t="s">
        <v>42</v>
      </c>
      <c r="I3510">
        <v>190</v>
      </c>
      <c r="J3510">
        <v>270</v>
      </c>
      <c r="K3510">
        <v>190</v>
      </c>
      <c r="L3510">
        <v>460</v>
      </c>
      <c r="M3510">
        <v>295</v>
      </c>
      <c r="N3510">
        <v>1714</v>
      </c>
      <c r="O3510">
        <v>392</v>
      </c>
      <c r="P3510">
        <v>97</v>
      </c>
      <c r="Q3510">
        <v>362</v>
      </c>
      <c r="R3510">
        <v>681</v>
      </c>
      <c r="S3510">
        <v>1.4804347826086957</v>
      </c>
      <c r="T3510">
        <v>1.9052631578947368</v>
      </c>
      <c r="U3510">
        <v>1.5526315789473684</v>
      </c>
    </row>
    <row r="3511" spans="1:21" x14ac:dyDescent="0.35">
      <c r="A3511">
        <v>702</v>
      </c>
      <c r="B3511" s="16">
        <v>40756</v>
      </c>
      <c r="C3511" s="15" t="s">
        <v>76</v>
      </c>
      <c r="D3511" s="15" t="s">
        <v>58</v>
      </c>
      <c r="E3511" s="15" t="s">
        <v>56</v>
      </c>
      <c r="F3511" s="15" t="s">
        <v>47</v>
      </c>
      <c r="G3511" s="15" t="s">
        <v>79</v>
      </c>
      <c r="H3511" s="15" t="s">
        <v>42</v>
      </c>
      <c r="I3511">
        <v>170</v>
      </c>
      <c r="J3511">
        <v>190</v>
      </c>
      <c r="K3511">
        <v>130</v>
      </c>
      <c r="L3511">
        <v>360</v>
      </c>
      <c r="M3511">
        <v>266</v>
      </c>
      <c r="N3511">
        <v>1797</v>
      </c>
      <c r="O3511">
        <v>266</v>
      </c>
      <c r="P3511">
        <v>74</v>
      </c>
      <c r="Q3511">
        <v>230</v>
      </c>
      <c r="R3511">
        <v>527</v>
      </c>
      <c r="S3511">
        <v>1.4638888888888888</v>
      </c>
      <c r="T3511">
        <v>1.7692307692307692</v>
      </c>
      <c r="U3511">
        <v>1.5647058823529412</v>
      </c>
    </row>
    <row r="3512" spans="1:21" x14ac:dyDescent="0.35">
      <c r="A3512">
        <v>775</v>
      </c>
      <c r="B3512" s="16">
        <v>40756</v>
      </c>
      <c r="C3512" s="15" t="s">
        <v>76</v>
      </c>
      <c r="D3512" s="15" t="s">
        <v>58</v>
      </c>
      <c r="E3512" s="15" t="s">
        <v>46</v>
      </c>
      <c r="F3512" s="15" t="s">
        <v>47</v>
      </c>
      <c r="G3512" s="15" t="s">
        <v>79</v>
      </c>
      <c r="H3512" s="15" t="s">
        <v>42</v>
      </c>
      <c r="I3512">
        <v>180</v>
      </c>
      <c r="J3512">
        <v>-180</v>
      </c>
      <c r="K3512">
        <v>-260</v>
      </c>
      <c r="L3512">
        <v>0</v>
      </c>
      <c r="M3512">
        <v>284</v>
      </c>
      <c r="N3512">
        <v>5807</v>
      </c>
      <c r="O3512">
        <v>-284</v>
      </c>
      <c r="P3512">
        <v>107</v>
      </c>
      <c r="Q3512">
        <v>-558</v>
      </c>
      <c r="R3512">
        <v>21</v>
      </c>
      <c r="T3512">
        <v>2.1461538461538461</v>
      </c>
      <c r="U3512">
        <v>1.5777777777777777</v>
      </c>
    </row>
    <row r="3513" spans="1:21" x14ac:dyDescent="0.35">
      <c r="A3513">
        <v>702</v>
      </c>
      <c r="B3513" s="16">
        <v>40756</v>
      </c>
      <c r="C3513" s="15" t="s">
        <v>76</v>
      </c>
      <c r="D3513" s="15" t="s">
        <v>58</v>
      </c>
      <c r="E3513" s="15" t="s">
        <v>51</v>
      </c>
      <c r="F3513" s="15" t="s">
        <v>52</v>
      </c>
      <c r="G3513" s="15" t="s">
        <v>79</v>
      </c>
      <c r="H3513" s="15" t="s">
        <v>45</v>
      </c>
      <c r="I3513">
        <v>140</v>
      </c>
      <c r="J3513">
        <v>220</v>
      </c>
      <c r="K3513">
        <v>70</v>
      </c>
      <c r="L3513">
        <v>360</v>
      </c>
      <c r="M3513">
        <v>173</v>
      </c>
      <c r="N3513">
        <v>927</v>
      </c>
      <c r="O3513">
        <v>239</v>
      </c>
      <c r="P3513">
        <v>156</v>
      </c>
      <c r="Q3513">
        <v>68</v>
      </c>
      <c r="R3513">
        <v>408</v>
      </c>
      <c r="S3513">
        <v>1.1333333333333333</v>
      </c>
      <c r="T3513">
        <v>0.97142857142857142</v>
      </c>
      <c r="U3513">
        <v>1.2357142857142858</v>
      </c>
    </row>
    <row r="3514" spans="1:21" x14ac:dyDescent="0.35">
      <c r="A3514">
        <v>775</v>
      </c>
      <c r="B3514" s="16">
        <v>40756</v>
      </c>
      <c r="C3514" s="15" t="s">
        <v>76</v>
      </c>
      <c r="D3514" s="15" t="s">
        <v>58</v>
      </c>
      <c r="E3514" s="15" t="s">
        <v>53</v>
      </c>
      <c r="F3514" s="15" t="s">
        <v>52</v>
      </c>
      <c r="G3514" s="15" t="s">
        <v>79</v>
      </c>
      <c r="H3514" s="15" t="s">
        <v>45</v>
      </c>
      <c r="I3514">
        <v>160</v>
      </c>
      <c r="J3514">
        <v>250</v>
      </c>
      <c r="K3514">
        <v>170</v>
      </c>
      <c r="L3514">
        <v>410</v>
      </c>
      <c r="M3514">
        <v>196</v>
      </c>
      <c r="N3514">
        <v>1167</v>
      </c>
      <c r="O3514">
        <v>271</v>
      </c>
      <c r="P3514">
        <v>64</v>
      </c>
      <c r="Q3514">
        <v>225</v>
      </c>
      <c r="R3514">
        <v>463</v>
      </c>
      <c r="S3514">
        <v>1.1292682926829267</v>
      </c>
      <c r="T3514">
        <v>1.3235294117647058</v>
      </c>
      <c r="U3514">
        <v>1.2250000000000001</v>
      </c>
    </row>
    <row r="3515" spans="1:21" x14ac:dyDescent="0.35">
      <c r="A3515">
        <v>775</v>
      </c>
      <c r="B3515" s="16">
        <v>40756</v>
      </c>
      <c r="C3515" s="15" t="s">
        <v>76</v>
      </c>
      <c r="D3515" s="15" t="s">
        <v>58</v>
      </c>
      <c r="E3515" s="15" t="s">
        <v>54</v>
      </c>
      <c r="F3515" s="15" t="s">
        <v>52</v>
      </c>
      <c r="G3515" s="15" t="s">
        <v>79</v>
      </c>
      <c r="H3515" s="15" t="s">
        <v>45</v>
      </c>
      <c r="I3515">
        <v>130</v>
      </c>
      <c r="J3515">
        <v>200</v>
      </c>
      <c r="K3515">
        <v>150</v>
      </c>
      <c r="L3515">
        <v>330</v>
      </c>
      <c r="M3515">
        <v>154</v>
      </c>
      <c r="N3515">
        <v>817</v>
      </c>
      <c r="O3515">
        <v>222</v>
      </c>
      <c r="P3515">
        <v>49</v>
      </c>
      <c r="Q3515">
        <v>207</v>
      </c>
      <c r="R3515">
        <v>373</v>
      </c>
      <c r="S3515">
        <v>1.1303030303030304</v>
      </c>
      <c r="T3515">
        <v>1.38</v>
      </c>
      <c r="U3515">
        <v>1.1846153846153846</v>
      </c>
    </row>
    <row r="3516" spans="1:21" x14ac:dyDescent="0.35">
      <c r="A3516">
        <v>775</v>
      </c>
      <c r="B3516" s="16">
        <v>40756</v>
      </c>
      <c r="C3516" s="15" t="s">
        <v>76</v>
      </c>
      <c r="D3516" s="15" t="s">
        <v>58</v>
      </c>
      <c r="E3516" s="15" t="s">
        <v>43</v>
      </c>
      <c r="F3516" s="15" t="s">
        <v>40</v>
      </c>
      <c r="G3516" s="15" t="s">
        <v>79</v>
      </c>
      <c r="H3516" s="15" t="s">
        <v>42</v>
      </c>
      <c r="I3516">
        <v>40</v>
      </c>
      <c r="J3516">
        <v>60</v>
      </c>
      <c r="K3516">
        <v>20</v>
      </c>
      <c r="L3516">
        <v>100</v>
      </c>
      <c r="M3516">
        <v>38</v>
      </c>
      <c r="N3516">
        <v>248</v>
      </c>
      <c r="O3516">
        <v>48</v>
      </c>
      <c r="P3516">
        <v>14</v>
      </c>
      <c r="Q3516">
        <v>1</v>
      </c>
      <c r="R3516">
        <v>85</v>
      </c>
      <c r="S3516">
        <v>0.85</v>
      </c>
      <c r="T3516">
        <v>0.05</v>
      </c>
      <c r="U3516">
        <v>0.95</v>
      </c>
    </row>
    <row r="3517" spans="1:21" x14ac:dyDescent="0.35">
      <c r="A3517">
        <v>702</v>
      </c>
      <c r="B3517" s="16">
        <v>40756</v>
      </c>
      <c r="C3517" s="15" t="s">
        <v>76</v>
      </c>
      <c r="D3517" s="15" t="s">
        <v>58</v>
      </c>
      <c r="E3517" s="15" t="s">
        <v>44</v>
      </c>
      <c r="F3517" s="15" t="s">
        <v>40</v>
      </c>
      <c r="G3517" s="15" t="s">
        <v>79</v>
      </c>
      <c r="H3517" s="15" t="s">
        <v>45</v>
      </c>
      <c r="I3517">
        <v>50</v>
      </c>
      <c r="J3517">
        <v>60</v>
      </c>
      <c r="K3517">
        <v>30</v>
      </c>
      <c r="L3517">
        <v>110</v>
      </c>
      <c r="M3517">
        <v>41</v>
      </c>
      <c r="N3517">
        <v>1007</v>
      </c>
      <c r="O3517">
        <v>49</v>
      </c>
      <c r="P3517">
        <v>12</v>
      </c>
      <c r="Q3517">
        <v>22</v>
      </c>
      <c r="R3517">
        <v>89</v>
      </c>
      <c r="S3517">
        <v>0.80909090909090908</v>
      </c>
      <c r="T3517">
        <v>0.73333333333333328</v>
      </c>
      <c r="U3517">
        <v>0.82</v>
      </c>
    </row>
    <row r="3518" spans="1:21" x14ac:dyDescent="0.35">
      <c r="A3518">
        <v>775</v>
      </c>
      <c r="B3518" s="16">
        <v>40756</v>
      </c>
      <c r="C3518" s="15" t="s">
        <v>76</v>
      </c>
      <c r="D3518" s="15" t="s">
        <v>58</v>
      </c>
      <c r="E3518" s="15" t="s">
        <v>72</v>
      </c>
      <c r="F3518" s="15" t="s">
        <v>49</v>
      </c>
      <c r="G3518" s="15" t="s">
        <v>79</v>
      </c>
      <c r="H3518" s="15" t="s">
        <v>42</v>
      </c>
      <c r="I3518">
        <v>0</v>
      </c>
      <c r="J3518">
        <v>40</v>
      </c>
      <c r="K3518">
        <v>30</v>
      </c>
      <c r="L3518">
        <v>40</v>
      </c>
      <c r="M3518">
        <v>0</v>
      </c>
      <c r="N3518">
        <v>516</v>
      </c>
      <c r="O3518">
        <v>43</v>
      </c>
      <c r="P3518">
        <v>0</v>
      </c>
      <c r="Q3518">
        <v>44</v>
      </c>
      <c r="R3518">
        <v>43</v>
      </c>
      <c r="S3518">
        <v>1.075</v>
      </c>
      <c r="T3518">
        <v>1.4666666666666666</v>
      </c>
    </row>
    <row r="3519" spans="1:21" x14ac:dyDescent="0.35">
      <c r="A3519">
        <v>702</v>
      </c>
      <c r="B3519" s="16">
        <v>40756</v>
      </c>
      <c r="C3519" s="15" t="s">
        <v>76</v>
      </c>
      <c r="D3519" s="15" t="s">
        <v>58</v>
      </c>
      <c r="E3519" s="15" t="s">
        <v>48</v>
      </c>
      <c r="F3519" s="15" t="s">
        <v>49</v>
      </c>
      <c r="G3519" s="15" t="s">
        <v>79</v>
      </c>
      <c r="H3519" s="15" t="s">
        <v>42</v>
      </c>
      <c r="I3519">
        <v>20</v>
      </c>
      <c r="J3519">
        <v>40</v>
      </c>
      <c r="K3519">
        <v>30</v>
      </c>
      <c r="L3519">
        <v>60</v>
      </c>
      <c r="M3519">
        <v>25</v>
      </c>
      <c r="N3519">
        <v>851</v>
      </c>
      <c r="O3519">
        <v>38</v>
      </c>
      <c r="P3519">
        <v>7</v>
      </c>
      <c r="Q3519">
        <v>26</v>
      </c>
      <c r="R3519">
        <v>62</v>
      </c>
      <c r="S3519">
        <v>1.0333333333333334</v>
      </c>
      <c r="T3519">
        <v>0.8666666666666667</v>
      </c>
      <c r="U3519">
        <v>1.25</v>
      </c>
    </row>
    <row r="3520" spans="1:21" x14ac:dyDescent="0.35">
      <c r="A3520">
        <v>775</v>
      </c>
      <c r="B3520" s="16">
        <v>40756</v>
      </c>
      <c r="C3520" s="15" t="s">
        <v>76</v>
      </c>
      <c r="D3520" s="15" t="s">
        <v>58</v>
      </c>
      <c r="E3520" s="15" t="s">
        <v>50</v>
      </c>
      <c r="F3520" s="15" t="s">
        <v>49</v>
      </c>
      <c r="G3520" s="15" t="s">
        <v>79</v>
      </c>
      <c r="H3520" s="15" t="s">
        <v>45</v>
      </c>
      <c r="I3520">
        <v>20</v>
      </c>
      <c r="J3520">
        <v>30</v>
      </c>
      <c r="K3520">
        <v>20</v>
      </c>
      <c r="L3520">
        <v>50</v>
      </c>
      <c r="M3520">
        <v>23</v>
      </c>
      <c r="N3520">
        <v>806</v>
      </c>
      <c r="O3520">
        <v>35</v>
      </c>
      <c r="P3520">
        <v>6</v>
      </c>
      <c r="Q3520">
        <v>23</v>
      </c>
      <c r="R3520">
        <v>57</v>
      </c>
      <c r="S3520">
        <v>1.1399999999999999</v>
      </c>
      <c r="T3520">
        <v>1.1499999999999999</v>
      </c>
      <c r="U3520">
        <v>1.1499999999999999</v>
      </c>
    </row>
    <row r="3521" spans="1:21" x14ac:dyDescent="0.35">
      <c r="A3521">
        <v>541</v>
      </c>
      <c r="B3521" s="16">
        <v>40756</v>
      </c>
      <c r="C3521" s="15" t="s">
        <v>76</v>
      </c>
      <c r="D3521" s="15" t="s">
        <v>58</v>
      </c>
      <c r="E3521" s="15" t="s">
        <v>55</v>
      </c>
      <c r="F3521" s="15" t="s">
        <v>47</v>
      </c>
      <c r="G3521" s="15" t="s">
        <v>80</v>
      </c>
      <c r="H3521" s="15" t="s">
        <v>42</v>
      </c>
      <c r="I3521">
        <v>10</v>
      </c>
      <c r="J3521">
        <v>10</v>
      </c>
      <c r="K3521">
        <v>10</v>
      </c>
      <c r="L3521">
        <v>20</v>
      </c>
      <c r="M3521">
        <v>16</v>
      </c>
      <c r="N3521">
        <v>484</v>
      </c>
      <c r="O3521">
        <v>25</v>
      </c>
      <c r="P3521">
        <v>4</v>
      </c>
      <c r="Q3521">
        <v>12</v>
      </c>
      <c r="R3521">
        <v>41</v>
      </c>
      <c r="S3521">
        <v>2.0499999999999998</v>
      </c>
      <c r="T3521">
        <v>1.2</v>
      </c>
      <c r="U3521">
        <v>1.6</v>
      </c>
    </row>
    <row r="3522" spans="1:21" x14ac:dyDescent="0.35">
      <c r="A3522">
        <v>541</v>
      </c>
      <c r="B3522" s="16">
        <v>40756</v>
      </c>
      <c r="C3522" s="15" t="s">
        <v>76</v>
      </c>
      <c r="D3522" s="15" t="s">
        <v>58</v>
      </c>
      <c r="E3522" s="15" t="s">
        <v>56</v>
      </c>
      <c r="F3522" s="15" t="s">
        <v>47</v>
      </c>
      <c r="G3522" s="15" t="s">
        <v>80</v>
      </c>
      <c r="H3522" s="15" t="s">
        <v>42</v>
      </c>
      <c r="I3522">
        <v>70</v>
      </c>
      <c r="J3522">
        <v>120</v>
      </c>
      <c r="K3522">
        <v>80</v>
      </c>
      <c r="L3522">
        <v>190</v>
      </c>
      <c r="M3522">
        <v>114</v>
      </c>
      <c r="N3522">
        <v>810</v>
      </c>
      <c r="O3522">
        <v>172</v>
      </c>
      <c r="P3522">
        <v>37</v>
      </c>
      <c r="Q3522">
        <v>144</v>
      </c>
      <c r="R3522">
        <v>283</v>
      </c>
      <c r="S3522">
        <v>1.4894736842105263</v>
      </c>
      <c r="T3522">
        <v>1.8</v>
      </c>
      <c r="U3522">
        <v>1.6285714285714286</v>
      </c>
    </row>
    <row r="3523" spans="1:21" x14ac:dyDescent="0.35">
      <c r="A3523">
        <v>503</v>
      </c>
      <c r="B3523" s="16">
        <v>40756</v>
      </c>
      <c r="C3523" s="15" t="s">
        <v>76</v>
      </c>
      <c r="D3523" s="15" t="s">
        <v>58</v>
      </c>
      <c r="E3523" s="15" t="s">
        <v>46</v>
      </c>
      <c r="F3523" s="15" t="s">
        <v>47</v>
      </c>
      <c r="G3523" s="15" t="s">
        <v>80</v>
      </c>
      <c r="H3523" s="15" t="s">
        <v>42</v>
      </c>
      <c r="I3523">
        <v>70</v>
      </c>
      <c r="J3523">
        <v>110</v>
      </c>
      <c r="K3523">
        <v>70</v>
      </c>
      <c r="L3523">
        <v>180</v>
      </c>
      <c r="M3523">
        <v>116</v>
      </c>
      <c r="N3523">
        <v>678</v>
      </c>
      <c r="O3523">
        <v>161</v>
      </c>
      <c r="P3523">
        <v>35</v>
      </c>
      <c r="Q3523">
        <v>141</v>
      </c>
      <c r="R3523">
        <v>275</v>
      </c>
      <c r="S3523">
        <v>1.5277777777777777</v>
      </c>
      <c r="T3523">
        <v>2.0142857142857142</v>
      </c>
      <c r="U3523">
        <v>1.6571428571428573</v>
      </c>
    </row>
    <row r="3524" spans="1:21" x14ac:dyDescent="0.35">
      <c r="A3524">
        <v>971</v>
      </c>
      <c r="B3524" s="16">
        <v>40756</v>
      </c>
      <c r="C3524" s="15" t="s">
        <v>76</v>
      </c>
      <c r="D3524" s="15" t="s">
        <v>58</v>
      </c>
      <c r="E3524" s="15" t="s">
        <v>51</v>
      </c>
      <c r="F3524" s="15" t="s">
        <v>52</v>
      </c>
      <c r="G3524" s="15" t="s">
        <v>80</v>
      </c>
      <c r="H3524" s="15" t="s">
        <v>45</v>
      </c>
      <c r="I3524">
        <v>20</v>
      </c>
      <c r="J3524">
        <v>30</v>
      </c>
      <c r="K3524">
        <v>30</v>
      </c>
      <c r="L3524">
        <v>50</v>
      </c>
      <c r="M3524">
        <v>25</v>
      </c>
      <c r="N3524">
        <v>826</v>
      </c>
      <c r="O3524">
        <v>37</v>
      </c>
      <c r="P3524">
        <v>7</v>
      </c>
      <c r="Q3524">
        <v>26</v>
      </c>
      <c r="R3524">
        <v>61</v>
      </c>
      <c r="S3524">
        <v>1.22</v>
      </c>
      <c r="T3524">
        <v>0.8666666666666667</v>
      </c>
      <c r="U3524">
        <v>1.25</v>
      </c>
    </row>
    <row r="3525" spans="1:21" x14ac:dyDescent="0.35">
      <c r="A3525">
        <v>541</v>
      </c>
      <c r="B3525" s="16">
        <v>40756</v>
      </c>
      <c r="C3525" s="15" t="s">
        <v>76</v>
      </c>
      <c r="D3525" s="15" t="s">
        <v>58</v>
      </c>
      <c r="E3525" s="15" t="s">
        <v>53</v>
      </c>
      <c r="F3525" s="15" t="s">
        <v>52</v>
      </c>
      <c r="G3525" s="15" t="s">
        <v>80</v>
      </c>
      <c r="H3525" s="15" t="s">
        <v>45</v>
      </c>
      <c r="I3525">
        <v>50</v>
      </c>
      <c r="J3525">
        <v>80</v>
      </c>
      <c r="K3525">
        <v>60</v>
      </c>
      <c r="L3525">
        <v>130</v>
      </c>
      <c r="M3525">
        <v>68</v>
      </c>
      <c r="N3525">
        <v>587</v>
      </c>
      <c r="O3525">
        <v>87</v>
      </c>
      <c r="P3525">
        <v>22</v>
      </c>
      <c r="Q3525">
        <v>73</v>
      </c>
      <c r="R3525">
        <v>154</v>
      </c>
      <c r="S3525">
        <v>1.1846153846153846</v>
      </c>
      <c r="T3525">
        <v>1.2166666666666666</v>
      </c>
      <c r="U3525">
        <v>1.36</v>
      </c>
    </row>
    <row r="3526" spans="1:21" x14ac:dyDescent="0.35">
      <c r="A3526">
        <v>971</v>
      </c>
      <c r="B3526" s="16">
        <v>40756</v>
      </c>
      <c r="C3526" s="15" t="s">
        <v>76</v>
      </c>
      <c r="D3526" s="15" t="s">
        <v>58</v>
      </c>
      <c r="E3526" s="15" t="s">
        <v>39</v>
      </c>
      <c r="F3526" s="15" t="s">
        <v>40</v>
      </c>
      <c r="G3526" s="15" t="s">
        <v>80</v>
      </c>
      <c r="H3526" s="15" t="s">
        <v>42</v>
      </c>
      <c r="I3526">
        <v>40</v>
      </c>
      <c r="J3526">
        <v>70</v>
      </c>
      <c r="K3526">
        <v>20</v>
      </c>
      <c r="L3526">
        <v>110</v>
      </c>
      <c r="M3526">
        <v>37</v>
      </c>
      <c r="N3526">
        <v>513</v>
      </c>
      <c r="O3526">
        <v>52</v>
      </c>
      <c r="P3526">
        <v>33</v>
      </c>
      <c r="Q3526">
        <v>-15</v>
      </c>
      <c r="R3526">
        <v>88</v>
      </c>
      <c r="S3526">
        <v>0.8</v>
      </c>
      <c r="T3526">
        <v>-0.75</v>
      </c>
      <c r="U3526">
        <v>0.92500000000000004</v>
      </c>
    </row>
    <row r="3527" spans="1:21" x14ac:dyDescent="0.35">
      <c r="A3527">
        <v>971</v>
      </c>
      <c r="B3527" s="16">
        <v>40756</v>
      </c>
      <c r="C3527" s="15" t="s">
        <v>76</v>
      </c>
      <c r="D3527" s="15" t="s">
        <v>58</v>
      </c>
      <c r="E3527" s="15" t="s">
        <v>43</v>
      </c>
      <c r="F3527" s="15" t="s">
        <v>40</v>
      </c>
      <c r="G3527" s="15" t="s">
        <v>80</v>
      </c>
      <c r="H3527" s="15" t="s">
        <v>42</v>
      </c>
      <c r="I3527">
        <v>50</v>
      </c>
      <c r="J3527">
        <v>90</v>
      </c>
      <c r="K3527">
        <v>40</v>
      </c>
      <c r="L3527">
        <v>140</v>
      </c>
      <c r="M3527">
        <v>47</v>
      </c>
      <c r="N3527">
        <v>474</v>
      </c>
      <c r="O3527">
        <v>67</v>
      </c>
      <c r="P3527">
        <v>15</v>
      </c>
      <c r="Q3527">
        <v>11</v>
      </c>
      <c r="R3527">
        <v>113</v>
      </c>
      <c r="S3527">
        <v>0.80714285714285716</v>
      </c>
      <c r="T3527">
        <v>0.27500000000000002</v>
      </c>
      <c r="U3527">
        <v>0.94</v>
      </c>
    </row>
    <row r="3528" spans="1:21" x14ac:dyDescent="0.35">
      <c r="A3528">
        <v>503</v>
      </c>
      <c r="B3528" s="16">
        <v>40756</v>
      </c>
      <c r="C3528" s="15" t="s">
        <v>76</v>
      </c>
      <c r="D3528" s="15" t="s">
        <v>58</v>
      </c>
      <c r="E3528" s="15" t="s">
        <v>44</v>
      </c>
      <c r="F3528" s="15" t="s">
        <v>40</v>
      </c>
      <c r="G3528" s="15" t="s">
        <v>80</v>
      </c>
      <c r="H3528" s="15" t="s">
        <v>45</v>
      </c>
      <c r="I3528">
        <v>40</v>
      </c>
      <c r="J3528">
        <v>60</v>
      </c>
      <c r="K3528">
        <v>40</v>
      </c>
      <c r="L3528">
        <v>100</v>
      </c>
      <c r="M3528">
        <v>34</v>
      </c>
      <c r="N3528">
        <v>428</v>
      </c>
      <c r="O3528">
        <v>51</v>
      </c>
      <c r="P3528">
        <v>10</v>
      </c>
      <c r="Q3528">
        <v>26</v>
      </c>
      <c r="R3528">
        <v>84</v>
      </c>
      <c r="S3528">
        <v>0.84</v>
      </c>
      <c r="T3528">
        <v>0.65</v>
      </c>
      <c r="U3528">
        <v>0.85</v>
      </c>
    </row>
    <row r="3529" spans="1:21" x14ac:dyDescent="0.35">
      <c r="A3529">
        <v>541</v>
      </c>
      <c r="B3529" s="16">
        <v>40756</v>
      </c>
      <c r="C3529" s="15" t="s">
        <v>76</v>
      </c>
      <c r="D3529" s="15" t="s">
        <v>58</v>
      </c>
      <c r="E3529" s="15" t="s">
        <v>72</v>
      </c>
      <c r="F3529" s="15" t="s">
        <v>49</v>
      </c>
      <c r="G3529" s="15" t="s">
        <v>80</v>
      </c>
      <c r="H3529" s="15" t="s">
        <v>42</v>
      </c>
      <c r="I3529">
        <v>40</v>
      </c>
      <c r="J3529">
        <v>60</v>
      </c>
      <c r="K3529">
        <v>20</v>
      </c>
      <c r="L3529">
        <v>100</v>
      </c>
      <c r="M3529">
        <v>49</v>
      </c>
      <c r="N3529">
        <v>414</v>
      </c>
      <c r="O3529">
        <v>60</v>
      </c>
      <c r="P3529">
        <v>18</v>
      </c>
      <c r="Q3529">
        <v>12</v>
      </c>
      <c r="R3529">
        <v>108</v>
      </c>
      <c r="S3529">
        <v>1.08</v>
      </c>
      <c r="T3529">
        <v>0.6</v>
      </c>
      <c r="U3529">
        <v>1.2250000000000001</v>
      </c>
    </row>
    <row r="3530" spans="1:21" x14ac:dyDescent="0.35">
      <c r="A3530">
        <v>971</v>
      </c>
      <c r="B3530" s="16">
        <v>40756</v>
      </c>
      <c r="C3530" s="15" t="s">
        <v>76</v>
      </c>
      <c r="D3530" s="15" t="s">
        <v>58</v>
      </c>
      <c r="E3530" s="15" t="s">
        <v>48</v>
      </c>
      <c r="F3530" s="15" t="s">
        <v>49</v>
      </c>
      <c r="G3530" s="15" t="s">
        <v>80</v>
      </c>
      <c r="H3530" s="15" t="s">
        <v>42</v>
      </c>
      <c r="I3530">
        <v>40</v>
      </c>
      <c r="J3530">
        <v>60</v>
      </c>
      <c r="K3530">
        <v>30</v>
      </c>
      <c r="L3530">
        <v>100</v>
      </c>
      <c r="M3530">
        <v>46</v>
      </c>
      <c r="N3530">
        <v>415</v>
      </c>
      <c r="O3530">
        <v>62</v>
      </c>
      <c r="P3530">
        <v>15</v>
      </c>
      <c r="Q3530">
        <v>26</v>
      </c>
      <c r="R3530">
        <v>107</v>
      </c>
      <c r="S3530">
        <v>1.07</v>
      </c>
      <c r="T3530">
        <v>0.8666666666666667</v>
      </c>
      <c r="U3530">
        <v>1.1499999999999999</v>
      </c>
    </row>
    <row r="3531" spans="1:21" x14ac:dyDescent="0.35">
      <c r="A3531">
        <v>541</v>
      </c>
      <c r="B3531" s="16">
        <v>40756</v>
      </c>
      <c r="C3531" s="15" t="s">
        <v>76</v>
      </c>
      <c r="D3531" s="15" t="s">
        <v>58</v>
      </c>
      <c r="E3531" s="15" t="s">
        <v>50</v>
      </c>
      <c r="F3531" s="15" t="s">
        <v>49</v>
      </c>
      <c r="G3531" s="15" t="s">
        <v>80</v>
      </c>
      <c r="H3531" s="15" t="s">
        <v>45</v>
      </c>
      <c r="I3531">
        <v>130</v>
      </c>
      <c r="J3531">
        <v>140</v>
      </c>
      <c r="K3531">
        <v>90</v>
      </c>
      <c r="L3531">
        <v>270</v>
      </c>
      <c r="M3531">
        <v>145</v>
      </c>
      <c r="N3531">
        <v>1292</v>
      </c>
      <c r="O3531">
        <v>146</v>
      </c>
      <c r="P3531">
        <v>40</v>
      </c>
      <c r="Q3531">
        <v>112</v>
      </c>
      <c r="R3531">
        <v>288</v>
      </c>
      <c r="S3531">
        <v>1.0666666666666667</v>
      </c>
      <c r="T3531">
        <v>1.2444444444444445</v>
      </c>
      <c r="U3531">
        <v>1.1153846153846154</v>
      </c>
    </row>
    <row r="3532" spans="1:21" x14ac:dyDescent="0.35">
      <c r="A3532">
        <v>425</v>
      </c>
      <c r="B3532" s="16">
        <v>40756</v>
      </c>
      <c r="C3532" s="15" t="s">
        <v>76</v>
      </c>
      <c r="D3532" s="15" t="s">
        <v>58</v>
      </c>
      <c r="E3532" s="15" t="s">
        <v>55</v>
      </c>
      <c r="F3532" s="15" t="s">
        <v>47</v>
      </c>
      <c r="G3532" s="15" t="s">
        <v>81</v>
      </c>
      <c r="H3532" s="15" t="s">
        <v>42</v>
      </c>
      <c r="I3532">
        <v>30</v>
      </c>
      <c r="J3532">
        <v>50</v>
      </c>
      <c r="K3532">
        <v>30</v>
      </c>
      <c r="L3532">
        <v>80</v>
      </c>
      <c r="M3532">
        <v>47</v>
      </c>
      <c r="N3532">
        <v>366</v>
      </c>
      <c r="O3532">
        <v>79</v>
      </c>
      <c r="P3532">
        <v>14</v>
      </c>
      <c r="Q3532">
        <v>58</v>
      </c>
      <c r="R3532">
        <v>125</v>
      </c>
      <c r="S3532">
        <v>1.5625</v>
      </c>
      <c r="T3532">
        <v>1.9333333333333333</v>
      </c>
      <c r="U3532">
        <v>1.5666666666666667</v>
      </c>
    </row>
    <row r="3533" spans="1:21" x14ac:dyDescent="0.35">
      <c r="A3533">
        <v>206</v>
      </c>
      <c r="B3533" s="16">
        <v>40756</v>
      </c>
      <c r="C3533" s="15" t="s">
        <v>76</v>
      </c>
      <c r="D3533" s="15" t="s">
        <v>58</v>
      </c>
      <c r="E3533" s="15" t="s">
        <v>56</v>
      </c>
      <c r="F3533" s="15" t="s">
        <v>47</v>
      </c>
      <c r="G3533" s="15" t="s">
        <v>81</v>
      </c>
      <c r="H3533" s="15" t="s">
        <v>42</v>
      </c>
      <c r="I3533">
        <v>20</v>
      </c>
      <c r="J3533">
        <v>40</v>
      </c>
      <c r="K3533">
        <v>30</v>
      </c>
      <c r="L3533">
        <v>60</v>
      </c>
      <c r="M3533">
        <v>36</v>
      </c>
      <c r="N3533">
        <v>458</v>
      </c>
      <c r="O3533">
        <v>54</v>
      </c>
      <c r="P3533">
        <v>11</v>
      </c>
      <c r="Q3533">
        <v>28</v>
      </c>
      <c r="R3533">
        <v>89</v>
      </c>
      <c r="S3533">
        <v>1.4833333333333334</v>
      </c>
      <c r="T3533">
        <v>0.93333333333333335</v>
      </c>
      <c r="U3533">
        <v>1.8</v>
      </c>
    </row>
    <row r="3534" spans="1:21" x14ac:dyDescent="0.35">
      <c r="A3534">
        <v>253</v>
      </c>
      <c r="B3534" s="16">
        <v>40756</v>
      </c>
      <c r="C3534" s="15" t="s">
        <v>76</v>
      </c>
      <c r="D3534" s="15" t="s">
        <v>58</v>
      </c>
      <c r="E3534" s="15" t="s">
        <v>46</v>
      </c>
      <c r="F3534" s="15" t="s">
        <v>47</v>
      </c>
      <c r="G3534" s="15" t="s">
        <v>81</v>
      </c>
      <c r="H3534" s="15" t="s">
        <v>42</v>
      </c>
      <c r="I3534">
        <v>20</v>
      </c>
      <c r="J3534">
        <v>50</v>
      </c>
      <c r="K3534">
        <v>10</v>
      </c>
      <c r="L3534">
        <v>70</v>
      </c>
      <c r="M3534">
        <v>44</v>
      </c>
      <c r="N3534">
        <v>617</v>
      </c>
      <c r="O3534">
        <v>61</v>
      </c>
      <c r="P3534">
        <v>39</v>
      </c>
      <c r="Q3534">
        <v>-11</v>
      </c>
      <c r="R3534">
        <v>104</v>
      </c>
      <c r="S3534">
        <v>1.4857142857142858</v>
      </c>
      <c r="T3534">
        <v>-1.1000000000000001</v>
      </c>
      <c r="U3534">
        <v>2.2000000000000002</v>
      </c>
    </row>
    <row r="3535" spans="1:21" x14ac:dyDescent="0.35">
      <c r="A3535">
        <v>253</v>
      </c>
      <c r="B3535" s="16">
        <v>40756</v>
      </c>
      <c r="C3535" s="15" t="s">
        <v>76</v>
      </c>
      <c r="D3535" s="15" t="s">
        <v>58</v>
      </c>
      <c r="E3535" s="15" t="s">
        <v>51</v>
      </c>
      <c r="F3535" s="15" t="s">
        <v>52</v>
      </c>
      <c r="G3535" s="15" t="s">
        <v>81</v>
      </c>
      <c r="H3535" s="15" t="s">
        <v>45</v>
      </c>
      <c r="I3535">
        <v>70</v>
      </c>
      <c r="J3535">
        <v>120</v>
      </c>
      <c r="K3535">
        <v>80</v>
      </c>
      <c r="L3535">
        <v>190</v>
      </c>
      <c r="M3535">
        <v>90</v>
      </c>
      <c r="N3535">
        <v>1139</v>
      </c>
      <c r="O3535">
        <v>135</v>
      </c>
      <c r="P3535">
        <v>29</v>
      </c>
      <c r="Q3535">
        <v>104</v>
      </c>
      <c r="R3535">
        <v>223</v>
      </c>
      <c r="S3535">
        <v>1.1736842105263159</v>
      </c>
      <c r="T3535">
        <v>1.3</v>
      </c>
      <c r="U3535">
        <v>1.2857142857142858</v>
      </c>
    </row>
    <row r="3536" spans="1:21" x14ac:dyDescent="0.35">
      <c r="A3536">
        <v>360</v>
      </c>
      <c r="B3536" s="16">
        <v>40756</v>
      </c>
      <c r="C3536" s="15" t="s">
        <v>76</v>
      </c>
      <c r="D3536" s="15" t="s">
        <v>58</v>
      </c>
      <c r="E3536" s="15" t="s">
        <v>53</v>
      </c>
      <c r="F3536" s="15" t="s">
        <v>52</v>
      </c>
      <c r="G3536" s="15" t="s">
        <v>81</v>
      </c>
      <c r="H3536" s="15" t="s">
        <v>45</v>
      </c>
      <c r="I3536">
        <v>40</v>
      </c>
      <c r="J3536">
        <v>60</v>
      </c>
      <c r="K3536">
        <v>50</v>
      </c>
      <c r="L3536">
        <v>100</v>
      </c>
      <c r="M3536">
        <v>48</v>
      </c>
      <c r="N3536">
        <v>839</v>
      </c>
      <c r="O3536">
        <v>70</v>
      </c>
      <c r="P3536">
        <v>13</v>
      </c>
      <c r="Q3536">
        <v>62</v>
      </c>
      <c r="R3536">
        <v>117</v>
      </c>
      <c r="S3536">
        <v>1.17</v>
      </c>
      <c r="T3536">
        <v>1.24</v>
      </c>
      <c r="U3536">
        <v>1.2</v>
      </c>
    </row>
    <row r="3537" spans="1:21" x14ac:dyDescent="0.35">
      <c r="A3537">
        <v>425</v>
      </c>
      <c r="B3537" s="16">
        <v>40756</v>
      </c>
      <c r="C3537" s="15" t="s">
        <v>76</v>
      </c>
      <c r="D3537" s="15" t="s">
        <v>58</v>
      </c>
      <c r="E3537" s="15" t="s">
        <v>43</v>
      </c>
      <c r="F3537" s="15" t="s">
        <v>40</v>
      </c>
      <c r="G3537" s="15" t="s">
        <v>81</v>
      </c>
      <c r="H3537" s="15" t="s">
        <v>42</v>
      </c>
      <c r="I3537">
        <v>100</v>
      </c>
      <c r="J3537">
        <v>160</v>
      </c>
      <c r="K3537">
        <v>120</v>
      </c>
      <c r="L3537">
        <v>260</v>
      </c>
      <c r="M3537">
        <v>86</v>
      </c>
      <c r="N3537">
        <v>454</v>
      </c>
      <c r="O3537">
        <v>125</v>
      </c>
      <c r="P3537">
        <v>27</v>
      </c>
      <c r="Q3537">
        <v>105</v>
      </c>
      <c r="R3537">
        <v>209</v>
      </c>
      <c r="S3537">
        <v>0.80384615384615388</v>
      </c>
      <c r="T3537">
        <v>0.875</v>
      </c>
      <c r="U3537">
        <v>0.86</v>
      </c>
    </row>
    <row r="3538" spans="1:21" x14ac:dyDescent="0.35">
      <c r="A3538">
        <v>360</v>
      </c>
      <c r="B3538" s="16">
        <v>40756</v>
      </c>
      <c r="C3538" s="15" t="s">
        <v>76</v>
      </c>
      <c r="D3538" s="15" t="s">
        <v>58</v>
      </c>
      <c r="E3538" s="15" t="s">
        <v>44</v>
      </c>
      <c r="F3538" s="15" t="s">
        <v>40</v>
      </c>
      <c r="G3538" s="15" t="s">
        <v>81</v>
      </c>
      <c r="H3538" s="15" t="s">
        <v>45</v>
      </c>
      <c r="I3538">
        <v>160</v>
      </c>
      <c r="J3538">
        <v>230</v>
      </c>
      <c r="K3538">
        <v>100</v>
      </c>
      <c r="L3538">
        <v>390</v>
      </c>
      <c r="M3538">
        <v>133</v>
      </c>
      <c r="N3538">
        <v>705</v>
      </c>
      <c r="O3538">
        <v>184</v>
      </c>
      <c r="P3538">
        <v>120</v>
      </c>
      <c r="Q3538">
        <v>47</v>
      </c>
      <c r="R3538">
        <v>314</v>
      </c>
      <c r="S3538">
        <v>0.80512820512820515</v>
      </c>
      <c r="T3538">
        <v>0.47</v>
      </c>
      <c r="U3538">
        <v>0.83125000000000004</v>
      </c>
    </row>
    <row r="3539" spans="1:21" x14ac:dyDescent="0.35">
      <c r="A3539">
        <v>425</v>
      </c>
      <c r="B3539" s="16">
        <v>40756</v>
      </c>
      <c r="C3539" s="15" t="s">
        <v>76</v>
      </c>
      <c r="D3539" s="15" t="s">
        <v>58</v>
      </c>
      <c r="E3539" s="15" t="s">
        <v>72</v>
      </c>
      <c r="F3539" s="15" t="s">
        <v>49</v>
      </c>
      <c r="G3539" s="15" t="s">
        <v>81</v>
      </c>
      <c r="H3539" s="15" t="s">
        <v>42</v>
      </c>
      <c r="I3539">
        <v>20</v>
      </c>
      <c r="J3539">
        <v>40</v>
      </c>
      <c r="K3539">
        <v>30</v>
      </c>
      <c r="L3539">
        <v>60</v>
      </c>
      <c r="M3539">
        <v>30</v>
      </c>
      <c r="N3539">
        <v>581</v>
      </c>
      <c r="O3539">
        <v>39</v>
      </c>
      <c r="P3539">
        <v>9</v>
      </c>
      <c r="Q3539">
        <v>23</v>
      </c>
      <c r="R3539">
        <v>68</v>
      </c>
      <c r="S3539">
        <v>1.1333333333333333</v>
      </c>
      <c r="T3539">
        <v>0.76666666666666672</v>
      </c>
      <c r="U3539">
        <v>1.5</v>
      </c>
    </row>
    <row r="3540" spans="1:21" x14ac:dyDescent="0.35">
      <c r="A3540">
        <v>360</v>
      </c>
      <c r="B3540" s="16">
        <v>40756</v>
      </c>
      <c r="C3540" s="15" t="s">
        <v>76</v>
      </c>
      <c r="D3540" s="15" t="s">
        <v>58</v>
      </c>
      <c r="E3540" s="15" t="s">
        <v>48</v>
      </c>
      <c r="F3540" s="15" t="s">
        <v>49</v>
      </c>
      <c r="G3540" s="15" t="s">
        <v>81</v>
      </c>
      <c r="H3540" s="15" t="s">
        <v>42</v>
      </c>
      <c r="I3540">
        <v>60</v>
      </c>
      <c r="J3540">
        <v>70</v>
      </c>
      <c r="K3540">
        <v>20</v>
      </c>
      <c r="L3540">
        <v>130</v>
      </c>
      <c r="M3540">
        <v>63</v>
      </c>
      <c r="N3540">
        <v>397</v>
      </c>
      <c r="O3540">
        <v>77</v>
      </c>
      <c r="P3540">
        <v>23</v>
      </c>
      <c r="Q3540">
        <v>28</v>
      </c>
      <c r="R3540">
        <v>139</v>
      </c>
      <c r="S3540">
        <v>1.0692307692307692</v>
      </c>
      <c r="T3540">
        <v>1.4</v>
      </c>
      <c r="U3540">
        <v>1.05</v>
      </c>
    </row>
    <row r="3541" spans="1:21" x14ac:dyDescent="0.35">
      <c r="A3541">
        <v>425</v>
      </c>
      <c r="B3541" s="16">
        <v>40756</v>
      </c>
      <c r="C3541" s="15" t="s">
        <v>76</v>
      </c>
      <c r="D3541" s="15" t="s">
        <v>58</v>
      </c>
      <c r="E3541" s="15" t="s">
        <v>50</v>
      </c>
      <c r="F3541" s="15" t="s">
        <v>49</v>
      </c>
      <c r="G3541" s="15" t="s">
        <v>81</v>
      </c>
      <c r="H3541" s="15" t="s">
        <v>45</v>
      </c>
      <c r="I3541">
        <v>90</v>
      </c>
      <c r="J3541">
        <v>120</v>
      </c>
      <c r="K3541">
        <v>90</v>
      </c>
      <c r="L3541">
        <v>210</v>
      </c>
      <c r="M3541">
        <v>103</v>
      </c>
      <c r="N3541">
        <v>1073</v>
      </c>
      <c r="O3541">
        <v>123</v>
      </c>
      <c r="P3541">
        <v>31</v>
      </c>
      <c r="Q3541">
        <v>98</v>
      </c>
      <c r="R3541">
        <v>224</v>
      </c>
      <c r="S3541">
        <v>1.0666666666666667</v>
      </c>
      <c r="T3541">
        <v>1.0888888888888888</v>
      </c>
      <c r="U3541">
        <v>1.1444444444444444</v>
      </c>
    </row>
    <row r="3542" spans="1:21" x14ac:dyDescent="0.35">
      <c r="A3542">
        <v>303</v>
      </c>
      <c r="B3542" s="16">
        <v>40787</v>
      </c>
      <c r="C3542" s="15" t="s">
        <v>37</v>
      </c>
      <c r="D3542" s="15" t="s">
        <v>38</v>
      </c>
      <c r="E3542" s="15" t="s">
        <v>51</v>
      </c>
      <c r="F3542" s="15" t="s">
        <v>52</v>
      </c>
      <c r="G3542" s="15" t="s">
        <v>41</v>
      </c>
      <c r="H3542" s="15" t="s">
        <v>45</v>
      </c>
      <c r="I3542">
        <v>130</v>
      </c>
      <c r="J3542">
        <v>140</v>
      </c>
      <c r="K3542">
        <v>90</v>
      </c>
      <c r="L3542">
        <v>270</v>
      </c>
      <c r="M3542">
        <v>155</v>
      </c>
      <c r="N3542">
        <v>1280</v>
      </c>
      <c r="O3542">
        <v>155</v>
      </c>
      <c r="P3542">
        <v>43</v>
      </c>
      <c r="Q3542">
        <v>129</v>
      </c>
      <c r="R3542">
        <v>330</v>
      </c>
      <c r="S3542">
        <v>1.2222222222222223</v>
      </c>
      <c r="T3542">
        <v>1.4333333333333333</v>
      </c>
      <c r="U3542">
        <v>1.1923076923076923</v>
      </c>
    </row>
    <row r="3543" spans="1:21" x14ac:dyDescent="0.35">
      <c r="A3543">
        <v>970</v>
      </c>
      <c r="B3543" s="16">
        <v>40787</v>
      </c>
      <c r="C3543" s="15" t="s">
        <v>37</v>
      </c>
      <c r="D3543" s="15" t="s">
        <v>38</v>
      </c>
      <c r="E3543" s="15" t="s">
        <v>53</v>
      </c>
      <c r="F3543" s="15" t="s">
        <v>52</v>
      </c>
      <c r="G3543" s="15" t="s">
        <v>41</v>
      </c>
      <c r="H3543" s="15" t="s">
        <v>45</v>
      </c>
      <c r="I3543">
        <v>40</v>
      </c>
      <c r="J3543">
        <v>70</v>
      </c>
      <c r="K3543">
        <v>20</v>
      </c>
      <c r="L3543">
        <v>110</v>
      </c>
      <c r="M3543">
        <v>52</v>
      </c>
      <c r="N3543">
        <v>509</v>
      </c>
      <c r="O3543">
        <v>74</v>
      </c>
      <c r="P3543">
        <v>47</v>
      </c>
      <c r="Q3543">
        <v>-3</v>
      </c>
      <c r="R3543">
        <v>134</v>
      </c>
      <c r="S3543">
        <v>1.2181818181818183</v>
      </c>
      <c r="T3543">
        <v>-0.15</v>
      </c>
      <c r="U3543">
        <v>1.3</v>
      </c>
    </row>
    <row r="3544" spans="1:21" x14ac:dyDescent="0.35">
      <c r="A3544">
        <v>720</v>
      </c>
      <c r="B3544" s="16">
        <v>40787</v>
      </c>
      <c r="C3544" s="15" t="s">
        <v>37</v>
      </c>
      <c r="D3544" s="15" t="s">
        <v>38</v>
      </c>
      <c r="E3544" s="15" t="s">
        <v>54</v>
      </c>
      <c r="F3544" s="15" t="s">
        <v>52</v>
      </c>
      <c r="G3544" s="15" t="s">
        <v>41</v>
      </c>
      <c r="H3544" s="15" t="s">
        <v>45</v>
      </c>
      <c r="I3544">
        <v>40</v>
      </c>
      <c r="J3544">
        <v>70</v>
      </c>
      <c r="K3544">
        <v>40</v>
      </c>
      <c r="L3544">
        <v>110</v>
      </c>
      <c r="M3544">
        <v>53</v>
      </c>
      <c r="N3544">
        <v>410</v>
      </c>
      <c r="O3544">
        <v>72</v>
      </c>
      <c r="P3544">
        <v>17</v>
      </c>
      <c r="Q3544">
        <v>40</v>
      </c>
      <c r="R3544">
        <v>133</v>
      </c>
      <c r="S3544">
        <v>1.209090909090909</v>
      </c>
      <c r="T3544">
        <v>1</v>
      </c>
      <c r="U3544">
        <v>1.325</v>
      </c>
    </row>
    <row r="3545" spans="1:21" x14ac:dyDescent="0.35">
      <c r="A3545">
        <v>719</v>
      </c>
      <c r="B3545" s="16">
        <v>40787</v>
      </c>
      <c r="C3545" s="15" t="s">
        <v>37</v>
      </c>
      <c r="D3545" s="15" t="s">
        <v>38</v>
      </c>
      <c r="E3545" s="15" t="s">
        <v>55</v>
      </c>
      <c r="F3545" s="15" t="s">
        <v>47</v>
      </c>
      <c r="G3545" s="15" t="s">
        <v>41</v>
      </c>
      <c r="H3545" s="15" t="s">
        <v>42</v>
      </c>
      <c r="I3545">
        <v>30</v>
      </c>
      <c r="J3545">
        <v>50</v>
      </c>
      <c r="K3545">
        <v>10</v>
      </c>
      <c r="L3545">
        <v>80</v>
      </c>
      <c r="M3545">
        <v>45</v>
      </c>
      <c r="N3545">
        <v>409</v>
      </c>
      <c r="O3545">
        <v>57</v>
      </c>
      <c r="P3545">
        <v>17</v>
      </c>
      <c r="Q3545">
        <v>10</v>
      </c>
      <c r="R3545">
        <v>109</v>
      </c>
      <c r="S3545">
        <v>1.3625</v>
      </c>
      <c r="T3545">
        <v>1</v>
      </c>
      <c r="U3545">
        <v>1.5</v>
      </c>
    </row>
    <row r="3546" spans="1:21" x14ac:dyDescent="0.35">
      <c r="A3546">
        <v>719</v>
      </c>
      <c r="B3546" s="16">
        <v>40787</v>
      </c>
      <c r="C3546" s="15" t="s">
        <v>37</v>
      </c>
      <c r="D3546" s="15" t="s">
        <v>38</v>
      </c>
      <c r="E3546" s="15" t="s">
        <v>56</v>
      </c>
      <c r="F3546" s="15" t="s">
        <v>47</v>
      </c>
      <c r="G3546" s="15" t="s">
        <v>41</v>
      </c>
      <c r="H3546" s="15" t="s">
        <v>42</v>
      </c>
      <c r="I3546">
        <v>40</v>
      </c>
      <c r="J3546">
        <v>50</v>
      </c>
      <c r="K3546">
        <v>20</v>
      </c>
      <c r="L3546">
        <v>90</v>
      </c>
      <c r="M3546">
        <v>51</v>
      </c>
      <c r="N3546">
        <v>1042</v>
      </c>
      <c r="O3546">
        <v>62</v>
      </c>
      <c r="P3546">
        <v>15</v>
      </c>
      <c r="Q3546">
        <v>37</v>
      </c>
      <c r="R3546">
        <v>120</v>
      </c>
      <c r="S3546">
        <v>1.3333333333333333</v>
      </c>
      <c r="T3546">
        <v>1.85</v>
      </c>
      <c r="U3546">
        <v>1.2749999999999999</v>
      </c>
    </row>
    <row r="3547" spans="1:21" x14ac:dyDescent="0.35">
      <c r="A3547">
        <v>719</v>
      </c>
      <c r="B3547" s="16">
        <v>40787</v>
      </c>
      <c r="C3547" s="15" t="s">
        <v>37</v>
      </c>
      <c r="D3547" s="15" t="s">
        <v>38</v>
      </c>
      <c r="E3547" s="15" t="s">
        <v>46</v>
      </c>
      <c r="F3547" s="15" t="s">
        <v>47</v>
      </c>
      <c r="G3547" s="15" t="s">
        <v>41</v>
      </c>
      <c r="H3547" s="15" t="s">
        <v>42</v>
      </c>
      <c r="I3547">
        <v>50</v>
      </c>
      <c r="J3547">
        <v>70</v>
      </c>
      <c r="K3547">
        <v>50</v>
      </c>
      <c r="L3547">
        <v>120</v>
      </c>
      <c r="M3547">
        <v>61</v>
      </c>
      <c r="N3547">
        <v>579</v>
      </c>
      <c r="O3547">
        <v>79</v>
      </c>
      <c r="P3547">
        <v>20</v>
      </c>
      <c r="Q3547">
        <v>70</v>
      </c>
      <c r="R3547">
        <v>149</v>
      </c>
      <c r="S3547">
        <v>1.2416666666666667</v>
      </c>
      <c r="T3547">
        <v>1.4</v>
      </c>
      <c r="U3547">
        <v>1.22</v>
      </c>
    </row>
    <row r="3548" spans="1:21" x14ac:dyDescent="0.35">
      <c r="A3548">
        <v>970</v>
      </c>
      <c r="B3548" s="16">
        <v>40787</v>
      </c>
      <c r="C3548" s="15" t="s">
        <v>37</v>
      </c>
      <c r="D3548" s="15" t="s">
        <v>38</v>
      </c>
      <c r="E3548" s="15" t="s">
        <v>39</v>
      </c>
      <c r="F3548" s="15" t="s">
        <v>40</v>
      </c>
      <c r="G3548" s="15" t="s">
        <v>41</v>
      </c>
      <c r="H3548" s="15" t="s">
        <v>42</v>
      </c>
      <c r="I3548">
        <v>130</v>
      </c>
      <c r="J3548">
        <v>180</v>
      </c>
      <c r="K3548">
        <v>140</v>
      </c>
      <c r="L3548">
        <v>310</v>
      </c>
      <c r="M3548">
        <v>123</v>
      </c>
      <c r="N3548">
        <v>928</v>
      </c>
      <c r="O3548">
        <v>179</v>
      </c>
      <c r="P3548">
        <v>34</v>
      </c>
      <c r="Q3548">
        <v>199</v>
      </c>
      <c r="R3548">
        <v>322</v>
      </c>
      <c r="S3548">
        <v>1.0387096774193549</v>
      </c>
      <c r="T3548">
        <v>1.4214285714285715</v>
      </c>
      <c r="U3548">
        <v>0.94615384615384612</v>
      </c>
    </row>
    <row r="3549" spans="1:21" x14ac:dyDescent="0.35">
      <c r="A3549">
        <v>303</v>
      </c>
      <c r="B3549" s="16">
        <v>40787</v>
      </c>
      <c r="C3549" s="15" t="s">
        <v>37</v>
      </c>
      <c r="D3549" s="15" t="s">
        <v>38</v>
      </c>
      <c r="E3549" s="15" t="s">
        <v>43</v>
      </c>
      <c r="F3549" s="15" t="s">
        <v>40</v>
      </c>
      <c r="G3549" s="15" t="s">
        <v>41</v>
      </c>
      <c r="H3549" s="15" t="s">
        <v>42</v>
      </c>
      <c r="I3549">
        <v>60</v>
      </c>
      <c r="J3549">
        <v>70</v>
      </c>
      <c r="K3549">
        <v>50</v>
      </c>
      <c r="L3549">
        <v>130</v>
      </c>
      <c r="M3549">
        <v>58</v>
      </c>
      <c r="N3549">
        <v>548</v>
      </c>
      <c r="O3549">
        <v>74</v>
      </c>
      <c r="P3549">
        <v>19</v>
      </c>
      <c r="Q3549">
        <v>62</v>
      </c>
      <c r="R3549">
        <v>141</v>
      </c>
      <c r="S3549">
        <v>1.0846153846153845</v>
      </c>
      <c r="T3549">
        <v>1.24</v>
      </c>
      <c r="U3549">
        <v>0.96666666666666667</v>
      </c>
    </row>
    <row r="3550" spans="1:21" x14ac:dyDescent="0.35">
      <c r="A3550">
        <v>720</v>
      </c>
      <c r="B3550" s="16">
        <v>40787</v>
      </c>
      <c r="C3550" s="15" t="s">
        <v>37</v>
      </c>
      <c r="D3550" s="15" t="s">
        <v>38</v>
      </c>
      <c r="E3550" s="15" t="s">
        <v>44</v>
      </c>
      <c r="F3550" s="15" t="s">
        <v>40</v>
      </c>
      <c r="G3550" s="15" t="s">
        <v>41</v>
      </c>
      <c r="H3550" s="15" t="s">
        <v>45</v>
      </c>
      <c r="I3550">
        <v>100</v>
      </c>
      <c r="J3550">
        <v>150</v>
      </c>
      <c r="K3550">
        <v>120</v>
      </c>
      <c r="L3550">
        <v>250</v>
      </c>
      <c r="M3550">
        <v>100</v>
      </c>
      <c r="N3550">
        <v>981</v>
      </c>
      <c r="O3550">
        <v>145</v>
      </c>
      <c r="P3550">
        <v>28</v>
      </c>
      <c r="Q3550">
        <v>157</v>
      </c>
      <c r="R3550">
        <v>261</v>
      </c>
      <c r="S3550">
        <v>1.044</v>
      </c>
      <c r="T3550">
        <v>1.3083333333333333</v>
      </c>
      <c r="U3550">
        <v>1</v>
      </c>
    </row>
    <row r="3551" spans="1:21" x14ac:dyDescent="0.35">
      <c r="A3551">
        <v>719</v>
      </c>
      <c r="B3551" s="16">
        <v>40787</v>
      </c>
      <c r="C3551" s="15" t="s">
        <v>37</v>
      </c>
      <c r="D3551" s="15" t="s">
        <v>38</v>
      </c>
      <c r="E3551" s="15" t="s">
        <v>48</v>
      </c>
      <c r="F3551" s="15" t="s">
        <v>49</v>
      </c>
      <c r="G3551" s="15" t="s">
        <v>41</v>
      </c>
      <c r="H3551" s="15" t="s">
        <v>42</v>
      </c>
      <c r="I3551">
        <v>90</v>
      </c>
      <c r="J3551">
        <v>140</v>
      </c>
      <c r="K3551">
        <v>110</v>
      </c>
      <c r="L3551">
        <v>230</v>
      </c>
      <c r="M3551">
        <v>81</v>
      </c>
      <c r="N3551">
        <v>588</v>
      </c>
      <c r="O3551">
        <v>118</v>
      </c>
      <c r="P3551">
        <v>22</v>
      </c>
      <c r="Q3551">
        <v>125</v>
      </c>
      <c r="R3551">
        <v>212</v>
      </c>
      <c r="S3551">
        <v>0.92173913043478262</v>
      </c>
      <c r="T3551">
        <v>1.1363636363636365</v>
      </c>
      <c r="U3551">
        <v>0.9</v>
      </c>
    </row>
    <row r="3552" spans="1:21" x14ac:dyDescent="0.35">
      <c r="A3552">
        <v>970</v>
      </c>
      <c r="B3552" s="16">
        <v>40787</v>
      </c>
      <c r="C3552" s="15" t="s">
        <v>37</v>
      </c>
      <c r="D3552" s="15" t="s">
        <v>38</v>
      </c>
      <c r="E3552" s="15" t="s">
        <v>50</v>
      </c>
      <c r="F3552" s="15" t="s">
        <v>49</v>
      </c>
      <c r="G3552" s="15" t="s">
        <v>41</v>
      </c>
      <c r="H3552" s="15" t="s">
        <v>45</v>
      </c>
      <c r="I3552">
        <v>60</v>
      </c>
      <c r="J3552">
        <v>110</v>
      </c>
      <c r="K3552">
        <v>60</v>
      </c>
      <c r="L3552">
        <v>170</v>
      </c>
      <c r="M3552">
        <v>60</v>
      </c>
      <c r="N3552">
        <v>656</v>
      </c>
      <c r="O3552">
        <v>90</v>
      </c>
      <c r="P3552">
        <v>19</v>
      </c>
      <c r="Q3552">
        <v>58</v>
      </c>
      <c r="R3552">
        <v>160</v>
      </c>
      <c r="S3552">
        <v>0.94117647058823528</v>
      </c>
      <c r="T3552">
        <v>0.96666666666666667</v>
      </c>
      <c r="U3552">
        <v>1</v>
      </c>
    </row>
    <row r="3553" spans="1:21" x14ac:dyDescent="0.35">
      <c r="A3553">
        <v>312</v>
      </c>
      <c r="B3553" s="16">
        <v>40787</v>
      </c>
      <c r="C3553" s="15" t="s">
        <v>37</v>
      </c>
      <c r="D3553" s="15" t="s">
        <v>38</v>
      </c>
      <c r="E3553" s="15" t="s">
        <v>51</v>
      </c>
      <c r="F3553" s="15" t="s">
        <v>52</v>
      </c>
      <c r="G3553" s="15" t="s">
        <v>57</v>
      </c>
      <c r="H3553" s="15" t="s">
        <v>45</v>
      </c>
      <c r="I3553">
        <v>100</v>
      </c>
      <c r="J3553">
        <v>160</v>
      </c>
      <c r="K3553">
        <v>140</v>
      </c>
      <c r="L3553">
        <v>260</v>
      </c>
      <c r="M3553">
        <v>123</v>
      </c>
      <c r="N3553">
        <v>928</v>
      </c>
      <c r="O3553">
        <v>179</v>
      </c>
      <c r="P3553">
        <v>34</v>
      </c>
      <c r="Q3553">
        <v>197</v>
      </c>
      <c r="R3553">
        <v>322</v>
      </c>
      <c r="S3553">
        <v>1.2384615384615385</v>
      </c>
      <c r="T3553">
        <v>1.4071428571428573</v>
      </c>
      <c r="U3553">
        <v>1.23</v>
      </c>
    </row>
    <row r="3554" spans="1:21" x14ac:dyDescent="0.35">
      <c r="A3554">
        <v>312</v>
      </c>
      <c r="B3554" s="16">
        <v>40787</v>
      </c>
      <c r="C3554" s="15" t="s">
        <v>37</v>
      </c>
      <c r="D3554" s="15" t="s">
        <v>38</v>
      </c>
      <c r="E3554" s="15" t="s">
        <v>53</v>
      </c>
      <c r="F3554" s="15" t="s">
        <v>52</v>
      </c>
      <c r="G3554" s="15" t="s">
        <v>57</v>
      </c>
      <c r="H3554" s="15" t="s">
        <v>45</v>
      </c>
      <c r="I3554">
        <v>40</v>
      </c>
      <c r="J3554">
        <v>70</v>
      </c>
      <c r="K3554">
        <v>50</v>
      </c>
      <c r="L3554">
        <v>110</v>
      </c>
      <c r="M3554">
        <v>58</v>
      </c>
      <c r="N3554">
        <v>548</v>
      </c>
      <c r="O3554">
        <v>74</v>
      </c>
      <c r="P3554">
        <v>19</v>
      </c>
      <c r="Q3554">
        <v>64</v>
      </c>
      <c r="R3554">
        <v>141</v>
      </c>
      <c r="S3554">
        <v>1.2818181818181817</v>
      </c>
      <c r="T3554">
        <v>1.28</v>
      </c>
      <c r="U3554">
        <v>1.45</v>
      </c>
    </row>
    <row r="3555" spans="1:21" x14ac:dyDescent="0.35">
      <c r="A3555">
        <v>773</v>
      </c>
      <c r="B3555" s="16">
        <v>40787</v>
      </c>
      <c r="C3555" s="15" t="s">
        <v>37</v>
      </c>
      <c r="D3555" s="15" t="s">
        <v>38</v>
      </c>
      <c r="E3555" s="15" t="s">
        <v>54</v>
      </c>
      <c r="F3555" s="15" t="s">
        <v>52</v>
      </c>
      <c r="G3555" s="15" t="s">
        <v>57</v>
      </c>
      <c r="H3555" s="15" t="s">
        <v>45</v>
      </c>
      <c r="I3555">
        <v>80</v>
      </c>
      <c r="J3555">
        <v>130</v>
      </c>
      <c r="K3555">
        <v>110</v>
      </c>
      <c r="L3555">
        <v>210</v>
      </c>
      <c r="M3555">
        <v>100</v>
      </c>
      <c r="N3555">
        <v>981</v>
      </c>
      <c r="O3555">
        <v>145</v>
      </c>
      <c r="P3555">
        <v>28</v>
      </c>
      <c r="Q3555">
        <v>157</v>
      </c>
      <c r="R3555">
        <v>261</v>
      </c>
      <c r="S3555">
        <v>1.2428571428571429</v>
      </c>
      <c r="T3555">
        <v>1.4272727272727272</v>
      </c>
      <c r="U3555">
        <v>1.25</v>
      </c>
    </row>
    <row r="3556" spans="1:21" x14ac:dyDescent="0.35">
      <c r="A3556">
        <v>630</v>
      </c>
      <c r="B3556" s="16">
        <v>40787</v>
      </c>
      <c r="C3556" s="15" t="s">
        <v>37</v>
      </c>
      <c r="D3556" s="15" t="s">
        <v>38</v>
      </c>
      <c r="E3556" s="15" t="s">
        <v>55</v>
      </c>
      <c r="F3556" s="15" t="s">
        <v>47</v>
      </c>
      <c r="G3556" s="15" t="s">
        <v>57</v>
      </c>
      <c r="H3556" s="15" t="s">
        <v>42</v>
      </c>
      <c r="I3556">
        <v>60</v>
      </c>
      <c r="J3556">
        <v>110</v>
      </c>
      <c r="K3556">
        <v>80</v>
      </c>
      <c r="L3556">
        <v>170</v>
      </c>
      <c r="M3556">
        <v>81</v>
      </c>
      <c r="N3556">
        <v>588</v>
      </c>
      <c r="O3556">
        <v>118</v>
      </c>
      <c r="P3556">
        <v>22</v>
      </c>
      <c r="Q3556">
        <v>125</v>
      </c>
      <c r="R3556">
        <v>212</v>
      </c>
      <c r="S3556">
        <v>1.2470588235294118</v>
      </c>
      <c r="T3556">
        <v>1.5625</v>
      </c>
      <c r="U3556">
        <v>1.35</v>
      </c>
    </row>
    <row r="3557" spans="1:21" x14ac:dyDescent="0.35">
      <c r="A3557">
        <v>630</v>
      </c>
      <c r="B3557" s="16">
        <v>40787</v>
      </c>
      <c r="C3557" s="15" t="s">
        <v>37</v>
      </c>
      <c r="D3557" s="15" t="s">
        <v>38</v>
      </c>
      <c r="E3557" s="15" t="s">
        <v>56</v>
      </c>
      <c r="F3557" s="15" t="s">
        <v>47</v>
      </c>
      <c r="G3557" s="15" t="s">
        <v>57</v>
      </c>
      <c r="H3557" s="15" t="s">
        <v>42</v>
      </c>
      <c r="I3557">
        <v>50</v>
      </c>
      <c r="J3557">
        <v>80</v>
      </c>
      <c r="K3557">
        <v>40</v>
      </c>
      <c r="L3557">
        <v>130</v>
      </c>
      <c r="M3557">
        <v>60</v>
      </c>
      <c r="N3557">
        <v>656</v>
      </c>
      <c r="O3557">
        <v>90</v>
      </c>
      <c r="P3557">
        <v>19</v>
      </c>
      <c r="Q3557">
        <v>59</v>
      </c>
      <c r="R3557">
        <v>160</v>
      </c>
      <c r="S3557">
        <v>1.2307692307692308</v>
      </c>
      <c r="T3557">
        <v>1.4750000000000001</v>
      </c>
      <c r="U3557">
        <v>1.2</v>
      </c>
    </row>
    <row r="3558" spans="1:21" x14ac:dyDescent="0.35">
      <c r="A3558">
        <v>630</v>
      </c>
      <c r="B3558" s="16">
        <v>40787</v>
      </c>
      <c r="C3558" s="15" t="s">
        <v>37</v>
      </c>
      <c r="D3558" s="15" t="s">
        <v>38</v>
      </c>
      <c r="E3558" s="15" t="s">
        <v>43</v>
      </c>
      <c r="F3558" s="15" t="s">
        <v>40</v>
      </c>
      <c r="G3558" s="15" t="s">
        <v>57</v>
      </c>
      <c r="H3558" s="15" t="s">
        <v>42</v>
      </c>
      <c r="I3558">
        <v>170</v>
      </c>
      <c r="J3558">
        <v>230</v>
      </c>
      <c r="K3558">
        <v>140</v>
      </c>
      <c r="L3558">
        <v>400</v>
      </c>
      <c r="M3558">
        <v>162</v>
      </c>
      <c r="N3558">
        <v>1148</v>
      </c>
      <c r="O3558">
        <v>225</v>
      </c>
      <c r="P3558">
        <v>53</v>
      </c>
      <c r="Q3558">
        <v>191</v>
      </c>
      <c r="R3558">
        <v>412</v>
      </c>
      <c r="S3558">
        <v>1.03</v>
      </c>
      <c r="T3558">
        <v>1.3642857142857143</v>
      </c>
      <c r="U3558">
        <v>0.95294117647058818</v>
      </c>
    </row>
    <row r="3559" spans="1:21" x14ac:dyDescent="0.35">
      <c r="A3559">
        <v>847</v>
      </c>
      <c r="B3559" s="16">
        <v>40787</v>
      </c>
      <c r="C3559" s="15" t="s">
        <v>37</v>
      </c>
      <c r="D3559" s="15" t="s">
        <v>38</v>
      </c>
      <c r="E3559" s="15" t="s">
        <v>44</v>
      </c>
      <c r="F3559" s="15" t="s">
        <v>40</v>
      </c>
      <c r="G3559" s="15" t="s">
        <v>57</v>
      </c>
      <c r="H3559" s="15" t="s">
        <v>45</v>
      </c>
      <c r="I3559">
        <v>120</v>
      </c>
      <c r="J3559">
        <v>190</v>
      </c>
      <c r="K3559">
        <v>140</v>
      </c>
      <c r="L3559">
        <v>310</v>
      </c>
      <c r="M3559">
        <v>122</v>
      </c>
      <c r="N3559">
        <v>801</v>
      </c>
      <c r="O3559">
        <v>176</v>
      </c>
      <c r="P3559">
        <v>39</v>
      </c>
      <c r="Q3559">
        <v>171</v>
      </c>
      <c r="R3559">
        <v>318</v>
      </c>
      <c r="S3559">
        <v>1.0258064516129033</v>
      </c>
      <c r="T3559">
        <v>1.2214285714285715</v>
      </c>
      <c r="U3559">
        <v>1.0166666666666666</v>
      </c>
    </row>
    <row r="3560" spans="1:21" x14ac:dyDescent="0.35">
      <c r="A3560">
        <v>309</v>
      </c>
      <c r="B3560" s="16">
        <v>40787</v>
      </c>
      <c r="C3560" s="15" t="s">
        <v>37</v>
      </c>
      <c r="D3560" s="15" t="s">
        <v>38</v>
      </c>
      <c r="E3560" s="15" t="s">
        <v>48</v>
      </c>
      <c r="F3560" s="15" t="s">
        <v>49</v>
      </c>
      <c r="G3560" s="15" t="s">
        <v>57</v>
      </c>
      <c r="H3560" s="15" t="s">
        <v>42</v>
      </c>
      <c r="I3560">
        <v>290</v>
      </c>
      <c r="J3560">
        <v>400</v>
      </c>
      <c r="K3560">
        <v>280</v>
      </c>
      <c r="L3560">
        <v>690</v>
      </c>
      <c r="M3560">
        <v>253</v>
      </c>
      <c r="N3560">
        <v>1686</v>
      </c>
      <c r="O3560">
        <v>336</v>
      </c>
      <c r="P3560">
        <v>83</v>
      </c>
      <c r="Q3560">
        <v>326</v>
      </c>
      <c r="R3560">
        <v>628</v>
      </c>
      <c r="S3560">
        <v>0.91014492753623188</v>
      </c>
      <c r="T3560">
        <v>1.1642857142857144</v>
      </c>
      <c r="U3560">
        <v>0.87241379310344824</v>
      </c>
    </row>
    <row r="3561" spans="1:21" x14ac:dyDescent="0.35">
      <c r="A3561">
        <v>773</v>
      </c>
      <c r="B3561" s="16">
        <v>40787</v>
      </c>
      <c r="C3561" s="15" t="s">
        <v>37</v>
      </c>
      <c r="D3561" s="15" t="s">
        <v>38</v>
      </c>
      <c r="E3561" s="15" t="s">
        <v>50</v>
      </c>
      <c r="F3561" s="15" t="s">
        <v>49</v>
      </c>
      <c r="G3561" s="15" t="s">
        <v>57</v>
      </c>
      <c r="H3561" s="15" t="s">
        <v>45</v>
      </c>
      <c r="I3561">
        <v>280</v>
      </c>
      <c r="J3561">
        <v>300</v>
      </c>
      <c r="K3561">
        <v>210</v>
      </c>
      <c r="L3561">
        <v>580</v>
      </c>
      <c r="M3561">
        <v>249</v>
      </c>
      <c r="N3561">
        <v>1775</v>
      </c>
      <c r="O3561">
        <v>249</v>
      </c>
      <c r="P3561">
        <v>69</v>
      </c>
      <c r="Q3561">
        <v>230</v>
      </c>
      <c r="R3561">
        <v>531</v>
      </c>
      <c r="S3561">
        <v>0.91551724137931034</v>
      </c>
      <c r="T3561">
        <v>1.0952380952380953</v>
      </c>
      <c r="U3561">
        <v>0.88928571428571423</v>
      </c>
    </row>
    <row r="3562" spans="1:21" x14ac:dyDescent="0.35">
      <c r="A3562">
        <v>319</v>
      </c>
      <c r="B3562" s="16">
        <v>40787</v>
      </c>
      <c r="C3562" s="15" t="s">
        <v>37</v>
      </c>
      <c r="D3562" s="15" t="s">
        <v>58</v>
      </c>
      <c r="E3562" s="15" t="s">
        <v>51</v>
      </c>
      <c r="F3562" s="15" t="s">
        <v>52</v>
      </c>
      <c r="G3562" s="15" t="s">
        <v>59</v>
      </c>
      <c r="H3562" s="15" t="s">
        <v>45</v>
      </c>
      <c r="I3562">
        <v>210</v>
      </c>
      <c r="J3562">
        <v>300</v>
      </c>
      <c r="K3562">
        <v>210</v>
      </c>
      <c r="L3562">
        <v>510</v>
      </c>
      <c r="M3562">
        <v>253</v>
      </c>
      <c r="N3562">
        <v>1686</v>
      </c>
      <c r="O3562">
        <v>336</v>
      </c>
      <c r="P3562">
        <v>83</v>
      </c>
      <c r="Q3562">
        <v>326</v>
      </c>
      <c r="R3562">
        <v>628</v>
      </c>
      <c r="S3562">
        <v>1.2313725490196079</v>
      </c>
      <c r="T3562">
        <v>1.5523809523809524</v>
      </c>
      <c r="U3562">
        <v>1.2047619047619047</v>
      </c>
    </row>
    <row r="3563" spans="1:21" x14ac:dyDescent="0.35">
      <c r="A3563">
        <v>515</v>
      </c>
      <c r="B3563" s="16">
        <v>40787</v>
      </c>
      <c r="C3563" s="15" t="s">
        <v>37</v>
      </c>
      <c r="D3563" s="15" t="s">
        <v>58</v>
      </c>
      <c r="E3563" s="15" t="s">
        <v>53</v>
      </c>
      <c r="F3563" s="15" t="s">
        <v>52</v>
      </c>
      <c r="G3563" s="15" t="s">
        <v>59</v>
      </c>
      <c r="H3563" s="15" t="s">
        <v>45</v>
      </c>
      <c r="I3563">
        <v>100</v>
      </c>
      <c r="J3563">
        <v>160</v>
      </c>
      <c r="K3563">
        <v>120</v>
      </c>
      <c r="L3563">
        <v>260</v>
      </c>
      <c r="M3563">
        <v>122</v>
      </c>
      <c r="N3563">
        <v>801</v>
      </c>
      <c r="O3563">
        <v>176</v>
      </c>
      <c r="P3563">
        <v>39</v>
      </c>
      <c r="Q3563">
        <v>171</v>
      </c>
      <c r="R3563">
        <v>318</v>
      </c>
      <c r="S3563">
        <v>1.2230769230769232</v>
      </c>
      <c r="T3563">
        <v>1.425</v>
      </c>
      <c r="U3563">
        <v>1.22</v>
      </c>
    </row>
    <row r="3564" spans="1:21" x14ac:dyDescent="0.35">
      <c r="A3564">
        <v>563</v>
      </c>
      <c r="B3564" s="16">
        <v>40787</v>
      </c>
      <c r="C3564" s="15" t="s">
        <v>37</v>
      </c>
      <c r="D3564" s="15" t="s">
        <v>58</v>
      </c>
      <c r="E3564" s="15" t="s">
        <v>55</v>
      </c>
      <c r="F3564" s="15" t="s">
        <v>47</v>
      </c>
      <c r="G3564" s="15" t="s">
        <v>59</v>
      </c>
      <c r="H3564" s="15" t="s">
        <v>42</v>
      </c>
      <c r="I3564">
        <v>210</v>
      </c>
      <c r="J3564">
        <v>220</v>
      </c>
      <c r="K3564">
        <v>140</v>
      </c>
      <c r="L3564">
        <v>430</v>
      </c>
      <c r="M3564">
        <v>249</v>
      </c>
      <c r="N3564">
        <v>1775</v>
      </c>
      <c r="O3564">
        <v>249</v>
      </c>
      <c r="P3564">
        <v>69</v>
      </c>
      <c r="Q3564">
        <v>230</v>
      </c>
      <c r="R3564">
        <v>531</v>
      </c>
      <c r="S3564">
        <v>1.2348837209302326</v>
      </c>
      <c r="T3564">
        <v>1.6428571428571428</v>
      </c>
      <c r="U3564">
        <v>1.1857142857142857</v>
      </c>
    </row>
    <row r="3565" spans="1:21" x14ac:dyDescent="0.35">
      <c r="A3565">
        <v>641</v>
      </c>
      <c r="B3565" s="16">
        <v>40787</v>
      </c>
      <c r="C3565" s="15" t="s">
        <v>37</v>
      </c>
      <c r="D3565" s="15" t="s">
        <v>58</v>
      </c>
      <c r="E3565" s="15" t="s">
        <v>56</v>
      </c>
      <c r="F3565" s="15" t="s">
        <v>47</v>
      </c>
      <c r="G3565" s="15" t="s">
        <v>59</v>
      </c>
      <c r="H3565" s="15" t="s">
        <v>42</v>
      </c>
      <c r="I3565">
        <v>250</v>
      </c>
      <c r="J3565">
        <v>340</v>
      </c>
      <c r="K3565">
        <v>210</v>
      </c>
      <c r="L3565">
        <v>590</v>
      </c>
      <c r="M3565">
        <v>302</v>
      </c>
      <c r="N3565">
        <v>1783</v>
      </c>
      <c r="O3565">
        <v>370</v>
      </c>
      <c r="P3565">
        <v>114</v>
      </c>
      <c r="Q3565">
        <v>331</v>
      </c>
      <c r="R3565">
        <v>716</v>
      </c>
      <c r="S3565">
        <v>1.2135593220338983</v>
      </c>
      <c r="T3565">
        <v>1.5761904761904761</v>
      </c>
      <c r="U3565">
        <v>1.208</v>
      </c>
    </row>
    <row r="3566" spans="1:21" x14ac:dyDescent="0.35">
      <c r="A3566">
        <v>712</v>
      </c>
      <c r="B3566" s="16">
        <v>40787</v>
      </c>
      <c r="C3566" s="15" t="s">
        <v>37</v>
      </c>
      <c r="D3566" s="15" t="s">
        <v>58</v>
      </c>
      <c r="E3566" s="15" t="s">
        <v>50</v>
      </c>
      <c r="F3566" s="15" t="s">
        <v>49</v>
      </c>
      <c r="G3566" s="15" t="s">
        <v>59</v>
      </c>
      <c r="H3566" s="15" t="s">
        <v>45</v>
      </c>
      <c r="I3566">
        <v>0</v>
      </c>
      <c r="J3566">
        <v>50</v>
      </c>
      <c r="K3566">
        <v>40</v>
      </c>
      <c r="L3566">
        <v>50</v>
      </c>
      <c r="M3566">
        <v>0</v>
      </c>
      <c r="N3566">
        <v>473</v>
      </c>
      <c r="O3566">
        <v>43</v>
      </c>
      <c r="P3566">
        <v>0</v>
      </c>
      <c r="Q3566">
        <v>47</v>
      </c>
      <c r="R3566">
        <v>46</v>
      </c>
      <c r="S3566">
        <v>0.92</v>
      </c>
      <c r="T3566">
        <v>1.175</v>
      </c>
    </row>
    <row r="3567" spans="1:21" x14ac:dyDescent="0.35">
      <c r="A3567">
        <v>319</v>
      </c>
      <c r="B3567" s="16">
        <v>40787</v>
      </c>
      <c r="C3567" s="15" t="s">
        <v>37</v>
      </c>
      <c r="D3567" s="15" t="s">
        <v>58</v>
      </c>
      <c r="E3567" s="15" t="s">
        <v>39</v>
      </c>
      <c r="F3567" s="15" t="s">
        <v>40</v>
      </c>
      <c r="G3567" s="15" t="s">
        <v>59</v>
      </c>
      <c r="H3567" s="15" t="s">
        <v>42</v>
      </c>
      <c r="I3567">
        <v>20</v>
      </c>
      <c r="J3567">
        <v>30</v>
      </c>
      <c r="K3567">
        <v>20</v>
      </c>
      <c r="L3567">
        <v>50</v>
      </c>
      <c r="M3567">
        <v>19</v>
      </c>
      <c r="N3567">
        <v>848</v>
      </c>
      <c r="O3567">
        <v>29</v>
      </c>
      <c r="P3567">
        <v>5</v>
      </c>
      <c r="Q3567">
        <v>19</v>
      </c>
      <c r="R3567">
        <v>51</v>
      </c>
      <c r="S3567">
        <v>1.02</v>
      </c>
      <c r="T3567">
        <v>0.95</v>
      </c>
      <c r="U3567">
        <v>0.95</v>
      </c>
    </row>
    <row r="3568" spans="1:21" x14ac:dyDescent="0.35">
      <c r="A3568">
        <v>515</v>
      </c>
      <c r="B3568" s="16">
        <v>40787</v>
      </c>
      <c r="C3568" s="15" t="s">
        <v>37</v>
      </c>
      <c r="D3568" s="15" t="s">
        <v>58</v>
      </c>
      <c r="E3568" s="15" t="s">
        <v>43</v>
      </c>
      <c r="F3568" s="15" t="s">
        <v>40</v>
      </c>
      <c r="G3568" s="15" t="s">
        <v>59</v>
      </c>
      <c r="H3568" s="15" t="s">
        <v>42</v>
      </c>
      <c r="I3568">
        <v>30</v>
      </c>
      <c r="J3568">
        <v>40</v>
      </c>
      <c r="K3568">
        <v>20</v>
      </c>
      <c r="L3568">
        <v>70</v>
      </c>
      <c r="M3568">
        <v>33</v>
      </c>
      <c r="N3568">
        <v>1003</v>
      </c>
      <c r="O3568">
        <v>39</v>
      </c>
      <c r="P3568">
        <v>10</v>
      </c>
      <c r="Q3568">
        <v>10</v>
      </c>
      <c r="R3568">
        <v>77</v>
      </c>
      <c r="S3568">
        <v>1.1000000000000001</v>
      </c>
      <c r="T3568">
        <v>0.5</v>
      </c>
      <c r="U3568">
        <v>1.1000000000000001</v>
      </c>
    </row>
    <row r="3569" spans="1:21" x14ac:dyDescent="0.35">
      <c r="A3569">
        <v>319</v>
      </c>
      <c r="B3569" s="16">
        <v>40787</v>
      </c>
      <c r="C3569" s="15" t="s">
        <v>37</v>
      </c>
      <c r="D3569" s="15" t="s">
        <v>58</v>
      </c>
      <c r="E3569" s="15" t="s">
        <v>44</v>
      </c>
      <c r="F3569" s="15" t="s">
        <v>40</v>
      </c>
      <c r="G3569" s="15" t="s">
        <v>59</v>
      </c>
      <c r="H3569" s="15" t="s">
        <v>45</v>
      </c>
      <c r="I3569">
        <v>10</v>
      </c>
      <c r="J3569">
        <v>20</v>
      </c>
      <c r="K3569">
        <v>10</v>
      </c>
      <c r="L3569">
        <v>30</v>
      </c>
      <c r="M3569">
        <v>15</v>
      </c>
      <c r="N3569">
        <v>600</v>
      </c>
      <c r="O3569">
        <v>20</v>
      </c>
      <c r="P3569">
        <v>4</v>
      </c>
      <c r="Q3569">
        <v>4</v>
      </c>
      <c r="R3569">
        <v>37</v>
      </c>
      <c r="S3569">
        <v>1.2333333333333334</v>
      </c>
      <c r="T3569">
        <v>0.4</v>
      </c>
      <c r="U3569">
        <v>1.5</v>
      </c>
    </row>
    <row r="3570" spans="1:21" x14ac:dyDescent="0.35">
      <c r="A3570">
        <v>319</v>
      </c>
      <c r="B3570" s="16">
        <v>40787</v>
      </c>
      <c r="C3570" s="15" t="s">
        <v>37</v>
      </c>
      <c r="D3570" s="15" t="s">
        <v>58</v>
      </c>
      <c r="E3570" s="15" t="s">
        <v>48</v>
      </c>
      <c r="F3570" s="15" t="s">
        <v>49</v>
      </c>
      <c r="G3570" s="15" t="s">
        <v>59</v>
      </c>
      <c r="H3570" s="15" t="s">
        <v>42</v>
      </c>
      <c r="I3570">
        <v>20</v>
      </c>
      <c r="J3570">
        <v>40</v>
      </c>
      <c r="K3570">
        <v>30</v>
      </c>
      <c r="L3570">
        <v>60</v>
      </c>
      <c r="M3570">
        <v>23</v>
      </c>
      <c r="N3570">
        <v>803</v>
      </c>
      <c r="O3570">
        <v>35</v>
      </c>
      <c r="P3570">
        <v>6</v>
      </c>
      <c r="Q3570">
        <v>27</v>
      </c>
      <c r="R3570">
        <v>62</v>
      </c>
      <c r="S3570">
        <v>1.0333333333333334</v>
      </c>
      <c r="T3570">
        <v>0.9</v>
      </c>
      <c r="U3570">
        <v>1.1499999999999999</v>
      </c>
    </row>
    <row r="3571" spans="1:21" x14ac:dyDescent="0.35">
      <c r="A3571">
        <v>314</v>
      </c>
      <c r="B3571" s="16">
        <v>40787</v>
      </c>
      <c r="C3571" s="15" t="s">
        <v>37</v>
      </c>
      <c r="D3571" s="15" t="s">
        <v>58</v>
      </c>
      <c r="E3571" s="15" t="s">
        <v>51</v>
      </c>
      <c r="F3571" s="15" t="s">
        <v>52</v>
      </c>
      <c r="G3571" s="15" t="s">
        <v>60</v>
      </c>
      <c r="H3571" s="15" t="s">
        <v>45</v>
      </c>
      <c r="I3571">
        <v>30</v>
      </c>
      <c r="J3571">
        <v>60</v>
      </c>
      <c r="K3571">
        <v>10</v>
      </c>
      <c r="L3571">
        <v>90</v>
      </c>
      <c r="M3571">
        <v>44</v>
      </c>
      <c r="N3571">
        <v>325</v>
      </c>
      <c r="O3571">
        <v>62</v>
      </c>
      <c r="P3571">
        <v>40</v>
      </c>
      <c r="Q3571">
        <v>-10</v>
      </c>
      <c r="R3571">
        <v>113</v>
      </c>
      <c r="S3571">
        <v>1.2555555555555555</v>
      </c>
      <c r="T3571">
        <v>-1</v>
      </c>
      <c r="U3571">
        <v>1.4666666666666666</v>
      </c>
    </row>
    <row r="3572" spans="1:21" x14ac:dyDescent="0.35">
      <c r="A3572">
        <v>573</v>
      </c>
      <c r="B3572" s="16">
        <v>40787</v>
      </c>
      <c r="C3572" s="15" t="s">
        <v>37</v>
      </c>
      <c r="D3572" s="15" t="s">
        <v>58</v>
      </c>
      <c r="E3572" s="15" t="s">
        <v>53</v>
      </c>
      <c r="F3572" s="15" t="s">
        <v>52</v>
      </c>
      <c r="G3572" s="15" t="s">
        <v>60</v>
      </c>
      <c r="H3572" s="15" t="s">
        <v>45</v>
      </c>
      <c r="I3572">
        <v>80</v>
      </c>
      <c r="J3572">
        <v>20</v>
      </c>
      <c r="K3572">
        <v>-10</v>
      </c>
      <c r="L3572">
        <v>100</v>
      </c>
      <c r="M3572">
        <v>104</v>
      </c>
      <c r="N3572">
        <v>1574</v>
      </c>
      <c r="O3572">
        <v>11</v>
      </c>
      <c r="P3572">
        <v>32</v>
      </c>
      <c r="Q3572">
        <v>-65</v>
      </c>
      <c r="R3572">
        <v>123</v>
      </c>
      <c r="S3572">
        <v>1.23</v>
      </c>
      <c r="T3572">
        <v>6.5</v>
      </c>
      <c r="U3572">
        <v>1.3</v>
      </c>
    </row>
    <row r="3573" spans="1:21" x14ac:dyDescent="0.35">
      <c r="A3573">
        <v>573</v>
      </c>
      <c r="B3573" s="16">
        <v>40787</v>
      </c>
      <c r="C3573" s="15" t="s">
        <v>37</v>
      </c>
      <c r="D3573" s="15" t="s">
        <v>58</v>
      </c>
      <c r="E3573" s="15" t="s">
        <v>55</v>
      </c>
      <c r="F3573" s="15" t="s">
        <v>47</v>
      </c>
      <c r="G3573" s="15" t="s">
        <v>60</v>
      </c>
      <c r="H3573" s="15" t="s">
        <v>42</v>
      </c>
      <c r="I3573">
        <v>30</v>
      </c>
      <c r="J3573">
        <v>50</v>
      </c>
      <c r="K3573">
        <v>20</v>
      </c>
      <c r="L3573">
        <v>80</v>
      </c>
      <c r="M3573">
        <v>39</v>
      </c>
      <c r="N3573">
        <v>248</v>
      </c>
      <c r="O3573">
        <v>52</v>
      </c>
      <c r="P3573">
        <v>12</v>
      </c>
      <c r="Q3573">
        <v>19</v>
      </c>
      <c r="R3573">
        <v>97</v>
      </c>
      <c r="S3573">
        <v>1.2124999999999999</v>
      </c>
      <c r="T3573">
        <v>0.95</v>
      </c>
      <c r="U3573">
        <v>1.3</v>
      </c>
    </row>
    <row r="3574" spans="1:21" x14ac:dyDescent="0.35">
      <c r="A3574">
        <v>660</v>
      </c>
      <c r="B3574" s="16">
        <v>40787</v>
      </c>
      <c r="C3574" s="15" t="s">
        <v>37</v>
      </c>
      <c r="D3574" s="15" t="s">
        <v>58</v>
      </c>
      <c r="E3574" s="15" t="s">
        <v>56</v>
      </c>
      <c r="F3574" s="15" t="s">
        <v>47</v>
      </c>
      <c r="G3574" s="15" t="s">
        <v>60</v>
      </c>
      <c r="H3574" s="15" t="s">
        <v>42</v>
      </c>
      <c r="I3574">
        <v>20</v>
      </c>
      <c r="J3574">
        <v>20</v>
      </c>
      <c r="K3574">
        <v>-10</v>
      </c>
      <c r="L3574">
        <v>40</v>
      </c>
      <c r="M3574">
        <v>24</v>
      </c>
      <c r="N3574">
        <v>212</v>
      </c>
      <c r="O3574">
        <v>30</v>
      </c>
      <c r="P3574">
        <v>9</v>
      </c>
      <c r="Q3574">
        <v>-18</v>
      </c>
      <c r="R3574">
        <v>58</v>
      </c>
      <c r="S3574">
        <v>1.45</v>
      </c>
      <c r="T3574">
        <v>1.8</v>
      </c>
      <c r="U3574">
        <v>1.2</v>
      </c>
    </row>
    <row r="3575" spans="1:21" x14ac:dyDescent="0.35">
      <c r="A3575">
        <v>314</v>
      </c>
      <c r="B3575" s="16">
        <v>40787</v>
      </c>
      <c r="C3575" s="15" t="s">
        <v>37</v>
      </c>
      <c r="D3575" s="15" t="s">
        <v>58</v>
      </c>
      <c r="E3575" s="15" t="s">
        <v>46</v>
      </c>
      <c r="F3575" s="15" t="s">
        <v>47</v>
      </c>
      <c r="G3575" s="15" t="s">
        <v>60</v>
      </c>
      <c r="H3575" s="15" t="s">
        <v>42</v>
      </c>
      <c r="I3575">
        <v>30</v>
      </c>
      <c r="J3575">
        <v>50</v>
      </c>
      <c r="K3575">
        <v>10</v>
      </c>
      <c r="L3575">
        <v>80</v>
      </c>
      <c r="M3575">
        <v>40</v>
      </c>
      <c r="N3575">
        <v>244</v>
      </c>
      <c r="O3575">
        <v>51</v>
      </c>
      <c r="P3575">
        <v>15</v>
      </c>
      <c r="Q3575">
        <v>3</v>
      </c>
      <c r="R3575">
        <v>97</v>
      </c>
      <c r="S3575">
        <v>1.2124999999999999</v>
      </c>
      <c r="T3575">
        <v>0.3</v>
      </c>
      <c r="U3575">
        <v>1.3333333333333333</v>
      </c>
    </row>
    <row r="3576" spans="1:21" x14ac:dyDescent="0.35">
      <c r="A3576">
        <v>314</v>
      </c>
      <c r="B3576" s="16">
        <v>40787</v>
      </c>
      <c r="C3576" s="15" t="s">
        <v>37</v>
      </c>
      <c r="D3576" s="15" t="s">
        <v>58</v>
      </c>
      <c r="E3576" s="15" t="s">
        <v>50</v>
      </c>
      <c r="F3576" s="15" t="s">
        <v>49</v>
      </c>
      <c r="G3576" s="15" t="s">
        <v>60</v>
      </c>
      <c r="H3576" s="15" t="s">
        <v>45</v>
      </c>
      <c r="I3576">
        <v>30</v>
      </c>
      <c r="J3576">
        <v>60</v>
      </c>
      <c r="K3576">
        <v>50</v>
      </c>
      <c r="L3576">
        <v>90</v>
      </c>
      <c r="M3576">
        <v>32</v>
      </c>
      <c r="N3576">
        <v>837</v>
      </c>
      <c r="O3576">
        <v>47</v>
      </c>
      <c r="P3576">
        <v>8</v>
      </c>
      <c r="Q3576">
        <v>40</v>
      </c>
      <c r="R3576">
        <v>84</v>
      </c>
      <c r="S3576">
        <v>0.93333333333333335</v>
      </c>
      <c r="T3576">
        <v>0.8</v>
      </c>
      <c r="U3576">
        <v>1.0666666666666667</v>
      </c>
    </row>
    <row r="3577" spans="1:21" x14ac:dyDescent="0.35">
      <c r="A3577">
        <v>573</v>
      </c>
      <c r="B3577" s="16">
        <v>40787</v>
      </c>
      <c r="C3577" s="15" t="s">
        <v>37</v>
      </c>
      <c r="D3577" s="15" t="s">
        <v>58</v>
      </c>
      <c r="E3577" s="15" t="s">
        <v>43</v>
      </c>
      <c r="F3577" s="15" t="s">
        <v>40</v>
      </c>
      <c r="G3577" s="15" t="s">
        <v>60</v>
      </c>
      <c r="H3577" s="15" t="s">
        <v>42</v>
      </c>
      <c r="I3577">
        <v>70</v>
      </c>
      <c r="J3577">
        <v>80</v>
      </c>
      <c r="K3577">
        <v>30</v>
      </c>
      <c r="L3577">
        <v>150</v>
      </c>
      <c r="M3577">
        <v>67</v>
      </c>
      <c r="N3577">
        <v>599</v>
      </c>
      <c r="O3577">
        <v>83</v>
      </c>
      <c r="P3577">
        <v>25</v>
      </c>
      <c r="Q3577">
        <v>37</v>
      </c>
      <c r="R3577">
        <v>160</v>
      </c>
      <c r="S3577">
        <v>1.0666666666666667</v>
      </c>
      <c r="T3577">
        <v>1.2333333333333334</v>
      </c>
      <c r="U3577">
        <v>0.95714285714285718</v>
      </c>
    </row>
    <row r="3578" spans="1:21" x14ac:dyDescent="0.35">
      <c r="A3578">
        <v>816</v>
      </c>
      <c r="B3578" s="16">
        <v>40787</v>
      </c>
      <c r="C3578" s="15" t="s">
        <v>37</v>
      </c>
      <c r="D3578" s="15" t="s">
        <v>58</v>
      </c>
      <c r="E3578" s="15" t="s">
        <v>44</v>
      </c>
      <c r="F3578" s="15" t="s">
        <v>40</v>
      </c>
      <c r="G3578" s="15" t="s">
        <v>60</v>
      </c>
      <c r="H3578" s="15" t="s">
        <v>45</v>
      </c>
      <c r="I3578">
        <v>60</v>
      </c>
      <c r="J3578">
        <v>80</v>
      </c>
      <c r="K3578">
        <v>50</v>
      </c>
      <c r="L3578">
        <v>140</v>
      </c>
      <c r="M3578">
        <v>62</v>
      </c>
      <c r="N3578">
        <v>1059</v>
      </c>
      <c r="O3578">
        <v>74</v>
      </c>
      <c r="P3578">
        <v>19</v>
      </c>
      <c r="Q3578">
        <v>50</v>
      </c>
      <c r="R3578">
        <v>145</v>
      </c>
      <c r="S3578">
        <v>1.0357142857142858</v>
      </c>
      <c r="T3578">
        <v>1</v>
      </c>
      <c r="U3578">
        <v>1.0333333333333334</v>
      </c>
    </row>
    <row r="3579" spans="1:21" x14ac:dyDescent="0.35">
      <c r="A3579">
        <v>573</v>
      </c>
      <c r="B3579" s="16">
        <v>40787</v>
      </c>
      <c r="C3579" s="15" t="s">
        <v>37</v>
      </c>
      <c r="D3579" s="15" t="s">
        <v>58</v>
      </c>
      <c r="E3579" s="15" t="s">
        <v>48</v>
      </c>
      <c r="F3579" s="15" t="s">
        <v>49</v>
      </c>
      <c r="G3579" s="15" t="s">
        <v>60</v>
      </c>
      <c r="H3579" s="15" t="s">
        <v>42</v>
      </c>
      <c r="I3579">
        <v>50</v>
      </c>
      <c r="J3579">
        <v>70</v>
      </c>
      <c r="K3579">
        <v>50</v>
      </c>
      <c r="L3579">
        <v>120</v>
      </c>
      <c r="M3579">
        <v>44</v>
      </c>
      <c r="N3579">
        <v>886</v>
      </c>
      <c r="O3579">
        <v>64</v>
      </c>
      <c r="P3579">
        <v>12</v>
      </c>
      <c r="Q3579">
        <v>61</v>
      </c>
      <c r="R3579">
        <v>115</v>
      </c>
      <c r="S3579">
        <v>0.95833333333333337</v>
      </c>
      <c r="T3579">
        <v>1.22</v>
      </c>
      <c r="U3579">
        <v>0.88</v>
      </c>
    </row>
    <row r="3580" spans="1:21" x14ac:dyDescent="0.35">
      <c r="A3580">
        <v>513</v>
      </c>
      <c r="B3580" s="16">
        <v>40787</v>
      </c>
      <c r="C3580" s="15" t="s">
        <v>37</v>
      </c>
      <c r="D3580" s="15" t="s">
        <v>38</v>
      </c>
      <c r="E3580" s="15" t="s">
        <v>51</v>
      </c>
      <c r="F3580" s="15" t="s">
        <v>52</v>
      </c>
      <c r="G3580" s="15" t="s">
        <v>61</v>
      </c>
      <c r="H3580" s="15" t="s">
        <v>45</v>
      </c>
      <c r="I3580">
        <v>10</v>
      </c>
      <c r="J3580">
        <v>30</v>
      </c>
      <c r="K3580">
        <v>30</v>
      </c>
      <c r="L3580">
        <v>40</v>
      </c>
      <c r="M3580">
        <v>20</v>
      </c>
      <c r="N3580">
        <v>482</v>
      </c>
      <c r="O3580">
        <v>30</v>
      </c>
      <c r="P3580">
        <v>5</v>
      </c>
      <c r="Q3580">
        <v>21</v>
      </c>
      <c r="R3580">
        <v>53</v>
      </c>
      <c r="S3580">
        <v>1.325</v>
      </c>
      <c r="T3580">
        <v>0.7</v>
      </c>
      <c r="U3580">
        <v>2</v>
      </c>
    </row>
    <row r="3581" spans="1:21" x14ac:dyDescent="0.35">
      <c r="A3581">
        <v>614</v>
      </c>
      <c r="B3581" s="16">
        <v>40787</v>
      </c>
      <c r="C3581" s="15" t="s">
        <v>37</v>
      </c>
      <c r="D3581" s="15" t="s">
        <v>38</v>
      </c>
      <c r="E3581" s="15" t="s">
        <v>53</v>
      </c>
      <c r="F3581" s="15" t="s">
        <v>52</v>
      </c>
      <c r="G3581" s="15" t="s">
        <v>61</v>
      </c>
      <c r="H3581" s="15" t="s">
        <v>45</v>
      </c>
      <c r="I3581">
        <v>20</v>
      </c>
      <c r="J3581">
        <v>40</v>
      </c>
      <c r="K3581">
        <v>40</v>
      </c>
      <c r="L3581">
        <v>60</v>
      </c>
      <c r="M3581">
        <v>29</v>
      </c>
      <c r="N3581">
        <v>862</v>
      </c>
      <c r="O3581">
        <v>43</v>
      </c>
      <c r="P3581">
        <v>8</v>
      </c>
      <c r="Q3581">
        <v>34</v>
      </c>
      <c r="R3581">
        <v>77</v>
      </c>
      <c r="S3581">
        <v>1.2833333333333334</v>
      </c>
      <c r="T3581">
        <v>0.85</v>
      </c>
      <c r="U3581">
        <v>1.45</v>
      </c>
    </row>
    <row r="3582" spans="1:21" x14ac:dyDescent="0.35">
      <c r="A3582">
        <v>614</v>
      </c>
      <c r="B3582" s="16">
        <v>40787</v>
      </c>
      <c r="C3582" s="15" t="s">
        <v>37</v>
      </c>
      <c r="D3582" s="15" t="s">
        <v>38</v>
      </c>
      <c r="E3582" s="15" t="s">
        <v>55</v>
      </c>
      <c r="F3582" s="15" t="s">
        <v>47</v>
      </c>
      <c r="G3582" s="15" t="s">
        <v>61</v>
      </c>
      <c r="H3582" s="15" t="s">
        <v>42</v>
      </c>
      <c r="I3582">
        <v>80</v>
      </c>
      <c r="J3582">
        <v>130</v>
      </c>
      <c r="K3582">
        <v>70</v>
      </c>
      <c r="L3582">
        <v>210</v>
      </c>
      <c r="M3582">
        <v>99</v>
      </c>
      <c r="N3582">
        <v>798</v>
      </c>
      <c r="O3582">
        <v>150</v>
      </c>
      <c r="P3582">
        <v>32</v>
      </c>
      <c r="Q3582">
        <v>129</v>
      </c>
      <c r="R3582">
        <v>265</v>
      </c>
      <c r="S3582">
        <v>1.2619047619047619</v>
      </c>
      <c r="T3582">
        <v>1.8428571428571427</v>
      </c>
      <c r="U3582">
        <v>1.2375</v>
      </c>
    </row>
    <row r="3583" spans="1:21" x14ac:dyDescent="0.35">
      <c r="A3583">
        <v>234</v>
      </c>
      <c r="B3583" s="16">
        <v>40787</v>
      </c>
      <c r="C3583" s="15" t="s">
        <v>37</v>
      </c>
      <c r="D3583" s="15" t="s">
        <v>38</v>
      </c>
      <c r="E3583" s="15" t="s">
        <v>56</v>
      </c>
      <c r="F3583" s="15" t="s">
        <v>47</v>
      </c>
      <c r="G3583" s="15" t="s">
        <v>61</v>
      </c>
      <c r="H3583" s="15" t="s">
        <v>42</v>
      </c>
      <c r="I3583">
        <v>80</v>
      </c>
      <c r="J3583">
        <v>120</v>
      </c>
      <c r="K3583">
        <v>80</v>
      </c>
      <c r="L3583">
        <v>200</v>
      </c>
      <c r="M3583">
        <v>96</v>
      </c>
      <c r="N3583">
        <v>666</v>
      </c>
      <c r="O3583">
        <v>134</v>
      </c>
      <c r="P3583">
        <v>29</v>
      </c>
      <c r="Q3583">
        <v>120</v>
      </c>
      <c r="R3583">
        <v>245</v>
      </c>
      <c r="S3583">
        <v>1.2250000000000001</v>
      </c>
      <c r="T3583">
        <v>1.5</v>
      </c>
      <c r="U3583">
        <v>1.2</v>
      </c>
    </row>
    <row r="3584" spans="1:21" x14ac:dyDescent="0.35">
      <c r="A3584">
        <v>419</v>
      </c>
      <c r="B3584" s="16">
        <v>40787</v>
      </c>
      <c r="C3584" s="15" t="s">
        <v>37</v>
      </c>
      <c r="D3584" s="15" t="s">
        <v>38</v>
      </c>
      <c r="E3584" s="15" t="s">
        <v>50</v>
      </c>
      <c r="F3584" s="15" t="s">
        <v>49</v>
      </c>
      <c r="G3584" s="15" t="s">
        <v>61</v>
      </c>
      <c r="H3584" s="15" t="s">
        <v>45</v>
      </c>
      <c r="I3584">
        <v>50</v>
      </c>
      <c r="J3584">
        <v>70</v>
      </c>
      <c r="K3584">
        <v>30</v>
      </c>
      <c r="L3584">
        <v>120</v>
      </c>
      <c r="M3584">
        <v>45</v>
      </c>
      <c r="N3584">
        <v>409</v>
      </c>
      <c r="O3584">
        <v>57</v>
      </c>
      <c r="P3584">
        <v>17</v>
      </c>
      <c r="Q3584">
        <v>9</v>
      </c>
      <c r="R3584">
        <v>109</v>
      </c>
      <c r="S3584">
        <v>0.90833333333333333</v>
      </c>
      <c r="T3584">
        <v>0.3</v>
      </c>
      <c r="U3584">
        <v>0.9</v>
      </c>
    </row>
    <row r="3585" spans="1:21" x14ac:dyDescent="0.35">
      <c r="A3585">
        <v>216</v>
      </c>
      <c r="B3585" s="16">
        <v>40787</v>
      </c>
      <c r="C3585" s="15" t="s">
        <v>37</v>
      </c>
      <c r="D3585" s="15" t="s">
        <v>38</v>
      </c>
      <c r="E3585" s="15" t="s">
        <v>39</v>
      </c>
      <c r="F3585" s="15" t="s">
        <v>40</v>
      </c>
      <c r="G3585" s="15" t="s">
        <v>61</v>
      </c>
      <c r="H3585" s="15" t="s">
        <v>42</v>
      </c>
      <c r="I3585">
        <v>50</v>
      </c>
      <c r="J3585">
        <v>80</v>
      </c>
      <c r="K3585">
        <v>50</v>
      </c>
      <c r="L3585">
        <v>130</v>
      </c>
      <c r="M3585">
        <v>53</v>
      </c>
      <c r="N3585">
        <v>410</v>
      </c>
      <c r="O3585">
        <v>72</v>
      </c>
      <c r="P3585">
        <v>17</v>
      </c>
      <c r="Q3585">
        <v>42</v>
      </c>
      <c r="R3585">
        <v>133</v>
      </c>
      <c r="S3585">
        <v>1.023076923076923</v>
      </c>
      <c r="T3585">
        <v>0.84</v>
      </c>
      <c r="U3585">
        <v>1.06</v>
      </c>
    </row>
    <row r="3586" spans="1:21" x14ac:dyDescent="0.35">
      <c r="A3586">
        <v>614</v>
      </c>
      <c r="B3586" s="16">
        <v>40787</v>
      </c>
      <c r="C3586" s="15" t="s">
        <v>37</v>
      </c>
      <c r="D3586" s="15" t="s">
        <v>38</v>
      </c>
      <c r="E3586" s="15" t="s">
        <v>43</v>
      </c>
      <c r="F3586" s="15" t="s">
        <v>40</v>
      </c>
      <c r="G3586" s="15" t="s">
        <v>61</v>
      </c>
      <c r="H3586" s="15" t="s">
        <v>42</v>
      </c>
      <c r="I3586">
        <v>40</v>
      </c>
      <c r="J3586">
        <v>70</v>
      </c>
      <c r="K3586">
        <v>40</v>
      </c>
      <c r="L3586">
        <v>110</v>
      </c>
      <c r="M3586">
        <v>43</v>
      </c>
      <c r="N3586">
        <v>424</v>
      </c>
      <c r="O3586">
        <v>64</v>
      </c>
      <c r="P3586">
        <v>13</v>
      </c>
      <c r="Q3586">
        <v>43</v>
      </c>
      <c r="R3586">
        <v>114</v>
      </c>
      <c r="S3586">
        <v>1.0363636363636364</v>
      </c>
      <c r="T3586">
        <v>1.075</v>
      </c>
      <c r="U3586">
        <v>1.075</v>
      </c>
    </row>
    <row r="3587" spans="1:21" x14ac:dyDescent="0.35">
      <c r="A3587">
        <v>614</v>
      </c>
      <c r="B3587" s="16">
        <v>40787</v>
      </c>
      <c r="C3587" s="15" t="s">
        <v>37</v>
      </c>
      <c r="D3587" s="15" t="s">
        <v>38</v>
      </c>
      <c r="E3587" s="15" t="s">
        <v>44</v>
      </c>
      <c r="F3587" s="15" t="s">
        <v>40</v>
      </c>
      <c r="G3587" s="15" t="s">
        <v>61</v>
      </c>
      <c r="H3587" s="15" t="s">
        <v>45</v>
      </c>
      <c r="I3587">
        <v>50</v>
      </c>
      <c r="J3587">
        <v>80</v>
      </c>
      <c r="K3587">
        <v>20</v>
      </c>
      <c r="L3587">
        <v>130</v>
      </c>
      <c r="M3587">
        <v>52</v>
      </c>
      <c r="N3587">
        <v>509</v>
      </c>
      <c r="O3587">
        <v>74</v>
      </c>
      <c r="P3587">
        <v>47</v>
      </c>
      <c r="Q3587">
        <v>-4</v>
      </c>
      <c r="R3587">
        <v>134</v>
      </c>
      <c r="S3587">
        <v>1.0307692307692307</v>
      </c>
      <c r="T3587">
        <v>-0.2</v>
      </c>
      <c r="U3587">
        <v>1.04</v>
      </c>
    </row>
    <row r="3588" spans="1:21" x14ac:dyDescent="0.35">
      <c r="A3588">
        <v>440</v>
      </c>
      <c r="B3588" s="16">
        <v>40787</v>
      </c>
      <c r="C3588" s="15" t="s">
        <v>37</v>
      </c>
      <c r="D3588" s="15" t="s">
        <v>38</v>
      </c>
      <c r="E3588" s="15" t="s">
        <v>48</v>
      </c>
      <c r="F3588" s="15" t="s">
        <v>49</v>
      </c>
      <c r="G3588" s="15" t="s">
        <v>61</v>
      </c>
      <c r="H3588" s="15" t="s">
        <v>42</v>
      </c>
      <c r="I3588">
        <v>170</v>
      </c>
      <c r="J3588">
        <v>190</v>
      </c>
      <c r="K3588">
        <v>130</v>
      </c>
      <c r="L3588">
        <v>360</v>
      </c>
      <c r="M3588">
        <v>155</v>
      </c>
      <c r="N3588">
        <v>1280</v>
      </c>
      <c r="O3588">
        <v>155</v>
      </c>
      <c r="P3588">
        <v>43</v>
      </c>
      <c r="Q3588">
        <v>129</v>
      </c>
      <c r="R3588">
        <v>330</v>
      </c>
      <c r="S3588">
        <v>0.91666666666666663</v>
      </c>
      <c r="T3588">
        <v>0.99230769230769234</v>
      </c>
      <c r="U3588">
        <v>0.91176470588235292</v>
      </c>
    </row>
    <row r="3589" spans="1:21" x14ac:dyDescent="0.35">
      <c r="A3589">
        <v>262</v>
      </c>
      <c r="B3589" s="16">
        <v>40787</v>
      </c>
      <c r="C3589" s="15" t="s">
        <v>37</v>
      </c>
      <c r="D3589" s="15" t="s">
        <v>58</v>
      </c>
      <c r="E3589" s="15" t="s">
        <v>51</v>
      </c>
      <c r="F3589" s="15" t="s">
        <v>52</v>
      </c>
      <c r="G3589" s="15" t="s">
        <v>62</v>
      </c>
      <c r="H3589" s="15" t="s">
        <v>45</v>
      </c>
      <c r="I3589">
        <v>40</v>
      </c>
      <c r="J3589">
        <v>90</v>
      </c>
      <c r="K3589">
        <v>70</v>
      </c>
      <c r="L3589">
        <v>130</v>
      </c>
      <c r="M3589">
        <v>57</v>
      </c>
      <c r="N3589">
        <v>349</v>
      </c>
      <c r="O3589">
        <v>94</v>
      </c>
      <c r="P3589">
        <v>17</v>
      </c>
      <c r="Q3589">
        <v>79</v>
      </c>
      <c r="R3589">
        <v>161</v>
      </c>
      <c r="S3589">
        <v>1.2384615384615385</v>
      </c>
      <c r="T3589">
        <v>1.1285714285714286</v>
      </c>
      <c r="U3589">
        <v>1.425</v>
      </c>
    </row>
    <row r="3590" spans="1:21" x14ac:dyDescent="0.35">
      <c r="A3590">
        <v>414</v>
      </c>
      <c r="B3590" s="16">
        <v>40787</v>
      </c>
      <c r="C3590" s="15" t="s">
        <v>37</v>
      </c>
      <c r="D3590" s="15" t="s">
        <v>58</v>
      </c>
      <c r="E3590" s="15" t="s">
        <v>53</v>
      </c>
      <c r="F3590" s="15" t="s">
        <v>52</v>
      </c>
      <c r="G3590" s="15" t="s">
        <v>62</v>
      </c>
      <c r="H3590" s="15" t="s">
        <v>45</v>
      </c>
      <c r="I3590">
        <v>40</v>
      </c>
      <c r="J3590">
        <v>70</v>
      </c>
      <c r="K3590">
        <v>60</v>
      </c>
      <c r="L3590">
        <v>110</v>
      </c>
      <c r="M3590">
        <v>51</v>
      </c>
      <c r="N3590">
        <v>857</v>
      </c>
      <c r="O3590">
        <v>75</v>
      </c>
      <c r="P3590">
        <v>14</v>
      </c>
      <c r="Q3590">
        <v>74</v>
      </c>
      <c r="R3590">
        <v>134</v>
      </c>
      <c r="S3590">
        <v>1.2181818181818183</v>
      </c>
      <c r="T3590">
        <v>1.2333333333333334</v>
      </c>
      <c r="U3590">
        <v>1.2749999999999999</v>
      </c>
    </row>
    <row r="3591" spans="1:21" x14ac:dyDescent="0.35">
      <c r="A3591">
        <v>608</v>
      </c>
      <c r="B3591" s="16">
        <v>40787</v>
      </c>
      <c r="C3591" s="15" t="s">
        <v>37</v>
      </c>
      <c r="D3591" s="15" t="s">
        <v>58</v>
      </c>
      <c r="E3591" s="15" t="s">
        <v>55</v>
      </c>
      <c r="F3591" s="15" t="s">
        <v>47</v>
      </c>
      <c r="G3591" s="15" t="s">
        <v>62</v>
      </c>
      <c r="H3591" s="15" t="s">
        <v>42</v>
      </c>
      <c r="I3591">
        <v>30</v>
      </c>
      <c r="J3591">
        <v>60</v>
      </c>
      <c r="K3591">
        <v>30</v>
      </c>
      <c r="L3591">
        <v>90</v>
      </c>
      <c r="M3591">
        <v>46</v>
      </c>
      <c r="N3591">
        <v>454</v>
      </c>
      <c r="O3591">
        <v>67</v>
      </c>
      <c r="P3591">
        <v>14</v>
      </c>
      <c r="Q3591">
        <v>46</v>
      </c>
      <c r="R3591">
        <v>120</v>
      </c>
      <c r="S3591">
        <v>1.3333333333333333</v>
      </c>
      <c r="T3591">
        <v>1.5333333333333334</v>
      </c>
      <c r="U3591">
        <v>1.5333333333333334</v>
      </c>
    </row>
    <row r="3592" spans="1:21" x14ac:dyDescent="0.35">
      <c r="A3592">
        <v>715</v>
      </c>
      <c r="B3592" s="16">
        <v>40787</v>
      </c>
      <c r="C3592" s="15" t="s">
        <v>37</v>
      </c>
      <c r="D3592" s="15" t="s">
        <v>58</v>
      </c>
      <c r="E3592" s="15" t="s">
        <v>56</v>
      </c>
      <c r="F3592" s="15" t="s">
        <v>47</v>
      </c>
      <c r="G3592" s="15" t="s">
        <v>62</v>
      </c>
      <c r="H3592" s="15" t="s">
        <v>42</v>
      </c>
      <c r="I3592">
        <v>50</v>
      </c>
      <c r="J3592">
        <v>80</v>
      </c>
      <c r="K3592">
        <v>10</v>
      </c>
      <c r="L3592">
        <v>130</v>
      </c>
      <c r="M3592">
        <v>62</v>
      </c>
      <c r="N3592">
        <v>612</v>
      </c>
      <c r="O3592">
        <v>87</v>
      </c>
      <c r="P3592">
        <v>56</v>
      </c>
      <c r="Q3592">
        <v>3</v>
      </c>
      <c r="R3592">
        <v>159</v>
      </c>
      <c r="S3592">
        <v>1.2230769230769232</v>
      </c>
      <c r="T3592">
        <v>0.3</v>
      </c>
      <c r="U3592">
        <v>1.24</v>
      </c>
    </row>
    <row r="3593" spans="1:21" x14ac:dyDescent="0.35">
      <c r="A3593">
        <v>715</v>
      </c>
      <c r="B3593" s="16">
        <v>40787</v>
      </c>
      <c r="C3593" s="15" t="s">
        <v>37</v>
      </c>
      <c r="D3593" s="15" t="s">
        <v>58</v>
      </c>
      <c r="E3593" s="15" t="s">
        <v>50</v>
      </c>
      <c r="F3593" s="15" t="s">
        <v>49</v>
      </c>
      <c r="G3593" s="15" t="s">
        <v>62</v>
      </c>
      <c r="H3593" s="15" t="s">
        <v>45</v>
      </c>
      <c r="I3593">
        <v>30</v>
      </c>
      <c r="J3593">
        <v>50</v>
      </c>
      <c r="K3593">
        <v>30</v>
      </c>
      <c r="L3593">
        <v>80</v>
      </c>
      <c r="M3593">
        <v>33</v>
      </c>
      <c r="N3593">
        <v>577</v>
      </c>
      <c r="O3593">
        <v>43</v>
      </c>
      <c r="P3593">
        <v>10</v>
      </c>
      <c r="Q3593">
        <v>31</v>
      </c>
      <c r="R3593">
        <v>81</v>
      </c>
      <c r="S3593">
        <v>1.0125</v>
      </c>
      <c r="T3593">
        <v>1.0333333333333334</v>
      </c>
      <c r="U3593">
        <v>1.1000000000000001</v>
      </c>
    </row>
    <row r="3594" spans="1:21" x14ac:dyDescent="0.35">
      <c r="A3594">
        <v>608</v>
      </c>
      <c r="B3594" s="16">
        <v>40787</v>
      </c>
      <c r="C3594" s="15" t="s">
        <v>37</v>
      </c>
      <c r="D3594" s="15" t="s">
        <v>58</v>
      </c>
      <c r="E3594" s="15" t="s">
        <v>39</v>
      </c>
      <c r="F3594" s="15" t="s">
        <v>40</v>
      </c>
      <c r="G3594" s="15" t="s">
        <v>62</v>
      </c>
      <c r="H3594" s="15" t="s">
        <v>42</v>
      </c>
      <c r="I3594">
        <v>70</v>
      </c>
      <c r="J3594">
        <v>80</v>
      </c>
      <c r="K3594">
        <v>30</v>
      </c>
      <c r="L3594">
        <v>150</v>
      </c>
      <c r="M3594">
        <v>67</v>
      </c>
      <c r="N3594">
        <v>391</v>
      </c>
      <c r="O3594">
        <v>82</v>
      </c>
      <c r="P3594">
        <v>25</v>
      </c>
      <c r="Q3594">
        <v>34</v>
      </c>
      <c r="R3594">
        <v>159</v>
      </c>
      <c r="S3594">
        <v>1.06</v>
      </c>
      <c r="T3594">
        <v>1.1333333333333333</v>
      </c>
      <c r="U3594">
        <v>0.95714285714285718</v>
      </c>
    </row>
    <row r="3595" spans="1:21" x14ac:dyDescent="0.35">
      <c r="A3595">
        <v>715</v>
      </c>
      <c r="B3595" s="16">
        <v>40787</v>
      </c>
      <c r="C3595" s="15" t="s">
        <v>37</v>
      </c>
      <c r="D3595" s="15" t="s">
        <v>58</v>
      </c>
      <c r="E3595" s="15" t="s">
        <v>43</v>
      </c>
      <c r="F3595" s="15" t="s">
        <v>40</v>
      </c>
      <c r="G3595" s="15" t="s">
        <v>62</v>
      </c>
      <c r="H3595" s="15" t="s">
        <v>42</v>
      </c>
      <c r="I3595">
        <v>90</v>
      </c>
      <c r="J3595">
        <v>140</v>
      </c>
      <c r="K3595">
        <v>40</v>
      </c>
      <c r="L3595">
        <v>230</v>
      </c>
      <c r="M3595">
        <v>93</v>
      </c>
      <c r="N3595">
        <v>692</v>
      </c>
      <c r="O3595">
        <v>130</v>
      </c>
      <c r="P3595">
        <v>84</v>
      </c>
      <c r="Q3595">
        <v>24</v>
      </c>
      <c r="R3595">
        <v>238</v>
      </c>
      <c r="S3595">
        <v>1.0347826086956522</v>
      </c>
      <c r="T3595">
        <v>0.6</v>
      </c>
      <c r="U3595">
        <v>1.0333333333333334</v>
      </c>
    </row>
    <row r="3596" spans="1:21" x14ac:dyDescent="0.35">
      <c r="A3596">
        <v>414</v>
      </c>
      <c r="B3596" s="16">
        <v>40787</v>
      </c>
      <c r="C3596" s="15" t="s">
        <v>37</v>
      </c>
      <c r="D3596" s="15" t="s">
        <v>58</v>
      </c>
      <c r="E3596" s="15" t="s">
        <v>44</v>
      </c>
      <c r="F3596" s="15" t="s">
        <v>40</v>
      </c>
      <c r="G3596" s="15" t="s">
        <v>62</v>
      </c>
      <c r="H3596" s="15" t="s">
        <v>45</v>
      </c>
      <c r="I3596">
        <v>90</v>
      </c>
      <c r="J3596">
        <v>110</v>
      </c>
      <c r="K3596">
        <v>70</v>
      </c>
      <c r="L3596">
        <v>200</v>
      </c>
      <c r="M3596">
        <v>85</v>
      </c>
      <c r="N3596">
        <v>555</v>
      </c>
      <c r="O3596">
        <v>114</v>
      </c>
      <c r="P3596">
        <v>28</v>
      </c>
      <c r="Q3596">
        <v>86</v>
      </c>
      <c r="R3596">
        <v>212</v>
      </c>
      <c r="S3596">
        <v>1.06</v>
      </c>
      <c r="T3596">
        <v>1.2285714285714286</v>
      </c>
      <c r="U3596">
        <v>0.94444444444444442</v>
      </c>
    </row>
    <row r="3597" spans="1:21" x14ac:dyDescent="0.35">
      <c r="A3597">
        <v>920</v>
      </c>
      <c r="B3597" s="16">
        <v>40787</v>
      </c>
      <c r="C3597" s="15" t="s">
        <v>37</v>
      </c>
      <c r="D3597" s="15" t="s">
        <v>58</v>
      </c>
      <c r="E3597" s="15" t="s">
        <v>48</v>
      </c>
      <c r="F3597" s="15" t="s">
        <v>49</v>
      </c>
      <c r="G3597" s="15" t="s">
        <v>62</v>
      </c>
      <c r="H3597" s="15" t="s">
        <v>42</v>
      </c>
      <c r="I3597">
        <v>90</v>
      </c>
      <c r="J3597">
        <v>120</v>
      </c>
      <c r="K3597">
        <v>80</v>
      </c>
      <c r="L3597">
        <v>210</v>
      </c>
      <c r="M3597">
        <v>83</v>
      </c>
      <c r="N3597">
        <v>1063</v>
      </c>
      <c r="O3597">
        <v>99</v>
      </c>
      <c r="P3597">
        <v>25</v>
      </c>
      <c r="Q3597">
        <v>79</v>
      </c>
      <c r="R3597">
        <v>194</v>
      </c>
      <c r="S3597">
        <v>0.92380952380952386</v>
      </c>
      <c r="T3597">
        <v>0.98750000000000004</v>
      </c>
      <c r="U3597">
        <v>0.92222222222222228</v>
      </c>
    </row>
    <row r="3598" spans="1:21" x14ac:dyDescent="0.35">
      <c r="A3598">
        <v>203</v>
      </c>
      <c r="B3598" s="16">
        <v>40787</v>
      </c>
      <c r="C3598" s="15" t="s">
        <v>63</v>
      </c>
      <c r="D3598" s="15" t="s">
        <v>58</v>
      </c>
      <c r="E3598" s="15" t="s">
        <v>53</v>
      </c>
      <c r="F3598" s="15" t="s">
        <v>52</v>
      </c>
      <c r="G3598" s="15" t="s">
        <v>64</v>
      </c>
      <c r="H3598" s="15" t="s">
        <v>45</v>
      </c>
      <c r="I3598">
        <v>50</v>
      </c>
      <c r="J3598">
        <v>60</v>
      </c>
      <c r="K3598">
        <v>20</v>
      </c>
      <c r="L3598">
        <v>110</v>
      </c>
      <c r="M3598">
        <v>67</v>
      </c>
      <c r="N3598">
        <v>599</v>
      </c>
      <c r="O3598">
        <v>83</v>
      </c>
      <c r="P3598">
        <v>25</v>
      </c>
      <c r="Q3598">
        <v>36</v>
      </c>
      <c r="R3598">
        <v>160</v>
      </c>
      <c r="S3598">
        <v>1.4545454545454546</v>
      </c>
      <c r="T3598">
        <v>1.8</v>
      </c>
      <c r="U3598">
        <v>1.34</v>
      </c>
    </row>
    <row r="3599" spans="1:21" x14ac:dyDescent="0.35">
      <c r="A3599">
        <v>203</v>
      </c>
      <c r="B3599" s="16">
        <v>40787</v>
      </c>
      <c r="C3599" s="15" t="s">
        <v>63</v>
      </c>
      <c r="D3599" s="15" t="s">
        <v>58</v>
      </c>
      <c r="E3599" s="15" t="s">
        <v>54</v>
      </c>
      <c r="F3599" s="15" t="s">
        <v>52</v>
      </c>
      <c r="G3599" s="15" t="s">
        <v>64</v>
      </c>
      <c r="H3599" s="15" t="s">
        <v>45</v>
      </c>
      <c r="I3599">
        <v>40</v>
      </c>
      <c r="J3599">
        <v>60</v>
      </c>
      <c r="K3599">
        <v>40</v>
      </c>
      <c r="L3599">
        <v>100</v>
      </c>
      <c r="M3599">
        <v>62</v>
      </c>
      <c r="N3599">
        <v>1059</v>
      </c>
      <c r="O3599">
        <v>74</v>
      </c>
      <c r="P3599">
        <v>19</v>
      </c>
      <c r="Q3599">
        <v>49</v>
      </c>
      <c r="R3599">
        <v>145</v>
      </c>
      <c r="S3599">
        <v>1.45</v>
      </c>
      <c r="T3599">
        <v>1.2250000000000001</v>
      </c>
      <c r="U3599">
        <v>1.55</v>
      </c>
    </row>
    <row r="3600" spans="1:21" x14ac:dyDescent="0.35">
      <c r="A3600">
        <v>860</v>
      </c>
      <c r="B3600" s="16">
        <v>40787</v>
      </c>
      <c r="C3600" s="15" t="s">
        <v>63</v>
      </c>
      <c r="D3600" s="15" t="s">
        <v>58</v>
      </c>
      <c r="E3600" s="15" t="s">
        <v>55</v>
      </c>
      <c r="F3600" s="15" t="s">
        <v>47</v>
      </c>
      <c r="G3600" s="15" t="s">
        <v>64</v>
      </c>
      <c r="H3600" s="15" t="s">
        <v>42</v>
      </c>
      <c r="I3600">
        <v>40</v>
      </c>
      <c r="J3600">
        <v>70</v>
      </c>
      <c r="K3600">
        <v>50</v>
      </c>
      <c r="L3600">
        <v>110</v>
      </c>
      <c r="M3600">
        <v>44</v>
      </c>
      <c r="N3600">
        <v>886</v>
      </c>
      <c r="O3600">
        <v>64</v>
      </c>
      <c r="P3600">
        <v>12</v>
      </c>
      <c r="Q3600">
        <v>61</v>
      </c>
      <c r="R3600">
        <v>115</v>
      </c>
      <c r="S3600">
        <v>1.0454545454545454</v>
      </c>
      <c r="T3600">
        <v>1.22</v>
      </c>
      <c r="U3600">
        <v>1.1000000000000001</v>
      </c>
    </row>
    <row r="3601" spans="1:21" x14ac:dyDescent="0.35">
      <c r="A3601">
        <v>959</v>
      </c>
      <c r="B3601" s="16">
        <v>40787</v>
      </c>
      <c r="C3601" s="15" t="s">
        <v>63</v>
      </c>
      <c r="D3601" s="15" t="s">
        <v>58</v>
      </c>
      <c r="E3601" s="15" t="s">
        <v>46</v>
      </c>
      <c r="F3601" s="15" t="s">
        <v>47</v>
      </c>
      <c r="G3601" s="15" t="s">
        <v>64</v>
      </c>
      <c r="H3601" s="15" t="s">
        <v>42</v>
      </c>
      <c r="I3601">
        <v>20</v>
      </c>
      <c r="J3601">
        <v>40</v>
      </c>
      <c r="K3601">
        <v>30</v>
      </c>
      <c r="L3601">
        <v>60</v>
      </c>
      <c r="M3601">
        <v>23</v>
      </c>
      <c r="N3601">
        <v>809</v>
      </c>
      <c r="O3601">
        <v>34</v>
      </c>
      <c r="P3601">
        <v>6</v>
      </c>
      <c r="Q3601">
        <v>25</v>
      </c>
      <c r="R3601">
        <v>61</v>
      </c>
      <c r="S3601">
        <v>1.0166666666666666</v>
      </c>
      <c r="T3601">
        <v>0.83333333333333337</v>
      </c>
      <c r="U3601">
        <v>1.1499999999999999</v>
      </c>
    </row>
    <row r="3602" spans="1:21" x14ac:dyDescent="0.35">
      <c r="A3602">
        <v>203</v>
      </c>
      <c r="B3602" s="16">
        <v>40787</v>
      </c>
      <c r="C3602" s="15" t="s">
        <v>63</v>
      </c>
      <c r="D3602" s="15" t="s">
        <v>58</v>
      </c>
      <c r="E3602" s="15" t="s">
        <v>48</v>
      </c>
      <c r="F3602" s="15" t="s">
        <v>49</v>
      </c>
      <c r="G3602" s="15" t="s">
        <v>64</v>
      </c>
      <c r="H3602" s="15" t="s">
        <v>42</v>
      </c>
      <c r="I3602">
        <v>50</v>
      </c>
      <c r="J3602">
        <v>90</v>
      </c>
      <c r="K3602">
        <v>20</v>
      </c>
      <c r="L3602">
        <v>140</v>
      </c>
      <c r="M3602">
        <v>62</v>
      </c>
      <c r="N3602">
        <v>612</v>
      </c>
      <c r="O3602">
        <v>87</v>
      </c>
      <c r="P3602">
        <v>56</v>
      </c>
      <c r="Q3602">
        <v>3</v>
      </c>
      <c r="R3602">
        <v>159</v>
      </c>
      <c r="S3602">
        <v>1.1357142857142857</v>
      </c>
      <c r="T3602">
        <v>0.15</v>
      </c>
      <c r="U3602">
        <v>1.24</v>
      </c>
    </row>
    <row r="3603" spans="1:21" x14ac:dyDescent="0.35">
      <c r="A3603">
        <v>959</v>
      </c>
      <c r="B3603" s="16">
        <v>40787</v>
      </c>
      <c r="C3603" s="15" t="s">
        <v>63</v>
      </c>
      <c r="D3603" s="15" t="s">
        <v>58</v>
      </c>
      <c r="E3603" s="15" t="s">
        <v>50</v>
      </c>
      <c r="F3603" s="15" t="s">
        <v>49</v>
      </c>
      <c r="G3603" s="15" t="s">
        <v>64</v>
      </c>
      <c r="H3603" s="15" t="s">
        <v>45</v>
      </c>
      <c r="I3603">
        <v>40</v>
      </c>
      <c r="J3603">
        <v>70</v>
      </c>
      <c r="K3603">
        <v>40</v>
      </c>
      <c r="L3603">
        <v>110</v>
      </c>
      <c r="M3603">
        <v>48</v>
      </c>
      <c r="N3603">
        <v>380</v>
      </c>
      <c r="O3603">
        <v>65</v>
      </c>
      <c r="P3603">
        <v>15</v>
      </c>
      <c r="Q3603">
        <v>34</v>
      </c>
      <c r="R3603">
        <v>120</v>
      </c>
      <c r="S3603">
        <v>1.0909090909090908</v>
      </c>
      <c r="T3603">
        <v>0.85</v>
      </c>
      <c r="U3603">
        <v>1.2</v>
      </c>
    </row>
    <row r="3604" spans="1:21" x14ac:dyDescent="0.35">
      <c r="A3604">
        <v>203</v>
      </c>
      <c r="B3604" s="16">
        <v>40787</v>
      </c>
      <c r="C3604" s="15" t="s">
        <v>63</v>
      </c>
      <c r="D3604" s="15" t="s">
        <v>58</v>
      </c>
      <c r="E3604" s="15" t="s">
        <v>43</v>
      </c>
      <c r="F3604" s="15" t="s">
        <v>40</v>
      </c>
      <c r="G3604" s="15" t="s">
        <v>64</v>
      </c>
      <c r="H3604" s="15" t="s">
        <v>42</v>
      </c>
      <c r="I3604">
        <v>90</v>
      </c>
      <c r="J3604">
        <v>150</v>
      </c>
      <c r="K3604">
        <v>110</v>
      </c>
      <c r="L3604">
        <v>240</v>
      </c>
      <c r="M3604">
        <v>103</v>
      </c>
      <c r="N3604">
        <v>1130</v>
      </c>
      <c r="O3604">
        <v>155</v>
      </c>
      <c r="P3604">
        <v>33</v>
      </c>
      <c r="Q3604">
        <v>135</v>
      </c>
      <c r="R3604">
        <v>275</v>
      </c>
      <c r="S3604">
        <v>1.1458333333333333</v>
      </c>
      <c r="T3604">
        <v>1.2272727272727273</v>
      </c>
      <c r="U3604">
        <v>1.1444444444444444</v>
      </c>
    </row>
    <row r="3605" spans="1:21" x14ac:dyDescent="0.35">
      <c r="A3605">
        <v>727</v>
      </c>
      <c r="B3605" s="16">
        <v>40787</v>
      </c>
      <c r="C3605" s="15" t="s">
        <v>63</v>
      </c>
      <c r="D3605" s="15" t="s">
        <v>38</v>
      </c>
      <c r="E3605" s="15" t="s">
        <v>51</v>
      </c>
      <c r="F3605" s="15" t="s">
        <v>52</v>
      </c>
      <c r="G3605" s="15" t="s">
        <v>65</v>
      </c>
      <c r="H3605" s="15" t="s">
        <v>45</v>
      </c>
      <c r="I3605">
        <v>20</v>
      </c>
      <c r="J3605">
        <v>30</v>
      </c>
      <c r="K3605">
        <v>20</v>
      </c>
      <c r="L3605">
        <v>50</v>
      </c>
      <c r="M3605">
        <v>33</v>
      </c>
      <c r="N3605">
        <v>577</v>
      </c>
      <c r="O3605">
        <v>43</v>
      </c>
      <c r="P3605">
        <v>10</v>
      </c>
      <c r="Q3605">
        <v>31</v>
      </c>
      <c r="R3605">
        <v>81</v>
      </c>
      <c r="S3605">
        <v>1.62</v>
      </c>
      <c r="T3605">
        <v>1.55</v>
      </c>
      <c r="U3605">
        <v>1.65</v>
      </c>
    </row>
    <row r="3606" spans="1:21" x14ac:dyDescent="0.35">
      <c r="A3606">
        <v>305</v>
      </c>
      <c r="B3606" s="16">
        <v>40787</v>
      </c>
      <c r="C3606" s="15" t="s">
        <v>63</v>
      </c>
      <c r="D3606" s="15" t="s">
        <v>38</v>
      </c>
      <c r="E3606" s="15" t="s">
        <v>53</v>
      </c>
      <c r="F3606" s="15" t="s">
        <v>52</v>
      </c>
      <c r="G3606" s="15" t="s">
        <v>65</v>
      </c>
      <c r="H3606" s="15" t="s">
        <v>45</v>
      </c>
      <c r="I3606">
        <v>50</v>
      </c>
      <c r="J3606">
        <v>60</v>
      </c>
      <c r="K3606">
        <v>20</v>
      </c>
      <c r="L3606">
        <v>110</v>
      </c>
      <c r="M3606">
        <v>67</v>
      </c>
      <c r="N3606">
        <v>391</v>
      </c>
      <c r="O3606">
        <v>82</v>
      </c>
      <c r="P3606">
        <v>25</v>
      </c>
      <c r="Q3606">
        <v>36</v>
      </c>
      <c r="R3606">
        <v>159</v>
      </c>
      <c r="S3606">
        <v>1.4454545454545455</v>
      </c>
      <c r="T3606">
        <v>1.8</v>
      </c>
      <c r="U3606">
        <v>1.34</v>
      </c>
    </row>
    <row r="3607" spans="1:21" x14ac:dyDescent="0.35">
      <c r="A3607">
        <v>754</v>
      </c>
      <c r="B3607" s="16">
        <v>40787</v>
      </c>
      <c r="C3607" s="15" t="s">
        <v>63</v>
      </c>
      <c r="D3607" s="15" t="s">
        <v>38</v>
      </c>
      <c r="E3607" s="15" t="s">
        <v>54</v>
      </c>
      <c r="F3607" s="15" t="s">
        <v>52</v>
      </c>
      <c r="G3607" s="15" t="s">
        <v>65</v>
      </c>
      <c r="H3607" s="15" t="s">
        <v>45</v>
      </c>
      <c r="I3607">
        <v>60</v>
      </c>
      <c r="J3607">
        <v>80</v>
      </c>
      <c r="K3607">
        <v>50</v>
      </c>
      <c r="L3607">
        <v>140</v>
      </c>
      <c r="M3607">
        <v>83</v>
      </c>
      <c r="N3607">
        <v>1063</v>
      </c>
      <c r="O3607">
        <v>99</v>
      </c>
      <c r="P3607">
        <v>25</v>
      </c>
      <c r="Q3607">
        <v>79</v>
      </c>
      <c r="R3607">
        <v>194</v>
      </c>
      <c r="S3607">
        <v>1.3857142857142857</v>
      </c>
      <c r="T3607">
        <v>1.58</v>
      </c>
      <c r="U3607">
        <v>1.3833333333333333</v>
      </c>
    </row>
    <row r="3608" spans="1:21" x14ac:dyDescent="0.35">
      <c r="A3608">
        <v>561</v>
      </c>
      <c r="B3608" s="16">
        <v>40787</v>
      </c>
      <c r="C3608" s="15" t="s">
        <v>63</v>
      </c>
      <c r="D3608" s="15" t="s">
        <v>38</v>
      </c>
      <c r="E3608" s="15" t="s">
        <v>55</v>
      </c>
      <c r="F3608" s="15" t="s">
        <v>47</v>
      </c>
      <c r="G3608" s="15" t="s">
        <v>65</v>
      </c>
      <c r="H3608" s="15" t="s">
        <v>42</v>
      </c>
      <c r="I3608">
        <v>30</v>
      </c>
      <c r="J3608">
        <v>60</v>
      </c>
      <c r="K3608">
        <v>50</v>
      </c>
      <c r="L3608">
        <v>90</v>
      </c>
      <c r="M3608">
        <v>35</v>
      </c>
      <c r="N3608">
        <v>875</v>
      </c>
      <c r="O3608">
        <v>52</v>
      </c>
      <c r="P3608">
        <v>9</v>
      </c>
      <c r="Q3608">
        <v>47</v>
      </c>
      <c r="R3608">
        <v>93</v>
      </c>
      <c r="S3608">
        <v>1.0333333333333334</v>
      </c>
      <c r="T3608">
        <v>0.94</v>
      </c>
      <c r="U3608">
        <v>1.1666666666666667</v>
      </c>
    </row>
    <row r="3609" spans="1:21" x14ac:dyDescent="0.35">
      <c r="A3609">
        <v>754</v>
      </c>
      <c r="B3609" s="16">
        <v>40787</v>
      </c>
      <c r="C3609" s="15" t="s">
        <v>63</v>
      </c>
      <c r="D3609" s="15" t="s">
        <v>38</v>
      </c>
      <c r="E3609" s="15" t="s">
        <v>46</v>
      </c>
      <c r="F3609" s="15" t="s">
        <v>47</v>
      </c>
      <c r="G3609" s="15" t="s">
        <v>65</v>
      </c>
      <c r="H3609" s="15" t="s">
        <v>42</v>
      </c>
      <c r="I3609">
        <v>50</v>
      </c>
      <c r="J3609">
        <v>80</v>
      </c>
      <c r="K3609">
        <v>60</v>
      </c>
      <c r="L3609">
        <v>130</v>
      </c>
      <c r="M3609">
        <v>51</v>
      </c>
      <c r="N3609">
        <v>857</v>
      </c>
      <c r="O3609">
        <v>75</v>
      </c>
      <c r="P3609">
        <v>14</v>
      </c>
      <c r="Q3609">
        <v>73</v>
      </c>
      <c r="R3609">
        <v>134</v>
      </c>
      <c r="S3609">
        <v>1.0307692307692307</v>
      </c>
      <c r="T3609">
        <v>1.2166666666666666</v>
      </c>
      <c r="U3609">
        <v>1.02</v>
      </c>
    </row>
    <row r="3610" spans="1:21" x14ac:dyDescent="0.35">
      <c r="A3610">
        <v>754</v>
      </c>
      <c r="B3610" s="16">
        <v>40787</v>
      </c>
      <c r="C3610" s="15" t="s">
        <v>63</v>
      </c>
      <c r="D3610" s="15" t="s">
        <v>38</v>
      </c>
      <c r="E3610" s="15" t="s">
        <v>48</v>
      </c>
      <c r="F3610" s="15" t="s">
        <v>49</v>
      </c>
      <c r="G3610" s="15" t="s">
        <v>65</v>
      </c>
      <c r="H3610" s="15" t="s">
        <v>42</v>
      </c>
      <c r="I3610">
        <v>80</v>
      </c>
      <c r="J3610">
        <v>130</v>
      </c>
      <c r="K3610">
        <v>40</v>
      </c>
      <c r="L3610">
        <v>210</v>
      </c>
      <c r="M3610">
        <v>93</v>
      </c>
      <c r="N3610">
        <v>692</v>
      </c>
      <c r="O3610">
        <v>130</v>
      </c>
      <c r="P3610">
        <v>84</v>
      </c>
      <c r="Q3610">
        <v>25</v>
      </c>
      <c r="R3610">
        <v>238</v>
      </c>
      <c r="S3610">
        <v>1.1333333333333333</v>
      </c>
      <c r="T3610">
        <v>0.625</v>
      </c>
      <c r="U3610">
        <v>1.1625000000000001</v>
      </c>
    </row>
    <row r="3611" spans="1:21" x14ac:dyDescent="0.35">
      <c r="A3611">
        <v>941</v>
      </c>
      <c r="B3611" s="16">
        <v>40787</v>
      </c>
      <c r="C3611" s="15" t="s">
        <v>63</v>
      </c>
      <c r="D3611" s="15" t="s">
        <v>38</v>
      </c>
      <c r="E3611" s="15" t="s">
        <v>50</v>
      </c>
      <c r="F3611" s="15" t="s">
        <v>49</v>
      </c>
      <c r="G3611" s="15" t="s">
        <v>65</v>
      </c>
      <c r="H3611" s="15" t="s">
        <v>45</v>
      </c>
      <c r="I3611">
        <v>80</v>
      </c>
      <c r="J3611">
        <v>110</v>
      </c>
      <c r="K3611">
        <v>70</v>
      </c>
      <c r="L3611">
        <v>190</v>
      </c>
      <c r="M3611">
        <v>85</v>
      </c>
      <c r="N3611">
        <v>555</v>
      </c>
      <c r="O3611">
        <v>114</v>
      </c>
      <c r="P3611">
        <v>28</v>
      </c>
      <c r="Q3611">
        <v>86</v>
      </c>
      <c r="R3611">
        <v>212</v>
      </c>
      <c r="S3611">
        <v>1.1157894736842104</v>
      </c>
      <c r="T3611">
        <v>1.2285714285714286</v>
      </c>
      <c r="U3611">
        <v>1.0625</v>
      </c>
    </row>
    <row r="3612" spans="1:21" x14ac:dyDescent="0.35">
      <c r="A3612">
        <v>352</v>
      </c>
      <c r="B3612" s="16">
        <v>40787</v>
      </c>
      <c r="C3612" s="15" t="s">
        <v>63</v>
      </c>
      <c r="D3612" s="15" t="s">
        <v>38</v>
      </c>
      <c r="E3612" s="15" t="s">
        <v>43</v>
      </c>
      <c r="F3612" s="15" t="s">
        <v>40</v>
      </c>
      <c r="G3612" s="15" t="s">
        <v>65</v>
      </c>
      <c r="H3612" s="15" t="s">
        <v>42</v>
      </c>
      <c r="I3612">
        <v>90</v>
      </c>
      <c r="J3612">
        <v>140</v>
      </c>
      <c r="K3612">
        <v>100</v>
      </c>
      <c r="L3612">
        <v>230</v>
      </c>
      <c r="M3612">
        <v>99</v>
      </c>
      <c r="N3612">
        <v>798</v>
      </c>
      <c r="O3612">
        <v>150</v>
      </c>
      <c r="P3612">
        <v>32</v>
      </c>
      <c r="Q3612">
        <v>128</v>
      </c>
      <c r="R3612">
        <v>265</v>
      </c>
      <c r="S3612">
        <v>1.1521739130434783</v>
      </c>
      <c r="T3612">
        <v>1.28</v>
      </c>
      <c r="U3612">
        <v>1.1000000000000001</v>
      </c>
    </row>
    <row r="3613" spans="1:21" x14ac:dyDescent="0.35">
      <c r="A3613">
        <v>321</v>
      </c>
      <c r="B3613" s="16">
        <v>40787</v>
      </c>
      <c r="C3613" s="15" t="s">
        <v>63</v>
      </c>
      <c r="D3613" s="15" t="s">
        <v>38</v>
      </c>
      <c r="E3613" s="15" t="s">
        <v>44</v>
      </c>
      <c r="F3613" s="15" t="s">
        <v>40</v>
      </c>
      <c r="G3613" s="15" t="s">
        <v>65</v>
      </c>
      <c r="H3613" s="15" t="s">
        <v>45</v>
      </c>
      <c r="I3613">
        <v>90</v>
      </c>
      <c r="J3613">
        <v>120</v>
      </c>
      <c r="K3613">
        <v>80</v>
      </c>
      <c r="L3613">
        <v>210</v>
      </c>
      <c r="M3613">
        <v>96</v>
      </c>
      <c r="N3613">
        <v>666</v>
      </c>
      <c r="O3613">
        <v>134</v>
      </c>
      <c r="P3613">
        <v>29</v>
      </c>
      <c r="Q3613">
        <v>120</v>
      </c>
      <c r="R3613">
        <v>245</v>
      </c>
      <c r="S3613">
        <v>1.1666666666666667</v>
      </c>
      <c r="T3613">
        <v>1.5</v>
      </c>
      <c r="U3613">
        <v>1.0666666666666667</v>
      </c>
    </row>
    <row r="3614" spans="1:21" x14ac:dyDescent="0.35">
      <c r="A3614">
        <v>774</v>
      </c>
      <c r="B3614" s="16">
        <v>40787</v>
      </c>
      <c r="C3614" s="15" t="s">
        <v>63</v>
      </c>
      <c r="D3614" s="15" t="s">
        <v>38</v>
      </c>
      <c r="E3614" s="15" t="s">
        <v>53</v>
      </c>
      <c r="F3614" s="15" t="s">
        <v>52</v>
      </c>
      <c r="G3614" s="15" t="s">
        <v>66</v>
      </c>
      <c r="H3614" s="15" t="s">
        <v>45</v>
      </c>
      <c r="I3614">
        <v>30</v>
      </c>
      <c r="J3614">
        <v>40</v>
      </c>
      <c r="K3614">
        <v>10</v>
      </c>
      <c r="L3614">
        <v>70</v>
      </c>
      <c r="M3614">
        <v>45</v>
      </c>
      <c r="N3614">
        <v>409</v>
      </c>
      <c r="O3614">
        <v>57</v>
      </c>
      <c r="P3614">
        <v>17</v>
      </c>
      <c r="Q3614">
        <v>9</v>
      </c>
      <c r="R3614">
        <v>109</v>
      </c>
      <c r="S3614">
        <v>1.5571428571428572</v>
      </c>
      <c r="T3614">
        <v>0.9</v>
      </c>
      <c r="U3614">
        <v>1.5</v>
      </c>
    </row>
    <row r="3615" spans="1:21" x14ac:dyDescent="0.35">
      <c r="A3615">
        <v>617</v>
      </c>
      <c r="B3615" s="16">
        <v>40787</v>
      </c>
      <c r="C3615" s="15" t="s">
        <v>63</v>
      </c>
      <c r="D3615" s="15" t="s">
        <v>38</v>
      </c>
      <c r="E3615" s="15" t="s">
        <v>55</v>
      </c>
      <c r="F3615" s="15" t="s">
        <v>47</v>
      </c>
      <c r="G3615" s="15" t="s">
        <v>66</v>
      </c>
      <c r="H3615" s="15" t="s">
        <v>42</v>
      </c>
      <c r="I3615">
        <v>30</v>
      </c>
      <c r="J3615">
        <v>40</v>
      </c>
      <c r="K3615">
        <v>30</v>
      </c>
      <c r="L3615">
        <v>70</v>
      </c>
      <c r="M3615">
        <v>29</v>
      </c>
      <c r="N3615">
        <v>862</v>
      </c>
      <c r="O3615">
        <v>43</v>
      </c>
      <c r="P3615">
        <v>8</v>
      </c>
      <c r="Q3615">
        <v>34</v>
      </c>
      <c r="R3615">
        <v>77</v>
      </c>
      <c r="S3615">
        <v>1.1000000000000001</v>
      </c>
      <c r="T3615">
        <v>1.1333333333333333</v>
      </c>
      <c r="U3615">
        <v>0.96666666666666667</v>
      </c>
    </row>
    <row r="3616" spans="1:21" x14ac:dyDescent="0.35">
      <c r="A3616">
        <v>617</v>
      </c>
      <c r="B3616" s="16">
        <v>40787</v>
      </c>
      <c r="C3616" s="15" t="s">
        <v>63</v>
      </c>
      <c r="D3616" s="15" t="s">
        <v>38</v>
      </c>
      <c r="E3616" s="15" t="s">
        <v>46</v>
      </c>
      <c r="F3616" s="15" t="s">
        <v>47</v>
      </c>
      <c r="G3616" s="15" t="s">
        <v>66</v>
      </c>
      <c r="H3616" s="15" t="s">
        <v>42</v>
      </c>
      <c r="I3616">
        <v>20</v>
      </c>
      <c r="J3616">
        <v>30</v>
      </c>
      <c r="K3616">
        <v>20</v>
      </c>
      <c r="L3616">
        <v>50</v>
      </c>
      <c r="M3616">
        <v>20</v>
      </c>
      <c r="N3616">
        <v>482</v>
      </c>
      <c r="O3616">
        <v>30</v>
      </c>
      <c r="P3616">
        <v>5</v>
      </c>
      <c r="Q3616">
        <v>19</v>
      </c>
      <c r="R3616">
        <v>53</v>
      </c>
      <c r="S3616">
        <v>1.06</v>
      </c>
      <c r="T3616">
        <v>0.95</v>
      </c>
      <c r="U3616">
        <v>1</v>
      </c>
    </row>
    <row r="3617" spans="1:21" x14ac:dyDescent="0.35">
      <c r="A3617">
        <v>857</v>
      </c>
      <c r="B3617" s="16">
        <v>40787</v>
      </c>
      <c r="C3617" s="15" t="s">
        <v>63</v>
      </c>
      <c r="D3617" s="15" t="s">
        <v>38</v>
      </c>
      <c r="E3617" s="15" t="s">
        <v>48</v>
      </c>
      <c r="F3617" s="15" t="s">
        <v>49</v>
      </c>
      <c r="G3617" s="15" t="s">
        <v>66</v>
      </c>
      <c r="H3617" s="15" t="s">
        <v>42</v>
      </c>
      <c r="I3617">
        <v>40</v>
      </c>
      <c r="J3617">
        <v>50</v>
      </c>
      <c r="K3617">
        <v>-10</v>
      </c>
      <c r="L3617">
        <v>90</v>
      </c>
      <c r="M3617">
        <v>52</v>
      </c>
      <c r="N3617">
        <v>520</v>
      </c>
      <c r="O3617">
        <v>46</v>
      </c>
      <c r="P3617">
        <v>47</v>
      </c>
      <c r="Q3617">
        <v>-46</v>
      </c>
      <c r="R3617">
        <v>104</v>
      </c>
      <c r="S3617">
        <v>1.1555555555555554</v>
      </c>
      <c r="T3617">
        <v>4.5999999999999996</v>
      </c>
      <c r="U3617">
        <v>1.3</v>
      </c>
    </row>
    <row r="3618" spans="1:21" x14ac:dyDescent="0.35">
      <c r="A3618">
        <v>774</v>
      </c>
      <c r="B3618" s="16">
        <v>40787</v>
      </c>
      <c r="C3618" s="15" t="s">
        <v>63</v>
      </c>
      <c r="D3618" s="15" t="s">
        <v>38</v>
      </c>
      <c r="E3618" s="15" t="s">
        <v>67</v>
      </c>
      <c r="F3618" s="15" t="s">
        <v>49</v>
      </c>
      <c r="G3618" s="15" t="s">
        <v>66</v>
      </c>
      <c r="H3618" s="15" t="s">
        <v>42</v>
      </c>
      <c r="I3618">
        <v>140</v>
      </c>
      <c r="J3618">
        <v>160</v>
      </c>
      <c r="K3618">
        <v>100</v>
      </c>
      <c r="L3618">
        <v>300</v>
      </c>
      <c r="M3618">
        <v>155</v>
      </c>
      <c r="N3618">
        <v>1280</v>
      </c>
      <c r="O3618">
        <v>155</v>
      </c>
      <c r="P3618">
        <v>43</v>
      </c>
      <c r="Q3618">
        <v>129</v>
      </c>
      <c r="R3618">
        <v>330</v>
      </c>
      <c r="S3618">
        <v>1.1000000000000001</v>
      </c>
      <c r="T3618">
        <v>1.29</v>
      </c>
      <c r="U3618">
        <v>1.1071428571428572</v>
      </c>
    </row>
    <row r="3619" spans="1:21" x14ac:dyDescent="0.35">
      <c r="A3619">
        <v>774</v>
      </c>
      <c r="B3619" s="16">
        <v>40787</v>
      </c>
      <c r="C3619" s="15" t="s">
        <v>63</v>
      </c>
      <c r="D3619" s="15" t="s">
        <v>38</v>
      </c>
      <c r="E3619" s="15" t="s">
        <v>43</v>
      </c>
      <c r="F3619" s="15" t="s">
        <v>40</v>
      </c>
      <c r="G3619" s="15" t="s">
        <v>66</v>
      </c>
      <c r="H3619" s="15" t="s">
        <v>42</v>
      </c>
      <c r="I3619">
        <v>50</v>
      </c>
      <c r="J3619">
        <v>490</v>
      </c>
      <c r="K3619">
        <v>460</v>
      </c>
      <c r="L3619">
        <v>540</v>
      </c>
      <c r="M3619">
        <v>60</v>
      </c>
      <c r="N3619">
        <v>-2572</v>
      </c>
      <c r="O3619">
        <v>516</v>
      </c>
      <c r="P3619">
        <v>19</v>
      </c>
      <c r="Q3619">
        <v>690</v>
      </c>
      <c r="R3619">
        <v>614</v>
      </c>
      <c r="S3619">
        <v>1.1370370370370371</v>
      </c>
      <c r="T3619">
        <v>1.5</v>
      </c>
      <c r="U3619">
        <v>1.2</v>
      </c>
    </row>
    <row r="3620" spans="1:21" x14ac:dyDescent="0.35">
      <c r="A3620">
        <v>603</v>
      </c>
      <c r="B3620" s="16">
        <v>40787</v>
      </c>
      <c r="C3620" s="15" t="s">
        <v>63</v>
      </c>
      <c r="D3620" s="15" t="s">
        <v>58</v>
      </c>
      <c r="E3620" s="15" t="s">
        <v>53</v>
      </c>
      <c r="F3620" s="15" t="s">
        <v>52</v>
      </c>
      <c r="G3620" s="15" t="s">
        <v>68</v>
      </c>
      <c r="H3620" s="15" t="s">
        <v>45</v>
      </c>
      <c r="I3620">
        <v>30</v>
      </c>
      <c r="J3620">
        <v>40</v>
      </c>
      <c r="K3620">
        <v>10</v>
      </c>
      <c r="L3620">
        <v>70</v>
      </c>
      <c r="M3620">
        <v>40</v>
      </c>
      <c r="N3620">
        <v>244</v>
      </c>
      <c r="O3620">
        <v>51</v>
      </c>
      <c r="P3620">
        <v>15</v>
      </c>
      <c r="Q3620">
        <v>3</v>
      </c>
      <c r="R3620">
        <v>97</v>
      </c>
      <c r="S3620">
        <v>1.3857142857142857</v>
      </c>
      <c r="T3620">
        <v>0.3</v>
      </c>
      <c r="U3620">
        <v>1.3333333333333333</v>
      </c>
    </row>
    <row r="3621" spans="1:21" x14ac:dyDescent="0.35">
      <c r="A3621">
        <v>603</v>
      </c>
      <c r="B3621" s="16">
        <v>40787</v>
      </c>
      <c r="C3621" s="15" t="s">
        <v>63</v>
      </c>
      <c r="D3621" s="15" t="s">
        <v>58</v>
      </c>
      <c r="E3621" s="15" t="s">
        <v>55</v>
      </c>
      <c r="F3621" s="15" t="s">
        <v>47</v>
      </c>
      <c r="G3621" s="15" t="s">
        <v>68</v>
      </c>
      <c r="H3621" s="15" t="s">
        <v>42</v>
      </c>
      <c r="I3621">
        <v>20</v>
      </c>
      <c r="J3621">
        <v>30</v>
      </c>
      <c r="K3621">
        <v>20</v>
      </c>
      <c r="L3621">
        <v>50</v>
      </c>
      <c r="M3621">
        <v>19</v>
      </c>
      <c r="N3621">
        <v>848</v>
      </c>
      <c r="O3621">
        <v>29</v>
      </c>
      <c r="P3621">
        <v>5</v>
      </c>
      <c r="Q3621">
        <v>18</v>
      </c>
      <c r="R3621">
        <v>51</v>
      </c>
      <c r="S3621">
        <v>1.02</v>
      </c>
      <c r="T3621">
        <v>0.9</v>
      </c>
      <c r="U3621">
        <v>0.95</v>
      </c>
    </row>
    <row r="3622" spans="1:21" x14ac:dyDescent="0.35">
      <c r="A3622">
        <v>603</v>
      </c>
      <c r="B3622" s="16">
        <v>40787</v>
      </c>
      <c r="C3622" s="15" t="s">
        <v>63</v>
      </c>
      <c r="D3622" s="15" t="s">
        <v>58</v>
      </c>
      <c r="E3622" s="15" t="s">
        <v>46</v>
      </c>
      <c r="F3622" s="15" t="s">
        <v>47</v>
      </c>
      <c r="G3622" s="15" t="s">
        <v>68</v>
      </c>
      <c r="H3622" s="15" t="s">
        <v>42</v>
      </c>
      <c r="I3622">
        <v>0</v>
      </c>
      <c r="J3622">
        <v>40</v>
      </c>
      <c r="K3622">
        <v>30</v>
      </c>
      <c r="L3622">
        <v>40</v>
      </c>
      <c r="M3622">
        <v>0</v>
      </c>
      <c r="N3622">
        <v>473</v>
      </c>
      <c r="O3622">
        <v>43</v>
      </c>
      <c r="P3622">
        <v>0</v>
      </c>
      <c r="Q3622">
        <v>46</v>
      </c>
      <c r="R3622">
        <v>46</v>
      </c>
      <c r="S3622">
        <v>1.1499999999999999</v>
      </c>
      <c r="T3622">
        <v>1.5333333333333334</v>
      </c>
    </row>
    <row r="3623" spans="1:21" x14ac:dyDescent="0.35">
      <c r="A3623">
        <v>603</v>
      </c>
      <c r="B3623" s="16">
        <v>40787</v>
      </c>
      <c r="C3623" s="15" t="s">
        <v>63</v>
      </c>
      <c r="D3623" s="15" t="s">
        <v>58</v>
      </c>
      <c r="E3623" s="15" t="s">
        <v>48</v>
      </c>
      <c r="F3623" s="15" t="s">
        <v>49</v>
      </c>
      <c r="G3623" s="15" t="s">
        <v>68</v>
      </c>
      <c r="H3623" s="15" t="s">
        <v>42</v>
      </c>
      <c r="I3623">
        <v>40</v>
      </c>
      <c r="J3623">
        <v>60</v>
      </c>
      <c r="K3623">
        <v>10</v>
      </c>
      <c r="L3623">
        <v>100</v>
      </c>
      <c r="M3623">
        <v>44</v>
      </c>
      <c r="N3623">
        <v>325</v>
      </c>
      <c r="O3623">
        <v>62</v>
      </c>
      <c r="P3623">
        <v>40</v>
      </c>
      <c r="Q3623">
        <v>-10</v>
      </c>
      <c r="R3623">
        <v>113</v>
      </c>
      <c r="S3623">
        <v>1.1299999999999999</v>
      </c>
      <c r="T3623">
        <v>-1</v>
      </c>
      <c r="U3623">
        <v>1.1000000000000001</v>
      </c>
    </row>
    <row r="3624" spans="1:21" x14ac:dyDescent="0.35">
      <c r="A3624">
        <v>603</v>
      </c>
      <c r="B3624" s="16">
        <v>40787</v>
      </c>
      <c r="C3624" s="15" t="s">
        <v>63</v>
      </c>
      <c r="D3624" s="15" t="s">
        <v>58</v>
      </c>
      <c r="E3624" s="15" t="s">
        <v>67</v>
      </c>
      <c r="F3624" s="15" t="s">
        <v>49</v>
      </c>
      <c r="G3624" s="15" t="s">
        <v>68</v>
      </c>
      <c r="H3624" s="15" t="s">
        <v>42</v>
      </c>
      <c r="I3624">
        <v>20</v>
      </c>
      <c r="J3624">
        <v>30</v>
      </c>
      <c r="K3624">
        <v>0</v>
      </c>
      <c r="L3624">
        <v>50</v>
      </c>
      <c r="M3624">
        <v>24</v>
      </c>
      <c r="N3624">
        <v>212</v>
      </c>
      <c r="O3624">
        <v>30</v>
      </c>
      <c r="P3624">
        <v>9</v>
      </c>
      <c r="Q3624">
        <v>-18</v>
      </c>
      <c r="R3624">
        <v>58</v>
      </c>
      <c r="S3624">
        <v>1.1599999999999999</v>
      </c>
      <c r="U3624">
        <v>1.2</v>
      </c>
    </row>
    <row r="3625" spans="1:21" x14ac:dyDescent="0.35">
      <c r="A3625">
        <v>603</v>
      </c>
      <c r="B3625" s="16">
        <v>40787</v>
      </c>
      <c r="C3625" s="15" t="s">
        <v>63</v>
      </c>
      <c r="D3625" s="15" t="s">
        <v>58</v>
      </c>
      <c r="E3625" s="15" t="s">
        <v>39</v>
      </c>
      <c r="F3625" s="15" t="s">
        <v>40</v>
      </c>
      <c r="G3625" s="15" t="s">
        <v>68</v>
      </c>
      <c r="H3625" s="15" t="s">
        <v>42</v>
      </c>
      <c r="I3625">
        <v>40</v>
      </c>
      <c r="J3625">
        <v>70</v>
      </c>
      <c r="K3625">
        <v>50</v>
      </c>
      <c r="L3625">
        <v>110</v>
      </c>
      <c r="M3625">
        <v>49</v>
      </c>
      <c r="N3625">
        <v>315</v>
      </c>
      <c r="O3625">
        <v>71</v>
      </c>
      <c r="P3625">
        <v>15</v>
      </c>
      <c r="Q3625">
        <v>49</v>
      </c>
      <c r="R3625">
        <v>128</v>
      </c>
      <c r="S3625">
        <v>1.1636363636363636</v>
      </c>
      <c r="T3625">
        <v>0.98</v>
      </c>
      <c r="U3625">
        <v>1.2250000000000001</v>
      </c>
    </row>
    <row r="3626" spans="1:21" x14ac:dyDescent="0.35">
      <c r="A3626">
        <v>603</v>
      </c>
      <c r="B3626" s="16">
        <v>40787</v>
      </c>
      <c r="C3626" s="15" t="s">
        <v>63</v>
      </c>
      <c r="D3626" s="15" t="s">
        <v>58</v>
      </c>
      <c r="E3626" s="15" t="s">
        <v>43</v>
      </c>
      <c r="F3626" s="15" t="s">
        <v>40</v>
      </c>
      <c r="G3626" s="15" t="s">
        <v>68</v>
      </c>
      <c r="H3626" s="15" t="s">
        <v>42</v>
      </c>
      <c r="I3626">
        <v>50</v>
      </c>
      <c r="J3626">
        <v>80</v>
      </c>
      <c r="K3626">
        <v>50</v>
      </c>
      <c r="L3626">
        <v>130</v>
      </c>
      <c r="M3626">
        <v>55</v>
      </c>
      <c r="N3626">
        <v>453</v>
      </c>
      <c r="O3626">
        <v>84</v>
      </c>
      <c r="P3626">
        <v>18</v>
      </c>
      <c r="Q3626">
        <v>50</v>
      </c>
      <c r="R3626">
        <v>148</v>
      </c>
      <c r="S3626">
        <v>1.1384615384615384</v>
      </c>
      <c r="T3626">
        <v>1</v>
      </c>
      <c r="U3626">
        <v>1.1000000000000001</v>
      </c>
    </row>
    <row r="3627" spans="1:21" x14ac:dyDescent="0.35">
      <c r="A3627">
        <v>845</v>
      </c>
      <c r="B3627" s="16">
        <v>40787</v>
      </c>
      <c r="C3627" s="15" t="s">
        <v>63</v>
      </c>
      <c r="D3627" s="15" t="s">
        <v>38</v>
      </c>
      <c r="E3627" s="15" t="s">
        <v>53</v>
      </c>
      <c r="F3627" s="15" t="s">
        <v>52</v>
      </c>
      <c r="G3627" s="15" t="s">
        <v>69</v>
      </c>
      <c r="H3627" s="15" t="s">
        <v>45</v>
      </c>
      <c r="I3627">
        <v>220</v>
      </c>
      <c r="J3627">
        <v>200</v>
      </c>
      <c r="K3627">
        <v>90</v>
      </c>
      <c r="L3627">
        <v>420</v>
      </c>
      <c r="M3627">
        <v>302</v>
      </c>
      <c r="N3627">
        <v>1518</v>
      </c>
      <c r="O3627">
        <v>239</v>
      </c>
      <c r="P3627">
        <v>114</v>
      </c>
      <c r="Q3627">
        <v>137</v>
      </c>
      <c r="R3627">
        <v>577</v>
      </c>
      <c r="S3627">
        <v>1.3738095238095238</v>
      </c>
      <c r="T3627">
        <v>1.5222222222222221</v>
      </c>
      <c r="U3627">
        <v>1.3727272727272728</v>
      </c>
    </row>
    <row r="3628" spans="1:21" x14ac:dyDescent="0.35">
      <c r="A3628">
        <v>845</v>
      </c>
      <c r="B3628" s="16">
        <v>40787</v>
      </c>
      <c r="C3628" s="15" t="s">
        <v>63</v>
      </c>
      <c r="D3628" s="15" t="s">
        <v>38</v>
      </c>
      <c r="E3628" s="15" t="s">
        <v>54</v>
      </c>
      <c r="F3628" s="15" t="s">
        <v>52</v>
      </c>
      <c r="G3628" s="15" t="s">
        <v>69</v>
      </c>
      <c r="H3628" s="15" t="s">
        <v>45</v>
      </c>
      <c r="I3628">
        <v>190</v>
      </c>
      <c r="J3628">
        <v>-110</v>
      </c>
      <c r="K3628">
        <v>-180</v>
      </c>
      <c r="L3628">
        <v>80</v>
      </c>
      <c r="M3628">
        <v>251</v>
      </c>
      <c r="N3628">
        <v>3948</v>
      </c>
      <c r="O3628">
        <v>-139</v>
      </c>
      <c r="P3628">
        <v>77</v>
      </c>
      <c r="Q3628">
        <v>-353</v>
      </c>
      <c r="R3628">
        <v>119</v>
      </c>
      <c r="S3628">
        <v>1.4875</v>
      </c>
      <c r="T3628">
        <v>1.961111111111111</v>
      </c>
      <c r="U3628">
        <v>1.3210526315789475</v>
      </c>
    </row>
    <row r="3629" spans="1:21" x14ac:dyDescent="0.35">
      <c r="A3629">
        <v>845</v>
      </c>
      <c r="B3629" s="16">
        <v>40787</v>
      </c>
      <c r="C3629" s="15" t="s">
        <v>63</v>
      </c>
      <c r="D3629" s="15" t="s">
        <v>38</v>
      </c>
      <c r="E3629" s="15" t="s">
        <v>55</v>
      </c>
      <c r="F3629" s="15" t="s">
        <v>47</v>
      </c>
      <c r="G3629" s="15" t="s">
        <v>69</v>
      </c>
      <c r="H3629" s="15" t="s">
        <v>42</v>
      </c>
      <c r="I3629">
        <v>100</v>
      </c>
      <c r="J3629">
        <v>160</v>
      </c>
      <c r="K3629">
        <v>130</v>
      </c>
      <c r="L3629">
        <v>260</v>
      </c>
      <c r="M3629">
        <v>100</v>
      </c>
      <c r="N3629">
        <v>981</v>
      </c>
      <c r="O3629">
        <v>145</v>
      </c>
      <c r="P3629">
        <v>28</v>
      </c>
      <c r="Q3629">
        <v>157</v>
      </c>
      <c r="R3629">
        <v>261</v>
      </c>
      <c r="S3629">
        <v>1.0038461538461538</v>
      </c>
      <c r="T3629">
        <v>1.2076923076923076</v>
      </c>
      <c r="U3629">
        <v>1</v>
      </c>
    </row>
    <row r="3630" spans="1:21" x14ac:dyDescent="0.35">
      <c r="A3630">
        <v>518</v>
      </c>
      <c r="B3630" s="16">
        <v>40787</v>
      </c>
      <c r="C3630" s="15" t="s">
        <v>63</v>
      </c>
      <c r="D3630" s="15" t="s">
        <v>38</v>
      </c>
      <c r="E3630" s="15" t="s">
        <v>56</v>
      </c>
      <c r="F3630" s="15" t="s">
        <v>47</v>
      </c>
      <c r="G3630" s="15" t="s">
        <v>69</v>
      </c>
      <c r="H3630" s="15" t="s">
        <v>42</v>
      </c>
      <c r="I3630">
        <v>130</v>
      </c>
      <c r="J3630">
        <v>190</v>
      </c>
      <c r="K3630">
        <v>150</v>
      </c>
      <c r="L3630">
        <v>320</v>
      </c>
      <c r="M3630">
        <v>123</v>
      </c>
      <c r="N3630">
        <v>928</v>
      </c>
      <c r="O3630">
        <v>179</v>
      </c>
      <c r="P3630">
        <v>34</v>
      </c>
      <c r="Q3630">
        <v>197</v>
      </c>
      <c r="R3630">
        <v>322</v>
      </c>
      <c r="S3630">
        <v>1.0062500000000001</v>
      </c>
      <c r="T3630">
        <v>1.3133333333333332</v>
      </c>
      <c r="U3630">
        <v>0.94615384615384612</v>
      </c>
    </row>
    <row r="3631" spans="1:21" x14ac:dyDescent="0.35">
      <c r="A3631">
        <v>718</v>
      </c>
      <c r="B3631" s="16">
        <v>40787</v>
      </c>
      <c r="C3631" s="15" t="s">
        <v>63</v>
      </c>
      <c r="D3631" s="15" t="s">
        <v>38</v>
      </c>
      <c r="E3631" s="15" t="s">
        <v>46</v>
      </c>
      <c r="F3631" s="15" t="s">
        <v>47</v>
      </c>
      <c r="G3631" s="15" t="s">
        <v>69</v>
      </c>
      <c r="H3631" s="15" t="s">
        <v>42</v>
      </c>
      <c r="I3631">
        <v>80</v>
      </c>
      <c r="J3631">
        <v>130</v>
      </c>
      <c r="K3631">
        <v>100</v>
      </c>
      <c r="L3631">
        <v>210</v>
      </c>
      <c r="M3631">
        <v>81</v>
      </c>
      <c r="N3631">
        <v>588</v>
      </c>
      <c r="O3631">
        <v>118</v>
      </c>
      <c r="P3631">
        <v>22</v>
      </c>
      <c r="Q3631">
        <v>125</v>
      </c>
      <c r="R3631">
        <v>212</v>
      </c>
      <c r="S3631">
        <v>1.0095238095238095</v>
      </c>
      <c r="T3631">
        <v>1.25</v>
      </c>
      <c r="U3631">
        <v>1.0125</v>
      </c>
    </row>
    <row r="3632" spans="1:21" x14ac:dyDescent="0.35">
      <c r="A3632">
        <v>518</v>
      </c>
      <c r="B3632" s="16">
        <v>40787</v>
      </c>
      <c r="C3632" s="15" t="s">
        <v>63</v>
      </c>
      <c r="D3632" s="15" t="s">
        <v>38</v>
      </c>
      <c r="E3632" s="15" t="s">
        <v>48</v>
      </c>
      <c r="F3632" s="15" t="s">
        <v>49</v>
      </c>
      <c r="G3632" s="15" t="s">
        <v>69</v>
      </c>
      <c r="H3632" s="15" t="s">
        <v>42</v>
      </c>
      <c r="I3632">
        <v>110</v>
      </c>
      <c r="J3632">
        <v>-50</v>
      </c>
      <c r="K3632">
        <v>-180</v>
      </c>
      <c r="L3632">
        <v>60</v>
      </c>
      <c r="M3632">
        <v>121</v>
      </c>
      <c r="N3632">
        <v>2932</v>
      </c>
      <c r="O3632">
        <v>-53</v>
      </c>
      <c r="P3632">
        <v>110</v>
      </c>
      <c r="Q3632">
        <v>-292</v>
      </c>
      <c r="R3632">
        <v>72</v>
      </c>
      <c r="S3632">
        <v>1.2</v>
      </c>
      <c r="T3632">
        <v>1.6222222222222222</v>
      </c>
      <c r="U3632">
        <v>1.1000000000000001</v>
      </c>
    </row>
    <row r="3633" spans="1:21" x14ac:dyDescent="0.35">
      <c r="A3633">
        <v>516</v>
      </c>
      <c r="B3633" s="16">
        <v>40787</v>
      </c>
      <c r="C3633" s="15" t="s">
        <v>63</v>
      </c>
      <c r="D3633" s="15" t="s">
        <v>38</v>
      </c>
      <c r="E3633" s="15" t="s">
        <v>67</v>
      </c>
      <c r="F3633" s="15" t="s">
        <v>49</v>
      </c>
      <c r="G3633" s="15" t="s">
        <v>69</v>
      </c>
      <c r="H3633" s="15" t="s">
        <v>42</v>
      </c>
      <c r="I3633">
        <v>230</v>
      </c>
      <c r="J3633">
        <v>320</v>
      </c>
      <c r="K3633">
        <v>240</v>
      </c>
      <c r="L3633">
        <v>550</v>
      </c>
      <c r="M3633">
        <v>249</v>
      </c>
      <c r="N3633">
        <v>1286</v>
      </c>
      <c r="O3633">
        <v>318</v>
      </c>
      <c r="P3633">
        <v>69</v>
      </c>
      <c r="Q3633">
        <v>332</v>
      </c>
      <c r="R3633">
        <v>604</v>
      </c>
      <c r="S3633">
        <v>1.0981818181818181</v>
      </c>
      <c r="T3633">
        <v>1.3833333333333333</v>
      </c>
      <c r="U3633">
        <v>1.0826086956521739</v>
      </c>
    </row>
    <row r="3634" spans="1:21" x14ac:dyDescent="0.35">
      <c r="A3634">
        <v>516</v>
      </c>
      <c r="B3634" s="16">
        <v>40787</v>
      </c>
      <c r="C3634" s="15" t="s">
        <v>63</v>
      </c>
      <c r="D3634" s="15" t="s">
        <v>38</v>
      </c>
      <c r="E3634" s="15" t="s">
        <v>43</v>
      </c>
      <c r="F3634" s="15" t="s">
        <v>40</v>
      </c>
      <c r="G3634" s="15" t="s">
        <v>69</v>
      </c>
      <c r="H3634" s="15" t="s">
        <v>42</v>
      </c>
      <c r="I3634">
        <v>300</v>
      </c>
      <c r="J3634">
        <v>450</v>
      </c>
      <c r="K3634">
        <v>320</v>
      </c>
      <c r="L3634">
        <v>750</v>
      </c>
      <c r="M3634">
        <v>316</v>
      </c>
      <c r="N3634">
        <v>2580</v>
      </c>
      <c r="O3634">
        <v>474</v>
      </c>
      <c r="P3634">
        <v>110</v>
      </c>
      <c r="Q3634">
        <v>463</v>
      </c>
      <c r="R3634">
        <v>842</v>
      </c>
      <c r="S3634">
        <v>1.1226666666666667</v>
      </c>
      <c r="T3634">
        <v>1.4468749999999999</v>
      </c>
      <c r="U3634">
        <v>1.0533333333333332</v>
      </c>
    </row>
    <row r="3635" spans="1:21" x14ac:dyDescent="0.35">
      <c r="A3635">
        <v>337</v>
      </c>
      <c r="B3635" s="16">
        <v>40787</v>
      </c>
      <c r="C3635" s="15" t="s">
        <v>70</v>
      </c>
      <c r="D3635" s="15" t="s">
        <v>58</v>
      </c>
      <c r="E3635" s="15" t="s">
        <v>51</v>
      </c>
      <c r="F3635" s="15" t="s">
        <v>52</v>
      </c>
      <c r="G3635" s="15" t="s">
        <v>71</v>
      </c>
      <c r="H3635" s="15" t="s">
        <v>45</v>
      </c>
      <c r="I3635">
        <v>60</v>
      </c>
      <c r="J3635">
        <v>90</v>
      </c>
      <c r="K3635">
        <v>60</v>
      </c>
      <c r="L3635">
        <v>150</v>
      </c>
      <c r="M3635">
        <v>69</v>
      </c>
      <c r="N3635">
        <v>572</v>
      </c>
      <c r="O3635">
        <v>90</v>
      </c>
      <c r="P3635">
        <v>22</v>
      </c>
      <c r="Q3635">
        <v>82</v>
      </c>
      <c r="R3635">
        <v>169</v>
      </c>
      <c r="S3635">
        <v>1.1266666666666667</v>
      </c>
      <c r="T3635">
        <v>1.3666666666666667</v>
      </c>
      <c r="U3635">
        <v>1.1499999999999999</v>
      </c>
    </row>
    <row r="3636" spans="1:21" x14ac:dyDescent="0.35">
      <c r="A3636">
        <v>985</v>
      </c>
      <c r="B3636" s="16">
        <v>40787</v>
      </c>
      <c r="C3636" s="15" t="s">
        <v>70</v>
      </c>
      <c r="D3636" s="15" t="s">
        <v>58</v>
      </c>
      <c r="E3636" s="15" t="s">
        <v>53</v>
      </c>
      <c r="F3636" s="15" t="s">
        <v>52</v>
      </c>
      <c r="G3636" s="15" t="s">
        <v>71</v>
      </c>
      <c r="H3636" s="15" t="s">
        <v>45</v>
      </c>
      <c r="I3636">
        <v>60</v>
      </c>
      <c r="J3636">
        <v>80</v>
      </c>
      <c r="K3636">
        <v>30</v>
      </c>
      <c r="L3636">
        <v>140</v>
      </c>
      <c r="M3636">
        <v>67</v>
      </c>
      <c r="N3636">
        <v>599</v>
      </c>
      <c r="O3636">
        <v>83</v>
      </c>
      <c r="P3636">
        <v>25</v>
      </c>
      <c r="Q3636">
        <v>37</v>
      </c>
      <c r="R3636">
        <v>160</v>
      </c>
      <c r="S3636">
        <v>1.1428571428571428</v>
      </c>
      <c r="T3636">
        <v>1.2333333333333334</v>
      </c>
      <c r="U3636">
        <v>1.1166666666666667</v>
      </c>
    </row>
    <row r="3637" spans="1:21" x14ac:dyDescent="0.35">
      <c r="A3637">
        <v>318</v>
      </c>
      <c r="B3637" s="16">
        <v>40787</v>
      </c>
      <c r="C3637" s="15" t="s">
        <v>70</v>
      </c>
      <c r="D3637" s="15" t="s">
        <v>58</v>
      </c>
      <c r="E3637" s="15" t="s">
        <v>43</v>
      </c>
      <c r="F3637" s="15" t="s">
        <v>40</v>
      </c>
      <c r="G3637" s="15" t="s">
        <v>71</v>
      </c>
      <c r="H3637" s="15" t="s">
        <v>42</v>
      </c>
      <c r="I3637">
        <v>60</v>
      </c>
      <c r="J3637">
        <v>80</v>
      </c>
      <c r="K3637">
        <v>60</v>
      </c>
      <c r="L3637">
        <v>140</v>
      </c>
      <c r="M3637">
        <v>48</v>
      </c>
      <c r="N3637">
        <v>834</v>
      </c>
      <c r="O3637">
        <v>71</v>
      </c>
      <c r="P3637">
        <v>13</v>
      </c>
      <c r="Q3637">
        <v>68</v>
      </c>
      <c r="R3637">
        <v>127</v>
      </c>
      <c r="S3637">
        <v>0.90714285714285714</v>
      </c>
      <c r="T3637">
        <v>1.1333333333333333</v>
      </c>
      <c r="U3637">
        <v>0.8</v>
      </c>
    </row>
    <row r="3638" spans="1:21" x14ac:dyDescent="0.35">
      <c r="A3638">
        <v>504</v>
      </c>
      <c r="B3638" s="16">
        <v>40787</v>
      </c>
      <c r="C3638" s="15" t="s">
        <v>70</v>
      </c>
      <c r="D3638" s="15" t="s">
        <v>58</v>
      </c>
      <c r="E3638" s="15" t="s">
        <v>44</v>
      </c>
      <c r="F3638" s="15" t="s">
        <v>40</v>
      </c>
      <c r="G3638" s="15" t="s">
        <v>71</v>
      </c>
      <c r="H3638" s="15" t="s">
        <v>45</v>
      </c>
      <c r="I3638">
        <v>60</v>
      </c>
      <c r="J3638">
        <v>90</v>
      </c>
      <c r="K3638">
        <v>70</v>
      </c>
      <c r="L3638">
        <v>150</v>
      </c>
      <c r="M3638">
        <v>51</v>
      </c>
      <c r="N3638">
        <v>857</v>
      </c>
      <c r="O3638">
        <v>75</v>
      </c>
      <c r="P3638">
        <v>14</v>
      </c>
      <c r="Q3638">
        <v>74</v>
      </c>
      <c r="R3638">
        <v>134</v>
      </c>
      <c r="S3638">
        <v>0.89333333333333331</v>
      </c>
      <c r="T3638">
        <v>1.0571428571428572</v>
      </c>
      <c r="U3638">
        <v>0.85</v>
      </c>
    </row>
    <row r="3639" spans="1:21" x14ac:dyDescent="0.35">
      <c r="A3639">
        <v>318</v>
      </c>
      <c r="B3639" s="16">
        <v>40787</v>
      </c>
      <c r="C3639" s="15" t="s">
        <v>70</v>
      </c>
      <c r="D3639" s="15" t="s">
        <v>58</v>
      </c>
      <c r="E3639" s="15" t="s">
        <v>72</v>
      </c>
      <c r="F3639" s="15" t="s">
        <v>49</v>
      </c>
      <c r="G3639" s="15" t="s">
        <v>71</v>
      </c>
      <c r="H3639" s="15" t="s">
        <v>42</v>
      </c>
      <c r="I3639">
        <v>50</v>
      </c>
      <c r="J3639">
        <v>70</v>
      </c>
      <c r="K3639">
        <v>0</v>
      </c>
      <c r="L3639">
        <v>120</v>
      </c>
      <c r="M3639">
        <v>62</v>
      </c>
      <c r="N3639">
        <v>-613</v>
      </c>
      <c r="O3639">
        <v>87</v>
      </c>
      <c r="P3639">
        <v>56</v>
      </c>
      <c r="Q3639">
        <v>3</v>
      </c>
      <c r="R3639">
        <v>159</v>
      </c>
      <c r="S3639">
        <v>1.325</v>
      </c>
      <c r="U3639">
        <v>1.24</v>
      </c>
    </row>
    <row r="3640" spans="1:21" x14ac:dyDescent="0.35">
      <c r="A3640">
        <v>337</v>
      </c>
      <c r="B3640" s="16">
        <v>40787</v>
      </c>
      <c r="C3640" s="15" t="s">
        <v>70</v>
      </c>
      <c r="D3640" s="15" t="s">
        <v>58</v>
      </c>
      <c r="E3640" s="15" t="s">
        <v>48</v>
      </c>
      <c r="F3640" s="15" t="s">
        <v>49</v>
      </c>
      <c r="G3640" s="15" t="s">
        <v>71</v>
      </c>
      <c r="H3640" s="15" t="s">
        <v>42</v>
      </c>
      <c r="I3640">
        <v>40</v>
      </c>
      <c r="J3640">
        <v>80</v>
      </c>
      <c r="K3640">
        <v>60</v>
      </c>
      <c r="L3640">
        <v>120</v>
      </c>
      <c r="M3640">
        <v>57</v>
      </c>
      <c r="N3640">
        <v>349</v>
      </c>
      <c r="O3640">
        <v>94</v>
      </c>
      <c r="P3640">
        <v>17</v>
      </c>
      <c r="Q3640">
        <v>79</v>
      </c>
      <c r="R3640">
        <v>161</v>
      </c>
      <c r="S3640">
        <v>1.3416666666666666</v>
      </c>
      <c r="T3640">
        <v>1.3166666666666667</v>
      </c>
      <c r="U3640">
        <v>1.425</v>
      </c>
    </row>
    <row r="3641" spans="1:21" x14ac:dyDescent="0.35">
      <c r="A3641">
        <v>337</v>
      </c>
      <c r="B3641" s="16">
        <v>40787</v>
      </c>
      <c r="C3641" s="15" t="s">
        <v>70</v>
      </c>
      <c r="D3641" s="15" t="s">
        <v>58</v>
      </c>
      <c r="E3641" s="15" t="s">
        <v>50</v>
      </c>
      <c r="F3641" s="15" t="s">
        <v>49</v>
      </c>
      <c r="G3641" s="15" t="s">
        <v>71</v>
      </c>
      <c r="H3641" s="15" t="s">
        <v>45</v>
      </c>
      <c r="I3641">
        <v>30</v>
      </c>
      <c r="J3641">
        <v>60</v>
      </c>
      <c r="K3641">
        <v>40</v>
      </c>
      <c r="L3641">
        <v>90</v>
      </c>
      <c r="M3641">
        <v>46</v>
      </c>
      <c r="N3641">
        <v>454</v>
      </c>
      <c r="O3641">
        <v>67</v>
      </c>
      <c r="P3641">
        <v>14</v>
      </c>
      <c r="Q3641">
        <v>46</v>
      </c>
      <c r="R3641">
        <v>120</v>
      </c>
      <c r="S3641">
        <v>1.3333333333333333</v>
      </c>
      <c r="T3641">
        <v>1.1499999999999999</v>
      </c>
      <c r="U3641">
        <v>1.5333333333333334</v>
      </c>
    </row>
    <row r="3642" spans="1:21" x14ac:dyDescent="0.35">
      <c r="A3642">
        <v>505</v>
      </c>
      <c r="B3642" s="16">
        <v>40787</v>
      </c>
      <c r="C3642" s="15" t="s">
        <v>70</v>
      </c>
      <c r="D3642" s="15" t="s">
        <v>58</v>
      </c>
      <c r="E3642" s="15" t="s">
        <v>51</v>
      </c>
      <c r="F3642" s="15" t="s">
        <v>52</v>
      </c>
      <c r="G3642" s="15" t="s">
        <v>73</v>
      </c>
      <c r="H3642" s="15" t="s">
        <v>45</v>
      </c>
      <c r="I3642">
        <v>10</v>
      </c>
      <c r="J3642">
        <v>30</v>
      </c>
      <c r="K3642">
        <v>20</v>
      </c>
      <c r="L3642">
        <v>40</v>
      </c>
      <c r="M3642">
        <v>19</v>
      </c>
      <c r="N3642">
        <v>848</v>
      </c>
      <c r="O3642">
        <v>29</v>
      </c>
      <c r="P3642">
        <v>5</v>
      </c>
      <c r="Q3642">
        <v>19</v>
      </c>
      <c r="R3642">
        <v>51</v>
      </c>
      <c r="S3642">
        <v>1.2749999999999999</v>
      </c>
      <c r="T3642">
        <v>0.95</v>
      </c>
      <c r="U3642">
        <v>1.9</v>
      </c>
    </row>
    <row r="3643" spans="1:21" x14ac:dyDescent="0.35">
      <c r="A3643">
        <v>505</v>
      </c>
      <c r="B3643" s="16">
        <v>40787</v>
      </c>
      <c r="C3643" s="15" t="s">
        <v>70</v>
      </c>
      <c r="D3643" s="15" t="s">
        <v>58</v>
      </c>
      <c r="E3643" s="15" t="s">
        <v>53</v>
      </c>
      <c r="F3643" s="15" t="s">
        <v>52</v>
      </c>
      <c r="G3643" s="15" t="s">
        <v>73</v>
      </c>
      <c r="H3643" s="15" t="s">
        <v>45</v>
      </c>
      <c r="I3643">
        <v>30</v>
      </c>
      <c r="J3643">
        <v>40</v>
      </c>
      <c r="K3643">
        <v>20</v>
      </c>
      <c r="L3643">
        <v>70</v>
      </c>
      <c r="M3643">
        <v>33</v>
      </c>
      <c r="N3643">
        <v>1003</v>
      </c>
      <c r="O3643">
        <v>39</v>
      </c>
      <c r="P3643">
        <v>10</v>
      </c>
      <c r="Q3643">
        <v>12</v>
      </c>
      <c r="R3643">
        <v>77</v>
      </c>
      <c r="S3643">
        <v>1.1000000000000001</v>
      </c>
      <c r="T3643">
        <v>0.6</v>
      </c>
      <c r="U3643">
        <v>1.1000000000000001</v>
      </c>
    </row>
    <row r="3644" spans="1:21" x14ac:dyDescent="0.35">
      <c r="A3644">
        <v>505</v>
      </c>
      <c r="B3644" s="16">
        <v>40787</v>
      </c>
      <c r="C3644" s="15" t="s">
        <v>70</v>
      </c>
      <c r="D3644" s="15" t="s">
        <v>58</v>
      </c>
      <c r="E3644" s="15" t="s">
        <v>43</v>
      </c>
      <c r="F3644" s="15" t="s">
        <v>40</v>
      </c>
      <c r="G3644" s="15" t="s">
        <v>73</v>
      </c>
      <c r="H3644" s="15" t="s">
        <v>42</v>
      </c>
      <c r="I3644">
        <v>60</v>
      </c>
      <c r="J3644">
        <v>110</v>
      </c>
      <c r="K3644">
        <v>70</v>
      </c>
      <c r="L3644">
        <v>170</v>
      </c>
      <c r="M3644">
        <v>55</v>
      </c>
      <c r="N3644">
        <v>453</v>
      </c>
      <c r="O3644">
        <v>84</v>
      </c>
      <c r="P3644">
        <v>18</v>
      </c>
      <c r="Q3644">
        <v>50</v>
      </c>
      <c r="R3644">
        <v>148</v>
      </c>
      <c r="S3644">
        <v>0.87058823529411766</v>
      </c>
      <c r="T3644">
        <v>0.7142857142857143</v>
      </c>
      <c r="U3644">
        <v>0.91666666666666663</v>
      </c>
    </row>
    <row r="3645" spans="1:21" x14ac:dyDescent="0.35">
      <c r="A3645">
        <v>505</v>
      </c>
      <c r="B3645" s="16">
        <v>40787</v>
      </c>
      <c r="C3645" s="15" t="s">
        <v>70</v>
      </c>
      <c r="D3645" s="15" t="s">
        <v>58</v>
      </c>
      <c r="E3645" s="15" t="s">
        <v>44</v>
      </c>
      <c r="F3645" s="15" t="s">
        <v>40</v>
      </c>
      <c r="G3645" s="15" t="s">
        <v>73</v>
      </c>
      <c r="H3645" s="15" t="s">
        <v>45</v>
      </c>
      <c r="I3645">
        <v>130</v>
      </c>
      <c r="J3645">
        <v>10</v>
      </c>
      <c r="K3645">
        <v>-40</v>
      </c>
      <c r="L3645">
        <v>140</v>
      </c>
      <c r="M3645">
        <v>104</v>
      </c>
      <c r="N3645">
        <v>1574</v>
      </c>
      <c r="O3645">
        <v>11</v>
      </c>
      <c r="P3645">
        <v>32</v>
      </c>
      <c r="Q3645">
        <v>-65</v>
      </c>
      <c r="R3645">
        <v>123</v>
      </c>
      <c r="S3645">
        <v>0.87857142857142856</v>
      </c>
      <c r="T3645">
        <v>1.625</v>
      </c>
      <c r="U3645">
        <v>0.8</v>
      </c>
    </row>
    <row r="3646" spans="1:21" x14ac:dyDescent="0.35">
      <c r="A3646">
        <v>505</v>
      </c>
      <c r="B3646" s="16">
        <v>40787</v>
      </c>
      <c r="C3646" s="15" t="s">
        <v>70</v>
      </c>
      <c r="D3646" s="15" t="s">
        <v>58</v>
      </c>
      <c r="E3646" s="15" t="s">
        <v>72</v>
      </c>
      <c r="F3646" s="15" t="s">
        <v>49</v>
      </c>
      <c r="G3646" s="15" t="s">
        <v>73</v>
      </c>
      <c r="H3646" s="15" t="s">
        <v>42</v>
      </c>
      <c r="I3646">
        <v>20</v>
      </c>
      <c r="J3646">
        <v>20</v>
      </c>
      <c r="K3646">
        <v>0</v>
      </c>
      <c r="L3646">
        <v>40</v>
      </c>
      <c r="M3646">
        <v>24</v>
      </c>
      <c r="N3646">
        <v>-412</v>
      </c>
      <c r="O3646">
        <v>30</v>
      </c>
      <c r="P3646">
        <v>9</v>
      </c>
      <c r="Q3646">
        <v>-18</v>
      </c>
      <c r="R3646">
        <v>58</v>
      </c>
      <c r="S3646">
        <v>1.45</v>
      </c>
      <c r="U3646">
        <v>1.2</v>
      </c>
    </row>
    <row r="3647" spans="1:21" x14ac:dyDescent="0.35">
      <c r="A3647">
        <v>505</v>
      </c>
      <c r="B3647" s="16">
        <v>40787</v>
      </c>
      <c r="C3647" s="15" t="s">
        <v>70</v>
      </c>
      <c r="D3647" s="15" t="s">
        <v>58</v>
      </c>
      <c r="E3647" s="15" t="s">
        <v>48</v>
      </c>
      <c r="F3647" s="15" t="s">
        <v>49</v>
      </c>
      <c r="G3647" s="15" t="s">
        <v>73</v>
      </c>
      <c r="H3647" s="15" t="s">
        <v>42</v>
      </c>
      <c r="I3647">
        <v>30</v>
      </c>
      <c r="J3647">
        <v>60</v>
      </c>
      <c r="K3647">
        <v>10</v>
      </c>
      <c r="L3647">
        <v>90</v>
      </c>
      <c r="M3647">
        <v>44</v>
      </c>
      <c r="N3647">
        <v>325</v>
      </c>
      <c r="O3647">
        <v>62</v>
      </c>
      <c r="P3647">
        <v>40</v>
      </c>
      <c r="Q3647">
        <v>-12</v>
      </c>
      <c r="R3647">
        <v>113</v>
      </c>
      <c r="S3647">
        <v>1.2555555555555555</v>
      </c>
      <c r="T3647">
        <v>-1.2</v>
      </c>
      <c r="U3647">
        <v>1.4666666666666666</v>
      </c>
    </row>
    <row r="3648" spans="1:21" x14ac:dyDescent="0.35">
      <c r="A3648">
        <v>505</v>
      </c>
      <c r="B3648" s="16">
        <v>40787</v>
      </c>
      <c r="C3648" s="15" t="s">
        <v>70</v>
      </c>
      <c r="D3648" s="15" t="s">
        <v>58</v>
      </c>
      <c r="E3648" s="15" t="s">
        <v>50</v>
      </c>
      <c r="F3648" s="15" t="s">
        <v>49</v>
      </c>
      <c r="G3648" s="15" t="s">
        <v>73</v>
      </c>
      <c r="H3648" s="15" t="s">
        <v>45</v>
      </c>
      <c r="I3648">
        <v>30</v>
      </c>
      <c r="J3648">
        <v>40</v>
      </c>
      <c r="K3648">
        <v>10</v>
      </c>
      <c r="L3648">
        <v>70</v>
      </c>
      <c r="M3648">
        <v>39</v>
      </c>
      <c r="N3648">
        <v>248</v>
      </c>
      <c r="O3648">
        <v>52</v>
      </c>
      <c r="P3648">
        <v>12</v>
      </c>
      <c r="Q3648">
        <v>19</v>
      </c>
      <c r="R3648">
        <v>97</v>
      </c>
      <c r="S3648">
        <v>1.3857142857142857</v>
      </c>
      <c r="T3648">
        <v>1.9</v>
      </c>
      <c r="U3648">
        <v>1.3</v>
      </c>
    </row>
    <row r="3649" spans="1:21" x14ac:dyDescent="0.35">
      <c r="A3649">
        <v>580</v>
      </c>
      <c r="B3649" s="16">
        <v>40787</v>
      </c>
      <c r="C3649" s="15" t="s">
        <v>70</v>
      </c>
      <c r="D3649" s="15" t="s">
        <v>58</v>
      </c>
      <c r="E3649" s="15" t="s">
        <v>51</v>
      </c>
      <c r="F3649" s="15" t="s">
        <v>52</v>
      </c>
      <c r="G3649" s="15" t="s">
        <v>74</v>
      </c>
      <c r="H3649" s="15" t="s">
        <v>45</v>
      </c>
      <c r="I3649">
        <v>60</v>
      </c>
      <c r="J3649">
        <v>80</v>
      </c>
      <c r="K3649">
        <v>30</v>
      </c>
      <c r="L3649">
        <v>140</v>
      </c>
      <c r="M3649">
        <v>67</v>
      </c>
      <c r="N3649">
        <v>391</v>
      </c>
      <c r="O3649">
        <v>82</v>
      </c>
      <c r="P3649">
        <v>25</v>
      </c>
      <c r="Q3649">
        <v>36</v>
      </c>
      <c r="R3649">
        <v>159</v>
      </c>
      <c r="S3649">
        <v>1.1357142857142857</v>
      </c>
      <c r="T3649">
        <v>1.2</v>
      </c>
      <c r="U3649">
        <v>1.1166666666666667</v>
      </c>
    </row>
    <row r="3650" spans="1:21" x14ac:dyDescent="0.35">
      <c r="A3650">
        <v>405</v>
      </c>
      <c r="B3650" s="16">
        <v>40787</v>
      </c>
      <c r="C3650" s="15" t="s">
        <v>70</v>
      </c>
      <c r="D3650" s="15" t="s">
        <v>58</v>
      </c>
      <c r="E3650" s="15" t="s">
        <v>53</v>
      </c>
      <c r="F3650" s="15" t="s">
        <v>52</v>
      </c>
      <c r="G3650" s="15" t="s">
        <v>74</v>
      </c>
      <c r="H3650" s="15" t="s">
        <v>45</v>
      </c>
      <c r="I3650">
        <v>80</v>
      </c>
      <c r="J3650">
        <v>130</v>
      </c>
      <c r="K3650">
        <v>40</v>
      </c>
      <c r="L3650">
        <v>210</v>
      </c>
      <c r="M3650">
        <v>93</v>
      </c>
      <c r="N3650">
        <v>692</v>
      </c>
      <c r="O3650">
        <v>130</v>
      </c>
      <c r="P3650">
        <v>84</v>
      </c>
      <c r="Q3650">
        <v>24</v>
      </c>
      <c r="R3650">
        <v>238</v>
      </c>
      <c r="S3650">
        <v>1.1333333333333333</v>
      </c>
      <c r="T3650">
        <v>0.6</v>
      </c>
      <c r="U3650">
        <v>1.1625000000000001</v>
      </c>
    </row>
    <row r="3651" spans="1:21" x14ac:dyDescent="0.35">
      <c r="A3651">
        <v>580</v>
      </c>
      <c r="B3651" s="16">
        <v>40787</v>
      </c>
      <c r="C3651" s="15" t="s">
        <v>70</v>
      </c>
      <c r="D3651" s="15" t="s">
        <v>58</v>
      </c>
      <c r="E3651" s="15" t="s">
        <v>43</v>
      </c>
      <c r="F3651" s="15" t="s">
        <v>40</v>
      </c>
      <c r="G3651" s="15" t="s">
        <v>74</v>
      </c>
      <c r="H3651" s="15" t="s">
        <v>42</v>
      </c>
      <c r="I3651">
        <v>70</v>
      </c>
      <c r="J3651">
        <v>100</v>
      </c>
      <c r="K3651">
        <v>80</v>
      </c>
      <c r="L3651">
        <v>170</v>
      </c>
      <c r="M3651">
        <v>61</v>
      </c>
      <c r="N3651">
        <v>579</v>
      </c>
      <c r="O3651">
        <v>79</v>
      </c>
      <c r="P3651">
        <v>20</v>
      </c>
      <c r="Q3651">
        <v>70</v>
      </c>
      <c r="R3651">
        <v>149</v>
      </c>
      <c r="S3651">
        <v>0.87647058823529411</v>
      </c>
      <c r="T3651">
        <v>0.875</v>
      </c>
      <c r="U3651">
        <v>0.87142857142857144</v>
      </c>
    </row>
    <row r="3652" spans="1:21" x14ac:dyDescent="0.35">
      <c r="A3652">
        <v>580</v>
      </c>
      <c r="B3652" s="16">
        <v>40787</v>
      </c>
      <c r="C3652" s="15" t="s">
        <v>70</v>
      </c>
      <c r="D3652" s="15" t="s">
        <v>58</v>
      </c>
      <c r="E3652" s="15" t="s">
        <v>44</v>
      </c>
      <c r="F3652" s="15" t="s">
        <v>40</v>
      </c>
      <c r="G3652" s="15" t="s">
        <v>74</v>
      </c>
      <c r="H3652" s="15" t="s">
        <v>45</v>
      </c>
      <c r="I3652">
        <v>30</v>
      </c>
      <c r="J3652">
        <v>60</v>
      </c>
      <c r="K3652">
        <v>50</v>
      </c>
      <c r="L3652">
        <v>90</v>
      </c>
      <c r="M3652">
        <v>29</v>
      </c>
      <c r="N3652">
        <v>862</v>
      </c>
      <c r="O3652">
        <v>43</v>
      </c>
      <c r="P3652">
        <v>8</v>
      </c>
      <c r="Q3652">
        <v>34</v>
      </c>
      <c r="R3652">
        <v>77</v>
      </c>
      <c r="S3652">
        <v>0.85555555555555551</v>
      </c>
      <c r="T3652">
        <v>0.68</v>
      </c>
      <c r="U3652">
        <v>0.96666666666666667</v>
      </c>
    </row>
    <row r="3653" spans="1:21" x14ac:dyDescent="0.35">
      <c r="A3653">
        <v>918</v>
      </c>
      <c r="B3653" s="16">
        <v>40787</v>
      </c>
      <c r="C3653" s="15" t="s">
        <v>70</v>
      </c>
      <c r="D3653" s="15" t="s">
        <v>58</v>
      </c>
      <c r="E3653" s="15" t="s">
        <v>72</v>
      </c>
      <c r="F3653" s="15" t="s">
        <v>49</v>
      </c>
      <c r="G3653" s="15" t="s">
        <v>74</v>
      </c>
      <c r="H3653" s="15" t="s">
        <v>42</v>
      </c>
      <c r="I3653">
        <v>80</v>
      </c>
      <c r="J3653">
        <v>110</v>
      </c>
      <c r="K3653">
        <v>80</v>
      </c>
      <c r="L3653">
        <v>190</v>
      </c>
      <c r="M3653">
        <v>96</v>
      </c>
      <c r="N3653">
        <v>-1555</v>
      </c>
      <c r="O3653">
        <v>134</v>
      </c>
      <c r="P3653">
        <v>29</v>
      </c>
      <c r="Q3653">
        <v>122</v>
      </c>
      <c r="R3653">
        <v>245</v>
      </c>
      <c r="S3653">
        <v>1.2894736842105263</v>
      </c>
      <c r="T3653">
        <v>1.5249999999999999</v>
      </c>
      <c r="U3653">
        <v>1.2</v>
      </c>
    </row>
    <row r="3654" spans="1:21" x14ac:dyDescent="0.35">
      <c r="A3654">
        <v>580</v>
      </c>
      <c r="B3654" s="16">
        <v>40787</v>
      </c>
      <c r="C3654" s="15" t="s">
        <v>70</v>
      </c>
      <c r="D3654" s="15" t="s">
        <v>58</v>
      </c>
      <c r="E3654" s="15" t="s">
        <v>48</v>
      </c>
      <c r="F3654" s="15" t="s">
        <v>49</v>
      </c>
      <c r="G3654" s="15" t="s">
        <v>74</v>
      </c>
      <c r="H3654" s="15" t="s">
        <v>42</v>
      </c>
      <c r="I3654">
        <v>10</v>
      </c>
      <c r="J3654">
        <v>30</v>
      </c>
      <c r="K3654">
        <v>30</v>
      </c>
      <c r="L3654">
        <v>40</v>
      </c>
      <c r="M3654">
        <v>20</v>
      </c>
      <c r="N3654">
        <v>482</v>
      </c>
      <c r="O3654">
        <v>30</v>
      </c>
      <c r="P3654">
        <v>5</v>
      </c>
      <c r="Q3654">
        <v>19</v>
      </c>
      <c r="R3654">
        <v>53</v>
      </c>
      <c r="S3654">
        <v>1.325</v>
      </c>
      <c r="T3654">
        <v>0.6333333333333333</v>
      </c>
      <c r="U3654">
        <v>2</v>
      </c>
    </row>
    <row r="3655" spans="1:21" x14ac:dyDescent="0.35">
      <c r="A3655">
        <v>405</v>
      </c>
      <c r="B3655" s="16">
        <v>40787</v>
      </c>
      <c r="C3655" s="15" t="s">
        <v>70</v>
      </c>
      <c r="D3655" s="15" t="s">
        <v>58</v>
      </c>
      <c r="E3655" s="15" t="s">
        <v>50</v>
      </c>
      <c r="F3655" s="15" t="s">
        <v>49</v>
      </c>
      <c r="G3655" s="15" t="s">
        <v>74</v>
      </c>
      <c r="H3655" s="15" t="s">
        <v>45</v>
      </c>
      <c r="I3655">
        <v>80</v>
      </c>
      <c r="J3655">
        <v>130</v>
      </c>
      <c r="K3655">
        <v>80</v>
      </c>
      <c r="L3655">
        <v>210</v>
      </c>
      <c r="M3655">
        <v>99</v>
      </c>
      <c r="N3655">
        <v>798</v>
      </c>
      <c r="O3655">
        <v>150</v>
      </c>
      <c r="P3655">
        <v>32</v>
      </c>
      <c r="Q3655">
        <v>129</v>
      </c>
      <c r="R3655">
        <v>265</v>
      </c>
      <c r="S3655">
        <v>1.2619047619047619</v>
      </c>
      <c r="T3655">
        <v>1.6125</v>
      </c>
      <c r="U3655">
        <v>1.2375</v>
      </c>
    </row>
    <row r="3656" spans="1:21" x14ac:dyDescent="0.35">
      <c r="A3656">
        <v>682</v>
      </c>
      <c r="B3656" s="16">
        <v>40787</v>
      </c>
      <c r="C3656" s="15" t="s">
        <v>70</v>
      </c>
      <c r="D3656" s="15" t="s">
        <v>38</v>
      </c>
      <c r="E3656" s="15" t="s">
        <v>51</v>
      </c>
      <c r="F3656" s="15" t="s">
        <v>52</v>
      </c>
      <c r="G3656" s="15" t="s">
        <v>75</v>
      </c>
      <c r="H3656" s="15" t="s">
        <v>45</v>
      </c>
      <c r="I3656">
        <v>50</v>
      </c>
      <c r="J3656">
        <v>70</v>
      </c>
      <c r="K3656">
        <v>40</v>
      </c>
      <c r="L3656">
        <v>120</v>
      </c>
      <c r="M3656">
        <v>53</v>
      </c>
      <c r="N3656">
        <v>410</v>
      </c>
      <c r="O3656">
        <v>72</v>
      </c>
      <c r="P3656">
        <v>17</v>
      </c>
      <c r="Q3656">
        <v>40</v>
      </c>
      <c r="R3656">
        <v>133</v>
      </c>
      <c r="S3656">
        <v>1.1083333333333334</v>
      </c>
      <c r="T3656">
        <v>1</v>
      </c>
      <c r="U3656">
        <v>1.06</v>
      </c>
    </row>
    <row r="3657" spans="1:21" x14ac:dyDescent="0.35">
      <c r="A3657">
        <v>469</v>
      </c>
      <c r="B3657" s="16">
        <v>40787</v>
      </c>
      <c r="C3657" s="15" t="s">
        <v>70</v>
      </c>
      <c r="D3657" s="15" t="s">
        <v>38</v>
      </c>
      <c r="E3657" s="15" t="s">
        <v>53</v>
      </c>
      <c r="F3657" s="15" t="s">
        <v>52</v>
      </c>
      <c r="G3657" s="15" t="s">
        <v>75</v>
      </c>
      <c r="H3657" s="15" t="s">
        <v>45</v>
      </c>
      <c r="I3657">
        <v>40</v>
      </c>
      <c r="J3657">
        <v>60</v>
      </c>
      <c r="K3657">
        <v>30</v>
      </c>
      <c r="L3657">
        <v>100</v>
      </c>
      <c r="M3657">
        <v>43</v>
      </c>
      <c r="N3657">
        <v>424</v>
      </c>
      <c r="O3657">
        <v>64</v>
      </c>
      <c r="P3657">
        <v>13</v>
      </c>
      <c r="Q3657">
        <v>42</v>
      </c>
      <c r="R3657">
        <v>114</v>
      </c>
      <c r="S3657">
        <v>1.1399999999999999</v>
      </c>
      <c r="T3657">
        <v>1.4</v>
      </c>
      <c r="U3657">
        <v>1.075</v>
      </c>
    </row>
    <row r="3658" spans="1:21" x14ac:dyDescent="0.35">
      <c r="A3658">
        <v>281</v>
      </c>
      <c r="B3658" s="16">
        <v>40787</v>
      </c>
      <c r="C3658" s="15" t="s">
        <v>70</v>
      </c>
      <c r="D3658" s="15" t="s">
        <v>38</v>
      </c>
      <c r="E3658" s="15" t="s">
        <v>43</v>
      </c>
      <c r="F3658" s="15" t="s">
        <v>40</v>
      </c>
      <c r="G3658" s="15" t="s">
        <v>75</v>
      </c>
      <c r="H3658" s="15" t="s">
        <v>42</v>
      </c>
      <c r="I3658">
        <v>310</v>
      </c>
      <c r="J3658">
        <v>370</v>
      </c>
      <c r="K3658">
        <v>280</v>
      </c>
      <c r="L3658">
        <v>680</v>
      </c>
      <c r="M3658">
        <v>251</v>
      </c>
      <c r="N3658">
        <v>1268</v>
      </c>
      <c r="O3658">
        <v>295</v>
      </c>
      <c r="P3658">
        <v>77</v>
      </c>
      <c r="Q3658">
        <v>292</v>
      </c>
      <c r="R3658">
        <v>582</v>
      </c>
      <c r="S3658">
        <v>0.85588235294117643</v>
      </c>
      <c r="T3658">
        <v>1.0428571428571429</v>
      </c>
      <c r="U3658">
        <v>0.80967741935483872</v>
      </c>
    </row>
    <row r="3659" spans="1:21" x14ac:dyDescent="0.35">
      <c r="A3659">
        <v>806</v>
      </c>
      <c r="B3659" s="16">
        <v>40787</v>
      </c>
      <c r="C3659" s="15" t="s">
        <v>70</v>
      </c>
      <c r="D3659" s="15" t="s">
        <v>38</v>
      </c>
      <c r="E3659" s="15" t="s">
        <v>44</v>
      </c>
      <c r="F3659" s="15" t="s">
        <v>40</v>
      </c>
      <c r="G3659" s="15" t="s">
        <v>75</v>
      </c>
      <c r="H3659" s="15" t="s">
        <v>45</v>
      </c>
      <c r="I3659">
        <v>70</v>
      </c>
      <c r="J3659">
        <v>90</v>
      </c>
      <c r="K3659">
        <v>70</v>
      </c>
      <c r="L3659">
        <v>160</v>
      </c>
      <c r="M3659">
        <v>58</v>
      </c>
      <c r="N3659">
        <v>548</v>
      </c>
      <c r="O3659">
        <v>74</v>
      </c>
      <c r="P3659">
        <v>19</v>
      </c>
      <c r="Q3659">
        <v>62</v>
      </c>
      <c r="R3659">
        <v>141</v>
      </c>
      <c r="S3659">
        <v>0.88124999999999998</v>
      </c>
      <c r="T3659">
        <v>0.88571428571428568</v>
      </c>
      <c r="U3659">
        <v>0.82857142857142863</v>
      </c>
    </row>
    <row r="3660" spans="1:21" x14ac:dyDescent="0.35">
      <c r="A3660">
        <v>903</v>
      </c>
      <c r="B3660" s="16">
        <v>40787</v>
      </c>
      <c r="C3660" s="15" t="s">
        <v>70</v>
      </c>
      <c r="D3660" s="15" t="s">
        <v>38</v>
      </c>
      <c r="E3660" s="15" t="s">
        <v>72</v>
      </c>
      <c r="F3660" s="15" t="s">
        <v>49</v>
      </c>
      <c r="G3660" s="15" t="s">
        <v>75</v>
      </c>
      <c r="H3660" s="15" t="s">
        <v>42</v>
      </c>
      <c r="I3660">
        <v>50</v>
      </c>
      <c r="J3660">
        <v>70</v>
      </c>
      <c r="K3660">
        <v>40</v>
      </c>
      <c r="L3660">
        <v>120</v>
      </c>
      <c r="M3660">
        <v>60</v>
      </c>
      <c r="N3660">
        <v>-718</v>
      </c>
      <c r="O3660">
        <v>90</v>
      </c>
      <c r="P3660">
        <v>19</v>
      </c>
      <c r="Q3660">
        <v>58</v>
      </c>
      <c r="R3660">
        <v>160</v>
      </c>
      <c r="S3660">
        <v>1.3333333333333333</v>
      </c>
      <c r="T3660">
        <v>1.45</v>
      </c>
      <c r="U3660">
        <v>1.2</v>
      </c>
    </row>
    <row r="3661" spans="1:21" x14ac:dyDescent="0.35">
      <c r="A3661">
        <v>713</v>
      </c>
      <c r="B3661" s="16">
        <v>40787</v>
      </c>
      <c r="C3661" s="15" t="s">
        <v>70</v>
      </c>
      <c r="D3661" s="15" t="s">
        <v>38</v>
      </c>
      <c r="E3661" s="15" t="s">
        <v>48</v>
      </c>
      <c r="F3661" s="15" t="s">
        <v>49</v>
      </c>
      <c r="G3661" s="15" t="s">
        <v>75</v>
      </c>
      <c r="H3661" s="15" t="s">
        <v>42</v>
      </c>
      <c r="I3661">
        <v>100</v>
      </c>
      <c r="J3661">
        <v>150</v>
      </c>
      <c r="K3661">
        <v>120</v>
      </c>
      <c r="L3661">
        <v>250</v>
      </c>
      <c r="M3661">
        <v>123</v>
      </c>
      <c r="N3661">
        <v>928</v>
      </c>
      <c r="O3661">
        <v>179</v>
      </c>
      <c r="P3661">
        <v>34</v>
      </c>
      <c r="Q3661">
        <v>199</v>
      </c>
      <c r="R3661">
        <v>322</v>
      </c>
      <c r="S3661">
        <v>1.288</v>
      </c>
      <c r="T3661">
        <v>1.6583333333333334</v>
      </c>
      <c r="U3661">
        <v>1.23</v>
      </c>
    </row>
    <row r="3662" spans="1:21" x14ac:dyDescent="0.35">
      <c r="A3662">
        <v>325</v>
      </c>
      <c r="B3662" s="16">
        <v>40787</v>
      </c>
      <c r="C3662" s="15" t="s">
        <v>70</v>
      </c>
      <c r="D3662" s="15" t="s">
        <v>38</v>
      </c>
      <c r="E3662" s="15" t="s">
        <v>50</v>
      </c>
      <c r="F3662" s="15" t="s">
        <v>49</v>
      </c>
      <c r="G3662" s="15" t="s">
        <v>75</v>
      </c>
      <c r="H3662" s="15" t="s">
        <v>45</v>
      </c>
      <c r="I3662">
        <v>60</v>
      </c>
      <c r="J3662">
        <v>110</v>
      </c>
      <c r="K3662">
        <v>90</v>
      </c>
      <c r="L3662">
        <v>170</v>
      </c>
      <c r="M3662">
        <v>81</v>
      </c>
      <c r="N3662">
        <v>588</v>
      </c>
      <c r="O3662">
        <v>118</v>
      </c>
      <c r="P3662">
        <v>22</v>
      </c>
      <c r="Q3662">
        <v>126</v>
      </c>
      <c r="R3662">
        <v>212</v>
      </c>
      <c r="S3662">
        <v>1.2470588235294118</v>
      </c>
      <c r="T3662">
        <v>1.4</v>
      </c>
      <c r="U3662">
        <v>1.35</v>
      </c>
    </row>
    <row r="3663" spans="1:21" x14ac:dyDescent="0.35">
      <c r="A3663">
        <v>801</v>
      </c>
      <c r="B3663" s="16">
        <v>40787</v>
      </c>
      <c r="C3663" s="15" t="s">
        <v>76</v>
      </c>
      <c r="D3663" s="15" t="s">
        <v>58</v>
      </c>
      <c r="E3663" s="15" t="s">
        <v>55</v>
      </c>
      <c r="F3663" s="15" t="s">
        <v>47</v>
      </c>
      <c r="G3663" s="15" t="s">
        <v>77</v>
      </c>
      <c r="H3663" s="15" t="s">
        <v>42</v>
      </c>
      <c r="I3663">
        <v>20</v>
      </c>
      <c r="J3663">
        <v>50</v>
      </c>
      <c r="K3663">
        <v>10</v>
      </c>
      <c r="L3663">
        <v>70</v>
      </c>
      <c r="M3663">
        <v>44</v>
      </c>
      <c r="N3663">
        <v>325</v>
      </c>
      <c r="O3663">
        <v>62</v>
      </c>
      <c r="P3663">
        <v>40</v>
      </c>
      <c r="Q3663">
        <v>-10</v>
      </c>
      <c r="R3663">
        <v>113</v>
      </c>
      <c r="S3663">
        <v>1.6142857142857143</v>
      </c>
      <c r="T3663">
        <v>-1</v>
      </c>
      <c r="U3663">
        <v>2.2000000000000002</v>
      </c>
    </row>
    <row r="3664" spans="1:21" x14ac:dyDescent="0.35">
      <c r="A3664">
        <v>435</v>
      </c>
      <c r="B3664" s="16">
        <v>40787</v>
      </c>
      <c r="C3664" s="15" t="s">
        <v>76</v>
      </c>
      <c r="D3664" s="15" t="s">
        <v>58</v>
      </c>
      <c r="E3664" s="15" t="s">
        <v>56</v>
      </c>
      <c r="F3664" s="15" t="s">
        <v>47</v>
      </c>
      <c r="G3664" s="15" t="s">
        <v>77</v>
      </c>
      <c r="H3664" s="15" t="s">
        <v>42</v>
      </c>
      <c r="I3664">
        <v>20</v>
      </c>
      <c r="J3664">
        <v>40</v>
      </c>
      <c r="K3664">
        <v>20</v>
      </c>
      <c r="L3664">
        <v>60</v>
      </c>
      <c r="M3664">
        <v>39</v>
      </c>
      <c r="N3664">
        <v>248</v>
      </c>
      <c r="O3664">
        <v>52</v>
      </c>
      <c r="P3664">
        <v>12</v>
      </c>
      <c r="Q3664">
        <v>18</v>
      </c>
      <c r="R3664">
        <v>97</v>
      </c>
      <c r="S3664">
        <v>1.6166666666666667</v>
      </c>
      <c r="T3664">
        <v>0.9</v>
      </c>
      <c r="U3664">
        <v>1.95</v>
      </c>
    </row>
    <row r="3665" spans="1:21" x14ac:dyDescent="0.35">
      <c r="A3665">
        <v>435</v>
      </c>
      <c r="B3665" s="16">
        <v>40787</v>
      </c>
      <c r="C3665" s="15" t="s">
        <v>76</v>
      </c>
      <c r="D3665" s="15" t="s">
        <v>58</v>
      </c>
      <c r="E3665" s="15" t="s">
        <v>46</v>
      </c>
      <c r="F3665" s="15" t="s">
        <v>47</v>
      </c>
      <c r="G3665" s="15" t="s">
        <v>77</v>
      </c>
      <c r="H3665" s="15" t="s">
        <v>42</v>
      </c>
      <c r="I3665">
        <v>10</v>
      </c>
      <c r="J3665">
        <v>20</v>
      </c>
      <c r="K3665">
        <v>0</v>
      </c>
      <c r="L3665">
        <v>30</v>
      </c>
      <c r="M3665">
        <v>24</v>
      </c>
      <c r="N3665">
        <v>212</v>
      </c>
      <c r="O3665">
        <v>30</v>
      </c>
      <c r="P3665">
        <v>9</v>
      </c>
      <c r="Q3665">
        <v>-19</v>
      </c>
      <c r="R3665">
        <v>58</v>
      </c>
      <c r="S3665">
        <v>1.9333333333333333</v>
      </c>
      <c r="U3665">
        <v>2.4</v>
      </c>
    </row>
    <row r="3666" spans="1:21" x14ac:dyDescent="0.35">
      <c r="A3666">
        <v>801</v>
      </c>
      <c r="B3666" s="16">
        <v>40787</v>
      </c>
      <c r="C3666" s="15" t="s">
        <v>76</v>
      </c>
      <c r="D3666" s="15" t="s">
        <v>58</v>
      </c>
      <c r="E3666" s="15" t="s">
        <v>51</v>
      </c>
      <c r="F3666" s="15" t="s">
        <v>52</v>
      </c>
      <c r="G3666" s="15" t="s">
        <v>77</v>
      </c>
      <c r="H3666" s="15" t="s">
        <v>45</v>
      </c>
      <c r="I3666">
        <v>40</v>
      </c>
      <c r="J3666">
        <v>60</v>
      </c>
      <c r="K3666">
        <v>40</v>
      </c>
      <c r="L3666">
        <v>100</v>
      </c>
      <c r="M3666">
        <v>49</v>
      </c>
      <c r="N3666">
        <v>315</v>
      </c>
      <c r="O3666">
        <v>71</v>
      </c>
      <c r="P3666">
        <v>15</v>
      </c>
      <c r="Q3666">
        <v>50</v>
      </c>
      <c r="R3666">
        <v>128</v>
      </c>
      <c r="S3666">
        <v>1.28</v>
      </c>
      <c r="T3666">
        <v>1.25</v>
      </c>
      <c r="U3666">
        <v>1.2250000000000001</v>
      </c>
    </row>
    <row r="3667" spans="1:21" x14ac:dyDescent="0.35">
      <c r="A3667">
        <v>435</v>
      </c>
      <c r="B3667" s="16">
        <v>40787</v>
      </c>
      <c r="C3667" s="15" t="s">
        <v>76</v>
      </c>
      <c r="D3667" s="15" t="s">
        <v>58</v>
      </c>
      <c r="E3667" s="15" t="s">
        <v>53</v>
      </c>
      <c r="F3667" s="15" t="s">
        <v>52</v>
      </c>
      <c r="G3667" s="15" t="s">
        <v>77</v>
      </c>
      <c r="H3667" s="15" t="s">
        <v>45</v>
      </c>
      <c r="I3667">
        <v>40</v>
      </c>
      <c r="J3667">
        <v>80</v>
      </c>
      <c r="K3667">
        <v>50</v>
      </c>
      <c r="L3667">
        <v>120</v>
      </c>
      <c r="M3667">
        <v>55</v>
      </c>
      <c r="N3667">
        <v>453</v>
      </c>
      <c r="O3667">
        <v>84</v>
      </c>
      <c r="P3667">
        <v>18</v>
      </c>
      <c r="Q3667">
        <v>50</v>
      </c>
      <c r="R3667">
        <v>148</v>
      </c>
      <c r="S3667">
        <v>1.2333333333333334</v>
      </c>
      <c r="T3667">
        <v>1</v>
      </c>
      <c r="U3667">
        <v>1.375</v>
      </c>
    </row>
    <row r="3668" spans="1:21" x14ac:dyDescent="0.35">
      <c r="A3668">
        <v>435</v>
      </c>
      <c r="B3668" s="16">
        <v>40787</v>
      </c>
      <c r="C3668" s="15" t="s">
        <v>76</v>
      </c>
      <c r="D3668" s="15" t="s">
        <v>58</v>
      </c>
      <c r="E3668" s="15" t="s">
        <v>54</v>
      </c>
      <c r="F3668" s="15" t="s">
        <v>52</v>
      </c>
      <c r="G3668" s="15" t="s">
        <v>77</v>
      </c>
      <c r="H3668" s="15" t="s">
        <v>45</v>
      </c>
      <c r="I3668">
        <v>80</v>
      </c>
      <c r="J3668">
        <v>20</v>
      </c>
      <c r="K3668">
        <v>-20</v>
      </c>
      <c r="L3668">
        <v>100</v>
      </c>
      <c r="M3668">
        <v>104</v>
      </c>
      <c r="N3668">
        <v>1574</v>
      </c>
      <c r="O3668">
        <v>11</v>
      </c>
      <c r="P3668">
        <v>32</v>
      </c>
      <c r="Q3668">
        <v>-67</v>
      </c>
      <c r="R3668">
        <v>123</v>
      </c>
      <c r="S3668">
        <v>1.23</v>
      </c>
      <c r="T3668">
        <v>3.35</v>
      </c>
      <c r="U3668">
        <v>1.3</v>
      </c>
    </row>
    <row r="3669" spans="1:21" x14ac:dyDescent="0.35">
      <c r="A3669">
        <v>435</v>
      </c>
      <c r="B3669" s="16">
        <v>40787</v>
      </c>
      <c r="C3669" s="15" t="s">
        <v>76</v>
      </c>
      <c r="D3669" s="15" t="s">
        <v>58</v>
      </c>
      <c r="E3669" s="15" t="s">
        <v>39</v>
      </c>
      <c r="F3669" s="15" t="s">
        <v>40</v>
      </c>
      <c r="G3669" s="15" t="s">
        <v>77</v>
      </c>
      <c r="H3669" s="15" t="s">
        <v>42</v>
      </c>
      <c r="I3669">
        <v>70</v>
      </c>
      <c r="J3669">
        <v>100</v>
      </c>
      <c r="K3669">
        <v>70</v>
      </c>
      <c r="L3669">
        <v>170</v>
      </c>
      <c r="M3669">
        <v>62</v>
      </c>
      <c r="N3669">
        <v>1059</v>
      </c>
      <c r="O3669">
        <v>74</v>
      </c>
      <c r="P3669">
        <v>19</v>
      </c>
      <c r="Q3669">
        <v>49</v>
      </c>
      <c r="R3669">
        <v>145</v>
      </c>
      <c r="S3669">
        <v>0.8529411764705882</v>
      </c>
      <c r="T3669">
        <v>0.7</v>
      </c>
      <c r="U3669">
        <v>0.88571428571428568</v>
      </c>
    </row>
    <row r="3670" spans="1:21" x14ac:dyDescent="0.35">
      <c r="A3670">
        <v>801</v>
      </c>
      <c r="B3670" s="16">
        <v>40787</v>
      </c>
      <c r="C3670" s="15" t="s">
        <v>76</v>
      </c>
      <c r="D3670" s="15" t="s">
        <v>58</v>
      </c>
      <c r="E3670" s="15" t="s">
        <v>43</v>
      </c>
      <c r="F3670" s="15" t="s">
        <v>40</v>
      </c>
      <c r="G3670" s="15" t="s">
        <v>77</v>
      </c>
      <c r="H3670" s="15" t="s">
        <v>42</v>
      </c>
      <c r="I3670">
        <v>60</v>
      </c>
      <c r="J3670">
        <v>80</v>
      </c>
      <c r="K3670">
        <v>50</v>
      </c>
      <c r="L3670">
        <v>140</v>
      </c>
      <c r="M3670">
        <v>48</v>
      </c>
      <c r="N3670">
        <v>380</v>
      </c>
      <c r="O3670">
        <v>65</v>
      </c>
      <c r="P3670">
        <v>15</v>
      </c>
      <c r="Q3670">
        <v>33</v>
      </c>
      <c r="R3670">
        <v>120</v>
      </c>
      <c r="S3670">
        <v>0.8571428571428571</v>
      </c>
      <c r="T3670">
        <v>0.66</v>
      </c>
      <c r="U3670">
        <v>0.8</v>
      </c>
    </row>
    <row r="3671" spans="1:21" x14ac:dyDescent="0.35">
      <c r="A3671">
        <v>435</v>
      </c>
      <c r="B3671" s="16">
        <v>40787</v>
      </c>
      <c r="C3671" s="15" t="s">
        <v>76</v>
      </c>
      <c r="D3671" s="15" t="s">
        <v>58</v>
      </c>
      <c r="E3671" s="15" t="s">
        <v>44</v>
      </c>
      <c r="F3671" s="15" t="s">
        <v>40</v>
      </c>
      <c r="G3671" s="15" t="s">
        <v>77</v>
      </c>
      <c r="H3671" s="15" t="s">
        <v>45</v>
      </c>
      <c r="I3671">
        <v>80</v>
      </c>
      <c r="J3671">
        <v>100</v>
      </c>
      <c r="K3671">
        <v>50</v>
      </c>
      <c r="L3671">
        <v>180</v>
      </c>
      <c r="M3671">
        <v>67</v>
      </c>
      <c r="N3671">
        <v>599</v>
      </c>
      <c r="O3671">
        <v>83</v>
      </c>
      <c r="P3671">
        <v>25</v>
      </c>
      <c r="Q3671">
        <v>36</v>
      </c>
      <c r="R3671">
        <v>160</v>
      </c>
      <c r="S3671">
        <v>0.88888888888888884</v>
      </c>
      <c r="T3671">
        <v>0.72</v>
      </c>
      <c r="U3671">
        <v>0.83750000000000002</v>
      </c>
    </row>
    <row r="3672" spans="1:21" x14ac:dyDescent="0.35">
      <c r="A3672">
        <v>435</v>
      </c>
      <c r="B3672" s="16">
        <v>40787</v>
      </c>
      <c r="C3672" s="15" t="s">
        <v>76</v>
      </c>
      <c r="D3672" s="15" t="s">
        <v>58</v>
      </c>
      <c r="E3672" s="15" t="s">
        <v>72</v>
      </c>
      <c r="F3672" s="15" t="s">
        <v>49</v>
      </c>
      <c r="G3672" s="15" t="s">
        <v>77</v>
      </c>
      <c r="H3672" s="15" t="s">
        <v>42</v>
      </c>
      <c r="I3672">
        <v>30</v>
      </c>
      <c r="J3672">
        <v>40</v>
      </c>
      <c r="K3672">
        <v>30</v>
      </c>
      <c r="L3672">
        <v>70</v>
      </c>
      <c r="M3672">
        <v>32</v>
      </c>
      <c r="N3672">
        <v>837</v>
      </c>
      <c r="O3672">
        <v>47</v>
      </c>
      <c r="P3672">
        <v>8</v>
      </c>
      <c r="Q3672">
        <v>40</v>
      </c>
      <c r="R3672">
        <v>84</v>
      </c>
      <c r="S3672">
        <v>1.2</v>
      </c>
      <c r="T3672">
        <v>1.3333333333333333</v>
      </c>
      <c r="U3672">
        <v>1.0666666666666667</v>
      </c>
    </row>
    <row r="3673" spans="1:21" x14ac:dyDescent="0.35">
      <c r="A3673">
        <v>801</v>
      </c>
      <c r="B3673" s="16">
        <v>40787</v>
      </c>
      <c r="C3673" s="15" t="s">
        <v>76</v>
      </c>
      <c r="D3673" s="15" t="s">
        <v>58</v>
      </c>
      <c r="E3673" s="15" t="s">
        <v>48</v>
      </c>
      <c r="F3673" s="15" t="s">
        <v>49</v>
      </c>
      <c r="G3673" s="15" t="s">
        <v>77</v>
      </c>
      <c r="H3673" s="15" t="s">
        <v>42</v>
      </c>
      <c r="I3673">
        <v>60</v>
      </c>
      <c r="J3673">
        <v>90</v>
      </c>
      <c r="K3673">
        <v>60</v>
      </c>
      <c r="L3673">
        <v>150</v>
      </c>
      <c r="M3673">
        <v>69</v>
      </c>
      <c r="N3673">
        <v>572</v>
      </c>
      <c r="O3673">
        <v>90</v>
      </c>
      <c r="P3673">
        <v>22</v>
      </c>
      <c r="Q3673">
        <v>83</v>
      </c>
      <c r="R3673">
        <v>169</v>
      </c>
      <c r="S3673">
        <v>1.1266666666666667</v>
      </c>
      <c r="T3673">
        <v>1.3833333333333333</v>
      </c>
      <c r="U3673">
        <v>1.1499999999999999</v>
      </c>
    </row>
    <row r="3674" spans="1:21" x14ac:dyDescent="0.35">
      <c r="A3674">
        <v>435</v>
      </c>
      <c r="B3674" s="16">
        <v>40787</v>
      </c>
      <c r="C3674" s="15" t="s">
        <v>76</v>
      </c>
      <c r="D3674" s="15" t="s">
        <v>58</v>
      </c>
      <c r="E3674" s="15" t="s">
        <v>50</v>
      </c>
      <c r="F3674" s="15" t="s">
        <v>49</v>
      </c>
      <c r="G3674" s="15" t="s">
        <v>77</v>
      </c>
      <c r="H3674" s="15" t="s">
        <v>45</v>
      </c>
      <c r="I3674">
        <v>40</v>
      </c>
      <c r="J3674">
        <v>60</v>
      </c>
      <c r="K3674">
        <v>40</v>
      </c>
      <c r="L3674">
        <v>100</v>
      </c>
      <c r="M3674">
        <v>44</v>
      </c>
      <c r="N3674">
        <v>886</v>
      </c>
      <c r="O3674">
        <v>64</v>
      </c>
      <c r="P3674">
        <v>12</v>
      </c>
      <c r="Q3674">
        <v>59</v>
      </c>
      <c r="R3674">
        <v>115</v>
      </c>
      <c r="S3674">
        <v>1.1499999999999999</v>
      </c>
      <c r="T3674">
        <v>1.4750000000000001</v>
      </c>
      <c r="U3674">
        <v>1.1000000000000001</v>
      </c>
    </row>
    <row r="3675" spans="1:21" x14ac:dyDescent="0.35">
      <c r="A3675">
        <v>310</v>
      </c>
      <c r="B3675" s="16">
        <v>40787</v>
      </c>
      <c r="C3675" s="15" t="s">
        <v>76</v>
      </c>
      <c r="D3675" s="15" t="s">
        <v>38</v>
      </c>
      <c r="E3675" s="15" t="s">
        <v>55</v>
      </c>
      <c r="F3675" s="15" t="s">
        <v>47</v>
      </c>
      <c r="G3675" s="15" t="s">
        <v>78</v>
      </c>
      <c r="H3675" s="15" t="s">
        <v>42</v>
      </c>
      <c r="I3675">
        <v>80</v>
      </c>
      <c r="J3675">
        <v>120</v>
      </c>
      <c r="K3675">
        <v>100</v>
      </c>
      <c r="L3675">
        <v>200</v>
      </c>
      <c r="M3675">
        <v>123</v>
      </c>
      <c r="N3675">
        <v>928</v>
      </c>
      <c r="O3675">
        <v>179</v>
      </c>
      <c r="P3675">
        <v>34</v>
      </c>
      <c r="Q3675">
        <v>199</v>
      </c>
      <c r="R3675">
        <v>322</v>
      </c>
      <c r="S3675">
        <v>1.61</v>
      </c>
      <c r="T3675">
        <v>1.99</v>
      </c>
      <c r="U3675">
        <v>1.5375000000000001</v>
      </c>
    </row>
    <row r="3676" spans="1:21" x14ac:dyDescent="0.35">
      <c r="A3676">
        <v>650</v>
      </c>
      <c r="B3676" s="16">
        <v>40787</v>
      </c>
      <c r="C3676" s="15" t="s">
        <v>76</v>
      </c>
      <c r="D3676" s="15" t="s">
        <v>38</v>
      </c>
      <c r="E3676" s="15" t="s">
        <v>56</v>
      </c>
      <c r="F3676" s="15" t="s">
        <v>47</v>
      </c>
      <c r="G3676" s="15" t="s">
        <v>78</v>
      </c>
      <c r="H3676" s="15" t="s">
        <v>42</v>
      </c>
      <c r="I3676">
        <v>50</v>
      </c>
      <c r="J3676">
        <v>80</v>
      </c>
      <c r="K3676">
        <v>70</v>
      </c>
      <c r="L3676">
        <v>130</v>
      </c>
      <c r="M3676">
        <v>81</v>
      </c>
      <c r="N3676">
        <v>588</v>
      </c>
      <c r="O3676">
        <v>118</v>
      </c>
      <c r="P3676">
        <v>22</v>
      </c>
      <c r="Q3676">
        <v>125</v>
      </c>
      <c r="R3676">
        <v>212</v>
      </c>
      <c r="S3676">
        <v>1.6307692307692307</v>
      </c>
      <c r="T3676">
        <v>1.7857142857142858</v>
      </c>
      <c r="U3676">
        <v>1.62</v>
      </c>
    </row>
    <row r="3677" spans="1:21" x14ac:dyDescent="0.35">
      <c r="A3677">
        <v>530</v>
      </c>
      <c r="B3677" s="16">
        <v>40787</v>
      </c>
      <c r="C3677" s="15" t="s">
        <v>76</v>
      </c>
      <c r="D3677" s="15" t="s">
        <v>38</v>
      </c>
      <c r="E3677" s="15" t="s">
        <v>46</v>
      </c>
      <c r="F3677" s="15" t="s">
        <v>47</v>
      </c>
      <c r="G3677" s="15" t="s">
        <v>78</v>
      </c>
      <c r="H3677" s="15" t="s">
        <v>42</v>
      </c>
      <c r="I3677">
        <v>30</v>
      </c>
      <c r="J3677">
        <v>70</v>
      </c>
      <c r="K3677">
        <v>40</v>
      </c>
      <c r="L3677">
        <v>100</v>
      </c>
      <c r="M3677">
        <v>60</v>
      </c>
      <c r="N3677">
        <v>656</v>
      </c>
      <c r="O3677">
        <v>90</v>
      </c>
      <c r="P3677">
        <v>19</v>
      </c>
      <c r="Q3677">
        <v>58</v>
      </c>
      <c r="R3677">
        <v>160</v>
      </c>
      <c r="S3677">
        <v>1.6</v>
      </c>
      <c r="T3677">
        <v>1.45</v>
      </c>
      <c r="U3677">
        <v>2</v>
      </c>
    </row>
    <row r="3678" spans="1:21" x14ac:dyDescent="0.35">
      <c r="A3678">
        <v>562</v>
      </c>
      <c r="B3678" s="16">
        <v>40787</v>
      </c>
      <c r="C3678" s="15" t="s">
        <v>76</v>
      </c>
      <c r="D3678" s="15" t="s">
        <v>38</v>
      </c>
      <c r="E3678" s="15" t="s">
        <v>51</v>
      </c>
      <c r="F3678" s="15" t="s">
        <v>52</v>
      </c>
      <c r="G3678" s="15" t="s">
        <v>78</v>
      </c>
      <c r="H3678" s="15" t="s">
        <v>45</v>
      </c>
      <c r="I3678">
        <v>80</v>
      </c>
      <c r="J3678">
        <v>130</v>
      </c>
      <c r="K3678">
        <v>110</v>
      </c>
      <c r="L3678">
        <v>210</v>
      </c>
      <c r="M3678">
        <v>100</v>
      </c>
      <c r="N3678">
        <v>981</v>
      </c>
      <c r="O3678">
        <v>145</v>
      </c>
      <c r="P3678">
        <v>28</v>
      </c>
      <c r="Q3678">
        <v>156</v>
      </c>
      <c r="R3678">
        <v>261</v>
      </c>
      <c r="S3678">
        <v>1.2428571428571429</v>
      </c>
      <c r="T3678">
        <v>1.4181818181818182</v>
      </c>
      <c r="U3678">
        <v>1.25</v>
      </c>
    </row>
    <row r="3679" spans="1:21" x14ac:dyDescent="0.35">
      <c r="A3679">
        <v>209</v>
      </c>
      <c r="B3679" s="16">
        <v>40787</v>
      </c>
      <c r="C3679" s="15" t="s">
        <v>76</v>
      </c>
      <c r="D3679" s="15" t="s">
        <v>38</v>
      </c>
      <c r="E3679" s="15" t="s">
        <v>53</v>
      </c>
      <c r="F3679" s="15" t="s">
        <v>52</v>
      </c>
      <c r="G3679" s="15" t="s">
        <v>78</v>
      </c>
      <c r="H3679" s="15" t="s">
        <v>45</v>
      </c>
      <c r="I3679">
        <v>210</v>
      </c>
      <c r="J3679">
        <v>270</v>
      </c>
      <c r="K3679">
        <v>200</v>
      </c>
      <c r="L3679">
        <v>480</v>
      </c>
      <c r="M3679">
        <v>251</v>
      </c>
      <c r="N3679">
        <v>1268</v>
      </c>
      <c r="O3679">
        <v>295</v>
      </c>
      <c r="P3679">
        <v>77</v>
      </c>
      <c r="Q3679">
        <v>291</v>
      </c>
      <c r="R3679">
        <v>582</v>
      </c>
      <c r="S3679">
        <v>1.2124999999999999</v>
      </c>
      <c r="T3679">
        <v>1.4550000000000001</v>
      </c>
      <c r="U3679">
        <v>1.1952380952380952</v>
      </c>
    </row>
    <row r="3680" spans="1:21" x14ac:dyDescent="0.35">
      <c r="A3680">
        <v>818</v>
      </c>
      <c r="B3680" s="16">
        <v>40787</v>
      </c>
      <c r="C3680" s="15" t="s">
        <v>76</v>
      </c>
      <c r="D3680" s="15" t="s">
        <v>38</v>
      </c>
      <c r="E3680" s="15" t="s">
        <v>54</v>
      </c>
      <c r="F3680" s="15" t="s">
        <v>52</v>
      </c>
      <c r="G3680" s="15" t="s">
        <v>78</v>
      </c>
      <c r="H3680" s="15" t="s">
        <v>45</v>
      </c>
      <c r="I3680">
        <v>40</v>
      </c>
      <c r="J3680">
        <v>70</v>
      </c>
      <c r="K3680">
        <v>50</v>
      </c>
      <c r="L3680">
        <v>110</v>
      </c>
      <c r="M3680">
        <v>58</v>
      </c>
      <c r="N3680">
        <v>548</v>
      </c>
      <c r="O3680">
        <v>74</v>
      </c>
      <c r="P3680">
        <v>19</v>
      </c>
      <c r="Q3680">
        <v>64</v>
      </c>
      <c r="R3680">
        <v>141</v>
      </c>
      <c r="S3680">
        <v>1.2818181818181817</v>
      </c>
      <c r="T3680">
        <v>1.28</v>
      </c>
      <c r="U3680">
        <v>1.45</v>
      </c>
    </row>
    <row r="3681" spans="1:21" x14ac:dyDescent="0.35">
      <c r="A3681">
        <v>714</v>
      </c>
      <c r="B3681" s="16">
        <v>40787</v>
      </c>
      <c r="C3681" s="15" t="s">
        <v>76</v>
      </c>
      <c r="D3681" s="15" t="s">
        <v>38</v>
      </c>
      <c r="E3681" s="15" t="s">
        <v>39</v>
      </c>
      <c r="F3681" s="15" t="s">
        <v>40</v>
      </c>
      <c r="G3681" s="15" t="s">
        <v>78</v>
      </c>
      <c r="H3681" s="15" t="s">
        <v>42</v>
      </c>
      <c r="I3681">
        <v>150</v>
      </c>
      <c r="J3681">
        <v>-20</v>
      </c>
      <c r="K3681">
        <v>-70</v>
      </c>
      <c r="L3681">
        <v>130</v>
      </c>
      <c r="M3681">
        <v>122</v>
      </c>
      <c r="N3681">
        <v>2378</v>
      </c>
      <c r="O3681">
        <v>-13</v>
      </c>
      <c r="P3681">
        <v>39</v>
      </c>
      <c r="Q3681">
        <v>-110</v>
      </c>
      <c r="R3681">
        <v>116</v>
      </c>
      <c r="S3681">
        <v>0.89230769230769236</v>
      </c>
      <c r="T3681">
        <v>1.5714285714285714</v>
      </c>
      <c r="U3681">
        <v>0.81333333333333335</v>
      </c>
    </row>
    <row r="3682" spans="1:21" x14ac:dyDescent="0.35">
      <c r="A3682">
        <v>562</v>
      </c>
      <c r="B3682" s="16">
        <v>40787</v>
      </c>
      <c r="C3682" s="15" t="s">
        <v>76</v>
      </c>
      <c r="D3682" s="15" t="s">
        <v>38</v>
      </c>
      <c r="E3682" s="15" t="s">
        <v>43</v>
      </c>
      <c r="F3682" s="15" t="s">
        <v>40</v>
      </c>
      <c r="G3682" s="15" t="s">
        <v>78</v>
      </c>
      <c r="H3682" s="15" t="s">
        <v>42</v>
      </c>
      <c r="I3682">
        <v>390</v>
      </c>
      <c r="J3682">
        <v>590</v>
      </c>
      <c r="K3682">
        <v>450</v>
      </c>
      <c r="L3682">
        <v>980</v>
      </c>
      <c r="M3682">
        <v>316</v>
      </c>
      <c r="N3682">
        <v>2580</v>
      </c>
      <c r="O3682">
        <v>474</v>
      </c>
      <c r="P3682">
        <v>110</v>
      </c>
      <c r="Q3682">
        <v>465</v>
      </c>
      <c r="R3682">
        <v>842</v>
      </c>
      <c r="S3682">
        <v>0.85918367346938773</v>
      </c>
      <c r="T3682">
        <v>1.0333333333333334</v>
      </c>
      <c r="U3682">
        <v>0.81025641025641026</v>
      </c>
    </row>
    <row r="3683" spans="1:21" x14ac:dyDescent="0.35">
      <c r="A3683">
        <v>818</v>
      </c>
      <c r="B3683" s="16">
        <v>40787</v>
      </c>
      <c r="C3683" s="15" t="s">
        <v>76</v>
      </c>
      <c r="D3683" s="15" t="s">
        <v>38</v>
      </c>
      <c r="E3683" s="15" t="s">
        <v>44</v>
      </c>
      <c r="F3683" s="15" t="s">
        <v>40</v>
      </c>
      <c r="G3683" s="15" t="s">
        <v>78</v>
      </c>
      <c r="H3683" s="15" t="s">
        <v>45</v>
      </c>
      <c r="I3683">
        <v>200</v>
      </c>
      <c r="J3683">
        <v>-30</v>
      </c>
      <c r="K3683">
        <v>-120</v>
      </c>
      <c r="L3683">
        <v>170</v>
      </c>
      <c r="M3683">
        <v>162</v>
      </c>
      <c r="N3683">
        <v>3421</v>
      </c>
      <c r="O3683">
        <v>-24</v>
      </c>
      <c r="P3683">
        <v>53</v>
      </c>
      <c r="Q3683">
        <v>-178</v>
      </c>
      <c r="R3683">
        <v>147</v>
      </c>
      <c r="S3683">
        <v>0.86470588235294121</v>
      </c>
      <c r="T3683">
        <v>1.4833333333333334</v>
      </c>
      <c r="U3683">
        <v>0.81</v>
      </c>
    </row>
    <row r="3684" spans="1:21" x14ac:dyDescent="0.35">
      <c r="A3684">
        <v>310</v>
      </c>
      <c r="B3684" s="16">
        <v>40787</v>
      </c>
      <c r="C3684" s="15" t="s">
        <v>76</v>
      </c>
      <c r="D3684" s="15" t="s">
        <v>38</v>
      </c>
      <c r="E3684" s="15" t="s">
        <v>72</v>
      </c>
      <c r="F3684" s="15" t="s">
        <v>49</v>
      </c>
      <c r="G3684" s="15" t="s">
        <v>78</v>
      </c>
      <c r="H3684" s="15" t="s">
        <v>42</v>
      </c>
      <c r="I3684">
        <v>230</v>
      </c>
      <c r="J3684">
        <v>240</v>
      </c>
      <c r="K3684">
        <v>160</v>
      </c>
      <c r="L3684">
        <v>470</v>
      </c>
      <c r="M3684">
        <v>249</v>
      </c>
      <c r="N3684">
        <v>1775</v>
      </c>
      <c r="O3684">
        <v>249</v>
      </c>
      <c r="P3684">
        <v>69</v>
      </c>
      <c r="Q3684">
        <v>232</v>
      </c>
      <c r="R3684">
        <v>531</v>
      </c>
      <c r="S3684">
        <v>1.1297872340425532</v>
      </c>
      <c r="T3684">
        <v>1.45</v>
      </c>
      <c r="U3684">
        <v>1.0826086956521739</v>
      </c>
    </row>
    <row r="3685" spans="1:21" x14ac:dyDescent="0.35">
      <c r="A3685">
        <v>951</v>
      </c>
      <c r="B3685" s="16">
        <v>40787</v>
      </c>
      <c r="C3685" s="15" t="s">
        <v>76</v>
      </c>
      <c r="D3685" s="15" t="s">
        <v>38</v>
      </c>
      <c r="E3685" s="15" t="s">
        <v>48</v>
      </c>
      <c r="F3685" s="15" t="s">
        <v>49</v>
      </c>
      <c r="G3685" s="15" t="s">
        <v>78</v>
      </c>
      <c r="H3685" s="15" t="s">
        <v>42</v>
      </c>
      <c r="I3685">
        <v>110</v>
      </c>
      <c r="J3685">
        <v>160</v>
      </c>
      <c r="K3685">
        <v>30</v>
      </c>
      <c r="L3685">
        <v>270</v>
      </c>
      <c r="M3685">
        <v>121</v>
      </c>
      <c r="N3685">
        <v>910</v>
      </c>
      <c r="O3685">
        <v>169</v>
      </c>
      <c r="P3685">
        <v>110</v>
      </c>
      <c r="Q3685">
        <v>39</v>
      </c>
      <c r="R3685">
        <v>309</v>
      </c>
      <c r="S3685">
        <v>1.1444444444444444</v>
      </c>
      <c r="T3685">
        <v>1.3</v>
      </c>
      <c r="U3685">
        <v>1.1000000000000001</v>
      </c>
    </row>
    <row r="3686" spans="1:21" x14ac:dyDescent="0.35">
      <c r="A3686">
        <v>530</v>
      </c>
      <c r="B3686" s="16">
        <v>40787</v>
      </c>
      <c r="C3686" s="15" t="s">
        <v>76</v>
      </c>
      <c r="D3686" s="15" t="s">
        <v>38</v>
      </c>
      <c r="E3686" s="15" t="s">
        <v>50</v>
      </c>
      <c r="F3686" s="15" t="s">
        <v>49</v>
      </c>
      <c r="G3686" s="15" t="s">
        <v>78</v>
      </c>
      <c r="H3686" s="15" t="s">
        <v>45</v>
      </c>
      <c r="I3686">
        <v>240</v>
      </c>
      <c r="J3686">
        <v>320</v>
      </c>
      <c r="K3686">
        <v>220</v>
      </c>
      <c r="L3686">
        <v>560</v>
      </c>
      <c r="M3686">
        <v>253</v>
      </c>
      <c r="N3686">
        <v>1686</v>
      </c>
      <c r="O3686">
        <v>336</v>
      </c>
      <c r="P3686">
        <v>83</v>
      </c>
      <c r="Q3686">
        <v>326</v>
      </c>
      <c r="R3686">
        <v>628</v>
      </c>
      <c r="S3686">
        <v>1.1214285714285714</v>
      </c>
      <c r="T3686">
        <v>1.4818181818181819</v>
      </c>
      <c r="U3686">
        <v>1.0541666666666667</v>
      </c>
    </row>
    <row r="3687" spans="1:21" x14ac:dyDescent="0.35">
      <c r="A3687">
        <v>775</v>
      </c>
      <c r="B3687" s="16">
        <v>40787</v>
      </c>
      <c r="C3687" s="15" t="s">
        <v>76</v>
      </c>
      <c r="D3687" s="15" t="s">
        <v>58</v>
      </c>
      <c r="E3687" s="15" t="s">
        <v>55</v>
      </c>
      <c r="F3687" s="15" t="s">
        <v>47</v>
      </c>
      <c r="G3687" s="15" t="s">
        <v>79</v>
      </c>
      <c r="H3687" s="15" t="s">
        <v>42</v>
      </c>
      <c r="I3687">
        <v>160</v>
      </c>
      <c r="J3687">
        <v>240</v>
      </c>
      <c r="K3687">
        <v>170</v>
      </c>
      <c r="L3687">
        <v>400</v>
      </c>
      <c r="M3687">
        <v>253</v>
      </c>
      <c r="N3687">
        <v>1686</v>
      </c>
      <c r="O3687">
        <v>336</v>
      </c>
      <c r="P3687">
        <v>83</v>
      </c>
      <c r="Q3687">
        <v>328</v>
      </c>
      <c r="R3687">
        <v>628</v>
      </c>
      <c r="S3687">
        <v>1.57</v>
      </c>
      <c r="T3687">
        <v>1.9294117647058824</v>
      </c>
      <c r="U3687">
        <v>1.58125</v>
      </c>
    </row>
    <row r="3688" spans="1:21" x14ac:dyDescent="0.35">
      <c r="A3688">
        <v>775</v>
      </c>
      <c r="B3688" s="16">
        <v>40787</v>
      </c>
      <c r="C3688" s="15" t="s">
        <v>76</v>
      </c>
      <c r="D3688" s="15" t="s">
        <v>58</v>
      </c>
      <c r="E3688" s="15" t="s">
        <v>56</v>
      </c>
      <c r="F3688" s="15" t="s">
        <v>47</v>
      </c>
      <c r="G3688" s="15" t="s">
        <v>79</v>
      </c>
      <c r="H3688" s="15" t="s">
        <v>42</v>
      </c>
      <c r="I3688">
        <v>160</v>
      </c>
      <c r="J3688">
        <v>170</v>
      </c>
      <c r="K3688">
        <v>110</v>
      </c>
      <c r="L3688">
        <v>330</v>
      </c>
      <c r="M3688">
        <v>249</v>
      </c>
      <c r="N3688">
        <v>1775</v>
      </c>
      <c r="O3688">
        <v>249</v>
      </c>
      <c r="P3688">
        <v>69</v>
      </c>
      <c r="Q3688">
        <v>232</v>
      </c>
      <c r="R3688">
        <v>531</v>
      </c>
      <c r="S3688">
        <v>1.6090909090909091</v>
      </c>
      <c r="T3688">
        <v>2.1090909090909089</v>
      </c>
      <c r="U3688">
        <v>1.5562499999999999</v>
      </c>
    </row>
    <row r="3689" spans="1:21" x14ac:dyDescent="0.35">
      <c r="A3689">
        <v>775</v>
      </c>
      <c r="B3689" s="16">
        <v>40787</v>
      </c>
      <c r="C3689" s="15" t="s">
        <v>76</v>
      </c>
      <c r="D3689" s="15" t="s">
        <v>58</v>
      </c>
      <c r="E3689" s="15" t="s">
        <v>46</v>
      </c>
      <c r="F3689" s="15" t="s">
        <v>47</v>
      </c>
      <c r="G3689" s="15" t="s">
        <v>79</v>
      </c>
      <c r="H3689" s="15" t="s">
        <v>42</v>
      </c>
      <c r="I3689">
        <v>190</v>
      </c>
      <c r="J3689">
        <v>-190</v>
      </c>
      <c r="K3689">
        <v>-280</v>
      </c>
      <c r="L3689">
        <v>0</v>
      </c>
      <c r="M3689">
        <v>302</v>
      </c>
      <c r="N3689">
        <v>6413</v>
      </c>
      <c r="O3689">
        <v>-302</v>
      </c>
      <c r="P3689">
        <v>114</v>
      </c>
      <c r="Q3689">
        <v>-638</v>
      </c>
      <c r="R3689">
        <v>20</v>
      </c>
      <c r="T3689">
        <v>2.2785714285714285</v>
      </c>
      <c r="U3689">
        <v>1.5894736842105264</v>
      </c>
    </row>
    <row r="3690" spans="1:21" x14ac:dyDescent="0.35">
      <c r="A3690">
        <v>702</v>
      </c>
      <c r="B3690" s="16">
        <v>40787</v>
      </c>
      <c r="C3690" s="15" t="s">
        <v>76</v>
      </c>
      <c r="D3690" s="15" t="s">
        <v>58</v>
      </c>
      <c r="E3690" s="15" t="s">
        <v>51</v>
      </c>
      <c r="F3690" s="15" t="s">
        <v>52</v>
      </c>
      <c r="G3690" s="15" t="s">
        <v>79</v>
      </c>
      <c r="H3690" s="15" t="s">
        <v>45</v>
      </c>
      <c r="I3690">
        <v>100</v>
      </c>
      <c r="J3690">
        <v>150</v>
      </c>
      <c r="K3690">
        <v>40</v>
      </c>
      <c r="L3690">
        <v>250</v>
      </c>
      <c r="M3690">
        <v>121</v>
      </c>
      <c r="N3690">
        <v>910</v>
      </c>
      <c r="O3690">
        <v>169</v>
      </c>
      <c r="P3690">
        <v>110</v>
      </c>
      <c r="Q3690">
        <v>39</v>
      </c>
      <c r="R3690">
        <v>309</v>
      </c>
      <c r="S3690">
        <v>1.236</v>
      </c>
      <c r="T3690">
        <v>0.97499999999999998</v>
      </c>
      <c r="U3690">
        <v>1.21</v>
      </c>
    </row>
    <row r="3691" spans="1:21" x14ac:dyDescent="0.35">
      <c r="A3691">
        <v>702</v>
      </c>
      <c r="B3691" s="16">
        <v>40787</v>
      </c>
      <c r="C3691" s="15" t="s">
        <v>76</v>
      </c>
      <c r="D3691" s="15" t="s">
        <v>58</v>
      </c>
      <c r="E3691" s="15" t="s">
        <v>53</v>
      </c>
      <c r="F3691" s="15" t="s">
        <v>52</v>
      </c>
      <c r="G3691" s="15" t="s">
        <v>79</v>
      </c>
      <c r="H3691" s="15" t="s">
        <v>45</v>
      </c>
      <c r="I3691">
        <v>130</v>
      </c>
      <c r="J3691">
        <v>210</v>
      </c>
      <c r="K3691">
        <v>140</v>
      </c>
      <c r="L3691">
        <v>340</v>
      </c>
      <c r="M3691">
        <v>162</v>
      </c>
      <c r="N3691">
        <v>1148</v>
      </c>
      <c r="O3691">
        <v>225</v>
      </c>
      <c r="P3691">
        <v>53</v>
      </c>
      <c r="Q3691">
        <v>191</v>
      </c>
      <c r="R3691">
        <v>412</v>
      </c>
      <c r="S3691">
        <v>1.2117647058823529</v>
      </c>
      <c r="T3691">
        <v>1.3642857142857143</v>
      </c>
      <c r="U3691">
        <v>1.2461538461538462</v>
      </c>
    </row>
    <row r="3692" spans="1:21" x14ac:dyDescent="0.35">
      <c r="A3692">
        <v>702</v>
      </c>
      <c r="B3692" s="16">
        <v>40787</v>
      </c>
      <c r="C3692" s="15" t="s">
        <v>76</v>
      </c>
      <c r="D3692" s="15" t="s">
        <v>58</v>
      </c>
      <c r="E3692" s="15" t="s">
        <v>54</v>
      </c>
      <c r="F3692" s="15" t="s">
        <v>52</v>
      </c>
      <c r="G3692" s="15" t="s">
        <v>79</v>
      </c>
      <c r="H3692" s="15" t="s">
        <v>45</v>
      </c>
      <c r="I3692">
        <v>100</v>
      </c>
      <c r="J3692">
        <v>160</v>
      </c>
      <c r="K3692">
        <v>120</v>
      </c>
      <c r="L3692">
        <v>260</v>
      </c>
      <c r="M3692">
        <v>122</v>
      </c>
      <c r="N3692">
        <v>801</v>
      </c>
      <c r="O3692">
        <v>176</v>
      </c>
      <c r="P3692">
        <v>39</v>
      </c>
      <c r="Q3692">
        <v>171</v>
      </c>
      <c r="R3692">
        <v>318</v>
      </c>
      <c r="S3692">
        <v>1.2230769230769232</v>
      </c>
      <c r="T3692">
        <v>1.425</v>
      </c>
      <c r="U3692">
        <v>1.22</v>
      </c>
    </row>
    <row r="3693" spans="1:21" x14ac:dyDescent="0.35">
      <c r="A3693">
        <v>775</v>
      </c>
      <c r="B3693" s="16">
        <v>40787</v>
      </c>
      <c r="C3693" s="15" t="s">
        <v>76</v>
      </c>
      <c r="D3693" s="15" t="s">
        <v>58</v>
      </c>
      <c r="E3693" s="15" t="s">
        <v>43</v>
      </c>
      <c r="F3693" s="15" t="s">
        <v>40</v>
      </c>
      <c r="G3693" s="15" t="s">
        <v>79</v>
      </c>
      <c r="H3693" s="15" t="s">
        <v>42</v>
      </c>
      <c r="I3693">
        <v>50</v>
      </c>
      <c r="J3693">
        <v>60</v>
      </c>
      <c r="K3693">
        <v>20</v>
      </c>
      <c r="L3693">
        <v>110</v>
      </c>
      <c r="M3693">
        <v>40</v>
      </c>
      <c r="N3693">
        <v>244</v>
      </c>
      <c r="O3693">
        <v>51</v>
      </c>
      <c r="P3693">
        <v>15</v>
      </c>
      <c r="Q3693">
        <v>3</v>
      </c>
      <c r="R3693">
        <v>97</v>
      </c>
      <c r="S3693">
        <v>0.88181818181818183</v>
      </c>
      <c r="T3693">
        <v>0.15</v>
      </c>
      <c r="U3693">
        <v>0.8</v>
      </c>
    </row>
    <row r="3694" spans="1:21" x14ac:dyDescent="0.35">
      <c r="A3694">
        <v>702</v>
      </c>
      <c r="B3694" s="16">
        <v>40787</v>
      </c>
      <c r="C3694" s="15" t="s">
        <v>76</v>
      </c>
      <c r="D3694" s="15" t="s">
        <v>58</v>
      </c>
      <c r="E3694" s="15" t="s">
        <v>44</v>
      </c>
      <c r="F3694" s="15" t="s">
        <v>40</v>
      </c>
      <c r="G3694" s="15" t="s">
        <v>79</v>
      </c>
      <c r="H3694" s="15" t="s">
        <v>45</v>
      </c>
      <c r="I3694">
        <v>40</v>
      </c>
      <c r="J3694">
        <v>50</v>
      </c>
      <c r="K3694">
        <v>30</v>
      </c>
      <c r="L3694">
        <v>90</v>
      </c>
      <c r="M3694">
        <v>33</v>
      </c>
      <c r="N3694">
        <v>1003</v>
      </c>
      <c r="O3694">
        <v>39</v>
      </c>
      <c r="P3694">
        <v>10</v>
      </c>
      <c r="Q3694">
        <v>10</v>
      </c>
      <c r="R3694">
        <v>77</v>
      </c>
      <c r="S3694">
        <v>0.85555555555555551</v>
      </c>
      <c r="T3694">
        <v>0.33333333333333331</v>
      </c>
      <c r="U3694">
        <v>0.82499999999999996</v>
      </c>
    </row>
    <row r="3695" spans="1:21" x14ac:dyDescent="0.35">
      <c r="A3695">
        <v>775</v>
      </c>
      <c r="B3695" s="16">
        <v>40787</v>
      </c>
      <c r="C3695" s="15" t="s">
        <v>76</v>
      </c>
      <c r="D3695" s="15" t="s">
        <v>58</v>
      </c>
      <c r="E3695" s="15" t="s">
        <v>72</v>
      </c>
      <c r="F3695" s="15" t="s">
        <v>49</v>
      </c>
      <c r="G3695" s="15" t="s">
        <v>79</v>
      </c>
      <c r="H3695" s="15" t="s">
        <v>42</v>
      </c>
      <c r="I3695">
        <v>0</v>
      </c>
      <c r="J3695">
        <v>40</v>
      </c>
      <c r="K3695">
        <v>30</v>
      </c>
      <c r="L3695">
        <v>40</v>
      </c>
      <c r="M3695">
        <v>0</v>
      </c>
      <c r="N3695">
        <v>473</v>
      </c>
      <c r="O3695">
        <v>43</v>
      </c>
      <c r="P3695">
        <v>0</v>
      </c>
      <c r="Q3695">
        <v>47</v>
      </c>
      <c r="R3695">
        <v>46</v>
      </c>
      <c r="S3695">
        <v>1.1499999999999999</v>
      </c>
      <c r="T3695">
        <v>1.5666666666666667</v>
      </c>
    </row>
    <row r="3696" spans="1:21" x14ac:dyDescent="0.35">
      <c r="A3696">
        <v>702</v>
      </c>
      <c r="B3696" s="16">
        <v>40787</v>
      </c>
      <c r="C3696" s="15" t="s">
        <v>76</v>
      </c>
      <c r="D3696" s="15" t="s">
        <v>58</v>
      </c>
      <c r="E3696" s="15" t="s">
        <v>48</v>
      </c>
      <c r="F3696" s="15" t="s">
        <v>49</v>
      </c>
      <c r="G3696" s="15" t="s">
        <v>79</v>
      </c>
      <c r="H3696" s="15" t="s">
        <v>42</v>
      </c>
      <c r="I3696">
        <v>10</v>
      </c>
      <c r="J3696">
        <v>30</v>
      </c>
      <c r="K3696">
        <v>20</v>
      </c>
      <c r="L3696">
        <v>40</v>
      </c>
      <c r="M3696">
        <v>19</v>
      </c>
      <c r="N3696">
        <v>848</v>
      </c>
      <c r="O3696">
        <v>29</v>
      </c>
      <c r="P3696">
        <v>5</v>
      </c>
      <c r="Q3696">
        <v>18</v>
      </c>
      <c r="R3696">
        <v>51</v>
      </c>
      <c r="S3696">
        <v>1.2749999999999999</v>
      </c>
      <c r="T3696">
        <v>0.9</v>
      </c>
      <c r="U3696">
        <v>1.9</v>
      </c>
    </row>
    <row r="3697" spans="1:21" x14ac:dyDescent="0.35">
      <c r="A3697">
        <v>775</v>
      </c>
      <c r="B3697" s="16">
        <v>40787</v>
      </c>
      <c r="C3697" s="15" t="s">
        <v>76</v>
      </c>
      <c r="D3697" s="15" t="s">
        <v>58</v>
      </c>
      <c r="E3697" s="15" t="s">
        <v>50</v>
      </c>
      <c r="F3697" s="15" t="s">
        <v>49</v>
      </c>
      <c r="G3697" s="15" t="s">
        <v>79</v>
      </c>
      <c r="H3697" s="15" t="s">
        <v>45</v>
      </c>
      <c r="I3697">
        <v>20</v>
      </c>
      <c r="J3697">
        <v>30</v>
      </c>
      <c r="K3697">
        <v>20</v>
      </c>
      <c r="L3697">
        <v>50</v>
      </c>
      <c r="M3697">
        <v>23</v>
      </c>
      <c r="N3697">
        <v>803</v>
      </c>
      <c r="O3697">
        <v>35</v>
      </c>
      <c r="P3697">
        <v>6</v>
      </c>
      <c r="Q3697">
        <v>25</v>
      </c>
      <c r="R3697">
        <v>62</v>
      </c>
      <c r="S3697">
        <v>1.24</v>
      </c>
      <c r="T3697">
        <v>1.25</v>
      </c>
      <c r="U3697">
        <v>1.1499999999999999</v>
      </c>
    </row>
    <row r="3698" spans="1:21" x14ac:dyDescent="0.35">
      <c r="A3698">
        <v>541</v>
      </c>
      <c r="B3698" s="16">
        <v>40787</v>
      </c>
      <c r="C3698" s="15" t="s">
        <v>76</v>
      </c>
      <c r="D3698" s="15" t="s">
        <v>58</v>
      </c>
      <c r="E3698" s="15" t="s">
        <v>55</v>
      </c>
      <c r="F3698" s="15" t="s">
        <v>47</v>
      </c>
      <c r="G3698" s="15" t="s">
        <v>80</v>
      </c>
      <c r="H3698" s="15" t="s">
        <v>42</v>
      </c>
      <c r="I3698">
        <v>10</v>
      </c>
      <c r="J3698">
        <v>20</v>
      </c>
      <c r="K3698">
        <v>20</v>
      </c>
      <c r="L3698">
        <v>30</v>
      </c>
      <c r="M3698">
        <v>20</v>
      </c>
      <c r="N3698">
        <v>482</v>
      </c>
      <c r="O3698">
        <v>30</v>
      </c>
      <c r="P3698">
        <v>5</v>
      </c>
      <c r="Q3698">
        <v>19</v>
      </c>
      <c r="R3698">
        <v>53</v>
      </c>
      <c r="S3698">
        <v>1.7666666666666666</v>
      </c>
      <c r="T3698">
        <v>0.95</v>
      </c>
      <c r="U3698">
        <v>2</v>
      </c>
    </row>
    <row r="3699" spans="1:21" x14ac:dyDescent="0.35">
      <c r="A3699">
        <v>503</v>
      </c>
      <c r="B3699" s="16">
        <v>40787</v>
      </c>
      <c r="C3699" s="15" t="s">
        <v>76</v>
      </c>
      <c r="D3699" s="15" t="s">
        <v>58</v>
      </c>
      <c r="E3699" s="15" t="s">
        <v>56</v>
      </c>
      <c r="F3699" s="15" t="s">
        <v>47</v>
      </c>
      <c r="G3699" s="15" t="s">
        <v>80</v>
      </c>
      <c r="H3699" s="15" t="s">
        <v>42</v>
      </c>
      <c r="I3699">
        <v>60</v>
      </c>
      <c r="J3699">
        <v>100</v>
      </c>
      <c r="K3699">
        <v>60</v>
      </c>
      <c r="L3699">
        <v>160</v>
      </c>
      <c r="M3699">
        <v>99</v>
      </c>
      <c r="N3699">
        <v>798</v>
      </c>
      <c r="O3699">
        <v>150</v>
      </c>
      <c r="P3699">
        <v>32</v>
      </c>
      <c r="Q3699">
        <v>129</v>
      </c>
      <c r="R3699">
        <v>265</v>
      </c>
      <c r="S3699">
        <v>1.65625</v>
      </c>
      <c r="T3699">
        <v>2.15</v>
      </c>
      <c r="U3699">
        <v>1.65</v>
      </c>
    </row>
    <row r="3700" spans="1:21" x14ac:dyDescent="0.35">
      <c r="A3700">
        <v>971</v>
      </c>
      <c r="B3700" s="16">
        <v>40787</v>
      </c>
      <c r="C3700" s="15" t="s">
        <v>76</v>
      </c>
      <c r="D3700" s="15" t="s">
        <v>58</v>
      </c>
      <c r="E3700" s="15" t="s">
        <v>46</v>
      </c>
      <c r="F3700" s="15" t="s">
        <v>47</v>
      </c>
      <c r="G3700" s="15" t="s">
        <v>80</v>
      </c>
      <c r="H3700" s="15" t="s">
        <v>42</v>
      </c>
      <c r="I3700">
        <v>60</v>
      </c>
      <c r="J3700">
        <v>90</v>
      </c>
      <c r="K3700">
        <v>60</v>
      </c>
      <c r="L3700">
        <v>150</v>
      </c>
      <c r="M3700">
        <v>96</v>
      </c>
      <c r="N3700">
        <v>666</v>
      </c>
      <c r="O3700">
        <v>134</v>
      </c>
      <c r="P3700">
        <v>29</v>
      </c>
      <c r="Q3700">
        <v>120</v>
      </c>
      <c r="R3700">
        <v>245</v>
      </c>
      <c r="S3700">
        <v>1.6333333333333333</v>
      </c>
      <c r="T3700">
        <v>2</v>
      </c>
      <c r="U3700">
        <v>1.6</v>
      </c>
    </row>
    <row r="3701" spans="1:21" x14ac:dyDescent="0.35">
      <c r="A3701">
        <v>503</v>
      </c>
      <c r="B3701" s="16">
        <v>40787</v>
      </c>
      <c r="C3701" s="15" t="s">
        <v>76</v>
      </c>
      <c r="D3701" s="15" t="s">
        <v>58</v>
      </c>
      <c r="E3701" s="15" t="s">
        <v>51</v>
      </c>
      <c r="F3701" s="15" t="s">
        <v>52</v>
      </c>
      <c r="G3701" s="15" t="s">
        <v>80</v>
      </c>
      <c r="H3701" s="15" t="s">
        <v>45</v>
      </c>
      <c r="I3701">
        <v>20</v>
      </c>
      <c r="J3701">
        <v>30</v>
      </c>
      <c r="K3701">
        <v>30</v>
      </c>
      <c r="L3701">
        <v>50</v>
      </c>
      <c r="M3701">
        <v>25</v>
      </c>
      <c r="N3701">
        <v>823</v>
      </c>
      <c r="O3701">
        <v>36</v>
      </c>
      <c r="P3701">
        <v>7</v>
      </c>
      <c r="Q3701">
        <v>25</v>
      </c>
      <c r="R3701">
        <v>65</v>
      </c>
      <c r="S3701">
        <v>1.3</v>
      </c>
      <c r="T3701">
        <v>0.83333333333333337</v>
      </c>
      <c r="U3701">
        <v>1.25</v>
      </c>
    </row>
    <row r="3702" spans="1:21" x14ac:dyDescent="0.35">
      <c r="A3702">
        <v>541</v>
      </c>
      <c r="B3702" s="16">
        <v>40787</v>
      </c>
      <c r="C3702" s="15" t="s">
        <v>76</v>
      </c>
      <c r="D3702" s="15" t="s">
        <v>58</v>
      </c>
      <c r="E3702" s="15" t="s">
        <v>53</v>
      </c>
      <c r="F3702" s="15" t="s">
        <v>52</v>
      </c>
      <c r="G3702" s="15" t="s">
        <v>80</v>
      </c>
      <c r="H3702" s="15" t="s">
        <v>45</v>
      </c>
      <c r="I3702">
        <v>50</v>
      </c>
      <c r="J3702">
        <v>70</v>
      </c>
      <c r="K3702">
        <v>50</v>
      </c>
      <c r="L3702">
        <v>120</v>
      </c>
      <c r="M3702">
        <v>61</v>
      </c>
      <c r="N3702">
        <v>579</v>
      </c>
      <c r="O3702">
        <v>79</v>
      </c>
      <c r="P3702">
        <v>20</v>
      </c>
      <c r="Q3702">
        <v>70</v>
      </c>
      <c r="R3702">
        <v>149</v>
      </c>
      <c r="S3702">
        <v>1.2416666666666667</v>
      </c>
      <c r="T3702">
        <v>1.4</v>
      </c>
      <c r="U3702">
        <v>1.22</v>
      </c>
    </row>
    <row r="3703" spans="1:21" x14ac:dyDescent="0.35">
      <c r="A3703">
        <v>503</v>
      </c>
      <c r="B3703" s="16">
        <v>40787</v>
      </c>
      <c r="C3703" s="15" t="s">
        <v>76</v>
      </c>
      <c r="D3703" s="15" t="s">
        <v>58</v>
      </c>
      <c r="E3703" s="15" t="s">
        <v>39</v>
      </c>
      <c r="F3703" s="15" t="s">
        <v>40</v>
      </c>
      <c r="G3703" s="15" t="s">
        <v>80</v>
      </c>
      <c r="H3703" s="15" t="s">
        <v>42</v>
      </c>
      <c r="I3703">
        <v>60</v>
      </c>
      <c r="J3703">
        <v>90</v>
      </c>
      <c r="K3703">
        <v>30</v>
      </c>
      <c r="L3703">
        <v>150</v>
      </c>
      <c r="M3703">
        <v>52</v>
      </c>
      <c r="N3703">
        <v>509</v>
      </c>
      <c r="O3703">
        <v>74</v>
      </c>
      <c r="P3703">
        <v>47</v>
      </c>
      <c r="Q3703">
        <v>-4</v>
      </c>
      <c r="R3703">
        <v>134</v>
      </c>
      <c r="S3703">
        <v>0.89333333333333331</v>
      </c>
      <c r="T3703">
        <v>-0.13333333333333333</v>
      </c>
      <c r="U3703">
        <v>0.8666666666666667</v>
      </c>
    </row>
    <row r="3704" spans="1:21" x14ac:dyDescent="0.35">
      <c r="A3704">
        <v>541</v>
      </c>
      <c r="B3704" s="16">
        <v>40787</v>
      </c>
      <c r="C3704" s="15" t="s">
        <v>76</v>
      </c>
      <c r="D3704" s="15" t="s">
        <v>58</v>
      </c>
      <c r="E3704" s="15" t="s">
        <v>43</v>
      </c>
      <c r="F3704" s="15" t="s">
        <v>40</v>
      </c>
      <c r="G3704" s="15" t="s">
        <v>80</v>
      </c>
      <c r="H3704" s="15" t="s">
        <v>42</v>
      </c>
      <c r="I3704">
        <v>70</v>
      </c>
      <c r="J3704">
        <v>100</v>
      </c>
      <c r="K3704">
        <v>50</v>
      </c>
      <c r="L3704">
        <v>170</v>
      </c>
      <c r="M3704">
        <v>57</v>
      </c>
      <c r="N3704">
        <v>469</v>
      </c>
      <c r="O3704">
        <v>80</v>
      </c>
      <c r="P3704">
        <v>18</v>
      </c>
      <c r="Q3704">
        <v>27</v>
      </c>
      <c r="R3704">
        <v>146</v>
      </c>
      <c r="S3704">
        <v>0.85882352941176465</v>
      </c>
      <c r="T3704">
        <v>0.54</v>
      </c>
      <c r="U3704">
        <v>0.81428571428571428</v>
      </c>
    </row>
    <row r="3705" spans="1:21" x14ac:dyDescent="0.35">
      <c r="A3705">
        <v>503</v>
      </c>
      <c r="B3705" s="16">
        <v>40787</v>
      </c>
      <c r="C3705" s="15" t="s">
        <v>76</v>
      </c>
      <c r="D3705" s="15" t="s">
        <v>58</v>
      </c>
      <c r="E3705" s="15" t="s">
        <v>44</v>
      </c>
      <c r="F3705" s="15" t="s">
        <v>40</v>
      </c>
      <c r="G3705" s="15" t="s">
        <v>80</v>
      </c>
      <c r="H3705" s="15" t="s">
        <v>45</v>
      </c>
      <c r="I3705">
        <v>50</v>
      </c>
      <c r="J3705">
        <v>80</v>
      </c>
      <c r="K3705">
        <v>50</v>
      </c>
      <c r="L3705">
        <v>130</v>
      </c>
      <c r="M3705">
        <v>43</v>
      </c>
      <c r="N3705">
        <v>424</v>
      </c>
      <c r="O3705">
        <v>64</v>
      </c>
      <c r="P3705">
        <v>13</v>
      </c>
      <c r="Q3705">
        <v>42</v>
      </c>
      <c r="R3705">
        <v>114</v>
      </c>
      <c r="S3705">
        <v>0.87692307692307692</v>
      </c>
      <c r="T3705">
        <v>0.84</v>
      </c>
      <c r="U3705">
        <v>0.86</v>
      </c>
    </row>
    <row r="3706" spans="1:21" x14ac:dyDescent="0.35">
      <c r="A3706">
        <v>971</v>
      </c>
      <c r="B3706" s="16">
        <v>40787</v>
      </c>
      <c r="C3706" s="15" t="s">
        <v>76</v>
      </c>
      <c r="D3706" s="15" t="s">
        <v>58</v>
      </c>
      <c r="E3706" s="15" t="s">
        <v>72</v>
      </c>
      <c r="F3706" s="15" t="s">
        <v>49</v>
      </c>
      <c r="G3706" s="15" t="s">
        <v>80</v>
      </c>
      <c r="H3706" s="15" t="s">
        <v>42</v>
      </c>
      <c r="I3706">
        <v>40</v>
      </c>
      <c r="J3706">
        <v>50</v>
      </c>
      <c r="K3706">
        <v>10</v>
      </c>
      <c r="L3706">
        <v>90</v>
      </c>
      <c r="M3706">
        <v>45</v>
      </c>
      <c r="N3706">
        <v>409</v>
      </c>
      <c r="O3706">
        <v>57</v>
      </c>
      <c r="P3706">
        <v>17</v>
      </c>
      <c r="Q3706">
        <v>9</v>
      </c>
      <c r="R3706">
        <v>109</v>
      </c>
      <c r="S3706">
        <v>1.211111111111111</v>
      </c>
      <c r="T3706">
        <v>0.9</v>
      </c>
      <c r="U3706">
        <v>1.125</v>
      </c>
    </row>
    <row r="3707" spans="1:21" x14ac:dyDescent="0.35">
      <c r="A3707">
        <v>503</v>
      </c>
      <c r="B3707" s="16">
        <v>40787</v>
      </c>
      <c r="C3707" s="15" t="s">
        <v>76</v>
      </c>
      <c r="D3707" s="15" t="s">
        <v>58</v>
      </c>
      <c r="E3707" s="15" t="s">
        <v>48</v>
      </c>
      <c r="F3707" s="15" t="s">
        <v>49</v>
      </c>
      <c r="G3707" s="15" t="s">
        <v>80</v>
      </c>
      <c r="H3707" s="15" t="s">
        <v>42</v>
      </c>
      <c r="I3707">
        <v>50</v>
      </c>
      <c r="J3707">
        <v>70</v>
      </c>
      <c r="K3707">
        <v>40</v>
      </c>
      <c r="L3707">
        <v>120</v>
      </c>
      <c r="M3707">
        <v>53</v>
      </c>
      <c r="N3707">
        <v>410</v>
      </c>
      <c r="O3707">
        <v>72</v>
      </c>
      <c r="P3707">
        <v>17</v>
      </c>
      <c r="Q3707">
        <v>42</v>
      </c>
      <c r="R3707">
        <v>133</v>
      </c>
      <c r="S3707">
        <v>1.1083333333333334</v>
      </c>
      <c r="T3707">
        <v>1.05</v>
      </c>
      <c r="U3707">
        <v>1.06</v>
      </c>
    </row>
    <row r="3708" spans="1:21" x14ac:dyDescent="0.35">
      <c r="A3708">
        <v>971</v>
      </c>
      <c r="B3708" s="16">
        <v>40787</v>
      </c>
      <c r="C3708" s="15" t="s">
        <v>76</v>
      </c>
      <c r="D3708" s="15" t="s">
        <v>58</v>
      </c>
      <c r="E3708" s="15" t="s">
        <v>50</v>
      </c>
      <c r="F3708" s="15" t="s">
        <v>49</v>
      </c>
      <c r="G3708" s="15" t="s">
        <v>80</v>
      </c>
      <c r="H3708" s="15" t="s">
        <v>45</v>
      </c>
      <c r="I3708">
        <v>140</v>
      </c>
      <c r="J3708">
        <v>150</v>
      </c>
      <c r="K3708">
        <v>90</v>
      </c>
      <c r="L3708">
        <v>290</v>
      </c>
      <c r="M3708">
        <v>155</v>
      </c>
      <c r="N3708">
        <v>1280</v>
      </c>
      <c r="O3708">
        <v>155</v>
      </c>
      <c r="P3708">
        <v>43</v>
      </c>
      <c r="Q3708">
        <v>129</v>
      </c>
      <c r="R3708">
        <v>330</v>
      </c>
      <c r="S3708">
        <v>1.1379310344827587</v>
      </c>
      <c r="T3708">
        <v>1.4333333333333333</v>
      </c>
      <c r="U3708">
        <v>1.1071428571428572</v>
      </c>
    </row>
    <row r="3709" spans="1:21" x14ac:dyDescent="0.35">
      <c r="A3709">
        <v>206</v>
      </c>
      <c r="B3709" s="16">
        <v>40787</v>
      </c>
      <c r="C3709" s="15" t="s">
        <v>76</v>
      </c>
      <c r="D3709" s="15" t="s">
        <v>58</v>
      </c>
      <c r="E3709" s="15" t="s">
        <v>55</v>
      </c>
      <c r="F3709" s="15" t="s">
        <v>47</v>
      </c>
      <c r="G3709" s="15" t="s">
        <v>81</v>
      </c>
      <c r="H3709" s="15" t="s">
        <v>42</v>
      </c>
      <c r="I3709">
        <v>30</v>
      </c>
      <c r="J3709">
        <v>70</v>
      </c>
      <c r="K3709">
        <v>40</v>
      </c>
      <c r="L3709">
        <v>100</v>
      </c>
      <c r="M3709">
        <v>57</v>
      </c>
      <c r="N3709">
        <v>349</v>
      </c>
      <c r="O3709">
        <v>94</v>
      </c>
      <c r="P3709">
        <v>17</v>
      </c>
      <c r="Q3709">
        <v>80</v>
      </c>
      <c r="R3709">
        <v>161</v>
      </c>
      <c r="S3709">
        <v>1.61</v>
      </c>
      <c r="T3709">
        <v>2</v>
      </c>
      <c r="U3709">
        <v>1.9</v>
      </c>
    </row>
    <row r="3710" spans="1:21" x14ac:dyDescent="0.35">
      <c r="A3710">
        <v>509</v>
      </c>
      <c r="B3710" s="16">
        <v>40787</v>
      </c>
      <c r="C3710" s="15" t="s">
        <v>76</v>
      </c>
      <c r="D3710" s="15" t="s">
        <v>58</v>
      </c>
      <c r="E3710" s="15" t="s">
        <v>56</v>
      </c>
      <c r="F3710" s="15" t="s">
        <v>47</v>
      </c>
      <c r="G3710" s="15" t="s">
        <v>81</v>
      </c>
      <c r="H3710" s="15" t="s">
        <v>42</v>
      </c>
      <c r="I3710">
        <v>30</v>
      </c>
      <c r="J3710">
        <v>40</v>
      </c>
      <c r="K3710">
        <v>30</v>
      </c>
      <c r="L3710">
        <v>70</v>
      </c>
      <c r="M3710">
        <v>46</v>
      </c>
      <c r="N3710">
        <v>454</v>
      </c>
      <c r="O3710">
        <v>67</v>
      </c>
      <c r="P3710">
        <v>14</v>
      </c>
      <c r="Q3710">
        <v>46</v>
      </c>
      <c r="R3710">
        <v>120</v>
      </c>
      <c r="S3710">
        <v>1.7142857142857142</v>
      </c>
      <c r="T3710">
        <v>1.5333333333333334</v>
      </c>
      <c r="U3710">
        <v>1.5333333333333334</v>
      </c>
    </row>
    <row r="3711" spans="1:21" x14ac:dyDescent="0.35">
      <c r="A3711">
        <v>206</v>
      </c>
      <c r="B3711" s="16">
        <v>40787</v>
      </c>
      <c r="C3711" s="15" t="s">
        <v>76</v>
      </c>
      <c r="D3711" s="15" t="s">
        <v>58</v>
      </c>
      <c r="E3711" s="15" t="s">
        <v>46</v>
      </c>
      <c r="F3711" s="15" t="s">
        <v>47</v>
      </c>
      <c r="G3711" s="15" t="s">
        <v>81</v>
      </c>
      <c r="H3711" s="15" t="s">
        <v>42</v>
      </c>
      <c r="I3711">
        <v>40</v>
      </c>
      <c r="J3711">
        <v>60</v>
      </c>
      <c r="K3711">
        <v>10</v>
      </c>
      <c r="L3711">
        <v>100</v>
      </c>
      <c r="M3711">
        <v>62</v>
      </c>
      <c r="N3711">
        <v>612</v>
      </c>
      <c r="O3711">
        <v>87</v>
      </c>
      <c r="P3711">
        <v>56</v>
      </c>
      <c r="Q3711">
        <v>3</v>
      </c>
      <c r="R3711">
        <v>159</v>
      </c>
      <c r="S3711">
        <v>1.59</v>
      </c>
      <c r="T3711">
        <v>0.3</v>
      </c>
      <c r="U3711">
        <v>1.55</v>
      </c>
    </row>
    <row r="3712" spans="1:21" x14ac:dyDescent="0.35">
      <c r="A3712">
        <v>509</v>
      </c>
      <c r="B3712" s="16">
        <v>40787</v>
      </c>
      <c r="C3712" s="15" t="s">
        <v>76</v>
      </c>
      <c r="D3712" s="15" t="s">
        <v>58</v>
      </c>
      <c r="E3712" s="15" t="s">
        <v>51</v>
      </c>
      <c r="F3712" s="15" t="s">
        <v>52</v>
      </c>
      <c r="G3712" s="15" t="s">
        <v>81</v>
      </c>
      <c r="H3712" s="15" t="s">
        <v>45</v>
      </c>
      <c r="I3712">
        <v>80</v>
      </c>
      <c r="J3712">
        <v>140</v>
      </c>
      <c r="K3712">
        <v>100</v>
      </c>
      <c r="L3712">
        <v>220</v>
      </c>
      <c r="M3712">
        <v>103</v>
      </c>
      <c r="N3712">
        <v>1130</v>
      </c>
      <c r="O3712">
        <v>155</v>
      </c>
      <c r="P3712">
        <v>33</v>
      </c>
      <c r="Q3712">
        <v>135</v>
      </c>
      <c r="R3712">
        <v>275</v>
      </c>
      <c r="S3712">
        <v>1.25</v>
      </c>
      <c r="T3712">
        <v>1.35</v>
      </c>
      <c r="U3712">
        <v>1.2875000000000001</v>
      </c>
    </row>
    <row r="3713" spans="1:21" x14ac:dyDescent="0.35">
      <c r="A3713">
        <v>425</v>
      </c>
      <c r="B3713" s="16">
        <v>40787</v>
      </c>
      <c r="C3713" s="15" t="s">
        <v>76</v>
      </c>
      <c r="D3713" s="15" t="s">
        <v>58</v>
      </c>
      <c r="E3713" s="15" t="s">
        <v>53</v>
      </c>
      <c r="F3713" s="15" t="s">
        <v>52</v>
      </c>
      <c r="G3713" s="15" t="s">
        <v>81</v>
      </c>
      <c r="H3713" s="15" t="s">
        <v>45</v>
      </c>
      <c r="I3713">
        <v>40</v>
      </c>
      <c r="J3713">
        <v>60</v>
      </c>
      <c r="K3713">
        <v>50</v>
      </c>
      <c r="L3713">
        <v>100</v>
      </c>
      <c r="M3713">
        <v>48</v>
      </c>
      <c r="N3713">
        <v>834</v>
      </c>
      <c r="O3713">
        <v>71</v>
      </c>
      <c r="P3713">
        <v>13</v>
      </c>
      <c r="Q3713">
        <v>70</v>
      </c>
      <c r="R3713">
        <v>127</v>
      </c>
      <c r="S3713">
        <v>1.27</v>
      </c>
      <c r="T3713">
        <v>1.4</v>
      </c>
      <c r="U3713">
        <v>1.2</v>
      </c>
    </row>
    <row r="3714" spans="1:21" x14ac:dyDescent="0.35">
      <c r="A3714">
        <v>425</v>
      </c>
      <c r="B3714" s="16">
        <v>40787</v>
      </c>
      <c r="C3714" s="15" t="s">
        <v>76</v>
      </c>
      <c r="D3714" s="15" t="s">
        <v>58</v>
      </c>
      <c r="E3714" s="15" t="s">
        <v>43</v>
      </c>
      <c r="F3714" s="15" t="s">
        <v>40</v>
      </c>
      <c r="G3714" s="15" t="s">
        <v>81</v>
      </c>
      <c r="H3714" s="15" t="s">
        <v>42</v>
      </c>
      <c r="I3714">
        <v>80</v>
      </c>
      <c r="J3714">
        <v>120</v>
      </c>
      <c r="K3714">
        <v>80</v>
      </c>
      <c r="L3714">
        <v>200</v>
      </c>
      <c r="M3714">
        <v>68</v>
      </c>
      <c r="N3714">
        <v>445</v>
      </c>
      <c r="O3714">
        <v>99</v>
      </c>
      <c r="P3714">
        <v>21</v>
      </c>
      <c r="Q3714">
        <v>83</v>
      </c>
      <c r="R3714">
        <v>178</v>
      </c>
      <c r="S3714">
        <v>0.89</v>
      </c>
      <c r="T3714">
        <v>1.0375000000000001</v>
      </c>
      <c r="U3714">
        <v>0.85</v>
      </c>
    </row>
    <row r="3715" spans="1:21" x14ac:dyDescent="0.35">
      <c r="A3715">
        <v>206</v>
      </c>
      <c r="B3715" s="16">
        <v>40787</v>
      </c>
      <c r="C3715" s="15" t="s">
        <v>76</v>
      </c>
      <c r="D3715" s="15" t="s">
        <v>58</v>
      </c>
      <c r="E3715" s="15" t="s">
        <v>44</v>
      </c>
      <c r="F3715" s="15" t="s">
        <v>40</v>
      </c>
      <c r="G3715" s="15" t="s">
        <v>81</v>
      </c>
      <c r="H3715" s="15" t="s">
        <v>45</v>
      </c>
      <c r="I3715">
        <v>110</v>
      </c>
      <c r="J3715">
        <v>160</v>
      </c>
      <c r="K3715">
        <v>60</v>
      </c>
      <c r="L3715">
        <v>270</v>
      </c>
      <c r="M3715">
        <v>93</v>
      </c>
      <c r="N3715">
        <v>692</v>
      </c>
      <c r="O3715">
        <v>130</v>
      </c>
      <c r="P3715">
        <v>84</v>
      </c>
      <c r="Q3715">
        <v>24</v>
      </c>
      <c r="R3715">
        <v>238</v>
      </c>
      <c r="S3715">
        <v>0.88148148148148153</v>
      </c>
      <c r="T3715">
        <v>0.4</v>
      </c>
      <c r="U3715">
        <v>0.84545454545454546</v>
      </c>
    </row>
    <row r="3716" spans="1:21" x14ac:dyDescent="0.35">
      <c r="A3716">
        <v>360</v>
      </c>
      <c r="B3716" s="16">
        <v>40787</v>
      </c>
      <c r="C3716" s="15" t="s">
        <v>76</v>
      </c>
      <c r="D3716" s="15" t="s">
        <v>58</v>
      </c>
      <c r="E3716" s="15" t="s">
        <v>72</v>
      </c>
      <c r="F3716" s="15" t="s">
        <v>49</v>
      </c>
      <c r="G3716" s="15" t="s">
        <v>81</v>
      </c>
      <c r="H3716" s="15" t="s">
        <v>42</v>
      </c>
      <c r="I3716">
        <v>30</v>
      </c>
      <c r="J3716">
        <v>40</v>
      </c>
      <c r="K3716">
        <v>30</v>
      </c>
      <c r="L3716">
        <v>70</v>
      </c>
      <c r="M3716">
        <v>33</v>
      </c>
      <c r="N3716">
        <v>577</v>
      </c>
      <c r="O3716">
        <v>43</v>
      </c>
      <c r="P3716">
        <v>10</v>
      </c>
      <c r="Q3716">
        <v>31</v>
      </c>
      <c r="R3716">
        <v>81</v>
      </c>
      <c r="S3716">
        <v>1.1571428571428573</v>
      </c>
      <c r="T3716">
        <v>1.0333333333333334</v>
      </c>
      <c r="U3716">
        <v>1.1000000000000001</v>
      </c>
    </row>
    <row r="3717" spans="1:21" x14ac:dyDescent="0.35">
      <c r="A3717">
        <v>360</v>
      </c>
      <c r="B3717" s="16">
        <v>40787</v>
      </c>
      <c r="C3717" s="15" t="s">
        <v>76</v>
      </c>
      <c r="D3717" s="15" t="s">
        <v>58</v>
      </c>
      <c r="E3717" s="15" t="s">
        <v>48</v>
      </c>
      <c r="F3717" s="15" t="s">
        <v>49</v>
      </c>
      <c r="G3717" s="15" t="s">
        <v>81</v>
      </c>
      <c r="H3717" s="15" t="s">
        <v>42</v>
      </c>
      <c r="I3717">
        <v>60</v>
      </c>
      <c r="J3717">
        <v>80</v>
      </c>
      <c r="K3717">
        <v>30</v>
      </c>
      <c r="L3717">
        <v>140</v>
      </c>
      <c r="M3717">
        <v>67</v>
      </c>
      <c r="N3717">
        <v>391</v>
      </c>
      <c r="O3717">
        <v>82</v>
      </c>
      <c r="P3717">
        <v>25</v>
      </c>
      <c r="Q3717">
        <v>34</v>
      </c>
      <c r="R3717">
        <v>159</v>
      </c>
      <c r="S3717">
        <v>1.1357142857142857</v>
      </c>
      <c r="T3717">
        <v>1.1333333333333333</v>
      </c>
      <c r="U3717">
        <v>1.1166666666666667</v>
      </c>
    </row>
    <row r="3718" spans="1:21" x14ac:dyDescent="0.35">
      <c r="A3718">
        <v>206</v>
      </c>
      <c r="B3718" s="16">
        <v>40787</v>
      </c>
      <c r="C3718" s="15" t="s">
        <v>76</v>
      </c>
      <c r="D3718" s="15" t="s">
        <v>58</v>
      </c>
      <c r="E3718" s="15" t="s">
        <v>50</v>
      </c>
      <c r="F3718" s="15" t="s">
        <v>49</v>
      </c>
      <c r="G3718" s="15" t="s">
        <v>81</v>
      </c>
      <c r="H3718" s="15" t="s">
        <v>45</v>
      </c>
      <c r="I3718">
        <v>70</v>
      </c>
      <c r="J3718">
        <v>100</v>
      </c>
      <c r="K3718">
        <v>70</v>
      </c>
      <c r="L3718">
        <v>170</v>
      </c>
      <c r="M3718">
        <v>83</v>
      </c>
      <c r="N3718">
        <v>1063</v>
      </c>
      <c r="O3718">
        <v>99</v>
      </c>
      <c r="P3718">
        <v>25</v>
      </c>
      <c r="Q3718">
        <v>79</v>
      </c>
      <c r="R3718">
        <v>194</v>
      </c>
      <c r="S3718">
        <v>1.1411764705882352</v>
      </c>
      <c r="T3718">
        <v>1.1285714285714286</v>
      </c>
      <c r="U3718">
        <v>1.1857142857142857</v>
      </c>
    </row>
    <row r="3719" spans="1:21" x14ac:dyDescent="0.35">
      <c r="A3719">
        <v>720</v>
      </c>
      <c r="B3719" s="16">
        <v>40817</v>
      </c>
      <c r="C3719" s="15" t="s">
        <v>37</v>
      </c>
      <c r="D3719" s="15" t="s">
        <v>38</v>
      </c>
      <c r="E3719" s="15" t="s">
        <v>51</v>
      </c>
      <c r="F3719" s="15" t="s">
        <v>52</v>
      </c>
      <c r="G3719" s="15" t="s">
        <v>41</v>
      </c>
      <c r="H3719" s="15" t="s">
        <v>45</v>
      </c>
      <c r="I3719">
        <v>120</v>
      </c>
      <c r="J3719">
        <v>140</v>
      </c>
      <c r="K3719">
        <v>110</v>
      </c>
      <c r="L3719">
        <v>260</v>
      </c>
      <c r="M3719">
        <v>161</v>
      </c>
      <c r="N3719">
        <v>1267</v>
      </c>
      <c r="O3719">
        <v>161</v>
      </c>
      <c r="P3719">
        <v>45</v>
      </c>
      <c r="Q3719">
        <v>137</v>
      </c>
      <c r="R3719">
        <v>343</v>
      </c>
      <c r="S3719">
        <v>1.3192307692307692</v>
      </c>
      <c r="T3719">
        <v>1.2454545454545454</v>
      </c>
      <c r="U3719">
        <v>1.3416666666666666</v>
      </c>
    </row>
    <row r="3720" spans="1:21" x14ac:dyDescent="0.35">
      <c r="A3720">
        <v>720</v>
      </c>
      <c r="B3720" s="16">
        <v>40817</v>
      </c>
      <c r="C3720" s="15" t="s">
        <v>37</v>
      </c>
      <c r="D3720" s="15" t="s">
        <v>38</v>
      </c>
      <c r="E3720" s="15" t="s">
        <v>53</v>
      </c>
      <c r="F3720" s="15" t="s">
        <v>52</v>
      </c>
      <c r="G3720" s="15" t="s">
        <v>41</v>
      </c>
      <c r="H3720" s="15" t="s">
        <v>45</v>
      </c>
      <c r="I3720">
        <v>30</v>
      </c>
      <c r="J3720">
        <v>60</v>
      </c>
      <c r="K3720">
        <v>30</v>
      </c>
      <c r="L3720">
        <v>90</v>
      </c>
      <c r="M3720">
        <v>51</v>
      </c>
      <c r="N3720">
        <v>503</v>
      </c>
      <c r="O3720">
        <v>71</v>
      </c>
      <c r="P3720">
        <v>46</v>
      </c>
      <c r="Q3720">
        <v>-7</v>
      </c>
      <c r="R3720">
        <v>130</v>
      </c>
      <c r="S3720">
        <v>1.4444444444444444</v>
      </c>
      <c r="T3720">
        <v>-0.23333333333333334</v>
      </c>
      <c r="U3720">
        <v>1.7</v>
      </c>
    </row>
    <row r="3721" spans="1:21" x14ac:dyDescent="0.35">
      <c r="A3721">
        <v>970</v>
      </c>
      <c r="B3721" s="16">
        <v>40817</v>
      </c>
      <c r="C3721" s="15" t="s">
        <v>37</v>
      </c>
      <c r="D3721" s="15" t="s">
        <v>38</v>
      </c>
      <c r="E3721" s="15" t="s">
        <v>54</v>
      </c>
      <c r="F3721" s="15" t="s">
        <v>52</v>
      </c>
      <c r="G3721" s="15" t="s">
        <v>41</v>
      </c>
      <c r="H3721" s="15" t="s">
        <v>45</v>
      </c>
      <c r="I3721">
        <v>30</v>
      </c>
      <c r="J3721">
        <v>60</v>
      </c>
      <c r="K3721">
        <v>50</v>
      </c>
      <c r="L3721">
        <v>90</v>
      </c>
      <c r="M3721">
        <v>52</v>
      </c>
      <c r="N3721">
        <v>405</v>
      </c>
      <c r="O3721">
        <v>71</v>
      </c>
      <c r="P3721">
        <v>17</v>
      </c>
      <c r="Q3721">
        <v>39</v>
      </c>
      <c r="R3721">
        <v>131</v>
      </c>
      <c r="S3721">
        <v>1.4555555555555555</v>
      </c>
      <c r="T3721">
        <v>0.78</v>
      </c>
      <c r="U3721">
        <v>1.7333333333333334</v>
      </c>
    </row>
    <row r="3722" spans="1:21" x14ac:dyDescent="0.35">
      <c r="A3722">
        <v>720</v>
      </c>
      <c r="B3722" s="16">
        <v>40817</v>
      </c>
      <c r="C3722" s="15" t="s">
        <v>37</v>
      </c>
      <c r="D3722" s="15" t="s">
        <v>38</v>
      </c>
      <c r="E3722" s="15" t="s">
        <v>55</v>
      </c>
      <c r="F3722" s="15" t="s">
        <v>47</v>
      </c>
      <c r="G3722" s="15" t="s">
        <v>41</v>
      </c>
      <c r="H3722" s="15" t="s">
        <v>42</v>
      </c>
      <c r="I3722">
        <v>30</v>
      </c>
      <c r="J3722">
        <v>50</v>
      </c>
      <c r="K3722">
        <v>30</v>
      </c>
      <c r="L3722">
        <v>80</v>
      </c>
      <c r="M3722">
        <v>54</v>
      </c>
      <c r="N3722">
        <v>404</v>
      </c>
      <c r="O3722">
        <v>66</v>
      </c>
      <c r="P3722">
        <v>20</v>
      </c>
      <c r="Q3722">
        <v>19</v>
      </c>
      <c r="R3722">
        <v>128</v>
      </c>
      <c r="S3722">
        <v>1.6</v>
      </c>
      <c r="T3722">
        <v>0.6333333333333333</v>
      </c>
      <c r="U3722">
        <v>1.8</v>
      </c>
    </row>
    <row r="3723" spans="1:21" x14ac:dyDescent="0.35">
      <c r="A3723">
        <v>970</v>
      </c>
      <c r="B3723" s="16">
        <v>40817</v>
      </c>
      <c r="C3723" s="15" t="s">
        <v>37</v>
      </c>
      <c r="D3723" s="15" t="s">
        <v>38</v>
      </c>
      <c r="E3723" s="15" t="s">
        <v>56</v>
      </c>
      <c r="F3723" s="15" t="s">
        <v>47</v>
      </c>
      <c r="G3723" s="15" t="s">
        <v>41</v>
      </c>
      <c r="H3723" s="15" t="s">
        <v>42</v>
      </c>
      <c r="I3723">
        <v>30</v>
      </c>
      <c r="J3723">
        <v>50</v>
      </c>
      <c r="K3723">
        <v>40</v>
      </c>
      <c r="L3723">
        <v>80</v>
      </c>
      <c r="M3723">
        <v>54</v>
      </c>
      <c r="N3723">
        <v>1037</v>
      </c>
      <c r="O3723">
        <v>64</v>
      </c>
      <c r="P3723">
        <v>16</v>
      </c>
      <c r="Q3723">
        <v>40</v>
      </c>
      <c r="R3723">
        <v>126</v>
      </c>
      <c r="S3723">
        <v>1.575</v>
      </c>
      <c r="T3723">
        <v>1</v>
      </c>
      <c r="U3723">
        <v>1.8</v>
      </c>
    </row>
    <row r="3724" spans="1:21" x14ac:dyDescent="0.35">
      <c r="A3724">
        <v>970</v>
      </c>
      <c r="B3724" s="16">
        <v>40817</v>
      </c>
      <c r="C3724" s="15" t="s">
        <v>37</v>
      </c>
      <c r="D3724" s="15" t="s">
        <v>38</v>
      </c>
      <c r="E3724" s="15" t="s">
        <v>46</v>
      </c>
      <c r="F3724" s="15" t="s">
        <v>47</v>
      </c>
      <c r="G3724" s="15" t="s">
        <v>41</v>
      </c>
      <c r="H3724" s="15" t="s">
        <v>42</v>
      </c>
      <c r="I3724">
        <v>50</v>
      </c>
      <c r="J3724">
        <v>90</v>
      </c>
      <c r="K3724">
        <v>80</v>
      </c>
      <c r="L3724">
        <v>140</v>
      </c>
      <c r="M3724">
        <v>90</v>
      </c>
      <c r="N3724">
        <v>572</v>
      </c>
      <c r="O3724">
        <v>115</v>
      </c>
      <c r="P3724">
        <v>29</v>
      </c>
      <c r="Q3724">
        <v>110</v>
      </c>
      <c r="R3724">
        <v>218</v>
      </c>
      <c r="S3724">
        <v>1.5571428571428572</v>
      </c>
      <c r="T3724">
        <v>1.375</v>
      </c>
      <c r="U3724">
        <v>1.8</v>
      </c>
    </row>
    <row r="3725" spans="1:21" x14ac:dyDescent="0.35">
      <c r="A3725">
        <v>970</v>
      </c>
      <c r="B3725" s="16">
        <v>40817</v>
      </c>
      <c r="C3725" s="15" t="s">
        <v>37</v>
      </c>
      <c r="D3725" s="15" t="s">
        <v>38</v>
      </c>
      <c r="E3725" s="15" t="s">
        <v>48</v>
      </c>
      <c r="F3725" s="15" t="s">
        <v>49</v>
      </c>
      <c r="G3725" s="15" t="s">
        <v>41</v>
      </c>
      <c r="H3725" s="15" t="s">
        <v>42</v>
      </c>
      <c r="I3725">
        <v>100</v>
      </c>
      <c r="J3725">
        <v>180</v>
      </c>
      <c r="K3725">
        <v>170</v>
      </c>
      <c r="L3725">
        <v>280</v>
      </c>
      <c r="M3725">
        <v>76</v>
      </c>
      <c r="N3725">
        <v>580</v>
      </c>
      <c r="O3725">
        <v>111</v>
      </c>
      <c r="P3725">
        <v>21</v>
      </c>
      <c r="Q3725">
        <v>117</v>
      </c>
      <c r="R3725">
        <v>199</v>
      </c>
      <c r="S3725">
        <v>0.71071428571428574</v>
      </c>
      <c r="T3725">
        <v>0.68823529411764706</v>
      </c>
      <c r="U3725">
        <v>0.76</v>
      </c>
    </row>
    <row r="3726" spans="1:21" x14ac:dyDescent="0.35">
      <c r="A3726">
        <v>970</v>
      </c>
      <c r="B3726" s="16">
        <v>40817</v>
      </c>
      <c r="C3726" s="15" t="s">
        <v>37</v>
      </c>
      <c r="D3726" s="15" t="s">
        <v>38</v>
      </c>
      <c r="E3726" s="15" t="s">
        <v>50</v>
      </c>
      <c r="F3726" s="15" t="s">
        <v>49</v>
      </c>
      <c r="G3726" s="15" t="s">
        <v>41</v>
      </c>
      <c r="H3726" s="15" t="s">
        <v>45</v>
      </c>
      <c r="I3726">
        <v>100</v>
      </c>
      <c r="J3726">
        <v>160</v>
      </c>
      <c r="K3726">
        <v>130</v>
      </c>
      <c r="L3726">
        <v>260</v>
      </c>
      <c r="M3726">
        <v>72</v>
      </c>
      <c r="N3726">
        <v>650</v>
      </c>
      <c r="O3726">
        <v>110</v>
      </c>
      <c r="P3726">
        <v>23</v>
      </c>
      <c r="Q3726">
        <v>83</v>
      </c>
      <c r="R3726">
        <v>194</v>
      </c>
      <c r="S3726">
        <v>0.74615384615384617</v>
      </c>
      <c r="T3726">
        <v>0.63846153846153841</v>
      </c>
      <c r="U3726">
        <v>0.72</v>
      </c>
    </row>
    <row r="3727" spans="1:21" x14ac:dyDescent="0.35">
      <c r="A3727">
        <v>719</v>
      </c>
      <c r="B3727" s="16">
        <v>40817</v>
      </c>
      <c r="C3727" s="15" t="s">
        <v>37</v>
      </c>
      <c r="D3727" s="15" t="s">
        <v>38</v>
      </c>
      <c r="E3727" s="15" t="s">
        <v>39</v>
      </c>
      <c r="F3727" s="15" t="s">
        <v>40</v>
      </c>
      <c r="G3727" s="15" t="s">
        <v>41</v>
      </c>
      <c r="H3727" s="15" t="s">
        <v>42</v>
      </c>
      <c r="I3727">
        <v>120</v>
      </c>
      <c r="J3727">
        <v>180</v>
      </c>
      <c r="K3727">
        <v>160</v>
      </c>
      <c r="L3727">
        <v>300</v>
      </c>
      <c r="M3727">
        <v>123</v>
      </c>
      <c r="N3727">
        <v>915</v>
      </c>
      <c r="O3727">
        <v>179</v>
      </c>
      <c r="P3727">
        <v>34</v>
      </c>
      <c r="Q3727">
        <v>197</v>
      </c>
      <c r="R3727">
        <v>322</v>
      </c>
      <c r="S3727">
        <v>1.0733333333333333</v>
      </c>
      <c r="T3727">
        <v>1.23125</v>
      </c>
      <c r="U3727">
        <v>1.0249999999999999</v>
      </c>
    </row>
    <row r="3728" spans="1:21" x14ac:dyDescent="0.35">
      <c r="A3728">
        <v>303</v>
      </c>
      <c r="B3728" s="16">
        <v>40817</v>
      </c>
      <c r="C3728" s="15" t="s">
        <v>37</v>
      </c>
      <c r="D3728" s="15" t="s">
        <v>38</v>
      </c>
      <c r="E3728" s="15" t="s">
        <v>43</v>
      </c>
      <c r="F3728" s="15" t="s">
        <v>40</v>
      </c>
      <c r="G3728" s="15" t="s">
        <v>41</v>
      </c>
      <c r="H3728" s="15" t="s">
        <v>42</v>
      </c>
      <c r="I3728">
        <v>30</v>
      </c>
      <c r="J3728">
        <v>50</v>
      </c>
      <c r="K3728">
        <v>50</v>
      </c>
      <c r="L3728">
        <v>80</v>
      </c>
      <c r="M3728">
        <v>39</v>
      </c>
      <c r="N3728">
        <v>541</v>
      </c>
      <c r="O3728">
        <v>51</v>
      </c>
      <c r="P3728">
        <v>12</v>
      </c>
      <c r="Q3728">
        <v>40</v>
      </c>
      <c r="R3728">
        <v>96</v>
      </c>
      <c r="S3728">
        <v>1.2</v>
      </c>
      <c r="T3728">
        <v>0.8</v>
      </c>
      <c r="U3728">
        <v>1.3</v>
      </c>
    </row>
    <row r="3729" spans="1:21" x14ac:dyDescent="0.35">
      <c r="A3729">
        <v>719</v>
      </c>
      <c r="B3729" s="16">
        <v>40817</v>
      </c>
      <c r="C3729" s="15" t="s">
        <v>37</v>
      </c>
      <c r="D3729" s="15" t="s">
        <v>38</v>
      </c>
      <c r="E3729" s="15" t="s">
        <v>44</v>
      </c>
      <c r="F3729" s="15" t="s">
        <v>40</v>
      </c>
      <c r="G3729" s="15" t="s">
        <v>41</v>
      </c>
      <c r="H3729" s="15" t="s">
        <v>45</v>
      </c>
      <c r="I3729">
        <v>100</v>
      </c>
      <c r="J3729">
        <v>160</v>
      </c>
      <c r="K3729">
        <v>150</v>
      </c>
      <c r="L3729">
        <v>260</v>
      </c>
      <c r="M3729">
        <v>108</v>
      </c>
      <c r="N3729">
        <v>971</v>
      </c>
      <c r="O3729">
        <v>157</v>
      </c>
      <c r="P3729">
        <v>30</v>
      </c>
      <c r="Q3729">
        <v>172</v>
      </c>
      <c r="R3729">
        <v>282</v>
      </c>
      <c r="S3729">
        <v>1.0846153846153845</v>
      </c>
      <c r="T3729">
        <v>1.1466666666666667</v>
      </c>
      <c r="U3729">
        <v>1.08</v>
      </c>
    </row>
    <row r="3730" spans="1:21" x14ac:dyDescent="0.35">
      <c r="A3730">
        <v>708</v>
      </c>
      <c r="B3730" s="16">
        <v>40817</v>
      </c>
      <c r="C3730" s="15" t="s">
        <v>37</v>
      </c>
      <c r="D3730" s="15" t="s">
        <v>38</v>
      </c>
      <c r="E3730" s="15" t="s">
        <v>51</v>
      </c>
      <c r="F3730" s="15" t="s">
        <v>52</v>
      </c>
      <c r="G3730" s="15" t="s">
        <v>57</v>
      </c>
      <c r="H3730" s="15" t="s">
        <v>45</v>
      </c>
      <c r="I3730">
        <v>90</v>
      </c>
      <c r="J3730">
        <v>150</v>
      </c>
      <c r="K3730">
        <v>140</v>
      </c>
      <c r="L3730">
        <v>240</v>
      </c>
      <c r="M3730">
        <v>123</v>
      </c>
      <c r="N3730">
        <v>915</v>
      </c>
      <c r="O3730">
        <v>179</v>
      </c>
      <c r="P3730">
        <v>34</v>
      </c>
      <c r="Q3730">
        <v>197</v>
      </c>
      <c r="R3730">
        <v>322</v>
      </c>
      <c r="S3730">
        <v>1.3416666666666666</v>
      </c>
      <c r="T3730">
        <v>1.4071428571428573</v>
      </c>
      <c r="U3730">
        <v>1.3666666666666667</v>
      </c>
    </row>
    <row r="3731" spans="1:21" x14ac:dyDescent="0.35">
      <c r="A3731">
        <v>312</v>
      </c>
      <c r="B3731" s="16">
        <v>40817</v>
      </c>
      <c r="C3731" s="15" t="s">
        <v>37</v>
      </c>
      <c r="D3731" s="15" t="s">
        <v>38</v>
      </c>
      <c r="E3731" s="15" t="s">
        <v>53</v>
      </c>
      <c r="F3731" s="15" t="s">
        <v>52</v>
      </c>
      <c r="G3731" s="15" t="s">
        <v>57</v>
      </c>
      <c r="H3731" s="15" t="s">
        <v>45</v>
      </c>
      <c r="I3731">
        <v>20</v>
      </c>
      <c r="J3731">
        <v>40</v>
      </c>
      <c r="K3731">
        <v>40</v>
      </c>
      <c r="L3731">
        <v>60</v>
      </c>
      <c r="M3731">
        <v>39</v>
      </c>
      <c r="N3731">
        <v>541</v>
      </c>
      <c r="O3731">
        <v>51</v>
      </c>
      <c r="P3731">
        <v>12</v>
      </c>
      <c r="Q3731">
        <v>40</v>
      </c>
      <c r="R3731">
        <v>96</v>
      </c>
      <c r="S3731">
        <v>1.6</v>
      </c>
      <c r="T3731">
        <v>1</v>
      </c>
      <c r="U3731">
        <v>1.95</v>
      </c>
    </row>
    <row r="3732" spans="1:21" x14ac:dyDescent="0.35">
      <c r="A3732">
        <v>815</v>
      </c>
      <c r="B3732" s="16">
        <v>40817</v>
      </c>
      <c r="C3732" s="15" t="s">
        <v>37</v>
      </c>
      <c r="D3732" s="15" t="s">
        <v>38</v>
      </c>
      <c r="E3732" s="15" t="s">
        <v>54</v>
      </c>
      <c r="F3732" s="15" t="s">
        <v>52</v>
      </c>
      <c r="G3732" s="15" t="s">
        <v>57</v>
      </c>
      <c r="H3732" s="15" t="s">
        <v>45</v>
      </c>
      <c r="I3732">
        <v>80</v>
      </c>
      <c r="J3732">
        <v>130</v>
      </c>
      <c r="K3732">
        <v>120</v>
      </c>
      <c r="L3732">
        <v>210</v>
      </c>
      <c r="M3732">
        <v>108</v>
      </c>
      <c r="N3732">
        <v>971</v>
      </c>
      <c r="O3732">
        <v>157</v>
      </c>
      <c r="P3732">
        <v>30</v>
      </c>
      <c r="Q3732">
        <v>172</v>
      </c>
      <c r="R3732">
        <v>282</v>
      </c>
      <c r="S3732">
        <v>1.3428571428571427</v>
      </c>
      <c r="T3732">
        <v>1.4333333333333333</v>
      </c>
      <c r="U3732">
        <v>1.35</v>
      </c>
    </row>
    <row r="3733" spans="1:21" x14ac:dyDescent="0.35">
      <c r="A3733">
        <v>815</v>
      </c>
      <c r="B3733" s="16">
        <v>40817</v>
      </c>
      <c r="C3733" s="15" t="s">
        <v>37</v>
      </c>
      <c r="D3733" s="15" t="s">
        <v>38</v>
      </c>
      <c r="E3733" s="15" t="s">
        <v>55</v>
      </c>
      <c r="F3733" s="15" t="s">
        <v>47</v>
      </c>
      <c r="G3733" s="15" t="s">
        <v>57</v>
      </c>
      <c r="H3733" s="15" t="s">
        <v>42</v>
      </c>
      <c r="I3733">
        <v>50</v>
      </c>
      <c r="J3733">
        <v>80</v>
      </c>
      <c r="K3733">
        <v>80</v>
      </c>
      <c r="L3733">
        <v>130</v>
      </c>
      <c r="M3733">
        <v>76</v>
      </c>
      <c r="N3733">
        <v>580</v>
      </c>
      <c r="O3733">
        <v>111</v>
      </c>
      <c r="P3733">
        <v>21</v>
      </c>
      <c r="Q3733">
        <v>116</v>
      </c>
      <c r="R3733">
        <v>199</v>
      </c>
      <c r="S3733">
        <v>1.5307692307692307</v>
      </c>
      <c r="T3733">
        <v>1.45</v>
      </c>
      <c r="U3733">
        <v>1.52</v>
      </c>
    </row>
    <row r="3734" spans="1:21" x14ac:dyDescent="0.35">
      <c r="A3734">
        <v>815</v>
      </c>
      <c r="B3734" s="16">
        <v>40817</v>
      </c>
      <c r="C3734" s="15" t="s">
        <v>37</v>
      </c>
      <c r="D3734" s="15" t="s">
        <v>38</v>
      </c>
      <c r="E3734" s="15" t="s">
        <v>56</v>
      </c>
      <c r="F3734" s="15" t="s">
        <v>47</v>
      </c>
      <c r="G3734" s="15" t="s">
        <v>57</v>
      </c>
      <c r="H3734" s="15" t="s">
        <v>42</v>
      </c>
      <c r="I3734">
        <v>50</v>
      </c>
      <c r="J3734">
        <v>80</v>
      </c>
      <c r="K3734">
        <v>50</v>
      </c>
      <c r="L3734">
        <v>130</v>
      </c>
      <c r="M3734">
        <v>72</v>
      </c>
      <c r="N3734">
        <v>650</v>
      </c>
      <c r="O3734">
        <v>110</v>
      </c>
      <c r="P3734">
        <v>23</v>
      </c>
      <c r="Q3734">
        <v>82</v>
      </c>
      <c r="R3734">
        <v>194</v>
      </c>
      <c r="S3734">
        <v>1.4923076923076923</v>
      </c>
      <c r="T3734">
        <v>1.64</v>
      </c>
      <c r="U3734">
        <v>1.44</v>
      </c>
    </row>
    <row r="3735" spans="1:21" x14ac:dyDescent="0.35">
      <c r="A3735">
        <v>312</v>
      </c>
      <c r="B3735" s="16">
        <v>40817</v>
      </c>
      <c r="C3735" s="15" t="s">
        <v>37</v>
      </c>
      <c r="D3735" s="15" t="s">
        <v>38</v>
      </c>
      <c r="E3735" s="15" t="s">
        <v>48</v>
      </c>
      <c r="F3735" s="15" t="s">
        <v>49</v>
      </c>
      <c r="G3735" s="15" t="s">
        <v>57</v>
      </c>
      <c r="H3735" s="15" t="s">
        <v>42</v>
      </c>
      <c r="I3735">
        <v>370</v>
      </c>
      <c r="J3735">
        <v>520</v>
      </c>
      <c r="K3735">
        <v>420</v>
      </c>
      <c r="L3735">
        <v>890</v>
      </c>
      <c r="M3735">
        <v>257</v>
      </c>
      <c r="N3735">
        <v>1662</v>
      </c>
      <c r="O3735">
        <v>341</v>
      </c>
      <c r="P3735">
        <v>84</v>
      </c>
      <c r="Q3735">
        <v>332</v>
      </c>
      <c r="R3735">
        <v>637</v>
      </c>
      <c r="S3735">
        <v>0.71573033707865163</v>
      </c>
      <c r="T3735">
        <v>0.79047619047619044</v>
      </c>
      <c r="U3735">
        <v>0.69459459459459461</v>
      </c>
    </row>
    <row r="3736" spans="1:21" x14ac:dyDescent="0.35">
      <c r="A3736">
        <v>773</v>
      </c>
      <c r="B3736" s="16">
        <v>40817</v>
      </c>
      <c r="C3736" s="15" t="s">
        <v>37</v>
      </c>
      <c r="D3736" s="15" t="s">
        <v>38</v>
      </c>
      <c r="E3736" s="15" t="s">
        <v>50</v>
      </c>
      <c r="F3736" s="15" t="s">
        <v>49</v>
      </c>
      <c r="G3736" s="15" t="s">
        <v>57</v>
      </c>
      <c r="H3736" s="15" t="s">
        <v>45</v>
      </c>
      <c r="I3736">
        <v>340</v>
      </c>
      <c r="J3736">
        <v>370</v>
      </c>
      <c r="K3736">
        <v>300</v>
      </c>
      <c r="L3736">
        <v>710</v>
      </c>
      <c r="M3736">
        <v>239</v>
      </c>
      <c r="N3736">
        <v>1755</v>
      </c>
      <c r="O3736">
        <v>239</v>
      </c>
      <c r="P3736">
        <v>66</v>
      </c>
      <c r="Q3736">
        <v>221</v>
      </c>
      <c r="R3736">
        <v>509</v>
      </c>
      <c r="S3736">
        <v>0.71690140845070427</v>
      </c>
      <c r="T3736">
        <v>0.73666666666666669</v>
      </c>
      <c r="U3736">
        <v>0.70294117647058818</v>
      </c>
    </row>
    <row r="3737" spans="1:21" x14ac:dyDescent="0.35">
      <c r="A3737">
        <v>815</v>
      </c>
      <c r="B3737" s="16">
        <v>40817</v>
      </c>
      <c r="C3737" s="15" t="s">
        <v>37</v>
      </c>
      <c r="D3737" s="15" t="s">
        <v>38</v>
      </c>
      <c r="E3737" s="15" t="s">
        <v>43</v>
      </c>
      <c r="F3737" s="15" t="s">
        <v>40</v>
      </c>
      <c r="G3737" s="15" t="s">
        <v>57</v>
      </c>
      <c r="H3737" s="15" t="s">
        <v>42</v>
      </c>
      <c r="I3737">
        <v>150</v>
      </c>
      <c r="J3737">
        <v>220</v>
      </c>
      <c r="K3737">
        <v>160</v>
      </c>
      <c r="L3737">
        <v>370</v>
      </c>
      <c r="M3737">
        <v>154</v>
      </c>
      <c r="N3737">
        <v>1132</v>
      </c>
      <c r="O3737">
        <v>213</v>
      </c>
      <c r="P3737">
        <v>50</v>
      </c>
      <c r="Q3737">
        <v>178</v>
      </c>
      <c r="R3737">
        <v>391</v>
      </c>
      <c r="S3737">
        <v>1.0567567567567568</v>
      </c>
      <c r="T3737">
        <v>1.1125</v>
      </c>
      <c r="U3737">
        <v>1.0266666666666666</v>
      </c>
    </row>
    <row r="3738" spans="1:21" x14ac:dyDescent="0.35">
      <c r="A3738">
        <v>815</v>
      </c>
      <c r="B3738" s="16">
        <v>40817</v>
      </c>
      <c r="C3738" s="15" t="s">
        <v>37</v>
      </c>
      <c r="D3738" s="15" t="s">
        <v>38</v>
      </c>
      <c r="E3738" s="15" t="s">
        <v>44</v>
      </c>
      <c r="F3738" s="15" t="s">
        <v>40</v>
      </c>
      <c r="G3738" s="15" t="s">
        <v>57</v>
      </c>
      <c r="H3738" s="15" t="s">
        <v>45</v>
      </c>
      <c r="I3738">
        <v>110</v>
      </c>
      <c r="J3738">
        <v>190</v>
      </c>
      <c r="K3738">
        <v>160</v>
      </c>
      <c r="L3738">
        <v>300</v>
      </c>
      <c r="M3738">
        <v>122</v>
      </c>
      <c r="N3738">
        <v>789</v>
      </c>
      <c r="O3738">
        <v>176</v>
      </c>
      <c r="P3738">
        <v>39</v>
      </c>
      <c r="Q3738">
        <v>171</v>
      </c>
      <c r="R3738">
        <v>318</v>
      </c>
      <c r="S3738">
        <v>1.06</v>
      </c>
      <c r="T3738">
        <v>1.0687500000000001</v>
      </c>
      <c r="U3738">
        <v>1.1090909090909091</v>
      </c>
    </row>
    <row r="3739" spans="1:21" x14ac:dyDescent="0.35">
      <c r="A3739">
        <v>319</v>
      </c>
      <c r="B3739" s="16">
        <v>40817</v>
      </c>
      <c r="C3739" s="15" t="s">
        <v>37</v>
      </c>
      <c r="D3739" s="15" t="s">
        <v>58</v>
      </c>
      <c r="E3739" s="15" t="s">
        <v>51</v>
      </c>
      <c r="F3739" s="15" t="s">
        <v>52</v>
      </c>
      <c r="G3739" s="15" t="s">
        <v>59</v>
      </c>
      <c r="H3739" s="15" t="s">
        <v>45</v>
      </c>
      <c r="I3739">
        <v>200</v>
      </c>
      <c r="J3739">
        <v>280</v>
      </c>
      <c r="K3739">
        <v>210</v>
      </c>
      <c r="L3739">
        <v>480</v>
      </c>
      <c r="M3739">
        <v>257</v>
      </c>
      <c r="N3739">
        <v>1662</v>
      </c>
      <c r="O3739">
        <v>341</v>
      </c>
      <c r="P3739">
        <v>84</v>
      </c>
      <c r="Q3739">
        <v>332</v>
      </c>
      <c r="R3739">
        <v>637</v>
      </c>
      <c r="S3739">
        <v>1.3270833333333334</v>
      </c>
      <c r="T3739">
        <v>1.5809523809523809</v>
      </c>
      <c r="U3739">
        <v>1.2849999999999999</v>
      </c>
    </row>
    <row r="3740" spans="1:21" x14ac:dyDescent="0.35">
      <c r="A3740">
        <v>515</v>
      </c>
      <c r="B3740" s="16">
        <v>40817</v>
      </c>
      <c r="C3740" s="15" t="s">
        <v>37</v>
      </c>
      <c r="D3740" s="15" t="s">
        <v>58</v>
      </c>
      <c r="E3740" s="15" t="s">
        <v>53</v>
      </c>
      <c r="F3740" s="15" t="s">
        <v>52</v>
      </c>
      <c r="G3740" s="15" t="s">
        <v>59</v>
      </c>
      <c r="H3740" s="15" t="s">
        <v>45</v>
      </c>
      <c r="I3740">
        <v>90</v>
      </c>
      <c r="J3740">
        <v>150</v>
      </c>
      <c r="K3740">
        <v>130</v>
      </c>
      <c r="L3740">
        <v>240</v>
      </c>
      <c r="M3740">
        <v>122</v>
      </c>
      <c r="N3740">
        <v>789</v>
      </c>
      <c r="O3740">
        <v>176</v>
      </c>
      <c r="P3740">
        <v>39</v>
      </c>
      <c r="Q3740">
        <v>169</v>
      </c>
      <c r="R3740">
        <v>318</v>
      </c>
      <c r="S3740">
        <v>1.325</v>
      </c>
      <c r="T3740">
        <v>1.3</v>
      </c>
      <c r="U3740">
        <v>1.3555555555555556</v>
      </c>
    </row>
    <row r="3741" spans="1:21" x14ac:dyDescent="0.35">
      <c r="A3741">
        <v>515</v>
      </c>
      <c r="B3741" s="16">
        <v>40817</v>
      </c>
      <c r="C3741" s="15" t="s">
        <v>37</v>
      </c>
      <c r="D3741" s="15" t="s">
        <v>58</v>
      </c>
      <c r="E3741" s="15" t="s">
        <v>55</v>
      </c>
      <c r="F3741" s="15" t="s">
        <v>47</v>
      </c>
      <c r="G3741" s="15" t="s">
        <v>59</v>
      </c>
      <c r="H3741" s="15" t="s">
        <v>42</v>
      </c>
      <c r="I3741">
        <v>170</v>
      </c>
      <c r="J3741">
        <v>170</v>
      </c>
      <c r="K3741">
        <v>110</v>
      </c>
      <c r="L3741">
        <v>340</v>
      </c>
      <c r="M3741">
        <v>239</v>
      </c>
      <c r="N3741">
        <v>1755</v>
      </c>
      <c r="O3741">
        <v>239</v>
      </c>
      <c r="P3741">
        <v>66</v>
      </c>
      <c r="Q3741">
        <v>221</v>
      </c>
      <c r="R3741">
        <v>509</v>
      </c>
      <c r="S3741">
        <v>1.4970588235294118</v>
      </c>
      <c r="T3741">
        <v>2.0090909090909093</v>
      </c>
      <c r="U3741">
        <v>1.4058823529411764</v>
      </c>
    </row>
    <row r="3742" spans="1:21" x14ac:dyDescent="0.35">
      <c r="A3742">
        <v>515</v>
      </c>
      <c r="B3742" s="16">
        <v>40817</v>
      </c>
      <c r="C3742" s="15" t="s">
        <v>37</v>
      </c>
      <c r="D3742" s="15" t="s">
        <v>58</v>
      </c>
      <c r="E3742" s="15" t="s">
        <v>56</v>
      </c>
      <c r="F3742" s="15" t="s">
        <v>47</v>
      </c>
      <c r="G3742" s="15" t="s">
        <v>59</v>
      </c>
      <c r="H3742" s="15" t="s">
        <v>42</v>
      </c>
      <c r="I3742">
        <v>170</v>
      </c>
      <c r="J3742">
        <v>230</v>
      </c>
      <c r="K3742">
        <v>130</v>
      </c>
      <c r="L3742">
        <v>400</v>
      </c>
      <c r="M3742">
        <v>255</v>
      </c>
      <c r="N3742">
        <v>1756</v>
      </c>
      <c r="O3742">
        <v>312</v>
      </c>
      <c r="P3742">
        <v>96</v>
      </c>
      <c r="Q3742">
        <v>272</v>
      </c>
      <c r="R3742">
        <v>604</v>
      </c>
      <c r="S3742">
        <v>1.51</v>
      </c>
      <c r="T3742">
        <v>2.0923076923076924</v>
      </c>
      <c r="U3742">
        <v>1.5</v>
      </c>
    </row>
    <row r="3743" spans="1:21" x14ac:dyDescent="0.35">
      <c r="A3743">
        <v>641</v>
      </c>
      <c r="B3743" s="16">
        <v>40817</v>
      </c>
      <c r="C3743" s="15" t="s">
        <v>37</v>
      </c>
      <c r="D3743" s="15" t="s">
        <v>58</v>
      </c>
      <c r="E3743" s="15" t="s">
        <v>48</v>
      </c>
      <c r="F3743" s="15" t="s">
        <v>49</v>
      </c>
      <c r="G3743" s="15" t="s">
        <v>59</v>
      </c>
      <c r="H3743" s="15" t="s">
        <v>42</v>
      </c>
      <c r="I3743">
        <v>20</v>
      </c>
      <c r="J3743">
        <v>50</v>
      </c>
      <c r="K3743">
        <v>50</v>
      </c>
      <c r="L3743">
        <v>70</v>
      </c>
      <c r="M3743">
        <v>23</v>
      </c>
      <c r="N3743">
        <v>800</v>
      </c>
      <c r="O3743">
        <v>35</v>
      </c>
      <c r="P3743">
        <v>6</v>
      </c>
      <c r="Q3743">
        <v>27</v>
      </c>
      <c r="R3743">
        <v>62</v>
      </c>
      <c r="S3743">
        <v>0.88571428571428568</v>
      </c>
      <c r="T3743">
        <v>0.54</v>
      </c>
      <c r="U3743">
        <v>1.1499999999999999</v>
      </c>
    </row>
    <row r="3744" spans="1:21" x14ac:dyDescent="0.35">
      <c r="A3744">
        <v>563</v>
      </c>
      <c r="B3744" s="16">
        <v>40817</v>
      </c>
      <c r="C3744" s="15" t="s">
        <v>37</v>
      </c>
      <c r="D3744" s="15" t="s">
        <v>58</v>
      </c>
      <c r="E3744" s="15" t="s">
        <v>50</v>
      </c>
      <c r="F3744" s="15" t="s">
        <v>49</v>
      </c>
      <c r="G3744" s="15" t="s">
        <v>59</v>
      </c>
      <c r="H3744" s="15" t="s">
        <v>45</v>
      </c>
      <c r="I3744">
        <v>0</v>
      </c>
      <c r="J3744">
        <v>60</v>
      </c>
      <c r="K3744">
        <v>60</v>
      </c>
      <c r="L3744">
        <v>60</v>
      </c>
      <c r="M3744">
        <v>0</v>
      </c>
      <c r="N3744">
        <v>430</v>
      </c>
      <c r="O3744">
        <v>43</v>
      </c>
      <c r="P3744">
        <v>0</v>
      </c>
      <c r="Q3744">
        <v>46</v>
      </c>
      <c r="R3744">
        <v>46</v>
      </c>
      <c r="S3744">
        <v>0.76666666666666672</v>
      </c>
      <c r="T3744">
        <v>0.76666666666666672</v>
      </c>
    </row>
    <row r="3745" spans="1:21" x14ac:dyDescent="0.35">
      <c r="A3745">
        <v>515</v>
      </c>
      <c r="B3745" s="16">
        <v>40817</v>
      </c>
      <c r="C3745" s="15" t="s">
        <v>37</v>
      </c>
      <c r="D3745" s="15" t="s">
        <v>58</v>
      </c>
      <c r="E3745" s="15" t="s">
        <v>39</v>
      </c>
      <c r="F3745" s="15" t="s">
        <v>40</v>
      </c>
      <c r="G3745" s="15" t="s">
        <v>59</v>
      </c>
      <c r="H3745" s="15" t="s">
        <v>42</v>
      </c>
      <c r="I3745">
        <v>10</v>
      </c>
      <c r="J3745">
        <v>30</v>
      </c>
      <c r="K3745">
        <v>30</v>
      </c>
      <c r="L3745">
        <v>40</v>
      </c>
      <c r="M3745">
        <v>21</v>
      </c>
      <c r="N3745">
        <v>846</v>
      </c>
      <c r="O3745">
        <v>31</v>
      </c>
      <c r="P3745">
        <v>5</v>
      </c>
      <c r="Q3745">
        <v>22</v>
      </c>
      <c r="R3745">
        <v>55</v>
      </c>
      <c r="S3745">
        <v>1.375</v>
      </c>
      <c r="T3745">
        <v>0.73333333333333328</v>
      </c>
      <c r="U3745">
        <v>2.1</v>
      </c>
    </row>
    <row r="3746" spans="1:21" x14ac:dyDescent="0.35">
      <c r="A3746">
        <v>515</v>
      </c>
      <c r="B3746" s="16">
        <v>40817</v>
      </c>
      <c r="C3746" s="15" t="s">
        <v>37</v>
      </c>
      <c r="D3746" s="15" t="s">
        <v>58</v>
      </c>
      <c r="E3746" s="15" t="s">
        <v>43</v>
      </c>
      <c r="F3746" s="15" t="s">
        <v>40</v>
      </c>
      <c r="G3746" s="15" t="s">
        <v>59</v>
      </c>
      <c r="H3746" s="15" t="s">
        <v>42</v>
      </c>
      <c r="I3746">
        <v>20</v>
      </c>
      <c r="J3746">
        <v>40</v>
      </c>
      <c r="K3746">
        <v>30</v>
      </c>
      <c r="L3746">
        <v>60</v>
      </c>
      <c r="M3746">
        <v>31</v>
      </c>
      <c r="N3746">
        <v>1000</v>
      </c>
      <c r="O3746">
        <v>37</v>
      </c>
      <c r="P3746">
        <v>9</v>
      </c>
      <c r="Q3746">
        <v>10</v>
      </c>
      <c r="R3746">
        <v>72</v>
      </c>
      <c r="S3746">
        <v>1.2</v>
      </c>
      <c r="T3746">
        <v>0.33333333333333331</v>
      </c>
      <c r="U3746">
        <v>1.55</v>
      </c>
    </row>
    <row r="3747" spans="1:21" x14ac:dyDescent="0.35">
      <c r="A3747">
        <v>641</v>
      </c>
      <c r="B3747" s="16">
        <v>40817</v>
      </c>
      <c r="C3747" s="15" t="s">
        <v>37</v>
      </c>
      <c r="D3747" s="15" t="s">
        <v>58</v>
      </c>
      <c r="E3747" s="15" t="s">
        <v>44</v>
      </c>
      <c r="F3747" s="15" t="s">
        <v>40</v>
      </c>
      <c r="G3747" s="15" t="s">
        <v>59</v>
      </c>
      <c r="H3747" s="15" t="s">
        <v>45</v>
      </c>
      <c r="I3747">
        <v>0</v>
      </c>
      <c r="J3747">
        <v>10</v>
      </c>
      <c r="K3747">
        <v>10</v>
      </c>
      <c r="L3747">
        <v>10</v>
      </c>
      <c r="M3747">
        <v>10</v>
      </c>
      <c r="N3747">
        <v>598</v>
      </c>
      <c r="O3747">
        <v>13</v>
      </c>
      <c r="P3747">
        <v>3</v>
      </c>
      <c r="Q3747">
        <v>-3</v>
      </c>
      <c r="R3747">
        <v>25</v>
      </c>
      <c r="S3747">
        <v>2.5</v>
      </c>
      <c r="T3747">
        <v>-0.3</v>
      </c>
    </row>
    <row r="3748" spans="1:21" x14ac:dyDescent="0.35">
      <c r="A3748">
        <v>573</v>
      </c>
      <c r="B3748" s="16">
        <v>40817</v>
      </c>
      <c r="C3748" s="15" t="s">
        <v>37</v>
      </c>
      <c r="D3748" s="15" t="s">
        <v>58</v>
      </c>
      <c r="E3748" s="15" t="s">
        <v>51</v>
      </c>
      <c r="F3748" s="15" t="s">
        <v>52</v>
      </c>
      <c r="G3748" s="15" t="s">
        <v>60</v>
      </c>
      <c r="H3748" s="15" t="s">
        <v>45</v>
      </c>
      <c r="I3748">
        <v>20</v>
      </c>
      <c r="J3748">
        <v>60</v>
      </c>
      <c r="K3748">
        <v>30</v>
      </c>
      <c r="L3748">
        <v>80</v>
      </c>
      <c r="M3748">
        <v>45</v>
      </c>
      <c r="N3748">
        <v>320</v>
      </c>
      <c r="O3748">
        <v>64</v>
      </c>
      <c r="P3748">
        <v>41</v>
      </c>
      <c r="Q3748">
        <v>-9</v>
      </c>
      <c r="R3748">
        <v>116</v>
      </c>
      <c r="S3748">
        <v>1.45</v>
      </c>
      <c r="T3748">
        <v>-0.3</v>
      </c>
      <c r="U3748">
        <v>2.25</v>
      </c>
    </row>
    <row r="3749" spans="1:21" x14ac:dyDescent="0.35">
      <c r="A3749">
        <v>417</v>
      </c>
      <c r="B3749" s="16">
        <v>40817</v>
      </c>
      <c r="C3749" s="15" t="s">
        <v>37</v>
      </c>
      <c r="D3749" s="15" t="s">
        <v>58</v>
      </c>
      <c r="E3749" s="15" t="s">
        <v>53</v>
      </c>
      <c r="F3749" s="15" t="s">
        <v>52</v>
      </c>
      <c r="G3749" s="15" t="s">
        <v>60</v>
      </c>
      <c r="H3749" s="15" t="s">
        <v>45</v>
      </c>
      <c r="I3749">
        <v>60</v>
      </c>
      <c r="J3749">
        <v>20</v>
      </c>
      <c r="K3749">
        <v>10</v>
      </c>
      <c r="L3749">
        <v>80</v>
      </c>
      <c r="M3749">
        <v>86</v>
      </c>
      <c r="N3749">
        <v>1698</v>
      </c>
      <c r="O3749">
        <v>23</v>
      </c>
      <c r="P3749">
        <v>26</v>
      </c>
      <c r="Q3749">
        <v>-39</v>
      </c>
      <c r="R3749">
        <v>116</v>
      </c>
      <c r="S3749">
        <v>1.45</v>
      </c>
      <c r="T3749">
        <v>-3.9</v>
      </c>
      <c r="U3749">
        <v>1.4333333333333333</v>
      </c>
    </row>
    <row r="3750" spans="1:21" x14ac:dyDescent="0.35">
      <c r="A3750">
        <v>314</v>
      </c>
      <c r="B3750" s="16">
        <v>40817</v>
      </c>
      <c r="C3750" s="15" t="s">
        <v>37</v>
      </c>
      <c r="D3750" s="15" t="s">
        <v>58</v>
      </c>
      <c r="E3750" s="15" t="s">
        <v>55</v>
      </c>
      <c r="F3750" s="15" t="s">
        <v>47</v>
      </c>
      <c r="G3750" s="15" t="s">
        <v>60</v>
      </c>
      <c r="H3750" s="15" t="s">
        <v>42</v>
      </c>
      <c r="I3750">
        <v>20</v>
      </c>
      <c r="J3750">
        <v>40</v>
      </c>
      <c r="K3750">
        <v>30</v>
      </c>
      <c r="L3750">
        <v>60</v>
      </c>
      <c r="M3750">
        <v>39</v>
      </c>
      <c r="N3750">
        <v>244</v>
      </c>
      <c r="O3750">
        <v>53</v>
      </c>
      <c r="P3750">
        <v>12</v>
      </c>
      <c r="Q3750">
        <v>19</v>
      </c>
      <c r="R3750">
        <v>98</v>
      </c>
      <c r="S3750">
        <v>1.6333333333333333</v>
      </c>
      <c r="T3750">
        <v>0.6333333333333333</v>
      </c>
      <c r="U3750">
        <v>1.95</v>
      </c>
    </row>
    <row r="3751" spans="1:21" x14ac:dyDescent="0.35">
      <c r="A3751">
        <v>573</v>
      </c>
      <c r="B3751" s="16">
        <v>40817</v>
      </c>
      <c r="C3751" s="15" t="s">
        <v>37</v>
      </c>
      <c r="D3751" s="15" t="s">
        <v>58</v>
      </c>
      <c r="E3751" s="15" t="s">
        <v>56</v>
      </c>
      <c r="F3751" s="15" t="s">
        <v>47</v>
      </c>
      <c r="G3751" s="15" t="s">
        <v>60</v>
      </c>
      <c r="H3751" s="15" t="s">
        <v>42</v>
      </c>
      <c r="I3751">
        <v>10</v>
      </c>
      <c r="J3751">
        <v>20</v>
      </c>
      <c r="K3751">
        <v>0</v>
      </c>
      <c r="L3751">
        <v>30</v>
      </c>
      <c r="M3751">
        <v>25</v>
      </c>
      <c r="N3751">
        <v>209</v>
      </c>
      <c r="O3751">
        <v>31</v>
      </c>
      <c r="P3751">
        <v>9</v>
      </c>
      <c r="Q3751">
        <v>-16</v>
      </c>
      <c r="R3751">
        <v>60</v>
      </c>
      <c r="S3751">
        <v>2</v>
      </c>
      <c r="U3751">
        <v>2.5</v>
      </c>
    </row>
    <row r="3752" spans="1:21" x14ac:dyDescent="0.35">
      <c r="A3752">
        <v>314</v>
      </c>
      <c r="B3752" s="16">
        <v>40817</v>
      </c>
      <c r="C3752" s="15" t="s">
        <v>37</v>
      </c>
      <c r="D3752" s="15" t="s">
        <v>58</v>
      </c>
      <c r="E3752" s="15" t="s">
        <v>46</v>
      </c>
      <c r="F3752" s="15" t="s">
        <v>47</v>
      </c>
      <c r="G3752" s="15" t="s">
        <v>60</v>
      </c>
      <c r="H3752" s="15" t="s">
        <v>42</v>
      </c>
      <c r="I3752">
        <v>10</v>
      </c>
      <c r="J3752">
        <v>30</v>
      </c>
      <c r="K3752">
        <v>10</v>
      </c>
      <c r="L3752">
        <v>40</v>
      </c>
      <c r="M3752">
        <v>34</v>
      </c>
      <c r="N3752">
        <v>240</v>
      </c>
      <c r="O3752">
        <v>43</v>
      </c>
      <c r="P3752">
        <v>12</v>
      </c>
      <c r="Q3752">
        <v>-4</v>
      </c>
      <c r="R3752">
        <v>82</v>
      </c>
      <c r="S3752">
        <v>2.0499999999999998</v>
      </c>
      <c r="T3752">
        <v>-0.4</v>
      </c>
      <c r="U3752">
        <v>3.4</v>
      </c>
    </row>
    <row r="3753" spans="1:21" x14ac:dyDescent="0.35">
      <c r="A3753">
        <v>573</v>
      </c>
      <c r="B3753" s="16">
        <v>40817</v>
      </c>
      <c r="C3753" s="15" t="s">
        <v>37</v>
      </c>
      <c r="D3753" s="15" t="s">
        <v>58</v>
      </c>
      <c r="E3753" s="15" t="s">
        <v>48</v>
      </c>
      <c r="F3753" s="15" t="s">
        <v>49</v>
      </c>
      <c r="G3753" s="15" t="s">
        <v>60</v>
      </c>
      <c r="H3753" s="15" t="s">
        <v>42</v>
      </c>
      <c r="I3753">
        <v>50</v>
      </c>
      <c r="J3753">
        <v>90</v>
      </c>
      <c r="K3753">
        <v>90</v>
      </c>
      <c r="L3753">
        <v>140</v>
      </c>
      <c r="M3753">
        <v>40</v>
      </c>
      <c r="N3753">
        <v>881</v>
      </c>
      <c r="O3753">
        <v>59</v>
      </c>
      <c r="P3753">
        <v>11</v>
      </c>
      <c r="Q3753">
        <v>53</v>
      </c>
      <c r="R3753">
        <v>106</v>
      </c>
      <c r="S3753">
        <v>0.75714285714285712</v>
      </c>
      <c r="T3753">
        <v>0.58888888888888891</v>
      </c>
      <c r="U3753">
        <v>0.8</v>
      </c>
    </row>
    <row r="3754" spans="1:21" x14ac:dyDescent="0.35">
      <c r="A3754">
        <v>417</v>
      </c>
      <c r="B3754" s="16">
        <v>40817</v>
      </c>
      <c r="C3754" s="15" t="s">
        <v>37</v>
      </c>
      <c r="D3754" s="15" t="s">
        <v>58</v>
      </c>
      <c r="E3754" s="15" t="s">
        <v>50</v>
      </c>
      <c r="F3754" s="15" t="s">
        <v>49</v>
      </c>
      <c r="G3754" s="15" t="s">
        <v>60</v>
      </c>
      <c r="H3754" s="15" t="s">
        <v>45</v>
      </c>
      <c r="I3754">
        <v>30</v>
      </c>
      <c r="J3754">
        <v>80</v>
      </c>
      <c r="K3754">
        <v>80</v>
      </c>
      <c r="L3754">
        <v>110</v>
      </c>
      <c r="M3754">
        <v>32</v>
      </c>
      <c r="N3754">
        <v>833</v>
      </c>
      <c r="O3754">
        <v>47</v>
      </c>
      <c r="P3754">
        <v>8</v>
      </c>
      <c r="Q3754">
        <v>42</v>
      </c>
      <c r="R3754">
        <v>84</v>
      </c>
      <c r="S3754">
        <v>0.76363636363636367</v>
      </c>
      <c r="T3754">
        <v>0.52500000000000002</v>
      </c>
      <c r="U3754">
        <v>1.0666666666666667</v>
      </c>
    </row>
    <row r="3755" spans="1:21" x14ac:dyDescent="0.35">
      <c r="A3755">
        <v>573</v>
      </c>
      <c r="B3755" s="16">
        <v>40817</v>
      </c>
      <c r="C3755" s="15" t="s">
        <v>37</v>
      </c>
      <c r="D3755" s="15" t="s">
        <v>58</v>
      </c>
      <c r="E3755" s="15" t="s">
        <v>43</v>
      </c>
      <c r="F3755" s="15" t="s">
        <v>40</v>
      </c>
      <c r="G3755" s="15" t="s">
        <v>60</v>
      </c>
      <c r="H3755" s="15" t="s">
        <v>42</v>
      </c>
      <c r="I3755">
        <v>70</v>
      </c>
      <c r="J3755">
        <v>100</v>
      </c>
      <c r="K3755">
        <v>70</v>
      </c>
      <c r="L3755">
        <v>170</v>
      </c>
      <c r="M3755">
        <v>79</v>
      </c>
      <c r="N3755">
        <v>593</v>
      </c>
      <c r="O3755">
        <v>98</v>
      </c>
      <c r="P3755">
        <v>30</v>
      </c>
      <c r="Q3755">
        <v>52</v>
      </c>
      <c r="R3755">
        <v>189</v>
      </c>
      <c r="S3755">
        <v>1.111764705882353</v>
      </c>
      <c r="T3755">
        <v>0.74285714285714288</v>
      </c>
      <c r="U3755">
        <v>1.1285714285714286</v>
      </c>
    </row>
    <row r="3756" spans="1:21" x14ac:dyDescent="0.35">
      <c r="A3756">
        <v>636</v>
      </c>
      <c r="B3756" s="16">
        <v>40817</v>
      </c>
      <c r="C3756" s="15" t="s">
        <v>37</v>
      </c>
      <c r="D3756" s="15" t="s">
        <v>58</v>
      </c>
      <c r="E3756" s="15" t="s">
        <v>44</v>
      </c>
      <c r="F3756" s="15" t="s">
        <v>40</v>
      </c>
      <c r="G3756" s="15" t="s">
        <v>60</v>
      </c>
      <c r="H3756" s="15" t="s">
        <v>45</v>
      </c>
      <c r="I3756">
        <v>50</v>
      </c>
      <c r="J3756">
        <v>80</v>
      </c>
      <c r="K3756">
        <v>70</v>
      </c>
      <c r="L3756">
        <v>130</v>
      </c>
      <c r="M3756">
        <v>65</v>
      </c>
      <c r="N3756">
        <v>1053</v>
      </c>
      <c r="O3756">
        <v>77</v>
      </c>
      <c r="P3756">
        <v>20</v>
      </c>
      <c r="Q3756">
        <v>52</v>
      </c>
      <c r="R3756">
        <v>151</v>
      </c>
      <c r="S3756">
        <v>1.1615384615384616</v>
      </c>
      <c r="T3756">
        <v>0.74285714285714288</v>
      </c>
      <c r="U3756">
        <v>1.3</v>
      </c>
    </row>
    <row r="3757" spans="1:21" x14ac:dyDescent="0.35">
      <c r="A3757">
        <v>937</v>
      </c>
      <c r="B3757" s="16">
        <v>40817</v>
      </c>
      <c r="C3757" s="15" t="s">
        <v>37</v>
      </c>
      <c r="D3757" s="15" t="s">
        <v>38</v>
      </c>
      <c r="E3757" s="15" t="s">
        <v>51</v>
      </c>
      <c r="F3757" s="15" t="s">
        <v>52</v>
      </c>
      <c r="G3757" s="15" t="s">
        <v>61</v>
      </c>
      <c r="H3757" s="15" t="s">
        <v>45</v>
      </c>
      <c r="I3757">
        <v>0</v>
      </c>
      <c r="J3757">
        <v>30</v>
      </c>
      <c r="K3757">
        <v>30</v>
      </c>
      <c r="L3757">
        <v>30</v>
      </c>
      <c r="M3757">
        <v>21</v>
      </c>
      <c r="N3757">
        <v>480</v>
      </c>
      <c r="O3757">
        <v>32</v>
      </c>
      <c r="P3757">
        <v>5</v>
      </c>
      <c r="Q3757">
        <v>24</v>
      </c>
      <c r="R3757">
        <v>56</v>
      </c>
      <c r="S3757">
        <v>1.8666666666666667</v>
      </c>
      <c r="T3757">
        <v>0.8</v>
      </c>
    </row>
    <row r="3758" spans="1:21" x14ac:dyDescent="0.35">
      <c r="A3758">
        <v>937</v>
      </c>
      <c r="B3758" s="16">
        <v>40817</v>
      </c>
      <c r="C3758" s="15" t="s">
        <v>37</v>
      </c>
      <c r="D3758" s="15" t="s">
        <v>38</v>
      </c>
      <c r="E3758" s="15" t="s">
        <v>53</v>
      </c>
      <c r="F3758" s="15" t="s">
        <v>52</v>
      </c>
      <c r="G3758" s="15" t="s">
        <v>61</v>
      </c>
      <c r="H3758" s="15" t="s">
        <v>45</v>
      </c>
      <c r="I3758">
        <v>10</v>
      </c>
      <c r="J3758">
        <v>30</v>
      </c>
      <c r="K3758">
        <v>30</v>
      </c>
      <c r="L3758">
        <v>40</v>
      </c>
      <c r="M3758">
        <v>27</v>
      </c>
      <c r="N3758">
        <v>859</v>
      </c>
      <c r="O3758">
        <v>39</v>
      </c>
      <c r="P3758">
        <v>7</v>
      </c>
      <c r="Q3758">
        <v>30</v>
      </c>
      <c r="R3758">
        <v>70</v>
      </c>
      <c r="S3758">
        <v>1.75</v>
      </c>
      <c r="T3758">
        <v>1</v>
      </c>
      <c r="U3758">
        <v>2.7</v>
      </c>
    </row>
    <row r="3759" spans="1:21" x14ac:dyDescent="0.35">
      <c r="A3759">
        <v>419</v>
      </c>
      <c r="B3759" s="16">
        <v>40817</v>
      </c>
      <c r="C3759" s="15" t="s">
        <v>37</v>
      </c>
      <c r="D3759" s="15" t="s">
        <v>38</v>
      </c>
      <c r="E3759" s="15" t="s">
        <v>55</v>
      </c>
      <c r="F3759" s="15" t="s">
        <v>47</v>
      </c>
      <c r="G3759" s="15" t="s">
        <v>61</v>
      </c>
      <c r="H3759" s="15" t="s">
        <v>42</v>
      </c>
      <c r="I3759">
        <v>50</v>
      </c>
      <c r="J3759">
        <v>90</v>
      </c>
      <c r="K3759">
        <v>60</v>
      </c>
      <c r="L3759">
        <v>140</v>
      </c>
      <c r="M3759">
        <v>82</v>
      </c>
      <c r="N3759">
        <v>788</v>
      </c>
      <c r="O3759">
        <v>123</v>
      </c>
      <c r="P3759">
        <v>27</v>
      </c>
      <c r="Q3759">
        <v>96</v>
      </c>
      <c r="R3759">
        <v>218</v>
      </c>
      <c r="S3759">
        <v>1.5571428571428572</v>
      </c>
      <c r="T3759">
        <v>1.6</v>
      </c>
      <c r="U3759">
        <v>1.64</v>
      </c>
    </row>
    <row r="3760" spans="1:21" x14ac:dyDescent="0.35">
      <c r="A3760">
        <v>419</v>
      </c>
      <c r="B3760" s="16">
        <v>40817</v>
      </c>
      <c r="C3760" s="15" t="s">
        <v>37</v>
      </c>
      <c r="D3760" s="15" t="s">
        <v>38</v>
      </c>
      <c r="E3760" s="15" t="s">
        <v>56</v>
      </c>
      <c r="F3760" s="15" t="s">
        <v>47</v>
      </c>
      <c r="G3760" s="15" t="s">
        <v>61</v>
      </c>
      <c r="H3760" s="15" t="s">
        <v>42</v>
      </c>
      <c r="I3760">
        <v>50</v>
      </c>
      <c r="J3760">
        <v>100</v>
      </c>
      <c r="K3760">
        <v>80</v>
      </c>
      <c r="L3760">
        <v>150</v>
      </c>
      <c r="M3760">
        <v>91</v>
      </c>
      <c r="N3760">
        <v>656</v>
      </c>
      <c r="O3760">
        <v>127</v>
      </c>
      <c r="P3760">
        <v>28</v>
      </c>
      <c r="Q3760">
        <v>113</v>
      </c>
      <c r="R3760">
        <v>232</v>
      </c>
      <c r="S3760">
        <v>1.5466666666666666</v>
      </c>
      <c r="T3760">
        <v>1.4125000000000001</v>
      </c>
      <c r="U3760">
        <v>1.82</v>
      </c>
    </row>
    <row r="3761" spans="1:21" x14ac:dyDescent="0.35">
      <c r="A3761">
        <v>513</v>
      </c>
      <c r="B3761" s="16">
        <v>40817</v>
      </c>
      <c r="C3761" s="15" t="s">
        <v>37</v>
      </c>
      <c r="D3761" s="15" t="s">
        <v>38</v>
      </c>
      <c r="E3761" s="15" t="s">
        <v>48</v>
      </c>
      <c r="F3761" s="15" t="s">
        <v>49</v>
      </c>
      <c r="G3761" s="15" t="s">
        <v>61</v>
      </c>
      <c r="H3761" s="15" t="s">
        <v>42</v>
      </c>
      <c r="I3761">
        <v>230</v>
      </c>
      <c r="J3761">
        <v>240</v>
      </c>
      <c r="K3761">
        <v>190</v>
      </c>
      <c r="L3761">
        <v>470</v>
      </c>
      <c r="M3761">
        <v>161</v>
      </c>
      <c r="N3761">
        <v>1267</v>
      </c>
      <c r="O3761">
        <v>161</v>
      </c>
      <c r="P3761">
        <v>45</v>
      </c>
      <c r="Q3761">
        <v>137</v>
      </c>
      <c r="R3761">
        <v>343</v>
      </c>
      <c r="S3761">
        <v>0.72978723404255319</v>
      </c>
      <c r="T3761">
        <v>0.72105263157894739</v>
      </c>
      <c r="U3761">
        <v>0.7</v>
      </c>
    </row>
    <row r="3762" spans="1:21" x14ac:dyDescent="0.35">
      <c r="A3762">
        <v>419</v>
      </c>
      <c r="B3762" s="16">
        <v>40817</v>
      </c>
      <c r="C3762" s="15" t="s">
        <v>37</v>
      </c>
      <c r="D3762" s="15" t="s">
        <v>38</v>
      </c>
      <c r="E3762" s="15" t="s">
        <v>50</v>
      </c>
      <c r="F3762" s="15" t="s">
        <v>49</v>
      </c>
      <c r="G3762" s="15" t="s">
        <v>61</v>
      </c>
      <c r="H3762" s="15" t="s">
        <v>45</v>
      </c>
      <c r="I3762">
        <v>70</v>
      </c>
      <c r="J3762">
        <v>100</v>
      </c>
      <c r="K3762">
        <v>70</v>
      </c>
      <c r="L3762">
        <v>170</v>
      </c>
      <c r="M3762">
        <v>54</v>
      </c>
      <c r="N3762">
        <v>404</v>
      </c>
      <c r="O3762">
        <v>66</v>
      </c>
      <c r="P3762">
        <v>20</v>
      </c>
      <c r="Q3762">
        <v>18</v>
      </c>
      <c r="R3762">
        <v>128</v>
      </c>
      <c r="S3762">
        <v>0.75294117647058822</v>
      </c>
      <c r="T3762">
        <v>0.25714285714285712</v>
      </c>
      <c r="U3762">
        <v>0.77142857142857146</v>
      </c>
    </row>
    <row r="3763" spans="1:21" x14ac:dyDescent="0.35">
      <c r="A3763">
        <v>614</v>
      </c>
      <c r="B3763" s="16">
        <v>40817</v>
      </c>
      <c r="C3763" s="15" t="s">
        <v>37</v>
      </c>
      <c r="D3763" s="15" t="s">
        <v>38</v>
      </c>
      <c r="E3763" s="15" t="s">
        <v>39</v>
      </c>
      <c r="F3763" s="15" t="s">
        <v>40</v>
      </c>
      <c r="G3763" s="15" t="s">
        <v>61</v>
      </c>
      <c r="H3763" s="15" t="s">
        <v>42</v>
      </c>
      <c r="I3763">
        <v>40</v>
      </c>
      <c r="J3763">
        <v>70</v>
      </c>
      <c r="K3763">
        <v>60</v>
      </c>
      <c r="L3763">
        <v>110</v>
      </c>
      <c r="M3763">
        <v>52</v>
      </c>
      <c r="N3763">
        <v>405</v>
      </c>
      <c r="O3763">
        <v>71</v>
      </c>
      <c r="P3763">
        <v>17</v>
      </c>
      <c r="Q3763">
        <v>39</v>
      </c>
      <c r="R3763">
        <v>131</v>
      </c>
      <c r="S3763">
        <v>1.1909090909090909</v>
      </c>
      <c r="T3763">
        <v>0.65</v>
      </c>
      <c r="U3763">
        <v>1.3</v>
      </c>
    </row>
    <row r="3764" spans="1:21" x14ac:dyDescent="0.35">
      <c r="A3764">
        <v>937</v>
      </c>
      <c r="B3764" s="16">
        <v>40817</v>
      </c>
      <c r="C3764" s="15" t="s">
        <v>37</v>
      </c>
      <c r="D3764" s="15" t="s">
        <v>38</v>
      </c>
      <c r="E3764" s="15" t="s">
        <v>43</v>
      </c>
      <c r="F3764" s="15" t="s">
        <v>40</v>
      </c>
      <c r="G3764" s="15" t="s">
        <v>61</v>
      </c>
      <c r="H3764" s="15" t="s">
        <v>42</v>
      </c>
      <c r="I3764">
        <v>30</v>
      </c>
      <c r="J3764">
        <v>70</v>
      </c>
      <c r="K3764">
        <v>60</v>
      </c>
      <c r="L3764">
        <v>100</v>
      </c>
      <c r="M3764">
        <v>43</v>
      </c>
      <c r="N3764">
        <v>419</v>
      </c>
      <c r="O3764">
        <v>64</v>
      </c>
      <c r="P3764">
        <v>13</v>
      </c>
      <c r="Q3764">
        <v>42</v>
      </c>
      <c r="R3764">
        <v>114</v>
      </c>
      <c r="S3764">
        <v>1.1399999999999999</v>
      </c>
      <c r="T3764">
        <v>0.7</v>
      </c>
      <c r="U3764">
        <v>1.4333333333333333</v>
      </c>
    </row>
    <row r="3765" spans="1:21" x14ac:dyDescent="0.35">
      <c r="A3765">
        <v>234</v>
      </c>
      <c r="B3765" s="16">
        <v>40817</v>
      </c>
      <c r="C3765" s="15" t="s">
        <v>37</v>
      </c>
      <c r="D3765" s="15" t="s">
        <v>38</v>
      </c>
      <c r="E3765" s="15" t="s">
        <v>44</v>
      </c>
      <c r="F3765" s="15" t="s">
        <v>40</v>
      </c>
      <c r="G3765" s="15" t="s">
        <v>61</v>
      </c>
      <c r="H3765" s="15" t="s">
        <v>45</v>
      </c>
      <c r="I3765">
        <v>40</v>
      </c>
      <c r="J3765">
        <v>70</v>
      </c>
      <c r="K3765">
        <v>30</v>
      </c>
      <c r="L3765">
        <v>110</v>
      </c>
      <c r="M3765">
        <v>51</v>
      </c>
      <c r="N3765">
        <v>503</v>
      </c>
      <c r="O3765">
        <v>71</v>
      </c>
      <c r="P3765">
        <v>46</v>
      </c>
      <c r="Q3765">
        <v>-7</v>
      </c>
      <c r="R3765">
        <v>130</v>
      </c>
      <c r="S3765">
        <v>1.1818181818181819</v>
      </c>
      <c r="T3765">
        <v>-0.23333333333333334</v>
      </c>
      <c r="U3765">
        <v>1.2749999999999999</v>
      </c>
    </row>
    <row r="3766" spans="1:21" x14ac:dyDescent="0.35">
      <c r="A3766">
        <v>715</v>
      </c>
      <c r="B3766" s="16">
        <v>40817</v>
      </c>
      <c r="C3766" s="15" t="s">
        <v>37</v>
      </c>
      <c r="D3766" s="15" t="s">
        <v>58</v>
      </c>
      <c r="E3766" s="15" t="s">
        <v>51</v>
      </c>
      <c r="F3766" s="15" t="s">
        <v>52</v>
      </c>
      <c r="G3766" s="15" t="s">
        <v>62</v>
      </c>
      <c r="H3766" s="15" t="s">
        <v>45</v>
      </c>
      <c r="I3766">
        <v>40</v>
      </c>
      <c r="J3766">
        <v>80</v>
      </c>
      <c r="K3766">
        <v>80</v>
      </c>
      <c r="L3766">
        <v>120</v>
      </c>
      <c r="M3766">
        <v>60</v>
      </c>
      <c r="N3766">
        <v>329</v>
      </c>
      <c r="O3766">
        <v>99</v>
      </c>
      <c r="P3766">
        <v>18</v>
      </c>
      <c r="Q3766">
        <v>85</v>
      </c>
      <c r="R3766">
        <v>169</v>
      </c>
      <c r="S3766">
        <v>1.4083333333333334</v>
      </c>
      <c r="T3766">
        <v>1.0625</v>
      </c>
      <c r="U3766">
        <v>1.5</v>
      </c>
    </row>
    <row r="3767" spans="1:21" x14ac:dyDescent="0.35">
      <c r="A3767">
        <v>262</v>
      </c>
      <c r="B3767" s="16">
        <v>40817</v>
      </c>
      <c r="C3767" s="15" t="s">
        <v>37</v>
      </c>
      <c r="D3767" s="15" t="s">
        <v>58</v>
      </c>
      <c r="E3767" s="15" t="s">
        <v>53</v>
      </c>
      <c r="F3767" s="15" t="s">
        <v>52</v>
      </c>
      <c r="G3767" s="15" t="s">
        <v>62</v>
      </c>
      <c r="H3767" s="15" t="s">
        <v>45</v>
      </c>
      <c r="I3767">
        <v>30</v>
      </c>
      <c r="J3767">
        <v>60</v>
      </c>
      <c r="K3767">
        <v>60</v>
      </c>
      <c r="L3767">
        <v>90</v>
      </c>
      <c r="M3767">
        <v>48</v>
      </c>
      <c r="N3767">
        <v>851</v>
      </c>
      <c r="O3767">
        <v>70</v>
      </c>
      <c r="P3767">
        <v>13</v>
      </c>
      <c r="Q3767">
        <v>67</v>
      </c>
      <c r="R3767">
        <v>126</v>
      </c>
      <c r="S3767">
        <v>1.4</v>
      </c>
      <c r="T3767">
        <v>1.1166666666666667</v>
      </c>
      <c r="U3767">
        <v>1.6</v>
      </c>
    </row>
    <row r="3768" spans="1:21" x14ac:dyDescent="0.35">
      <c r="A3768">
        <v>262</v>
      </c>
      <c r="B3768" s="16">
        <v>40817</v>
      </c>
      <c r="C3768" s="15" t="s">
        <v>37</v>
      </c>
      <c r="D3768" s="15" t="s">
        <v>58</v>
      </c>
      <c r="E3768" s="15" t="s">
        <v>55</v>
      </c>
      <c r="F3768" s="15" t="s">
        <v>47</v>
      </c>
      <c r="G3768" s="15" t="s">
        <v>62</v>
      </c>
      <c r="H3768" s="15" t="s">
        <v>42</v>
      </c>
      <c r="I3768">
        <v>20</v>
      </c>
      <c r="J3768">
        <v>50</v>
      </c>
      <c r="K3768">
        <v>40</v>
      </c>
      <c r="L3768">
        <v>70</v>
      </c>
      <c r="M3768">
        <v>46</v>
      </c>
      <c r="N3768">
        <v>449</v>
      </c>
      <c r="O3768">
        <v>67</v>
      </c>
      <c r="P3768">
        <v>14</v>
      </c>
      <c r="Q3768">
        <v>45</v>
      </c>
      <c r="R3768">
        <v>120</v>
      </c>
      <c r="S3768">
        <v>1.7142857142857142</v>
      </c>
      <c r="T3768">
        <v>1.125</v>
      </c>
      <c r="U3768">
        <v>2.2999999999999998</v>
      </c>
    </row>
    <row r="3769" spans="1:21" x14ac:dyDescent="0.35">
      <c r="A3769">
        <v>262</v>
      </c>
      <c r="B3769" s="16">
        <v>40817</v>
      </c>
      <c r="C3769" s="15" t="s">
        <v>37</v>
      </c>
      <c r="D3769" s="15" t="s">
        <v>58</v>
      </c>
      <c r="E3769" s="15" t="s">
        <v>56</v>
      </c>
      <c r="F3769" s="15" t="s">
        <v>47</v>
      </c>
      <c r="G3769" s="15" t="s">
        <v>62</v>
      </c>
      <c r="H3769" s="15" t="s">
        <v>42</v>
      </c>
      <c r="I3769">
        <v>40</v>
      </c>
      <c r="J3769">
        <v>50</v>
      </c>
      <c r="K3769">
        <v>0</v>
      </c>
      <c r="L3769">
        <v>90</v>
      </c>
      <c r="M3769">
        <v>60</v>
      </c>
      <c r="N3769">
        <v>606</v>
      </c>
      <c r="O3769">
        <v>84</v>
      </c>
      <c r="P3769">
        <v>54</v>
      </c>
      <c r="Q3769">
        <v>0</v>
      </c>
      <c r="R3769">
        <v>153</v>
      </c>
      <c r="S3769">
        <v>1.7</v>
      </c>
      <c r="U3769">
        <v>1.5</v>
      </c>
    </row>
    <row r="3770" spans="1:21" x14ac:dyDescent="0.35">
      <c r="A3770">
        <v>262</v>
      </c>
      <c r="B3770" s="16">
        <v>40817</v>
      </c>
      <c r="C3770" s="15" t="s">
        <v>37</v>
      </c>
      <c r="D3770" s="15" t="s">
        <v>58</v>
      </c>
      <c r="E3770" s="15" t="s">
        <v>48</v>
      </c>
      <c r="F3770" s="15" t="s">
        <v>49</v>
      </c>
      <c r="G3770" s="15" t="s">
        <v>62</v>
      </c>
      <c r="H3770" s="15" t="s">
        <v>42</v>
      </c>
      <c r="I3770">
        <v>110</v>
      </c>
      <c r="J3770">
        <v>140</v>
      </c>
      <c r="K3770">
        <v>120</v>
      </c>
      <c r="L3770">
        <v>250</v>
      </c>
      <c r="M3770">
        <v>80</v>
      </c>
      <c r="N3770">
        <v>1055</v>
      </c>
      <c r="O3770">
        <v>94</v>
      </c>
      <c r="P3770">
        <v>24</v>
      </c>
      <c r="Q3770">
        <v>71</v>
      </c>
      <c r="R3770">
        <v>185</v>
      </c>
      <c r="S3770">
        <v>0.74</v>
      </c>
      <c r="T3770">
        <v>0.59166666666666667</v>
      </c>
      <c r="U3770">
        <v>0.72727272727272729</v>
      </c>
    </row>
    <row r="3771" spans="1:21" x14ac:dyDescent="0.35">
      <c r="A3771">
        <v>262</v>
      </c>
      <c r="B3771" s="16">
        <v>40817</v>
      </c>
      <c r="C3771" s="15" t="s">
        <v>37</v>
      </c>
      <c r="D3771" s="15" t="s">
        <v>58</v>
      </c>
      <c r="E3771" s="15" t="s">
        <v>50</v>
      </c>
      <c r="F3771" s="15" t="s">
        <v>49</v>
      </c>
      <c r="G3771" s="15" t="s">
        <v>62</v>
      </c>
      <c r="H3771" s="15" t="s">
        <v>45</v>
      </c>
      <c r="I3771">
        <v>20</v>
      </c>
      <c r="J3771">
        <v>50</v>
      </c>
      <c r="K3771">
        <v>50</v>
      </c>
      <c r="L3771">
        <v>70</v>
      </c>
      <c r="M3771">
        <v>22</v>
      </c>
      <c r="N3771">
        <v>573</v>
      </c>
      <c r="O3771">
        <v>29</v>
      </c>
      <c r="P3771">
        <v>7</v>
      </c>
      <c r="Q3771">
        <v>15</v>
      </c>
      <c r="R3771">
        <v>54</v>
      </c>
      <c r="S3771">
        <v>0.77142857142857146</v>
      </c>
      <c r="T3771">
        <v>0.3</v>
      </c>
      <c r="U3771">
        <v>1.1000000000000001</v>
      </c>
    </row>
    <row r="3772" spans="1:21" x14ac:dyDescent="0.35">
      <c r="A3772">
        <v>414</v>
      </c>
      <c r="B3772" s="16">
        <v>40817</v>
      </c>
      <c r="C3772" s="15" t="s">
        <v>37</v>
      </c>
      <c r="D3772" s="15" t="s">
        <v>58</v>
      </c>
      <c r="E3772" s="15" t="s">
        <v>39</v>
      </c>
      <c r="F3772" s="15" t="s">
        <v>40</v>
      </c>
      <c r="G3772" s="15" t="s">
        <v>62</v>
      </c>
      <c r="H3772" s="15" t="s">
        <v>42</v>
      </c>
      <c r="I3772">
        <v>40</v>
      </c>
      <c r="J3772">
        <v>80</v>
      </c>
      <c r="K3772">
        <v>50</v>
      </c>
      <c r="L3772">
        <v>120</v>
      </c>
      <c r="M3772">
        <v>56</v>
      </c>
      <c r="N3772">
        <v>385</v>
      </c>
      <c r="O3772">
        <v>70</v>
      </c>
      <c r="P3772">
        <v>21</v>
      </c>
      <c r="Q3772">
        <v>22</v>
      </c>
      <c r="R3772">
        <v>134</v>
      </c>
      <c r="S3772">
        <v>1.1166666666666667</v>
      </c>
      <c r="T3772">
        <v>0.44</v>
      </c>
      <c r="U3772">
        <v>1.4</v>
      </c>
    </row>
    <row r="3773" spans="1:21" x14ac:dyDescent="0.35">
      <c r="A3773">
        <v>414</v>
      </c>
      <c r="B3773" s="16">
        <v>40817</v>
      </c>
      <c r="C3773" s="15" t="s">
        <v>37</v>
      </c>
      <c r="D3773" s="15" t="s">
        <v>58</v>
      </c>
      <c r="E3773" s="15" t="s">
        <v>43</v>
      </c>
      <c r="F3773" s="15" t="s">
        <v>40</v>
      </c>
      <c r="G3773" s="15" t="s">
        <v>62</v>
      </c>
      <c r="H3773" s="15" t="s">
        <v>42</v>
      </c>
      <c r="I3773">
        <v>90</v>
      </c>
      <c r="J3773">
        <v>140</v>
      </c>
      <c r="K3773">
        <v>60</v>
      </c>
      <c r="L3773">
        <v>230</v>
      </c>
      <c r="M3773">
        <v>96</v>
      </c>
      <c r="N3773">
        <v>683</v>
      </c>
      <c r="O3773">
        <v>134</v>
      </c>
      <c r="P3773">
        <v>87</v>
      </c>
      <c r="Q3773">
        <v>27</v>
      </c>
      <c r="R3773">
        <v>245</v>
      </c>
      <c r="S3773">
        <v>1.0652173913043479</v>
      </c>
      <c r="T3773">
        <v>0.45</v>
      </c>
      <c r="U3773">
        <v>1.0666666666666667</v>
      </c>
    </row>
    <row r="3774" spans="1:21" x14ac:dyDescent="0.35">
      <c r="A3774">
        <v>920</v>
      </c>
      <c r="B3774" s="16">
        <v>40817</v>
      </c>
      <c r="C3774" s="15" t="s">
        <v>37</v>
      </c>
      <c r="D3774" s="15" t="s">
        <v>58</v>
      </c>
      <c r="E3774" s="15" t="s">
        <v>44</v>
      </c>
      <c r="F3774" s="15" t="s">
        <v>40</v>
      </c>
      <c r="G3774" s="15" t="s">
        <v>62</v>
      </c>
      <c r="H3774" s="15" t="s">
        <v>45</v>
      </c>
      <c r="I3774">
        <v>80</v>
      </c>
      <c r="J3774">
        <v>120</v>
      </c>
      <c r="K3774">
        <v>100</v>
      </c>
      <c r="L3774">
        <v>200</v>
      </c>
      <c r="M3774">
        <v>86</v>
      </c>
      <c r="N3774">
        <v>547</v>
      </c>
      <c r="O3774">
        <v>116</v>
      </c>
      <c r="P3774">
        <v>28</v>
      </c>
      <c r="Q3774">
        <v>91</v>
      </c>
      <c r="R3774">
        <v>215</v>
      </c>
      <c r="S3774">
        <v>1.075</v>
      </c>
      <c r="T3774">
        <v>0.91</v>
      </c>
      <c r="U3774">
        <v>1.075</v>
      </c>
    </row>
    <row r="3775" spans="1:21" x14ac:dyDescent="0.35">
      <c r="A3775">
        <v>203</v>
      </c>
      <c r="B3775" s="16">
        <v>40817</v>
      </c>
      <c r="C3775" s="15" t="s">
        <v>63</v>
      </c>
      <c r="D3775" s="15" t="s">
        <v>58</v>
      </c>
      <c r="E3775" s="15" t="s">
        <v>53</v>
      </c>
      <c r="F3775" s="15" t="s">
        <v>52</v>
      </c>
      <c r="G3775" s="15" t="s">
        <v>64</v>
      </c>
      <c r="H3775" s="15" t="s">
        <v>45</v>
      </c>
      <c r="I3775">
        <v>40</v>
      </c>
      <c r="J3775">
        <v>50</v>
      </c>
      <c r="K3775">
        <v>30</v>
      </c>
      <c r="L3775">
        <v>90</v>
      </c>
      <c r="M3775">
        <v>79</v>
      </c>
      <c r="N3775">
        <v>593</v>
      </c>
      <c r="O3775">
        <v>98</v>
      </c>
      <c r="P3775">
        <v>30</v>
      </c>
      <c r="Q3775">
        <v>50</v>
      </c>
      <c r="R3775">
        <v>189</v>
      </c>
      <c r="S3775">
        <v>2.1</v>
      </c>
      <c r="T3775">
        <v>1.6666666666666667</v>
      </c>
      <c r="U3775">
        <v>1.9750000000000001</v>
      </c>
    </row>
    <row r="3776" spans="1:21" x14ac:dyDescent="0.35">
      <c r="A3776">
        <v>203</v>
      </c>
      <c r="B3776" s="16">
        <v>40817</v>
      </c>
      <c r="C3776" s="15" t="s">
        <v>63</v>
      </c>
      <c r="D3776" s="15" t="s">
        <v>58</v>
      </c>
      <c r="E3776" s="15" t="s">
        <v>54</v>
      </c>
      <c r="F3776" s="15" t="s">
        <v>52</v>
      </c>
      <c r="G3776" s="15" t="s">
        <v>64</v>
      </c>
      <c r="H3776" s="15" t="s">
        <v>45</v>
      </c>
      <c r="I3776">
        <v>30</v>
      </c>
      <c r="J3776">
        <v>50</v>
      </c>
      <c r="K3776">
        <v>50</v>
      </c>
      <c r="L3776">
        <v>80</v>
      </c>
      <c r="M3776">
        <v>65</v>
      </c>
      <c r="N3776">
        <v>1053</v>
      </c>
      <c r="O3776">
        <v>77</v>
      </c>
      <c r="P3776">
        <v>20</v>
      </c>
      <c r="Q3776">
        <v>52</v>
      </c>
      <c r="R3776">
        <v>151</v>
      </c>
      <c r="S3776">
        <v>1.8875</v>
      </c>
      <c r="T3776">
        <v>1.04</v>
      </c>
      <c r="U3776">
        <v>2.1666666666666665</v>
      </c>
    </row>
    <row r="3777" spans="1:21" x14ac:dyDescent="0.35">
      <c r="A3777">
        <v>475</v>
      </c>
      <c r="B3777" s="16">
        <v>40817</v>
      </c>
      <c r="C3777" s="15" t="s">
        <v>63</v>
      </c>
      <c r="D3777" s="15" t="s">
        <v>58</v>
      </c>
      <c r="E3777" s="15" t="s">
        <v>55</v>
      </c>
      <c r="F3777" s="15" t="s">
        <v>47</v>
      </c>
      <c r="G3777" s="15" t="s">
        <v>64</v>
      </c>
      <c r="H3777" s="15" t="s">
        <v>42</v>
      </c>
      <c r="I3777">
        <v>40</v>
      </c>
      <c r="J3777">
        <v>60</v>
      </c>
      <c r="K3777">
        <v>50</v>
      </c>
      <c r="L3777">
        <v>100</v>
      </c>
      <c r="M3777">
        <v>40</v>
      </c>
      <c r="N3777">
        <v>881</v>
      </c>
      <c r="O3777">
        <v>59</v>
      </c>
      <c r="P3777">
        <v>11</v>
      </c>
      <c r="Q3777">
        <v>53</v>
      </c>
      <c r="R3777">
        <v>106</v>
      </c>
      <c r="S3777">
        <v>1.06</v>
      </c>
      <c r="T3777">
        <v>1.06</v>
      </c>
      <c r="U3777">
        <v>1</v>
      </c>
    </row>
    <row r="3778" spans="1:21" x14ac:dyDescent="0.35">
      <c r="A3778">
        <v>203</v>
      </c>
      <c r="B3778" s="16">
        <v>40817</v>
      </c>
      <c r="C3778" s="15" t="s">
        <v>63</v>
      </c>
      <c r="D3778" s="15" t="s">
        <v>58</v>
      </c>
      <c r="E3778" s="15" t="s">
        <v>46</v>
      </c>
      <c r="F3778" s="15" t="s">
        <v>47</v>
      </c>
      <c r="G3778" s="15" t="s">
        <v>64</v>
      </c>
      <c r="H3778" s="15" t="s">
        <v>42</v>
      </c>
      <c r="I3778">
        <v>20</v>
      </c>
      <c r="J3778">
        <v>40</v>
      </c>
      <c r="K3778">
        <v>40</v>
      </c>
      <c r="L3778">
        <v>60</v>
      </c>
      <c r="M3778">
        <v>24</v>
      </c>
      <c r="N3778">
        <v>806</v>
      </c>
      <c r="O3778">
        <v>36</v>
      </c>
      <c r="P3778">
        <v>6</v>
      </c>
      <c r="Q3778">
        <v>27</v>
      </c>
      <c r="R3778">
        <v>64</v>
      </c>
      <c r="S3778">
        <v>1.0666666666666667</v>
      </c>
      <c r="T3778">
        <v>0.67500000000000004</v>
      </c>
      <c r="U3778">
        <v>1.2</v>
      </c>
    </row>
    <row r="3779" spans="1:21" x14ac:dyDescent="0.35">
      <c r="A3779">
        <v>959</v>
      </c>
      <c r="B3779" s="16">
        <v>40817</v>
      </c>
      <c r="C3779" s="15" t="s">
        <v>63</v>
      </c>
      <c r="D3779" s="15" t="s">
        <v>58</v>
      </c>
      <c r="E3779" s="15" t="s">
        <v>48</v>
      </c>
      <c r="F3779" s="15" t="s">
        <v>49</v>
      </c>
      <c r="G3779" s="15" t="s">
        <v>64</v>
      </c>
      <c r="H3779" s="15" t="s">
        <v>42</v>
      </c>
      <c r="I3779">
        <v>40</v>
      </c>
      <c r="J3779">
        <v>90</v>
      </c>
      <c r="K3779">
        <v>40</v>
      </c>
      <c r="L3779">
        <v>130</v>
      </c>
      <c r="M3779">
        <v>60</v>
      </c>
      <c r="N3779">
        <v>606</v>
      </c>
      <c r="O3779">
        <v>84</v>
      </c>
      <c r="P3779">
        <v>54</v>
      </c>
      <c r="Q3779">
        <v>1</v>
      </c>
      <c r="R3779">
        <v>153</v>
      </c>
      <c r="S3779">
        <v>1.176923076923077</v>
      </c>
      <c r="T3779">
        <v>2.5000000000000001E-2</v>
      </c>
      <c r="U3779">
        <v>1.5</v>
      </c>
    </row>
    <row r="3780" spans="1:21" x14ac:dyDescent="0.35">
      <c r="A3780">
        <v>203</v>
      </c>
      <c r="B3780" s="16">
        <v>40817</v>
      </c>
      <c r="C3780" s="15" t="s">
        <v>63</v>
      </c>
      <c r="D3780" s="15" t="s">
        <v>58</v>
      </c>
      <c r="E3780" s="15" t="s">
        <v>50</v>
      </c>
      <c r="F3780" s="15" t="s">
        <v>49</v>
      </c>
      <c r="G3780" s="15" t="s">
        <v>64</v>
      </c>
      <c r="H3780" s="15" t="s">
        <v>45</v>
      </c>
      <c r="I3780">
        <v>30</v>
      </c>
      <c r="J3780">
        <v>60</v>
      </c>
      <c r="K3780">
        <v>50</v>
      </c>
      <c r="L3780">
        <v>90</v>
      </c>
      <c r="M3780">
        <v>47</v>
      </c>
      <c r="N3780">
        <v>375</v>
      </c>
      <c r="O3780">
        <v>64</v>
      </c>
      <c r="P3780">
        <v>15</v>
      </c>
      <c r="Q3780">
        <v>31</v>
      </c>
      <c r="R3780">
        <v>118</v>
      </c>
      <c r="S3780">
        <v>1.3111111111111111</v>
      </c>
      <c r="T3780">
        <v>0.62</v>
      </c>
      <c r="U3780">
        <v>1.5666666666666667</v>
      </c>
    </row>
    <row r="3781" spans="1:21" x14ac:dyDescent="0.35">
      <c r="A3781">
        <v>203</v>
      </c>
      <c r="B3781" s="16">
        <v>40817</v>
      </c>
      <c r="C3781" s="15" t="s">
        <v>63</v>
      </c>
      <c r="D3781" s="15" t="s">
        <v>58</v>
      </c>
      <c r="E3781" s="15" t="s">
        <v>43</v>
      </c>
      <c r="F3781" s="15" t="s">
        <v>40</v>
      </c>
      <c r="G3781" s="15" t="s">
        <v>64</v>
      </c>
      <c r="H3781" s="15" t="s">
        <v>42</v>
      </c>
      <c r="I3781">
        <v>100</v>
      </c>
      <c r="J3781">
        <v>160</v>
      </c>
      <c r="K3781">
        <v>130</v>
      </c>
      <c r="L3781">
        <v>260</v>
      </c>
      <c r="M3781">
        <v>125</v>
      </c>
      <c r="N3781">
        <v>1119</v>
      </c>
      <c r="O3781">
        <v>188</v>
      </c>
      <c r="P3781">
        <v>41</v>
      </c>
      <c r="Q3781">
        <v>171</v>
      </c>
      <c r="R3781">
        <v>334</v>
      </c>
      <c r="S3781">
        <v>1.2846153846153847</v>
      </c>
      <c r="T3781">
        <v>1.3153846153846154</v>
      </c>
      <c r="U3781">
        <v>1.25</v>
      </c>
    </row>
    <row r="3782" spans="1:21" x14ac:dyDescent="0.35">
      <c r="A3782">
        <v>904</v>
      </c>
      <c r="B3782" s="16">
        <v>40817</v>
      </c>
      <c r="C3782" s="15" t="s">
        <v>63</v>
      </c>
      <c r="D3782" s="15" t="s">
        <v>38</v>
      </c>
      <c r="E3782" s="15" t="s">
        <v>51</v>
      </c>
      <c r="F3782" s="15" t="s">
        <v>52</v>
      </c>
      <c r="G3782" s="15" t="s">
        <v>65</v>
      </c>
      <c r="H3782" s="15" t="s">
        <v>45</v>
      </c>
      <c r="I3782">
        <v>0</v>
      </c>
      <c r="J3782">
        <v>20</v>
      </c>
      <c r="K3782">
        <v>20</v>
      </c>
      <c r="L3782">
        <v>20</v>
      </c>
      <c r="M3782">
        <v>22</v>
      </c>
      <c r="N3782">
        <v>573</v>
      </c>
      <c r="O3782">
        <v>29</v>
      </c>
      <c r="P3782">
        <v>7</v>
      </c>
      <c r="Q3782">
        <v>15</v>
      </c>
      <c r="R3782">
        <v>54</v>
      </c>
      <c r="S3782">
        <v>2.7</v>
      </c>
      <c r="T3782">
        <v>0.75</v>
      </c>
    </row>
    <row r="3783" spans="1:21" x14ac:dyDescent="0.35">
      <c r="A3783">
        <v>786</v>
      </c>
      <c r="B3783" s="16">
        <v>40817</v>
      </c>
      <c r="C3783" s="15" t="s">
        <v>63</v>
      </c>
      <c r="D3783" s="15" t="s">
        <v>38</v>
      </c>
      <c r="E3783" s="15" t="s">
        <v>53</v>
      </c>
      <c r="F3783" s="15" t="s">
        <v>52</v>
      </c>
      <c r="G3783" s="15" t="s">
        <v>65</v>
      </c>
      <c r="H3783" s="15" t="s">
        <v>45</v>
      </c>
      <c r="I3783">
        <v>30</v>
      </c>
      <c r="J3783">
        <v>30</v>
      </c>
      <c r="K3783">
        <v>20</v>
      </c>
      <c r="L3783">
        <v>60</v>
      </c>
      <c r="M3783">
        <v>56</v>
      </c>
      <c r="N3783">
        <v>385</v>
      </c>
      <c r="O3783">
        <v>70</v>
      </c>
      <c r="P3783">
        <v>21</v>
      </c>
      <c r="Q3783">
        <v>24</v>
      </c>
      <c r="R3783">
        <v>134</v>
      </c>
      <c r="S3783">
        <v>2.2333333333333334</v>
      </c>
      <c r="T3783">
        <v>1.2</v>
      </c>
      <c r="U3783">
        <v>1.8666666666666667</v>
      </c>
    </row>
    <row r="3784" spans="1:21" x14ac:dyDescent="0.35">
      <c r="A3784">
        <v>904</v>
      </c>
      <c r="B3784" s="16">
        <v>40817</v>
      </c>
      <c r="C3784" s="15" t="s">
        <v>63</v>
      </c>
      <c r="D3784" s="15" t="s">
        <v>38</v>
      </c>
      <c r="E3784" s="15" t="s">
        <v>54</v>
      </c>
      <c r="F3784" s="15" t="s">
        <v>52</v>
      </c>
      <c r="G3784" s="15" t="s">
        <v>65</v>
      </c>
      <c r="H3784" s="15" t="s">
        <v>45</v>
      </c>
      <c r="I3784">
        <v>40</v>
      </c>
      <c r="J3784">
        <v>50</v>
      </c>
      <c r="K3784">
        <v>40</v>
      </c>
      <c r="L3784">
        <v>90</v>
      </c>
      <c r="M3784">
        <v>80</v>
      </c>
      <c r="N3784">
        <v>1055</v>
      </c>
      <c r="O3784">
        <v>94</v>
      </c>
      <c r="P3784">
        <v>24</v>
      </c>
      <c r="Q3784">
        <v>71</v>
      </c>
      <c r="R3784">
        <v>185</v>
      </c>
      <c r="S3784">
        <v>2.0555555555555554</v>
      </c>
      <c r="T3784">
        <v>1.7749999999999999</v>
      </c>
      <c r="U3784">
        <v>2</v>
      </c>
    </row>
    <row r="3785" spans="1:21" x14ac:dyDescent="0.35">
      <c r="A3785">
        <v>561</v>
      </c>
      <c r="B3785" s="16">
        <v>40817</v>
      </c>
      <c r="C3785" s="15" t="s">
        <v>63</v>
      </c>
      <c r="D3785" s="15" t="s">
        <v>38</v>
      </c>
      <c r="E3785" s="15" t="s">
        <v>55</v>
      </c>
      <c r="F3785" s="15" t="s">
        <v>47</v>
      </c>
      <c r="G3785" s="15" t="s">
        <v>65</v>
      </c>
      <c r="H3785" s="15" t="s">
        <v>42</v>
      </c>
      <c r="I3785">
        <v>40</v>
      </c>
      <c r="J3785">
        <v>60</v>
      </c>
      <c r="K3785">
        <v>50</v>
      </c>
      <c r="L3785">
        <v>100</v>
      </c>
      <c r="M3785">
        <v>38</v>
      </c>
      <c r="N3785">
        <v>871</v>
      </c>
      <c r="O3785">
        <v>56</v>
      </c>
      <c r="P3785">
        <v>10</v>
      </c>
      <c r="Q3785">
        <v>52</v>
      </c>
      <c r="R3785">
        <v>100</v>
      </c>
      <c r="S3785">
        <v>1</v>
      </c>
      <c r="T3785">
        <v>1.04</v>
      </c>
      <c r="U3785">
        <v>0.95</v>
      </c>
    </row>
    <row r="3786" spans="1:21" x14ac:dyDescent="0.35">
      <c r="A3786">
        <v>772</v>
      </c>
      <c r="B3786" s="16">
        <v>40817</v>
      </c>
      <c r="C3786" s="15" t="s">
        <v>63</v>
      </c>
      <c r="D3786" s="15" t="s">
        <v>38</v>
      </c>
      <c r="E3786" s="15" t="s">
        <v>46</v>
      </c>
      <c r="F3786" s="15" t="s">
        <v>47</v>
      </c>
      <c r="G3786" s="15" t="s">
        <v>65</v>
      </c>
      <c r="H3786" s="15" t="s">
        <v>42</v>
      </c>
      <c r="I3786">
        <v>50</v>
      </c>
      <c r="J3786">
        <v>70</v>
      </c>
      <c r="K3786">
        <v>60</v>
      </c>
      <c r="L3786">
        <v>120</v>
      </c>
      <c r="M3786">
        <v>48</v>
      </c>
      <c r="N3786">
        <v>851</v>
      </c>
      <c r="O3786">
        <v>70</v>
      </c>
      <c r="P3786">
        <v>13</v>
      </c>
      <c r="Q3786">
        <v>68</v>
      </c>
      <c r="R3786">
        <v>126</v>
      </c>
      <c r="S3786">
        <v>1.05</v>
      </c>
      <c r="T3786">
        <v>1.1333333333333333</v>
      </c>
      <c r="U3786">
        <v>0.96</v>
      </c>
    </row>
    <row r="3787" spans="1:21" x14ac:dyDescent="0.35">
      <c r="A3787">
        <v>727</v>
      </c>
      <c r="B3787" s="16">
        <v>40817</v>
      </c>
      <c r="C3787" s="15" t="s">
        <v>63</v>
      </c>
      <c r="D3787" s="15" t="s">
        <v>38</v>
      </c>
      <c r="E3787" s="15" t="s">
        <v>48</v>
      </c>
      <c r="F3787" s="15" t="s">
        <v>49</v>
      </c>
      <c r="G3787" s="15" t="s">
        <v>65</v>
      </c>
      <c r="H3787" s="15" t="s">
        <v>42</v>
      </c>
      <c r="I3787">
        <v>80</v>
      </c>
      <c r="J3787">
        <v>130</v>
      </c>
      <c r="K3787">
        <v>50</v>
      </c>
      <c r="L3787">
        <v>210</v>
      </c>
      <c r="M3787">
        <v>96</v>
      </c>
      <c r="N3787">
        <v>683</v>
      </c>
      <c r="O3787">
        <v>134</v>
      </c>
      <c r="P3787">
        <v>87</v>
      </c>
      <c r="Q3787">
        <v>27</v>
      </c>
      <c r="R3787">
        <v>245</v>
      </c>
      <c r="S3787">
        <v>1.1666666666666667</v>
      </c>
      <c r="T3787">
        <v>0.54</v>
      </c>
      <c r="U3787">
        <v>1.2</v>
      </c>
    </row>
    <row r="3788" spans="1:21" x14ac:dyDescent="0.35">
      <c r="A3788">
        <v>321</v>
      </c>
      <c r="B3788" s="16">
        <v>40817</v>
      </c>
      <c r="C3788" s="15" t="s">
        <v>63</v>
      </c>
      <c r="D3788" s="15" t="s">
        <v>38</v>
      </c>
      <c r="E3788" s="15" t="s">
        <v>50</v>
      </c>
      <c r="F3788" s="15" t="s">
        <v>49</v>
      </c>
      <c r="G3788" s="15" t="s">
        <v>65</v>
      </c>
      <c r="H3788" s="15" t="s">
        <v>45</v>
      </c>
      <c r="I3788">
        <v>70</v>
      </c>
      <c r="J3788">
        <v>110</v>
      </c>
      <c r="K3788">
        <v>90</v>
      </c>
      <c r="L3788">
        <v>180</v>
      </c>
      <c r="M3788">
        <v>86</v>
      </c>
      <c r="N3788">
        <v>547</v>
      </c>
      <c r="O3788">
        <v>116</v>
      </c>
      <c r="P3788">
        <v>28</v>
      </c>
      <c r="Q3788">
        <v>89</v>
      </c>
      <c r="R3788">
        <v>215</v>
      </c>
      <c r="S3788">
        <v>1.1944444444444444</v>
      </c>
      <c r="T3788">
        <v>0.98888888888888893</v>
      </c>
      <c r="U3788">
        <v>1.2285714285714286</v>
      </c>
    </row>
    <row r="3789" spans="1:21" x14ac:dyDescent="0.35">
      <c r="A3789">
        <v>954</v>
      </c>
      <c r="B3789" s="16">
        <v>40817</v>
      </c>
      <c r="C3789" s="15" t="s">
        <v>63</v>
      </c>
      <c r="D3789" s="15" t="s">
        <v>38</v>
      </c>
      <c r="E3789" s="15" t="s">
        <v>43</v>
      </c>
      <c r="F3789" s="15" t="s">
        <v>40</v>
      </c>
      <c r="G3789" s="15" t="s">
        <v>65</v>
      </c>
      <c r="H3789" s="15" t="s">
        <v>42</v>
      </c>
      <c r="I3789">
        <v>60</v>
      </c>
      <c r="J3789">
        <v>110</v>
      </c>
      <c r="K3789">
        <v>90</v>
      </c>
      <c r="L3789">
        <v>170</v>
      </c>
      <c r="M3789">
        <v>82</v>
      </c>
      <c r="N3789">
        <v>788</v>
      </c>
      <c r="O3789">
        <v>123</v>
      </c>
      <c r="P3789">
        <v>27</v>
      </c>
      <c r="Q3789">
        <v>95</v>
      </c>
      <c r="R3789">
        <v>218</v>
      </c>
      <c r="S3789">
        <v>1.2823529411764707</v>
      </c>
      <c r="T3789">
        <v>1.0555555555555556</v>
      </c>
      <c r="U3789">
        <v>1.3666666666666667</v>
      </c>
    </row>
    <row r="3790" spans="1:21" x14ac:dyDescent="0.35">
      <c r="A3790">
        <v>772</v>
      </c>
      <c r="B3790" s="16">
        <v>40817</v>
      </c>
      <c r="C3790" s="15" t="s">
        <v>63</v>
      </c>
      <c r="D3790" s="15" t="s">
        <v>38</v>
      </c>
      <c r="E3790" s="15" t="s">
        <v>44</v>
      </c>
      <c r="F3790" s="15" t="s">
        <v>40</v>
      </c>
      <c r="G3790" s="15" t="s">
        <v>65</v>
      </c>
      <c r="H3790" s="15" t="s">
        <v>45</v>
      </c>
      <c r="I3790">
        <v>70</v>
      </c>
      <c r="J3790">
        <v>110</v>
      </c>
      <c r="K3790">
        <v>90</v>
      </c>
      <c r="L3790">
        <v>180</v>
      </c>
      <c r="M3790">
        <v>91</v>
      </c>
      <c r="N3790">
        <v>656</v>
      </c>
      <c r="O3790">
        <v>127</v>
      </c>
      <c r="P3790">
        <v>28</v>
      </c>
      <c r="Q3790">
        <v>113</v>
      </c>
      <c r="R3790">
        <v>232</v>
      </c>
      <c r="S3790">
        <v>1.288888888888889</v>
      </c>
      <c r="T3790">
        <v>1.2555555555555555</v>
      </c>
      <c r="U3790">
        <v>1.3</v>
      </c>
    </row>
    <row r="3791" spans="1:21" x14ac:dyDescent="0.35">
      <c r="A3791">
        <v>339</v>
      </c>
      <c r="B3791" s="16">
        <v>40817</v>
      </c>
      <c r="C3791" s="15" t="s">
        <v>63</v>
      </c>
      <c r="D3791" s="15" t="s">
        <v>38</v>
      </c>
      <c r="E3791" s="15" t="s">
        <v>53</v>
      </c>
      <c r="F3791" s="15" t="s">
        <v>52</v>
      </c>
      <c r="G3791" s="15" t="s">
        <v>66</v>
      </c>
      <c r="H3791" s="15" t="s">
        <v>45</v>
      </c>
      <c r="I3791">
        <v>30</v>
      </c>
      <c r="J3791">
        <v>30</v>
      </c>
      <c r="K3791">
        <v>20</v>
      </c>
      <c r="L3791">
        <v>60</v>
      </c>
      <c r="M3791">
        <v>54</v>
      </c>
      <c r="N3791">
        <v>404</v>
      </c>
      <c r="O3791">
        <v>66</v>
      </c>
      <c r="P3791">
        <v>20</v>
      </c>
      <c r="Q3791">
        <v>19</v>
      </c>
      <c r="R3791">
        <v>128</v>
      </c>
      <c r="S3791">
        <v>2.1333333333333333</v>
      </c>
      <c r="T3791">
        <v>0.95</v>
      </c>
      <c r="U3791">
        <v>1.8</v>
      </c>
    </row>
    <row r="3792" spans="1:21" x14ac:dyDescent="0.35">
      <c r="A3792">
        <v>978</v>
      </c>
      <c r="B3792" s="16">
        <v>40817</v>
      </c>
      <c r="C3792" s="15" t="s">
        <v>63</v>
      </c>
      <c r="D3792" s="15" t="s">
        <v>38</v>
      </c>
      <c r="E3792" s="15" t="s">
        <v>55</v>
      </c>
      <c r="F3792" s="15" t="s">
        <v>47</v>
      </c>
      <c r="G3792" s="15" t="s">
        <v>66</v>
      </c>
      <c r="H3792" s="15" t="s">
        <v>42</v>
      </c>
      <c r="I3792">
        <v>20</v>
      </c>
      <c r="J3792">
        <v>50</v>
      </c>
      <c r="K3792">
        <v>50</v>
      </c>
      <c r="L3792">
        <v>70</v>
      </c>
      <c r="M3792">
        <v>27</v>
      </c>
      <c r="N3792">
        <v>859</v>
      </c>
      <c r="O3792">
        <v>39</v>
      </c>
      <c r="P3792">
        <v>7</v>
      </c>
      <c r="Q3792">
        <v>30</v>
      </c>
      <c r="R3792">
        <v>70</v>
      </c>
      <c r="S3792">
        <v>1</v>
      </c>
      <c r="T3792">
        <v>0.6</v>
      </c>
      <c r="U3792">
        <v>1.35</v>
      </c>
    </row>
    <row r="3793" spans="1:21" x14ac:dyDescent="0.35">
      <c r="A3793">
        <v>781</v>
      </c>
      <c r="B3793" s="16">
        <v>40817</v>
      </c>
      <c r="C3793" s="15" t="s">
        <v>63</v>
      </c>
      <c r="D3793" s="15" t="s">
        <v>38</v>
      </c>
      <c r="E3793" s="15" t="s">
        <v>46</v>
      </c>
      <c r="F3793" s="15" t="s">
        <v>47</v>
      </c>
      <c r="G3793" s="15" t="s">
        <v>66</v>
      </c>
      <c r="H3793" s="15" t="s">
        <v>42</v>
      </c>
      <c r="I3793">
        <v>20</v>
      </c>
      <c r="J3793">
        <v>30</v>
      </c>
      <c r="K3793">
        <v>30</v>
      </c>
      <c r="L3793">
        <v>50</v>
      </c>
      <c r="M3793">
        <v>21</v>
      </c>
      <c r="N3793">
        <v>480</v>
      </c>
      <c r="O3793">
        <v>32</v>
      </c>
      <c r="P3793">
        <v>5</v>
      </c>
      <c r="Q3793">
        <v>22</v>
      </c>
      <c r="R3793">
        <v>56</v>
      </c>
      <c r="S3793">
        <v>1.1200000000000001</v>
      </c>
      <c r="T3793">
        <v>0.73333333333333328</v>
      </c>
      <c r="U3793">
        <v>1.05</v>
      </c>
    </row>
    <row r="3794" spans="1:21" x14ac:dyDescent="0.35">
      <c r="A3794">
        <v>774</v>
      </c>
      <c r="B3794" s="16">
        <v>40817</v>
      </c>
      <c r="C3794" s="15" t="s">
        <v>63</v>
      </c>
      <c r="D3794" s="15" t="s">
        <v>38</v>
      </c>
      <c r="E3794" s="15" t="s">
        <v>48</v>
      </c>
      <c r="F3794" s="15" t="s">
        <v>49</v>
      </c>
      <c r="G3794" s="15" t="s">
        <v>66</v>
      </c>
      <c r="H3794" s="15" t="s">
        <v>42</v>
      </c>
      <c r="I3794">
        <v>30</v>
      </c>
      <c r="J3794">
        <v>70</v>
      </c>
      <c r="K3794">
        <v>30</v>
      </c>
      <c r="L3794">
        <v>100</v>
      </c>
      <c r="M3794">
        <v>51</v>
      </c>
      <c r="N3794">
        <v>542</v>
      </c>
      <c r="O3794">
        <v>65</v>
      </c>
      <c r="P3794">
        <v>46</v>
      </c>
      <c r="Q3794">
        <v>-16</v>
      </c>
      <c r="R3794">
        <v>124</v>
      </c>
      <c r="S3794">
        <v>1.24</v>
      </c>
      <c r="T3794">
        <v>-0.53333333333333333</v>
      </c>
      <c r="U3794">
        <v>1.7</v>
      </c>
    </row>
    <row r="3795" spans="1:21" x14ac:dyDescent="0.35">
      <c r="A3795">
        <v>508</v>
      </c>
      <c r="B3795" s="16">
        <v>40817</v>
      </c>
      <c r="C3795" s="15" t="s">
        <v>63</v>
      </c>
      <c r="D3795" s="15" t="s">
        <v>38</v>
      </c>
      <c r="E3795" s="15" t="s">
        <v>67</v>
      </c>
      <c r="F3795" s="15" t="s">
        <v>49</v>
      </c>
      <c r="G3795" s="15" t="s">
        <v>66</v>
      </c>
      <c r="H3795" s="15" t="s">
        <v>42</v>
      </c>
      <c r="I3795">
        <v>140</v>
      </c>
      <c r="J3795">
        <v>160</v>
      </c>
      <c r="K3795">
        <v>120</v>
      </c>
      <c r="L3795">
        <v>300</v>
      </c>
      <c r="M3795">
        <v>161</v>
      </c>
      <c r="N3795">
        <v>1267</v>
      </c>
      <c r="O3795">
        <v>161</v>
      </c>
      <c r="P3795">
        <v>45</v>
      </c>
      <c r="Q3795">
        <v>137</v>
      </c>
      <c r="R3795">
        <v>343</v>
      </c>
      <c r="S3795">
        <v>1.1433333333333333</v>
      </c>
      <c r="T3795">
        <v>1.1416666666666666</v>
      </c>
      <c r="U3795">
        <v>1.1499999999999999</v>
      </c>
    </row>
    <row r="3796" spans="1:21" x14ac:dyDescent="0.35">
      <c r="A3796">
        <v>857</v>
      </c>
      <c r="B3796" s="16">
        <v>40817</v>
      </c>
      <c r="C3796" s="15" t="s">
        <v>63</v>
      </c>
      <c r="D3796" s="15" t="s">
        <v>38</v>
      </c>
      <c r="E3796" s="15" t="s">
        <v>43</v>
      </c>
      <c r="F3796" s="15" t="s">
        <v>40</v>
      </c>
      <c r="G3796" s="15" t="s">
        <v>66</v>
      </c>
      <c r="H3796" s="15" t="s">
        <v>42</v>
      </c>
      <c r="I3796">
        <v>50</v>
      </c>
      <c r="J3796">
        <v>350</v>
      </c>
      <c r="K3796">
        <v>330</v>
      </c>
      <c r="L3796">
        <v>400</v>
      </c>
      <c r="M3796">
        <v>72</v>
      </c>
      <c r="N3796">
        <v>-3004</v>
      </c>
      <c r="O3796">
        <v>402</v>
      </c>
      <c r="P3796">
        <v>23</v>
      </c>
      <c r="Q3796">
        <v>516</v>
      </c>
      <c r="R3796">
        <v>505</v>
      </c>
      <c r="S3796">
        <v>1.2625</v>
      </c>
      <c r="T3796">
        <v>1.5636363636363637</v>
      </c>
      <c r="U3796">
        <v>1.44</v>
      </c>
    </row>
    <row r="3797" spans="1:21" x14ac:dyDescent="0.35">
      <c r="A3797">
        <v>603</v>
      </c>
      <c r="B3797" s="16">
        <v>40817</v>
      </c>
      <c r="C3797" s="15" t="s">
        <v>63</v>
      </c>
      <c r="D3797" s="15" t="s">
        <v>58</v>
      </c>
      <c r="E3797" s="15" t="s">
        <v>53</v>
      </c>
      <c r="F3797" s="15" t="s">
        <v>52</v>
      </c>
      <c r="G3797" s="15" t="s">
        <v>68</v>
      </c>
      <c r="H3797" s="15" t="s">
        <v>45</v>
      </c>
      <c r="I3797">
        <v>10</v>
      </c>
      <c r="J3797">
        <v>30</v>
      </c>
      <c r="K3797">
        <v>20</v>
      </c>
      <c r="L3797">
        <v>40</v>
      </c>
      <c r="M3797">
        <v>34</v>
      </c>
      <c r="N3797">
        <v>240</v>
      </c>
      <c r="O3797">
        <v>43</v>
      </c>
      <c r="P3797">
        <v>12</v>
      </c>
      <c r="Q3797">
        <v>-4</v>
      </c>
      <c r="R3797">
        <v>82</v>
      </c>
      <c r="S3797">
        <v>2.0499999999999998</v>
      </c>
      <c r="T3797">
        <v>-0.2</v>
      </c>
      <c r="U3797">
        <v>3.4</v>
      </c>
    </row>
    <row r="3798" spans="1:21" x14ac:dyDescent="0.35">
      <c r="A3798">
        <v>603</v>
      </c>
      <c r="B3798" s="16">
        <v>40817</v>
      </c>
      <c r="C3798" s="15" t="s">
        <v>63</v>
      </c>
      <c r="D3798" s="15" t="s">
        <v>58</v>
      </c>
      <c r="E3798" s="15" t="s">
        <v>55</v>
      </c>
      <c r="F3798" s="15" t="s">
        <v>47</v>
      </c>
      <c r="G3798" s="15" t="s">
        <v>68</v>
      </c>
      <c r="H3798" s="15" t="s">
        <v>42</v>
      </c>
      <c r="I3798">
        <v>20</v>
      </c>
      <c r="J3798">
        <v>30</v>
      </c>
      <c r="K3798">
        <v>30</v>
      </c>
      <c r="L3798">
        <v>50</v>
      </c>
      <c r="M3798">
        <v>21</v>
      </c>
      <c r="N3798">
        <v>846</v>
      </c>
      <c r="O3798">
        <v>31</v>
      </c>
      <c r="P3798">
        <v>5</v>
      </c>
      <c r="Q3798">
        <v>21</v>
      </c>
      <c r="R3798">
        <v>55</v>
      </c>
      <c r="S3798">
        <v>1.1000000000000001</v>
      </c>
      <c r="T3798">
        <v>0.7</v>
      </c>
      <c r="U3798">
        <v>1.05</v>
      </c>
    </row>
    <row r="3799" spans="1:21" x14ac:dyDescent="0.35">
      <c r="A3799">
        <v>603</v>
      </c>
      <c r="B3799" s="16">
        <v>40817</v>
      </c>
      <c r="C3799" s="15" t="s">
        <v>63</v>
      </c>
      <c r="D3799" s="15" t="s">
        <v>58</v>
      </c>
      <c r="E3799" s="15" t="s">
        <v>46</v>
      </c>
      <c r="F3799" s="15" t="s">
        <v>47</v>
      </c>
      <c r="G3799" s="15" t="s">
        <v>68</v>
      </c>
      <c r="H3799" s="15" t="s">
        <v>42</v>
      </c>
      <c r="I3799">
        <v>0</v>
      </c>
      <c r="J3799">
        <v>40</v>
      </c>
      <c r="K3799">
        <v>40</v>
      </c>
      <c r="L3799">
        <v>40</v>
      </c>
      <c r="M3799">
        <v>0</v>
      </c>
      <c r="N3799">
        <v>430</v>
      </c>
      <c r="O3799">
        <v>43</v>
      </c>
      <c r="P3799">
        <v>0</v>
      </c>
      <c r="Q3799">
        <v>47</v>
      </c>
      <c r="R3799">
        <v>46</v>
      </c>
      <c r="S3799">
        <v>1.1499999999999999</v>
      </c>
      <c r="T3799">
        <v>1.175</v>
      </c>
    </row>
    <row r="3800" spans="1:21" x14ac:dyDescent="0.35">
      <c r="A3800">
        <v>603</v>
      </c>
      <c r="B3800" s="16">
        <v>40817</v>
      </c>
      <c r="C3800" s="15" t="s">
        <v>63</v>
      </c>
      <c r="D3800" s="15" t="s">
        <v>58</v>
      </c>
      <c r="E3800" s="15" t="s">
        <v>48</v>
      </c>
      <c r="F3800" s="15" t="s">
        <v>49</v>
      </c>
      <c r="G3800" s="15" t="s">
        <v>68</v>
      </c>
      <c r="H3800" s="15" t="s">
        <v>42</v>
      </c>
      <c r="I3800">
        <v>30</v>
      </c>
      <c r="J3800">
        <v>60</v>
      </c>
      <c r="K3800">
        <v>30</v>
      </c>
      <c r="L3800">
        <v>90</v>
      </c>
      <c r="M3800">
        <v>45</v>
      </c>
      <c r="N3800">
        <v>320</v>
      </c>
      <c r="O3800">
        <v>64</v>
      </c>
      <c r="P3800">
        <v>41</v>
      </c>
      <c r="Q3800">
        <v>-10</v>
      </c>
      <c r="R3800">
        <v>116</v>
      </c>
      <c r="S3800">
        <v>1.288888888888889</v>
      </c>
      <c r="T3800">
        <v>-0.33333333333333331</v>
      </c>
      <c r="U3800">
        <v>1.5</v>
      </c>
    </row>
    <row r="3801" spans="1:21" x14ac:dyDescent="0.35">
      <c r="A3801">
        <v>603</v>
      </c>
      <c r="B3801" s="16">
        <v>40817</v>
      </c>
      <c r="C3801" s="15" t="s">
        <v>63</v>
      </c>
      <c r="D3801" s="15" t="s">
        <v>58</v>
      </c>
      <c r="E3801" s="15" t="s">
        <v>67</v>
      </c>
      <c r="F3801" s="15" t="s">
        <v>49</v>
      </c>
      <c r="G3801" s="15" t="s">
        <v>68</v>
      </c>
      <c r="H3801" s="15" t="s">
        <v>42</v>
      </c>
      <c r="I3801">
        <v>10</v>
      </c>
      <c r="J3801">
        <v>30</v>
      </c>
      <c r="K3801">
        <v>10</v>
      </c>
      <c r="L3801">
        <v>40</v>
      </c>
      <c r="M3801">
        <v>25</v>
      </c>
      <c r="N3801">
        <v>209</v>
      </c>
      <c r="O3801">
        <v>31</v>
      </c>
      <c r="P3801">
        <v>9</v>
      </c>
      <c r="Q3801">
        <v>-18</v>
      </c>
      <c r="R3801">
        <v>60</v>
      </c>
      <c r="S3801">
        <v>1.5</v>
      </c>
      <c r="T3801">
        <v>-1.8</v>
      </c>
      <c r="U3801">
        <v>2.5</v>
      </c>
    </row>
    <row r="3802" spans="1:21" x14ac:dyDescent="0.35">
      <c r="A3802">
        <v>603</v>
      </c>
      <c r="B3802" s="16">
        <v>40817</v>
      </c>
      <c r="C3802" s="15" t="s">
        <v>63</v>
      </c>
      <c r="D3802" s="15" t="s">
        <v>58</v>
      </c>
      <c r="E3802" s="15" t="s">
        <v>39</v>
      </c>
      <c r="F3802" s="15" t="s">
        <v>40</v>
      </c>
      <c r="G3802" s="15" t="s">
        <v>68</v>
      </c>
      <c r="H3802" s="15" t="s">
        <v>42</v>
      </c>
      <c r="I3802">
        <v>30</v>
      </c>
      <c r="J3802">
        <v>60</v>
      </c>
      <c r="K3802">
        <v>60</v>
      </c>
      <c r="L3802">
        <v>90</v>
      </c>
      <c r="M3802">
        <v>49</v>
      </c>
      <c r="N3802">
        <v>310</v>
      </c>
      <c r="O3802">
        <v>71</v>
      </c>
      <c r="P3802">
        <v>15</v>
      </c>
      <c r="Q3802">
        <v>49</v>
      </c>
      <c r="R3802">
        <v>128</v>
      </c>
      <c r="S3802">
        <v>1.4222222222222223</v>
      </c>
      <c r="T3802">
        <v>0.81666666666666665</v>
      </c>
      <c r="U3802">
        <v>1.6333333333333333</v>
      </c>
    </row>
    <row r="3803" spans="1:21" x14ac:dyDescent="0.35">
      <c r="A3803">
        <v>603</v>
      </c>
      <c r="B3803" s="16">
        <v>40817</v>
      </c>
      <c r="C3803" s="15" t="s">
        <v>63</v>
      </c>
      <c r="D3803" s="15" t="s">
        <v>58</v>
      </c>
      <c r="E3803" s="15" t="s">
        <v>43</v>
      </c>
      <c r="F3803" s="15" t="s">
        <v>40</v>
      </c>
      <c r="G3803" s="15" t="s">
        <v>68</v>
      </c>
      <c r="H3803" s="15" t="s">
        <v>42</v>
      </c>
      <c r="I3803">
        <v>30</v>
      </c>
      <c r="J3803">
        <v>60</v>
      </c>
      <c r="K3803">
        <v>50</v>
      </c>
      <c r="L3803">
        <v>90</v>
      </c>
      <c r="M3803">
        <v>45</v>
      </c>
      <c r="N3803">
        <v>447</v>
      </c>
      <c r="O3803">
        <v>69</v>
      </c>
      <c r="P3803">
        <v>14</v>
      </c>
      <c r="Q3803">
        <v>36</v>
      </c>
      <c r="R3803">
        <v>121</v>
      </c>
      <c r="S3803">
        <v>1.3444444444444446</v>
      </c>
      <c r="T3803">
        <v>0.72</v>
      </c>
      <c r="U3803">
        <v>1.5</v>
      </c>
    </row>
    <row r="3804" spans="1:21" x14ac:dyDescent="0.35">
      <c r="A3804">
        <v>585</v>
      </c>
      <c r="B3804" s="16">
        <v>40817</v>
      </c>
      <c r="C3804" s="15" t="s">
        <v>63</v>
      </c>
      <c r="D3804" s="15" t="s">
        <v>38</v>
      </c>
      <c r="E3804" s="15" t="s">
        <v>53</v>
      </c>
      <c r="F3804" s="15" t="s">
        <v>52</v>
      </c>
      <c r="G3804" s="15" t="s">
        <v>69</v>
      </c>
      <c r="H3804" s="15" t="s">
        <v>45</v>
      </c>
      <c r="I3804">
        <v>140</v>
      </c>
      <c r="J3804">
        <v>150</v>
      </c>
      <c r="K3804">
        <v>70</v>
      </c>
      <c r="L3804">
        <v>290</v>
      </c>
      <c r="M3804">
        <v>255</v>
      </c>
      <c r="N3804">
        <v>1622</v>
      </c>
      <c r="O3804">
        <v>258</v>
      </c>
      <c r="P3804">
        <v>96</v>
      </c>
      <c r="Q3804">
        <v>191</v>
      </c>
      <c r="R3804">
        <v>547</v>
      </c>
      <c r="S3804">
        <v>1.8862068965517242</v>
      </c>
      <c r="T3804">
        <v>2.7285714285714286</v>
      </c>
      <c r="U3804">
        <v>1.8214285714285714</v>
      </c>
    </row>
    <row r="3805" spans="1:21" x14ac:dyDescent="0.35">
      <c r="A3805">
        <v>631</v>
      </c>
      <c r="B3805" s="16">
        <v>40817</v>
      </c>
      <c r="C3805" s="15" t="s">
        <v>63</v>
      </c>
      <c r="D3805" s="15" t="s">
        <v>38</v>
      </c>
      <c r="E3805" s="15" t="s">
        <v>54</v>
      </c>
      <c r="F3805" s="15" t="s">
        <v>52</v>
      </c>
      <c r="G3805" s="15" t="s">
        <v>69</v>
      </c>
      <c r="H3805" s="15" t="s">
        <v>45</v>
      </c>
      <c r="I3805">
        <v>130</v>
      </c>
      <c r="J3805">
        <v>-50</v>
      </c>
      <c r="K3805">
        <v>-100</v>
      </c>
      <c r="L3805">
        <v>80</v>
      </c>
      <c r="M3805">
        <v>239</v>
      </c>
      <c r="N3805">
        <v>4360</v>
      </c>
      <c r="O3805">
        <v>-75</v>
      </c>
      <c r="P3805">
        <v>74</v>
      </c>
      <c r="Q3805">
        <v>-252</v>
      </c>
      <c r="R3805">
        <v>175</v>
      </c>
      <c r="S3805">
        <v>2.1875</v>
      </c>
      <c r="T3805">
        <v>2.52</v>
      </c>
      <c r="U3805">
        <v>1.8384615384615384</v>
      </c>
    </row>
    <row r="3806" spans="1:21" x14ac:dyDescent="0.35">
      <c r="A3806">
        <v>585</v>
      </c>
      <c r="B3806" s="16">
        <v>40817</v>
      </c>
      <c r="C3806" s="15" t="s">
        <v>63</v>
      </c>
      <c r="D3806" s="15" t="s">
        <v>38</v>
      </c>
      <c r="E3806" s="15" t="s">
        <v>55</v>
      </c>
      <c r="F3806" s="15" t="s">
        <v>47</v>
      </c>
      <c r="G3806" s="15" t="s">
        <v>69</v>
      </c>
      <c r="H3806" s="15" t="s">
        <v>42</v>
      </c>
      <c r="I3806">
        <v>110</v>
      </c>
      <c r="J3806">
        <v>170</v>
      </c>
      <c r="K3806">
        <v>140</v>
      </c>
      <c r="L3806">
        <v>280</v>
      </c>
      <c r="M3806">
        <v>108</v>
      </c>
      <c r="N3806">
        <v>971</v>
      </c>
      <c r="O3806">
        <v>157</v>
      </c>
      <c r="P3806">
        <v>30</v>
      </c>
      <c r="Q3806">
        <v>171</v>
      </c>
      <c r="R3806">
        <v>282</v>
      </c>
      <c r="S3806">
        <v>1.0071428571428571</v>
      </c>
      <c r="T3806">
        <v>1.2214285714285715</v>
      </c>
      <c r="U3806">
        <v>0.98181818181818181</v>
      </c>
    </row>
    <row r="3807" spans="1:21" x14ac:dyDescent="0.35">
      <c r="A3807">
        <v>718</v>
      </c>
      <c r="B3807" s="16">
        <v>40817</v>
      </c>
      <c r="C3807" s="15" t="s">
        <v>63</v>
      </c>
      <c r="D3807" s="15" t="s">
        <v>38</v>
      </c>
      <c r="E3807" s="15" t="s">
        <v>56</v>
      </c>
      <c r="F3807" s="15" t="s">
        <v>47</v>
      </c>
      <c r="G3807" s="15" t="s">
        <v>69</v>
      </c>
      <c r="H3807" s="15" t="s">
        <v>42</v>
      </c>
      <c r="I3807">
        <v>130</v>
      </c>
      <c r="J3807">
        <v>190</v>
      </c>
      <c r="K3807">
        <v>160</v>
      </c>
      <c r="L3807">
        <v>320</v>
      </c>
      <c r="M3807">
        <v>123</v>
      </c>
      <c r="N3807">
        <v>915</v>
      </c>
      <c r="O3807">
        <v>179</v>
      </c>
      <c r="P3807">
        <v>34</v>
      </c>
      <c r="Q3807">
        <v>199</v>
      </c>
      <c r="R3807">
        <v>322</v>
      </c>
      <c r="S3807">
        <v>1.0062500000000001</v>
      </c>
      <c r="T3807">
        <v>1.2437499999999999</v>
      </c>
      <c r="U3807">
        <v>0.94615384615384612</v>
      </c>
    </row>
    <row r="3808" spans="1:21" x14ac:dyDescent="0.35">
      <c r="A3808">
        <v>607</v>
      </c>
      <c r="B3808" s="16">
        <v>40817</v>
      </c>
      <c r="C3808" s="15" t="s">
        <v>63</v>
      </c>
      <c r="D3808" s="15" t="s">
        <v>38</v>
      </c>
      <c r="E3808" s="15" t="s">
        <v>46</v>
      </c>
      <c r="F3808" s="15" t="s">
        <v>47</v>
      </c>
      <c r="G3808" s="15" t="s">
        <v>69</v>
      </c>
      <c r="H3808" s="15" t="s">
        <v>42</v>
      </c>
      <c r="I3808">
        <v>80</v>
      </c>
      <c r="J3808">
        <v>120</v>
      </c>
      <c r="K3808">
        <v>100</v>
      </c>
      <c r="L3808">
        <v>200</v>
      </c>
      <c r="M3808">
        <v>76</v>
      </c>
      <c r="N3808">
        <v>580</v>
      </c>
      <c r="O3808">
        <v>111</v>
      </c>
      <c r="P3808">
        <v>21</v>
      </c>
      <c r="Q3808">
        <v>116</v>
      </c>
      <c r="R3808">
        <v>199</v>
      </c>
      <c r="S3808">
        <v>0.995</v>
      </c>
      <c r="T3808">
        <v>1.1599999999999999</v>
      </c>
      <c r="U3808">
        <v>0.95</v>
      </c>
    </row>
    <row r="3809" spans="1:21" x14ac:dyDescent="0.35">
      <c r="A3809">
        <v>914</v>
      </c>
      <c r="B3809" s="16">
        <v>40817</v>
      </c>
      <c r="C3809" s="15" t="s">
        <v>63</v>
      </c>
      <c r="D3809" s="15" t="s">
        <v>38</v>
      </c>
      <c r="E3809" s="15" t="s">
        <v>48</v>
      </c>
      <c r="F3809" s="15" t="s">
        <v>49</v>
      </c>
      <c r="G3809" s="15" t="s">
        <v>69</v>
      </c>
      <c r="H3809" s="15" t="s">
        <v>42</v>
      </c>
      <c r="I3809">
        <v>110</v>
      </c>
      <c r="J3809">
        <v>-60</v>
      </c>
      <c r="K3809">
        <v>-170</v>
      </c>
      <c r="L3809">
        <v>50</v>
      </c>
      <c r="M3809">
        <v>125</v>
      </c>
      <c r="N3809">
        <v>3142</v>
      </c>
      <c r="O3809">
        <v>-56</v>
      </c>
      <c r="P3809">
        <v>113</v>
      </c>
      <c r="Q3809">
        <v>-300</v>
      </c>
      <c r="R3809">
        <v>74</v>
      </c>
      <c r="S3809">
        <v>1.48</v>
      </c>
      <c r="T3809">
        <v>1.7647058823529411</v>
      </c>
      <c r="U3809">
        <v>1.1363636363636365</v>
      </c>
    </row>
    <row r="3810" spans="1:21" x14ac:dyDescent="0.35">
      <c r="A3810">
        <v>212</v>
      </c>
      <c r="B3810" s="16">
        <v>40817</v>
      </c>
      <c r="C3810" s="15" t="s">
        <v>63</v>
      </c>
      <c r="D3810" s="15" t="s">
        <v>38</v>
      </c>
      <c r="E3810" s="15" t="s">
        <v>67</v>
      </c>
      <c r="F3810" s="15" t="s">
        <v>49</v>
      </c>
      <c r="G3810" s="15" t="s">
        <v>69</v>
      </c>
      <c r="H3810" s="15" t="s">
        <v>42</v>
      </c>
      <c r="I3810">
        <v>210</v>
      </c>
      <c r="J3810">
        <v>510</v>
      </c>
      <c r="K3810">
        <v>450</v>
      </c>
      <c r="L3810">
        <v>720</v>
      </c>
      <c r="M3810">
        <v>239</v>
      </c>
      <c r="N3810">
        <v>1197</v>
      </c>
      <c r="O3810">
        <v>526</v>
      </c>
      <c r="P3810">
        <v>66</v>
      </c>
      <c r="Q3810">
        <v>646</v>
      </c>
      <c r="R3810">
        <v>815</v>
      </c>
      <c r="S3810">
        <v>1.1319444444444444</v>
      </c>
      <c r="T3810">
        <v>1.4355555555555555</v>
      </c>
      <c r="U3810">
        <v>1.138095238095238</v>
      </c>
    </row>
    <row r="3811" spans="1:21" x14ac:dyDescent="0.35">
      <c r="A3811">
        <v>716</v>
      </c>
      <c r="B3811" s="16">
        <v>40817</v>
      </c>
      <c r="C3811" s="15" t="s">
        <v>63</v>
      </c>
      <c r="D3811" s="15" t="s">
        <v>38</v>
      </c>
      <c r="E3811" s="15" t="s">
        <v>43</v>
      </c>
      <c r="F3811" s="15" t="s">
        <v>40</v>
      </c>
      <c r="G3811" s="15" t="s">
        <v>69</v>
      </c>
      <c r="H3811" s="15" t="s">
        <v>42</v>
      </c>
      <c r="I3811">
        <v>210</v>
      </c>
      <c r="J3811">
        <v>330</v>
      </c>
      <c r="K3811">
        <v>230</v>
      </c>
      <c r="L3811">
        <v>540</v>
      </c>
      <c r="M3811">
        <v>260</v>
      </c>
      <c r="N3811">
        <v>2548</v>
      </c>
      <c r="O3811">
        <v>390</v>
      </c>
      <c r="P3811">
        <v>91</v>
      </c>
      <c r="Q3811">
        <v>367</v>
      </c>
      <c r="R3811">
        <v>693</v>
      </c>
      <c r="S3811">
        <v>1.2833333333333334</v>
      </c>
      <c r="T3811">
        <v>1.5956521739130434</v>
      </c>
      <c r="U3811">
        <v>1.2380952380952381</v>
      </c>
    </row>
    <row r="3812" spans="1:21" x14ac:dyDescent="0.35">
      <c r="A3812">
        <v>318</v>
      </c>
      <c r="B3812" s="16">
        <v>40817</v>
      </c>
      <c r="C3812" s="15" t="s">
        <v>70</v>
      </c>
      <c r="D3812" s="15" t="s">
        <v>58</v>
      </c>
      <c r="E3812" s="15" t="s">
        <v>51</v>
      </c>
      <c r="F3812" s="15" t="s">
        <v>52</v>
      </c>
      <c r="G3812" s="15" t="s">
        <v>71</v>
      </c>
      <c r="H3812" s="15" t="s">
        <v>45</v>
      </c>
      <c r="I3812">
        <v>80</v>
      </c>
      <c r="J3812">
        <v>130</v>
      </c>
      <c r="K3812">
        <v>110</v>
      </c>
      <c r="L3812">
        <v>210</v>
      </c>
      <c r="M3812">
        <v>103</v>
      </c>
      <c r="N3812">
        <v>564</v>
      </c>
      <c r="O3812">
        <v>133</v>
      </c>
      <c r="P3812">
        <v>33</v>
      </c>
      <c r="Q3812">
        <v>129</v>
      </c>
      <c r="R3812">
        <v>251</v>
      </c>
      <c r="S3812">
        <v>1.1952380952380952</v>
      </c>
      <c r="T3812">
        <v>1.1727272727272726</v>
      </c>
      <c r="U3812">
        <v>1.2875000000000001</v>
      </c>
    </row>
    <row r="3813" spans="1:21" x14ac:dyDescent="0.35">
      <c r="A3813">
        <v>225</v>
      </c>
      <c r="B3813" s="16">
        <v>40817</v>
      </c>
      <c r="C3813" s="15" t="s">
        <v>70</v>
      </c>
      <c r="D3813" s="15" t="s">
        <v>58</v>
      </c>
      <c r="E3813" s="15" t="s">
        <v>53</v>
      </c>
      <c r="F3813" s="15" t="s">
        <v>52</v>
      </c>
      <c r="G3813" s="15" t="s">
        <v>71</v>
      </c>
      <c r="H3813" s="15" t="s">
        <v>45</v>
      </c>
      <c r="I3813">
        <v>60</v>
      </c>
      <c r="J3813">
        <v>90</v>
      </c>
      <c r="K3813">
        <v>60</v>
      </c>
      <c r="L3813">
        <v>150</v>
      </c>
      <c r="M3813">
        <v>79</v>
      </c>
      <c r="N3813">
        <v>593</v>
      </c>
      <c r="O3813">
        <v>98</v>
      </c>
      <c r="P3813">
        <v>30</v>
      </c>
      <c r="Q3813">
        <v>50</v>
      </c>
      <c r="R3813">
        <v>189</v>
      </c>
      <c r="S3813">
        <v>1.26</v>
      </c>
      <c r="T3813">
        <v>0.83333333333333337</v>
      </c>
      <c r="U3813">
        <v>1.3166666666666667</v>
      </c>
    </row>
    <row r="3814" spans="1:21" x14ac:dyDescent="0.35">
      <c r="A3814">
        <v>337</v>
      </c>
      <c r="B3814" s="16">
        <v>40817</v>
      </c>
      <c r="C3814" s="15" t="s">
        <v>70</v>
      </c>
      <c r="D3814" s="15" t="s">
        <v>58</v>
      </c>
      <c r="E3814" s="15" t="s">
        <v>43</v>
      </c>
      <c r="F3814" s="15" t="s">
        <v>40</v>
      </c>
      <c r="G3814" s="15" t="s">
        <v>71</v>
      </c>
      <c r="H3814" s="15" t="s">
        <v>42</v>
      </c>
      <c r="I3814">
        <v>70</v>
      </c>
      <c r="J3814">
        <v>90</v>
      </c>
      <c r="K3814">
        <v>80</v>
      </c>
      <c r="L3814">
        <v>160</v>
      </c>
      <c r="M3814">
        <v>48</v>
      </c>
      <c r="N3814">
        <v>829</v>
      </c>
      <c r="O3814">
        <v>71</v>
      </c>
      <c r="P3814">
        <v>13</v>
      </c>
      <c r="Q3814">
        <v>70</v>
      </c>
      <c r="R3814">
        <v>127</v>
      </c>
      <c r="S3814">
        <v>0.79374999999999996</v>
      </c>
      <c r="T3814">
        <v>0.875</v>
      </c>
      <c r="U3814">
        <v>0.68571428571428572</v>
      </c>
    </row>
    <row r="3815" spans="1:21" x14ac:dyDescent="0.35">
      <c r="A3815">
        <v>985</v>
      </c>
      <c r="B3815" s="16">
        <v>40817</v>
      </c>
      <c r="C3815" s="15" t="s">
        <v>70</v>
      </c>
      <c r="D3815" s="15" t="s">
        <v>58</v>
      </c>
      <c r="E3815" s="15" t="s">
        <v>44</v>
      </c>
      <c r="F3815" s="15" t="s">
        <v>40</v>
      </c>
      <c r="G3815" s="15" t="s">
        <v>71</v>
      </c>
      <c r="H3815" s="15" t="s">
        <v>45</v>
      </c>
      <c r="I3815">
        <v>70</v>
      </c>
      <c r="J3815">
        <v>90</v>
      </c>
      <c r="K3815">
        <v>80</v>
      </c>
      <c r="L3815">
        <v>160</v>
      </c>
      <c r="M3815">
        <v>48</v>
      </c>
      <c r="N3815">
        <v>851</v>
      </c>
      <c r="O3815">
        <v>70</v>
      </c>
      <c r="P3815">
        <v>13</v>
      </c>
      <c r="Q3815">
        <v>67</v>
      </c>
      <c r="R3815">
        <v>126</v>
      </c>
      <c r="S3815">
        <v>0.78749999999999998</v>
      </c>
      <c r="T3815">
        <v>0.83750000000000002</v>
      </c>
      <c r="U3815">
        <v>0.68571428571428572</v>
      </c>
    </row>
    <row r="3816" spans="1:21" x14ac:dyDescent="0.35">
      <c r="A3816">
        <v>504</v>
      </c>
      <c r="B3816" s="16">
        <v>40817</v>
      </c>
      <c r="C3816" s="15" t="s">
        <v>70</v>
      </c>
      <c r="D3816" s="15" t="s">
        <v>58</v>
      </c>
      <c r="E3816" s="15" t="s">
        <v>72</v>
      </c>
      <c r="F3816" s="15" t="s">
        <v>49</v>
      </c>
      <c r="G3816" s="15" t="s">
        <v>71</v>
      </c>
      <c r="H3816" s="15" t="s">
        <v>42</v>
      </c>
      <c r="I3816">
        <v>30</v>
      </c>
      <c r="J3816">
        <v>60</v>
      </c>
      <c r="K3816">
        <v>10</v>
      </c>
      <c r="L3816">
        <v>90</v>
      </c>
      <c r="M3816">
        <v>60</v>
      </c>
      <c r="N3816">
        <v>-762</v>
      </c>
      <c r="O3816">
        <v>84</v>
      </c>
      <c r="P3816">
        <v>54</v>
      </c>
      <c r="Q3816">
        <v>1</v>
      </c>
      <c r="R3816">
        <v>153</v>
      </c>
      <c r="S3816">
        <v>1.7</v>
      </c>
      <c r="T3816">
        <v>0.1</v>
      </c>
      <c r="U3816">
        <v>2</v>
      </c>
    </row>
    <row r="3817" spans="1:21" x14ac:dyDescent="0.35">
      <c r="A3817">
        <v>225</v>
      </c>
      <c r="B3817" s="16">
        <v>40817</v>
      </c>
      <c r="C3817" s="15" t="s">
        <v>70</v>
      </c>
      <c r="D3817" s="15" t="s">
        <v>58</v>
      </c>
      <c r="E3817" s="15" t="s">
        <v>48</v>
      </c>
      <c r="F3817" s="15" t="s">
        <v>49</v>
      </c>
      <c r="G3817" s="15" t="s">
        <v>71</v>
      </c>
      <c r="H3817" s="15" t="s">
        <v>42</v>
      </c>
      <c r="I3817">
        <v>30</v>
      </c>
      <c r="J3817">
        <v>70</v>
      </c>
      <c r="K3817">
        <v>70</v>
      </c>
      <c r="L3817">
        <v>100</v>
      </c>
      <c r="M3817">
        <v>60</v>
      </c>
      <c r="N3817">
        <v>329</v>
      </c>
      <c r="O3817">
        <v>99</v>
      </c>
      <c r="P3817">
        <v>18</v>
      </c>
      <c r="Q3817">
        <v>86</v>
      </c>
      <c r="R3817">
        <v>169</v>
      </c>
      <c r="S3817">
        <v>1.69</v>
      </c>
      <c r="T3817">
        <v>1.2285714285714286</v>
      </c>
      <c r="U3817">
        <v>2</v>
      </c>
    </row>
    <row r="3818" spans="1:21" x14ac:dyDescent="0.35">
      <c r="A3818">
        <v>318</v>
      </c>
      <c r="B3818" s="16">
        <v>40817</v>
      </c>
      <c r="C3818" s="15" t="s">
        <v>70</v>
      </c>
      <c r="D3818" s="15" t="s">
        <v>58</v>
      </c>
      <c r="E3818" s="15" t="s">
        <v>50</v>
      </c>
      <c r="F3818" s="15" t="s">
        <v>49</v>
      </c>
      <c r="G3818" s="15" t="s">
        <v>71</v>
      </c>
      <c r="H3818" s="15" t="s">
        <v>45</v>
      </c>
      <c r="I3818">
        <v>20</v>
      </c>
      <c r="J3818">
        <v>40</v>
      </c>
      <c r="K3818">
        <v>40</v>
      </c>
      <c r="L3818">
        <v>60</v>
      </c>
      <c r="M3818">
        <v>46</v>
      </c>
      <c r="N3818">
        <v>449</v>
      </c>
      <c r="O3818">
        <v>67</v>
      </c>
      <c r="P3818">
        <v>14</v>
      </c>
      <c r="Q3818">
        <v>45</v>
      </c>
      <c r="R3818">
        <v>120</v>
      </c>
      <c r="S3818">
        <v>2</v>
      </c>
      <c r="T3818">
        <v>1.125</v>
      </c>
      <c r="U3818">
        <v>2.2999999999999998</v>
      </c>
    </row>
    <row r="3819" spans="1:21" x14ac:dyDescent="0.35">
      <c r="A3819">
        <v>505</v>
      </c>
      <c r="B3819" s="16">
        <v>40817</v>
      </c>
      <c r="C3819" s="15" t="s">
        <v>70</v>
      </c>
      <c r="D3819" s="15" t="s">
        <v>58</v>
      </c>
      <c r="E3819" s="15" t="s">
        <v>51</v>
      </c>
      <c r="F3819" s="15" t="s">
        <v>52</v>
      </c>
      <c r="G3819" s="15" t="s">
        <v>73</v>
      </c>
      <c r="H3819" s="15" t="s">
        <v>45</v>
      </c>
      <c r="I3819">
        <v>10</v>
      </c>
      <c r="J3819">
        <v>30</v>
      </c>
      <c r="K3819">
        <v>30</v>
      </c>
      <c r="L3819">
        <v>40</v>
      </c>
      <c r="M3819">
        <v>21</v>
      </c>
      <c r="N3819">
        <v>846</v>
      </c>
      <c r="O3819">
        <v>31</v>
      </c>
      <c r="P3819">
        <v>5</v>
      </c>
      <c r="Q3819">
        <v>21</v>
      </c>
      <c r="R3819">
        <v>55</v>
      </c>
      <c r="S3819">
        <v>1.375</v>
      </c>
      <c r="T3819">
        <v>0.7</v>
      </c>
      <c r="U3819">
        <v>2.1</v>
      </c>
    </row>
    <row r="3820" spans="1:21" x14ac:dyDescent="0.35">
      <c r="A3820">
        <v>505</v>
      </c>
      <c r="B3820" s="16">
        <v>40817</v>
      </c>
      <c r="C3820" s="15" t="s">
        <v>70</v>
      </c>
      <c r="D3820" s="15" t="s">
        <v>58</v>
      </c>
      <c r="E3820" s="15" t="s">
        <v>53</v>
      </c>
      <c r="F3820" s="15" t="s">
        <v>52</v>
      </c>
      <c r="G3820" s="15" t="s">
        <v>73</v>
      </c>
      <c r="H3820" s="15" t="s">
        <v>45</v>
      </c>
      <c r="I3820">
        <v>10</v>
      </c>
      <c r="J3820">
        <v>40</v>
      </c>
      <c r="K3820">
        <v>30</v>
      </c>
      <c r="L3820">
        <v>50</v>
      </c>
      <c r="M3820">
        <v>31</v>
      </c>
      <c r="N3820">
        <v>1000</v>
      </c>
      <c r="O3820">
        <v>37</v>
      </c>
      <c r="P3820">
        <v>9</v>
      </c>
      <c r="Q3820">
        <v>9</v>
      </c>
      <c r="R3820">
        <v>72</v>
      </c>
      <c r="S3820">
        <v>1.44</v>
      </c>
      <c r="T3820">
        <v>0.3</v>
      </c>
      <c r="U3820">
        <v>3.1</v>
      </c>
    </row>
    <row r="3821" spans="1:21" x14ac:dyDescent="0.35">
      <c r="A3821">
        <v>505</v>
      </c>
      <c r="B3821" s="16">
        <v>40817</v>
      </c>
      <c r="C3821" s="15" t="s">
        <v>70</v>
      </c>
      <c r="D3821" s="15" t="s">
        <v>58</v>
      </c>
      <c r="E3821" s="15" t="s">
        <v>43</v>
      </c>
      <c r="F3821" s="15" t="s">
        <v>40</v>
      </c>
      <c r="G3821" s="15" t="s">
        <v>73</v>
      </c>
      <c r="H3821" s="15" t="s">
        <v>42</v>
      </c>
      <c r="I3821">
        <v>50</v>
      </c>
      <c r="J3821">
        <v>110</v>
      </c>
      <c r="K3821">
        <v>80</v>
      </c>
      <c r="L3821">
        <v>160</v>
      </c>
      <c r="M3821">
        <v>45</v>
      </c>
      <c r="N3821">
        <v>447</v>
      </c>
      <c r="O3821">
        <v>69</v>
      </c>
      <c r="P3821">
        <v>14</v>
      </c>
      <c r="Q3821">
        <v>34</v>
      </c>
      <c r="R3821">
        <v>121</v>
      </c>
      <c r="S3821">
        <v>0.75624999999999998</v>
      </c>
      <c r="T3821">
        <v>0.42499999999999999</v>
      </c>
      <c r="U3821">
        <v>0.9</v>
      </c>
    </row>
    <row r="3822" spans="1:21" x14ac:dyDescent="0.35">
      <c r="A3822">
        <v>505</v>
      </c>
      <c r="B3822" s="16">
        <v>40817</v>
      </c>
      <c r="C3822" s="15" t="s">
        <v>70</v>
      </c>
      <c r="D3822" s="15" t="s">
        <v>58</v>
      </c>
      <c r="E3822" s="15" t="s">
        <v>44</v>
      </c>
      <c r="F3822" s="15" t="s">
        <v>40</v>
      </c>
      <c r="G3822" s="15" t="s">
        <v>73</v>
      </c>
      <c r="H3822" s="15" t="s">
        <v>45</v>
      </c>
      <c r="I3822">
        <v>110</v>
      </c>
      <c r="J3822">
        <v>40</v>
      </c>
      <c r="K3822">
        <v>10</v>
      </c>
      <c r="L3822">
        <v>150</v>
      </c>
      <c r="M3822">
        <v>86</v>
      </c>
      <c r="N3822">
        <v>1698</v>
      </c>
      <c r="O3822">
        <v>23</v>
      </c>
      <c r="P3822">
        <v>26</v>
      </c>
      <c r="Q3822">
        <v>-39</v>
      </c>
      <c r="R3822">
        <v>116</v>
      </c>
      <c r="S3822">
        <v>0.77333333333333332</v>
      </c>
      <c r="T3822">
        <v>-3.9</v>
      </c>
      <c r="U3822">
        <v>0.78181818181818186</v>
      </c>
    </row>
    <row r="3823" spans="1:21" x14ac:dyDescent="0.35">
      <c r="A3823">
        <v>505</v>
      </c>
      <c r="B3823" s="16">
        <v>40817</v>
      </c>
      <c r="C3823" s="15" t="s">
        <v>70</v>
      </c>
      <c r="D3823" s="15" t="s">
        <v>58</v>
      </c>
      <c r="E3823" s="15" t="s">
        <v>72</v>
      </c>
      <c r="F3823" s="15" t="s">
        <v>49</v>
      </c>
      <c r="G3823" s="15" t="s">
        <v>73</v>
      </c>
      <c r="H3823" s="15" t="s">
        <v>42</v>
      </c>
      <c r="I3823">
        <v>10</v>
      </c>
      <c r="J3823">
        <v>20</v>
      </c>
      <c r="K3823">
        <v>10</v>
      </c>
      <c r="L3823">
        <v>30</v>
      </c>
      <c r="M3823">
        <v>25</v>
      </c>
      <c r="N3823">
        <v>-466</v>
      </c>
      <c r="O3823">
        <v>31</v>
      </c>
      <c r="P3823">
        <v>9</v>
      </c>
      <c r="Q3823">
        <v>-18</v>
      </c>
      <c r="R3823">
        <v>60</v>
      </c>
      <c r="S3823">
        <v>2</v>
      </c>
      <c r="T3823">
        <v>-1.8</v>
      </c>
      <c r="U3823">
        <v>2.5</v>
      </c>
    </row>
    <row r="3824" spans="1:21" x14ac:dyDescent="0.35">
      <c r="A3824">
        <v>505</v>
      </c>
      <c r="B3824" s="16">
        <v>40817</v>
      </c>
      <c r="C3824" s="15" t="s">
        <v>70</v>
      </c>
      <c r="D3824" s="15" t="s">
        <v>58</v>
      </c>
      <c r="E3824" s="15" t="s">
        <v>48</v>
      </c>
      <c r="F3824" s="15" t="s">
        <v>49</v>
      </c>
      <c r="G3824" s="15" t="s">
        <v>73</v>
      </c>
      <c r="H3824" s="15" t="s">
        <v>42</v>
      </c>
      <c r="I3824">
        <v>20</v>
      </c>
      <c r="J3824">
        <v>40</v>
      </c>
      <c r="K3824">
        <v>10</v>
      </c>
      <c r="L3824">
        <v>60</v>
      </c>
      <c r="M3824">
        <v>45</v>
      </c>
      <c r="N3824">
        <v>320</v>
      </c>
      <c r="O3824">
        <v>64</v>
      </c>
      <c r="P3824">
        <v>41</v>
      </c>
      <c r="Q3824">
        <v>-9</v>
      </c>
      <c r="R3824">
        <v>116</v>
      </c>
      <c r="S3824">
        <v>1.9333333333333333</v>
      </c>
      <c r="T3824">
        <v>-0.9</v>
      </c>
      <c r="U3824">
        <v>2.25</v>
      </c>
    </row>
    <row r="3825" spans="1:21" x14ac:dyDescent="0.35">
      <c r="A3825">
        <v>505</v>
      </c>
      <c r="B3825" s="16">
        <v>40817</v>
      </c>
      <c r="C3825" s="15" t="s">
        <v>70</v>
      </c>
      <c r="D3825" s="15" t="s">
        <v>58</v>
      </c>
      <c r="E3825" s="15" t="s">
        <v>50</v>
      </c>
      <c r="F3825" s="15" t="s">
        <v>49</v>
      </c>
      <c r="G3825" s="15" t="s">
        <v>73</v>
      </c>
      <c r="H3825" s="15" t="s">
        <v>45</v>
      </c>
      <c r="I3825">
        <v>20</v>
      </c>
      <c r="J3825">
        <v>30</v>
      </c>
      <c r="K3825">
        <v>20</v>
      </c>
      <c r="L3825">
        <v>50</v>
      </c>
      <c r="M3825">
        <v>39</v>
      </c>
      <c r="N3825">
        <v>244</v>
      </c>
      <c r="O3825">
        <v>53</v>
      </c>
      <c r="P3825">
        <v>12</v>
      </c>
      <c r="Q3825">
        <v>21</v>
      </c>
      <c r="R3825">
        <v>98</v>
      </c>
      <c r="S3825">
        <v>1.96</v>
      </c>
      <c r="T3825">
        <v>1.05</v>
      </c>
      <c r="U3825">
        <v>1.95</v>
      </c>
    </row>
    <row r="3826" spans="1:21" x14ac:dyDescent="0.35">
      <c r="A3826">
        <v>580</v>
      </c>
      <c r="B3826" s="16">
        <v>40817</v>
      </c>
      <c r="C3826" s="15" t="s">
        <v>70</v>
      </c>
      <c r="D3826" s="15" t="s">
        <v>58</v>
      </c>
      <c r="E3826" s="15" t="s">
        <v>51</v>
      </c>
      <c r="F3826" s="15" t="s">
        <v>52</v>
      </c>
      <c r="G3826" s="15" t="s">
        <v>74</v>
      </c>
      <c r="H3826" s="15" t="s">
        <v>45</v>
      </c>
      <c r="I3826">
        <v>40</v>
      </c>
      <c r="J3826">
        <v>70</v>
      </c>
      <c r="K3826">
        <v>50</v>
      </c>
      <c r="L3826">
        <v>110</v>
      </c>
      <c r="M3826">
        <v>56</v>
      </c>
      <c r="N3826">
        <v>385</v>
      </c>
      <c r="O3826">
        <v>70</v>
      </c>
      <c r="P3826">
        <v>21</v>
      </c>
      <c r="Q3826">
        <v>24</v>
      </c>
      <c r="R3826">
        <v>134</v>
      </c>
      <c r="S3826">
        <v>1.2181818181818183</v>
      </c>
      <c r="T3826">
        <v>0.48</v>
      </c>
      <c r="U3826">
        <v>1.4</v>
      </c>
    </row>
    <row r="3827" spans="1:21" x14ac:dyDescent="0.35">
      <c r="A3827">
        <v>918</v>
      </c>
      <c r="B3827" s="16">
        <v>40817</v>
      </c>
      <c r="C3827" s="15" t="s">
        <v>70</v>
      </c>
      <c r="D3827" s="15" t="s">
        <v>58</v>
      </c>
      <c r="E3827" s="15" t="s">
        <v>53</v>
      </c>
      <c r="F3827" s="15" t="s">
        <v>52</v>
      </c>
      <c r="G3827" s="15" t="s">
        <v>74</v>
      </c>
      <c r="H3827" s="15" t="s">
        <v>45</v>
      </c>
      <c r="I3827">
        <v>80</v>
      </c>
      <c r="J3827">
        <v>120</v>
      </c>
      <c r="K3827">
        <v>40</v>
      </c>
      <c r="L3827">
        <v>200</v>
      </c>
      <c r="M3827">
        <v>96</v>
      </c>
      <c r="N3827">
        <v>683</v>
      </c>
      <c r="O3827">
        <v>134</v>
      </c>
      <c r="P3827">
        <v>87</v>
      </c>
      <c r="Q3827">
        <v>25</v>
      </c>
      <c r="R3827">
        <v>245</v>
      </c>
      <c r="S3827">
        <v>1.2250000000000001</v>
      </c>
      <c r="T3827">
        <v>0.625</v>
      </c>
      <c r="U3827">
        <v>1.2</v>
      </c>
    </row>
    <row r="3828" spans="1:21" x14ac:dyDescent="0.35">
      <c r="A3828">
        <v>918</v>
      </c>
      <c r="B3828" s="16">
        <v>40817</v>
      </c>
      <c r="C3828" s="15" t="s">
        <v>70</v>
      </c>
      <c r="D3828" s="15" t="s">
        <v>58</v>
      </c>
      <c r="E3828" s="15" t="s">
        <v>43</v>
      </c>
      <c r="F3828" s="15" t="s">
        <v>40</v>
      </c>
      <c r="G3828" s="15" t="s">
        <v>74</v>
      </c>
      <c r="H3828" s="15" t="s">
        <v>42</v>
      </c>
      <c r="I3828">
        <v>130</v>
      </c>
      <c r="J3828">
        <v>160</v>
      </c>
      <c r="K3828">
        <v>140</v>
      </c>
      <c r="L3828">
        <v>290</v>
      </c>
      <c r="M3828">
        <v>90</v>
      </c>
      <c r="N3828">
        <v>572</v>
      </c>
      <c r="O3828">
        <v>115</v>
      </c>
      <c r="P3828">
        <v>29</v>
      </c>
      <c r="Q3828">
        <v>110</v>
      </c>
      <c r="R3828">
        <v>218</v>
      </c>
      <c r="S3828">
        <v>0.75172413793103443</v>
      </c>
      <c r="T3828">
        <v>0.7857142857142857</v>
      </c>
      <c r="U3828">
        <v>0.69230769230769229</v>
      </c>
    </row>
    <row r="3829" spans="1:21" x14ac:dyDescent="0.35">
      <c r="A3829">
        <v>405</v>
      </c>
      <c r="B3829" s="16">
        <v>40817</v>
      </c>
      <c r="C3829" s="15" t="s">
        <v>70</v>
      </c>
      <c r="D3829" s="15" t="s">
        <v>58</v>
      </c>
      <c r="E3829" s="15" t="s">
        <v>44</v>
      </c>
      <c r="F3829" s="15" t="s">
        <v>40</v>
      </c>
      <c r="G3829" s="15" t="s">
        <v>74</v>
      </c>
      <c r="H3829" s="15" t="s">
        <v>45</v>
      </c>
      <c r="I3829">
        <v>30</v>
      </c>
      <c r="J3829">
        <v>60</v>
      </c>
      <c r="K3829">
        <v>60</v>
      </c>
      <c r="L3829">
        <v>90</v>
      </c>
      <c r="M3829">
        <v>27</v>
      </c>
      <c r="N3829">
        <v>859</v>
      </c>
      <c r="O3829">
        <v>39</v>
      </c>
      <c r="P3829">
        <v>7</v>
      </c>
      <c r="Q3829">
        <v>31</v>
      </c>
      <c r="R3829">
        <v>70</v>
      </c>
      <c r="S3829">
        <v>0.77777777777777779</v>
      </c>
      <c r="T3829">
        <v>0.51666666666666672</v>
      </c>
      <c r="U3829">
        <v>0.9</v>
      </c>
    </row>
    <row r="3830" spans="1:21" x14ac:dyDescent="0.35">
      <c r="A3830">
        <v>405</v>
      </c>
      <c r="B3830" s="16">
        <v>40817</v>
      </c>
      <c r="C3830" s="15" t="s">
        <v>70</v>
      </c>
      <c r="D3830" s="15" t="s">
        <v>58</v>
      </c>
      <c r="E3830" s="15" t="s">
        <v>72</v>
      </c>
      <c r="F3830" s="15" t="s">
        <v>49</v>
      </c>
      <c r="G3830" s="15" t="s">
        <v>74</v>
      </c>
      <c r="H3830" s="15" t="s">
        <v>42</v>
      </c>
      <c r="I3830">
        <v>50</v>
      </c>
      <c r="J3830">
        <v>80</v>
      </c>
      <c r="K3830">
        <v>70</v>
      </c>
      <c r="L3830">
        <v>130</v>
      </c>
      <c r="M3830">
        <v>91</v>
      </c>
      <c r="N3830">
        <v>-1785</v>
      </c>
      <c r="O3830">
        <v>127</v>
      </c>
      <c r="P3830">
        <v>28</v>
      </c>
      <c r="Q3830">
        <v>113</v>
      </c>
      <c r="R3830">
        <v>232</v>
      </c>
      <c r="S3830">
        <v>1.7846153846153847</v>
      </c>
      <c r="T3830">
        <v>1.6142857142857143</v>
      </c>
      <c r="U3830">
        <v>1.82</v>
      </c>
    </row>
    <row r="3831" spans="1:21" x14ac:dyDescent="0.35">
      <c r="A3831">
        <v>580</v>
      </c>
      <c r="B3831" s="16">
        <v>40817</v>
      </c>
      <c r="C3831" s="15" t="s">
        <v>70</v>
      </c>
      <c r="D3831" s="15" t="s">
        <v>58</v>
      </c>
      <c r="E3831" s="15" t="s">
        <v>48</v>
      </c>
      <c r="F3831" s="15" t="s">
        <v>49</v>
      </c>
      <c r="G3831" s="15" t="s">
        <v>74</v>
      </c>
      <c r="H3831" s="15" t="s">
        <v>42</v>
      </c>
      <c r="I3831">
        <v>0</v>
      </c>
      <c r="J3831">
        <v>30</v>
      </c>
      <c r="K3831">
        <v>30</v>
      </c>
      <c r="L3831">
        <v>30</v>
      </c>
      <c r="M3831">
        <v>21</v>
      </c>
      <c r="N3831">
        <v>480</v>
      </c>
      <c r="O3831">
        <v>32</v>
      </c>
      <c r="P3831">
        <v>5</v>
      </c>
      <c r="Q3831">
        <v>22</v>
      </c>
      <c r="R3831">
        <v>56</v>
      </c>
      <c r="S3831">
        <v>1.8666666666666667</v>
      </c>
      <c r="T3831">
        <v>0.73333333333333328</v>
      </c>
    </row>
    <row r="3832" spans="1:21" x14ac:dyDescent="0.35">
      <c r="A3832">
        <v>405</v>
      </c>
      <c r="B3832" s="16">
        <v>40817</v>
      </c>
      <c r="C3832" s="15" t="s">
        <v>70</v>
      </c>
      <c r="D3832" s="15" t="s">
        <v>58</v>
      </c>
      <c r="E3832" s="15" t="s">
        <v>50</v>
      </c>
      <c r="F3832" s="15" t="s">
        <v>49</v>
      </c>
      <c r="G3832" s="15" t="s">
        <v>74</v>
      </c>
      <c r="H3832" s="15" t="s">
        <v>45</v>
      </c>
      <c r="I3832">
        <v>50</v>
      </c>
      <c r="J3832">
        <v>80</v>
      </c>
      <c r="K3832">
        <v>60</v>
      </c>
      <c r="L3832">
        <v>130</v>
      </c>
      <c r="M3832">
        <v>82</v>
      </c>
      <c r="N3832">
        <v>788</v>
      </c>
      <c r="O3832">
        <v>123</v>
      </c>
      <c r="P3832">
        <v>27</v>
      </c>
      <c r="Q3832">
        <v>96</v>
      </c>
      <c r="R3832">
        <v>218</v>
      </c>
      <c r="S3832">
        <v>1.676923076923077</v>
      </c>
      <c r="T3832">
        <v>1.6</v>
      </c>
      <c r="U3832">
        <v>1.64</v>
      </c>
    </row>
    <row r="3833" spans="1:21" x14ac:dyDescent="0.35">
      <c r="A3833">
        <v>325</v>
      </c>
      <c r="B3833" s="16">
        <v>40817</v>
      </c>
      <c r="C3833" s="15" t="s">
        <v>70</v>
      </c>
      <c r="D3833" s="15" t="s">
        <v>38</v>
      </c>
      <c r="E3833" s="15" t="s">
        <v>51</v>
      </c>
      <c r="F3833" s="15" t="s">
        <v>52</v>
      </c>
      <c r="G3833" s="15" t="s">
        <v>75</v>
      </c>
      <c r="H3833" s="15" t="s">
        <v>45</v>
      </c>
      <c r="I3833">
        <v>30</v>
      </c>
      <c r="J3833">
        <v>80</v>
      </c>
      <c r="K3833">
        <v>70</v>
      </c>
      <c r="L3833">
        <v>110</v>
      </c>
      <c r="M3833">
        <v>52</v>
      </c>
      <c r="N3833">
        <v>405</v>
      </c>
      <c r="O3833">
        <v>71</v>
      </c>
      <c r="P3833">
        <v>17</v>
      </c>
      <c r="Q3833">
        <v>39</v>
      </c>
      <c r="R3833">
        <v>131</v>
      </c>
      <c r="S3833">
        <v>1.1909090909090909</v>
      </c>
      <c r="T3833">
        <v>0.55714285714285716</v>
      </c>
      <c r="U3833">
        <v>1.7333333333333334</v>
      </c>
    </row>
    <row r="3834" spans="1:21" x14ac:dyDescent="0.35">
      <c r="A3834">
        <v>430</v>
      </c>
      <c r="B3834" s="16">
        <v>40817</v>
      </c>
      <c r="C3834" s="15" t="s">
        <v>70</v>
      </c>
      <c r="D3834" s="15" t="s">
        <v>38</v>
      </c>
      <c r="E3834" s="15" t="s">
        <v>53</v>
      </c>
      <c r="F3834" s="15" t="s">
        <v>52</v>
      </c>
      <c r="G3834" s="15" t="s">
        <v>75</v>
      </c>
      <c r="H3834" s="15" t="s">
        <v>45</v>
      </c>
      <c r="I3834">
        <v>30</v>
      </c>
      <c r="J3834">
        <v>60</v>
      </c>
      <c r="K3834">
        <v>50</v>
      </c>
      <c r="L3834">
        <v>90</v>
      </c>
      <c r="M3834">
        <v>43</v>
      </c>
      <c r="N3834">
        <v>419</v>
      </c>
      <c r="O3834">
        <v>64</v>
      </c>
      <c r="P3834">
        <v>13</v>
      </c>
      <c r="Q3834">
        <v>42</v>
      </c>
      <c r="R3834">
        <v>114</v>
      </c>
      <c r="S3834">
        <v>1.2666666666666666</v>
      </c>
      <c r="T3834">
        <v>0.84</v>
      </c>
      <c r="U3834">
        <v>1.4333333333333333</v>
      </c>
    </row>
    <row r="3835" spans="1:21" x14ac:dyDescent="0.35">
      <c r="A3835">
        <v>432</v>
      </c>
      <c r="B3835" s="16">
        <v>40817</v>
      </c>
      <c r="C3835" s="15" t="s">
        <v>70</v>
      </c>
      <c r="D3835" s="15" t="s">
        <v>38</v>
      </c>
      <c r="E3835" s="15" t="s">
        <v>43</v>
      </c>
      <c r="F3835" s="15" t="s">
        <v>40</v>
      </c>
      <c r="G3835" s="15" t="s">
        <v>75</v>
      </c>
      <c r="H3835" s="15" t="s">
        <v>42</v>
      </c>
      <c r="I3835">
        <v>350</v>
      </c>
      <c r="J3835">
        <v>420</v>
      </c>
      <c r="K3835">
        <v>340</v>
      </c>
      <c r="L3835">
        <v>770</v>
      </c>
      <c r="M3835">
        <v>239</v>
      </c>
      <c r="N3835">
        <v>1246</v>
      </c>
      <c r="O3835">
        <v>281</v>
      </c>
      <c r="P3835">
        <v>74</v>
      </c>
      <c r="Q3835">
        <v>275</v>
      </c>
      <c r="R3835">
        <v>554</v>
      </c>
      <c r="S3835">
        <v>0.7194805194805195</v>
      </c>
      <c r="T3835">
        <v>0.80882352941176472</v>
      </c>
      <c r="U3835">
        <v>0.68285714285714283</v>
      </c>
    </row>
    <row r="3836" spans="1:21" x14ac:dyDescent="0.35">
      <c r="A3836">
        <v>281</v>
      </c>
      <c r="B3836" s="16">
        <v>40817</v>
      </c>
      <c r="C3836" s="15" t="s">
        <v>70</v>
      </c>
      <c r="D3836" s="15" t="s">
        <v>38</v>
      </c>
      <c r="E3836" s="15" t="s">
        <v>44</v>
      </c>
      <c r="F3836" s="15" t="s">
        <v>40</v>
      </c>
      <c r="G3836" s="15" t="s">
        <v>75</v>
      </c>
      <c r="H3836" s="15" t="s">
        <v>45</v>
      </c>
      <c r="I3836">
        <v>40</v>
      </c>
      <c r="J3836">
        <v>90</v>
      </c>
      <c r="K3836">
        <v>80</v>
      </c>
      <c r="L3836">
        <v>130</v>
      </c>
      <c r="M3836">
        <v>39</v>
      </c>
      <c r="N3836">
        <v>541</v>
      </c>
      <c r="O3836">
        <v>51</v>
      </c>
      <c r="P3836">
        <v>12</v>
      </c>
      <c r="Q3836">
        <v>39</v>
      </c>
      <c r="R3836">
        <v>96</v>
      </c>
      <c r="S3836">
        <v>0.7384615384615385</v>
      </c>
      <c r="T3836">
        <v>0.48749999999999999</v>
      </c>
      <c r="U3836">
        <v>0.97499999999999998</v>
      </c>
    </row>
    <row r="3837" spans="1:21" x14ac:dyDescent="0.35">
      <c r="A3837">
        <v>682</v>
      </c>
      <c r="B3837" s="16">
        <v>40817</v>
      </c>
      <c r="C3837" s="15" t="s">
        <v>70</v>
      </c>
      <c r="D3837" s="15" t="s">
        <v>38</v>
      </c>
      <c r="E3837" s="15" t="s">
        <v>72</v>
      </c>
      <c r="F3837" s="15" t="s">
        <v>49</v>
      </c>
      <c r="G3837" s="15" t="s">
        <v>75</v>
      </c>
      <c r="H3837" s="15" t="s">
        <v>42</v>
      </c>
      <c r="I3837">
        <v>40</v>
      </c>
      <c r="J3837">
        <v>70</v>
      </c>
      <c r="K3837">
        <v>50</v>
      </c>
      <c r="L3837">
        <v>110</v>
      </c>
      <c r="M3837">
        <v>72</v>
      </c>
      <c r="N3837">
        <v>-868</v>
      </c>
      <c r="O3837">
        <v>110</v>
      </c>
      <c r="P3837">
        <v>23</v>
      </c>
      <c r="Q3837">
        <v>82</v>
      </c>
      <c r="R3837">
        <v>194</v>
      </c>
      <c r="S3837">
        <v>1.7636363636363637</v>
      </c>
      <c r="T3837">
        <v>1.64</v>
      </c>
      <c r="U3837">
        <v>1.8</v>
      </c>
    </row>
    <row r="3838" spans="1:21" x14ac:dyDescent="0.35">
      <c r="A3838">
        <v>817</v>
      </c>
      <c r="B3838" s="16">
        <v>40817</v>
      </c>
      <c r="C3838" s="15" t="s">
        <v>70</v>
      </c>
      <c r="D3838" s="15" t="s">
        <v>38</v>
      </c>
      <c r="E3838" s="15" t="s">
        <v>48</v>
      </c>
      <c r="F3838" s="15" t="s">
        <v>49</v>
      </c>
      <c r="G3838" s="15" t="s">
        <v>75</v>
      </c>
      <c r="H3838" s="15" t="s">
        <v>42</v>
      </c>
      <c r="I3838">
        <v>70</v>
      </c>
      <c r="J3838">
        <v>120</v>
      </c>
      <c r="K3838">
        <v>100</v>
      </c>
      <c r="L3838">
        <v>190</v>
      </c>
      <c r="M3838">
        <v>123</v>
      </c>
      <c r="N3838">
        <v>915</v>
      </c>
      <c r="O3838">
        <v>179</v>
      </c>
      <c r="P3838">
        <v>34</v>
      </c>
      <c r="Q3838">
        <v>197</v>
      </c>
      <c r="R3838">
        <v>322</v>
      </c>
      <c r="S3838">
        <v>1.6947368421052631</v>
      </c>
      <c r="T3838">
        <v>1.97</v>
      </c>
      <c r="U3838">
        <v>1.7571428571428571</v>
      </c>
    </row>
    <row r="3839" spans="1:21" x14ac:dyDescent="0.35">
      <c r="A3839">
        <v>432</v>
      </c>
      <c r="B3839" s="16">
        <v>40817</v>
      </c>
      <c r="C3839" s="15" t="s">
        <v>70</v>
      </c>
      <c r="D3839" s="15" t="s">
        <v>38</v>
      </c>
      <c r="E3839" s="15" t="s">
        <v>50</v>
      </c>
      <c r="F3839" s="15" t="s">
        <v>49</v>
      </c>
      <c r="G3839" s="15" t="s">
        <v>75</v>
      </c>
      <c r="H3839" s="15" t="s">
        <v>45</v>
      </c>
      <c r="I3839">
        <v>40</v>
      </c>
      <c r="J3839">
        <v>80</v>
      </c>
      <c r="K3839">
        <v>80</v>
      </c>
      <c r="L3839">
        <v>120</v>
      </c>
      <c r="M3839">
        <v>76</v>
      </c>
      <c r="N3839">
        <v>580</v>
      </c>
      <c r="O3839">
        <v>111</v>
      </c>
      <c r="P3839">
        <v>21</v>
      </c>
      <c r="Q3839">
        <v>116</v>
      </c>
      <c r="R3839">
        <v>199</v>
      </c>
      <c r="S3839">
        <v>1.6583333333333334</v>
      </c>
      <c r="T3839">
        <v>1.45</v>
      </c>
      <c r="U3839">
        <v>1.9</v>
      </c>
    </row>
    <row r="3840" spans="1:21" x14ac:dyDescent="0.35">
      <c r="A3840">
        <v>435</v>
      </c>
      <c r="B3840" s="16">
        <v>40817</v>
      </c>
      <c r="C3840" s="15" t="s">
        <v>76</v>
      </c>
      <c r="D3840" s="15" t="s">
        <v>58</v>
      </c>
      <c r="E3840" s="15" t="s">
        <v>55</v>
      </c>
      <c r="F3840" s="15" t="s">
        <v>47</v>
      </c>
      <c r="G3840" s="15" t="s">
        <v>77</v>
      </c>
      <c r="H3840" s="15" t="s">
        <v>42</v>
      </c>
      <c r="I3840">
        <v>10</v>
      </c>
      <c r="J3840">
        <v>40</v>
      </c>
      <c r="K3840">
        <v>20</v>
      </c>
      <c r="L3840">
        <v>50</v>
      </c>
      <c r="M3840">
        <v>45</v>
      </c>
      <c r="N3840">
        <v>320</v>
      </c>
      <c r="O3840">
        <v>64</v>
      </c>
      <c r="P3840">
        <v>41</v>
      </c>
      <c r="Q3840">
        <v>-9</v>
      </c>
      <c r="R3840">
        <v>116</v>
      </c>
      <c r="S3840">
        <v>2.3199999999999998</v>
      </c>
      <c r="T3840">
        <v>-0.45</v>
      </c>
      <c r="U3840">
        <v>4.5</v>
      </c>
    </row>
    <row r="3841" spans="1:21" x14ac:dyDescent="0.35">
      <c r="A3841">
        <v>435</v>
      </c>
      <c r="B3841" s="16">
        <v>40817</v>
      </c>
      <c r="C3841" s="15" t="s">
        <v>76</v>
      </c>
      <c r="D3841" s="15" t="s">
        <v>58</v>
      </c>
      <c r="E3841" s="15" t="s">
        <v>56</v>
      </c>
      <c r="F3841" s="15" t="s">
        <v>47</v>
      </c>
      <c r="G3841" s="15" t="s">
        <v>77</v>
      </c>
      <c r="H3841" s="15" t="s">
        <v>42</v>
      </c>
      <c r="I3841">
        <v>10</v>
      </c>
      <c r="J3841">
        <v>30</v>
      </c>
      <c r="K3841">
        <v>20</v>
      </c>
      <c r="L3841">
        <v>40</v>
      </c>
      <c r="M3841">
        <v>39</v>
      </c>
      <c r="N3841">
        <v>244</v>
      </c>
      <c r="O3841">
        <v>53</v>
      </c>
      <c r="P3841">
        <v>12</v>
      </c>
      <c r="Q3841">
        <v>21</v>
      </c>
      <c r="R3841">
        <v>98</v>
      </c>
      <c r="S3841">
        <v>2.4500000000000002</v>
      </c>
      <c r="T3841">
        <v>1.05</v>
      </c>
      <c r="U3841">
        <v>3.9</v>
      </c>
    </row>
    <row r="3842" spans="1:21" x14ac:dyDescent="0.35">
      <c r="A3842">
        <v>435</v>
      </c>
      <c r="B3842" s="16">
        <v>40817</v>
      </c>
      <c r="C3842" s="15" t="s">
        <v>76</v>
      </c>
      <c r="D3842" s="15" t="s">
        <v>58</v>
      </c>
      <c r="E3842" s="15" t="s">
        <v>46</v>
      </c>
      <c r="F3842" s="15" t="s">
        <v>47</v>
      </c>
      <c r="G3842" s="15" t="s">
        <v>77</v>
      </c>
      <c r="H3842" s="15" t="s">
        <v>42</v>
      </c>
      <c r="I3842">
        <v>0</v>
      </c>
      <c r="J3842">
        <v>20</v>
      </c>
      <c r="K3842">
        <v>10</v>
      </c>
      <c r="L3842">
        <v>20</v>
      </c>
      <c r="M3842">
        <v>25</v>
      </c>
      <c r="N3842">
        <v>209</v>
      </c>
      <c r="O3842">
        <v>31</v>
      </c>
      <c r="P3842">
        <v>9</v>
      </c>
      <c r="Q3842">
        <v>-18</v>
      </c>
      <c r="R3842">
        <v>60</v>
      </c>
      <c r="S3842">
        <v>3</v>
      </c>
      <c r="T3842">
        <v>-1.8</v>
      </c>
    </row>
    <row r="3843" spans="1:21" x14ac:dyDescent="0.35">
      <c r="A3843">
        <v>801</v>
      </c>
      <c r="B3843" s="16">
        <v>40817</v>
      </c>
      <c r="C3843" s="15" t="s">
        <v>76</v>
      </c>
      <c r="D3843" s="15" t="s">
        <v>58</v>
      </c>
      <c r="E3843" s="15" t="s">
        <v>51</v>
      </c>
      <c r="F3843" s="15" t="s">
        <v>52</v>
      </c>
      <c r="G3843" s="15" t="s">
        <v>77</v>
      </c>
      <c r="H3843" s="15" t="s">
        <v>45</v>
      </c>
      <c r="I3843">
        <v>30</v>
      </c>
      <c r="J3843">
        <v>60</v>
      </c>
      <c r="K3843">
        <v>60</v>
      </c>
      <c r="L3843">
        <v>90</v>
      </c>
      <c r="M3843">
        <v>49</v>
      </c>
      <c r="N3843">
        <v>310</v>
      </c>
      <c r="O3843">
        <v>71</v>
      </c>
      <c r="P3843">
        <v>15</v>
      </c>
      <c r="Q3843">
        <v>49</v>
      </c>
      <c r="R3843">
        <v>128</v>
      </c>
      <c r="S3843">
        <v>1.4222222222222223</v>
      </c>
      <c r="T3843">
        <v>0.81666666666666665</v>
      </c>
      <c r="U3843">
        <v>1.6333333333333333</v>
      </c>
    </row>
    <row r="3844" spans="1:21" x14ac:dyDescent="0.35">
      <c r="A3844">
        <v>435</v>
      </c>
      <c r="B3844" s="16">
        <v>40817</v>
      </c>
      <c r="C3844" s="15" t="s">
        <v>76</v>
      </c>
      <c r="D3844" s="15" t="s">
        <v>58</v>
      </c>
      <c r="E3844" s="15" t="s">
        <v>53</v>
      </c>
      <c r="F3844" s="15" t="s">
        <v>52</v>
      </c>
      <c r="G3844" s="15" t="s">
        <v>77</v>
      </c>
      <c r="H3844" s="15" t="s">
        <v>45</v>
      </c>
      <c r="I3844">
        <v>20</v>
      </c>
      <c r="J3844">
        <v>70</v>
      </c>
      <c r="K3844">
        <v>60</v>
      </c>
      <c r="L3844">
        <v>90</v>
      </c>
      <c r="M3844">
        <v>45</v>
      </c>
      <c r="N3844">
        <v>447</v>
      </c>
      <c r="O3844">
        <v>69</v>
      </c>
      <c r="P3844">
        <v>14</v>
      </c>
      <c r="Q3844">
        <v>34</v>
      </c>
      <c r="R3844">
        <v>121</v>
      </c>
      <c r="S3844">
        <v>1.3444444444444446</v>
      </c>
      <c r="T3844">
        <v>0.56666666666666665</v>
      </c>
      <c r="U3844">
        <v>2.25</v>
      </c>
    </row>
    <row r="3845" spans="1:21" x14ac:dyDescent="0.35">
      <c r="A3845">
        <v>435</v>
      </c>
      <c r="B3845" s="16">
        <v>40817</v>
      </c>
      <c r="C3845" s="15" t="s">
        <v>76</v>
      </c>
      <c r="D3845" s="15" t="s">
        <v>58</v>
      </c>
      <c r="E3845" s="15" t="s">
        <v>54</v>
      </c>
      <c r="F3845" s="15" t="s">
        <v>52</v>
      </c>
      <c r="G3845" s="15" t="s">
        <v>77</v>
      </c>
      <c r="H3845" s="15" t="s">
        <v>45</v>
      </c>
      <c r="I3845">
        <v>60</v>
      </c>
      <c r="J3845">
        <v>20</v>
      </c>
      <c r="K3845">
        <v>0</v>
      </c>
      <c r="L3845">
        <v>80</v>
      </c>
      <c r="M3845">
        <v>86</v>
      </c>
      <c r="N3845">
        <v>1698</v>
      </c>
      <c r="O3845">
        <v>23</v>
      </c>
      <c r="P3845">
        <v>26</v>
      </c>
      <c r="Q3845">
        <v>-40</v>
      </c>
      <c r="R3845">
        <v>116</v>
      </c>
      <c r="S3845">
        <v>1.45</v>
      </c>
      <c r="U3845">
        <v>1.4333333333333333</v>
      </c>
    </row>
    <row r="3846" spans="1:21" x14ac:dyDescent="0.35">
      <c r="A3846">
        <v>435</v>
      </c>
      <c r="B3846" s="16">
        <v>40817</v>
      </c>
      <c r="C3846" s="15" t="s">
        <v>76</v>
      </c>
      <c r="D3846" s="15" t="s">
        <v>58</v>
      </c>
      <c r="E3846" s="15" t="s">
        <v>48</v>
      </c>
      <c r="F3846" s="15" t="s">
        <v>49</v>
      </c>
      <c r="G3846" s="15" t="s">
        <v>77</v>
      </c>
      <c r="H3846" s="15" t="s">
        <v>42</v>
      </c>
      <c r="I3846">
        <v>80</v>
      </c>
      <c r="J3846">
        <v>130</v>
      </c>
      <c r="K3846">
        <v>110</v>
      </c>
      <c r="L3846">
        <v>210</v>
      </c>
      <c r="M3846">
        <v>103</v>
      </c>
      <c r="N3846">
        <v>564</v>
      </c>
      <c r="O3846">
        <v>133</v>
      </c>
      <c r="P3846">
        <v>33</v>
      </c>
      <c r="Q3846">
        <v>129</v>
      </c>
      <c r="R3846">
        <v>251</v>
      </c>
      <c r="S3846">
        <v>1.1952380952380952</v>
      </c>
      <c r="T3846">
        <v>1.1727272727272726</v>
      </c>
      <c r="U3846">
        <v>1.2875000000000001</v>
      </c>
    </row>
    <row r="3847" spans="1:21" x14ac:dyDescent="0.35">
      <c r="A3847">
        <v>435</v>
      </c>
      <c r="B3847" s="16">
        <v>40817</v>
      </c>
      <c r="C3847" s="15" t="s">
        <v>76</v>
      </c>
      <c r="D3847" s="15" t="s">
        <v>58</v>
      </c>
      <c r="E3847" s="15" t="s">
        <v>50</v>
      </c>
      <c r="F3847" s="15" t="s">
        <v>49</v>
      </c>
      <c r="G3847" s="15" t="s">
        <v>77</v>
      </c>
      <c r="H3847" s="15" t="s">
        <v>45</v>
      </c>
      <c r="I3847">
        <v>20</v>
      </c>
      <c r="J3847">
        <v>60</v>
      </c>
      <c r="K3847">
        <v>60</v>
      </c>
      <c r="L3847">
        <v>80</v>
      </c>
      <c r="M3847">
        <v>40</v>
      </c>
      <c r="N3847">
        <v>881</v>
      </c>
      <c r="O3847">
        <v>59</v>
      </c>
      <c r="P3847">
        <v>11</v>
      </c>
      <c r="Q3847">
        <v>55</v>
      </c>
      <c r="R3847">
        <v>106</v>
      </c>
      <c r="S3847">
        <v>1.325</v>
      </c>
      <c r="T3847">
        <v>0.91666666666666663</v>
      </c>
      <c r="U3847">
        <v>2</v>
      </c>
    </row>
    <row r="3848" spans="1:21" x14ac:dyDescent="0.35">
      <c r="A3848">
        <v>435</v>
      </c>
      <c r="B3848" s="16">
        <v>40817</v>
      </c>
      <c r="C3848" s="15" t="s">
        <v>76</v>
      </c>
      <c r="D3848" s="15" t="s">
        <v>58</v>
      </c>
      <c r="E3848" s="15" t="s">
        <v>39</v>
      </c>
      <c r="F3848" s="15" t="s">
        <v>40</v>
      </c>
      <c r="G3848" s="15" t="s">
        <v>77</v>
      </c>
      <c r="H3848" s="15" t="s">
        <v>42</v>
      </c>
      <c r="I3848">
        <v>90</v>
      </c>
      <c r="J3848">
        <v>110</v>
      </c>
      <c r="K3848">
        <v>90</v>
      </c>
      <c r="L3848">
        <v>200</v>
      </c>
      <c r="M3848">
        <v>65</v>
      </c>
      <c r="N3848">
        <v>1053</v>
      </c>
      <c r="O3848">
        <v>77</v>
      </c>
      <c r="P3848">
        <v>20</v>
      </c>
      <c r="Q3848">
        <v>53</v>
      </c>
      <c r="R3848">
        <v>151</v>
      </c>
      <c r="S3848">
        <v>0.755</v>
      </c>
      <c r="T3848">
        <v>0.58888888888888891</v>
      </c>
      <c r="U3848">
        <v>0.72222222222222221</v>
      </c>
    </row>
    <row r="3849" spans="1:21" x14ac:dyDescent="0.35">
      <c r="A3849">
        <v>435</v>
      </c>
      <c r="B3849" s="16">
        <v>40817</v>
      </c>
      <c r="C3849" s="15" t="s">
        <v>76</v>
      </c>
      <c r="D3849" s="15" t="s">
        <v>58</v>
      </c>
      <c r="E3849" s="15" t="s">
        <v>43</v>
      </c>
      <c r="F3849" s="15" t="s">
        <v>40</v>
      </c>
      <c r="G3849" s="15" t="s">
        <v>77</v>
      </c>
      <c r="H3849" s="15" t="s">
        <v>42</v>
      </c>
      <c r="I3849">
        <v>50</v>
      </c>
      <c r="J3849">
        <v>100</v>
      </c>
      <c r="K3849">
        <v>80</v>
      </c>
      <c r="L3849">
        <v>150</v>
      </c>
      <c r="M3849">
        <v>47</v>
      </c>
      <c r="N3849">
        <v>375</v>
      </c>
      <c r="O3849">
        <v>64</v>
      </c>
      <c r="P3849">
        <v>15</v>
      </c>
      <c r="Q3849">
        <v>33</v>
      </c>
      <c r="R3849">
        <v>118</v>
      </c>
      <c r="S3849">
        <v>0.78666666666666663</v>
      </c>
      <c r="T3849">
        <v>0.41249999999999998</v>
      </c>
      <c r="U3849">
        <v>0.94</v>
      </c>
    </row>
    <row r="3850" spans="1:21" x14ac:dyDescent="0.35">
      <c r="A3850">
        <v>435</v>
      </c>
      <c r="B3850" s="16">
        <v>40817</v>
      </c>
      <c r="C3850" s="15" t="s">
        <v>76</v>
      </c>
      <c r="D3850" s="15" t="s">
        <v>58</v>
      </c>
      <c r="E3850" s="15" t="s">
        <v>44</v>
      </c>
      <c r="F3850" s="15" t="s">
        <v>40</v>
      </c>
      <c r="G3850" s="15" t="s">
        <v>77</v>
      </c>
      <c r="H3850" s="15" t="s">
        <v>45</v>
      </c>
      <c r="I3850">
        <v>100</v>
      </c>
      <c r="J3850">
        <v>160</v>
      </c>
      <c r="K3850">
        <v>120</v>
      </c>
      <c r="L3850">
        <v>260</v>
      </c>
      <c r="M3850">
        <v>79</v>
      </c>
      <c r="N3850">
        <v>593</v>
      </c>
      <c r="O3850">
        <v>98</v>
      </c>
      <c r="P3850">
        <v>30</v>
      </c>
      <c r="Q3850">
        <v>50</v>
      </c>
      <c r="R3850">
        <v>189</v>
      </c>
      <c r="S3850">
        <v>0.72692307692307689</v>
      </c>
      <c r="T3850">
        <v>0.41666666666666669</v>
      </c>
      <c r="U3850">
        <v>0.79</v>
      </c>
    </row>
    <row r="3851" spans="1:21" x14ac:dyDescent="0.35">
      <c r="A3851">
        <v>435</v>
      </c>
      <c r="B3851" s="16">
        <v>40817</v>
      </c>
      <c r="C3851" s="15" t="s">
        <v>76</v>
      </c>
      <c r="D3851" s="15" t="s">
        <v>58</v>
      </c>
      <c r="E3851" s="15" t="s">
        <v>72</v>
      </c>
      <c r="F3851" s="15" t="s">
        <v>49</v>
      </c>
      <c r="G3851" s="15" t="s">
        <v>77</v>
      </c>
      <c r="H3851" s="15" t="s">
        <v>42</v>
      </c>
      <c r="I3851">
        <v>20</v>
      </c>
      <c r="J3851">
        <v>40</v>
      </c>
      <c r="K3851">
        <v>40</v>
      </c>
      <c r="L3851">
        <v>60</v>
      </c>
      <c r="M3851">
        <v>32</v>
      </c>
      <c r="N3851">
        <v>833</v>
      </c>
      <c r="O3851">
        <v>47</v>
      </c>
      <c r="P3851">
        <v>8</v>
      </c>
      <c r="Q3851">
        <v>42</v>
      </c>
      <c r="R3851">
        <v>84</v>
      </c>
      <c r="S3851">
        <v>1.4</v>
      </c>
      <c r="T3851">
        <v>1.05</v>
      </c>
      <c r="U3851">
        <v>1.6</v>
      </c>
    </row>
    <row r="3852" spans="1:21" x14ac:dyDescent="0.35">
      <c r="A3852">
        <v>831</v>
      </c>
      <c r="B3852" s="16">
        <v>40817</v>
      </c>
      <c r="C3852" s="15" t="s">
        <v>76</v>
      </c>
      <c r="D3852" s="15" t="s">
        <v>38</v>
      </c>
      <c r="E3852" s="15" t="s">
        <v>55</v>
      </c>
      <c r="F3852" s="15" t="s">
        <v>47</v>
      </c>
      <c r="G3852" s="15" t="s">
        <v>78</v>
      </c>
      <c r="H3852" s="15" t="s">
        <v>42</v>
      </c>
      <c r="I3852">
        <v>50</v>
      </c>
      <c r="J3852">
        <v>90</v>
      </c>
      <c r="K3852">
        <v>80</v>
      </c>
      <c r="L3852">
        <v>140</v>
      </c>
      <c r="M3852">
        <v>123</v>
      </c>
      <c r="N3852">
        <v>915</v>
      </c>
      <c r="O3852">
        <v>179</v>
      </c>
      <c r="P3852">
        <v>34</v>
      </c>
      <c r="Q3852">
        <v>199</v>
      </c>
      <c r="R3852">
        <v>322</v>
      </c>
      <c r="S3852">
        <v>2.2999999999999998</v>
      </c>
      <c r="T3852">
        <v>2.4874999999999998</v>
      </c>
      <c r="U3852">
        <v>2.46</v>
      </c>
    </row>
    <row r="3853" spans="1:21" x14ac:dyDescent="0.35">
      <c r="A3853">
        <v>626</v>
      </c>
      <c r="B3853" s="16">
        <v>40817</v>
      </c>
      <c r="C3853" s="15" t="s">
        <v>76</v>
      </c>
      <c r="D3853" s="15" t="s">
        <v>38</v>
      </c>
      <c r="E3853" s="15" t="s">
        <v>56</v>
      </c>
      <c r="F3853" s="15" t="s">
        <v>47</v>
      </c>
      <c r="G3853" s="15" t="s">
        <v>78</v>
      </c>
      <c r="H3853" s="15" t="s">
        <v>42</v>
      </c>
      <c r="I3853">
        <v>30</v>
      </c>
      <c r="J3853">
        <v>50</v>
      </c>
      <c r="K3853">
        <v>50</v>
      </c>
      <c r="L3853">
        <v>80</v>
      </c>
      <c r="M3853">
        <v>76</v>
      </c>
      <c r="N3853">
        <v>580</v>
      </c>
      <c r="O3853">
        <v>111</v>
      </c>
      <c r="P3853">
        <v>21</v>
      </c>
      <c r="Q3853">
        <v>117</v>
      </c>
      <c r="R3853">
        <v>199</v>
      </c>
      <c r="S3853">
        <v>2.4874999999999998</v>
      </c>
      <c r="T3853">
        <v>2.34</v>
      </c>
      <c r="U3853">
        <v>2.5333333333333332</v>
      </c>
    </row>
    <row r="3854" spans="1:21" x14ac:dyDescent="0.35">
      <c r="A3854">
        <v>510</v>
      </c>
      <c r="B3854" s="16">
        <v>40817</v>
      </c>
      <c r="C3854" s="15" t="s">
        <v>76</v>
      </c>
      <c r="D3854" s="15" t="s">
        <v>38</v>
      </c>
      <c r="E3854" s="15" t="s">
        <v>46</v>
      </c>
      <c r="F3854" s="15" t="s">
        <v>47</v>
      </c>
      <c r="G3854" s="15" t="s">
        <v>78</v>
      </c>
      <c r="H3854" s="15" t="s">
        <v>42</v>
      </c>
      <c r="I3854">
        <v>20</v>
      </c>
      <c r="J3854">
        <v>60</v>
      </c>
      <c r="K3854">
        <v>50</v>
      </c>
      <c r="L3854">
        <v>80</v>
      </c>
      <c r="M3854">
        <v>72</v>
      </c>
      <c r="N3854">
        <v>650</v>
      </c>
      <c r="O3854">
        <v>110</v>
      </c>
      <c r="P3854">
        <v>23</v>
      </c>
      <c r="Q3854">
        <v>83</v>
      </c>
      <c r="R3854">
        <v>194</v>
      </c>
      <c r="S3854">
        <v>2.4249999999999998</v>
      </c>
      <c r="T3854">
        <v>1.66</v>
      </c>
      <c r="U3854">
        <v>3.6</v>
      </c>
    </row>
    <row r="3855" spans="1:21" x14ac:dyDescent="0.35">
      <c r="A3855">
        <v>925</v>
      </c>
      <c r="B3855" s="16">
        <v>40817</v>
      </c>
      <c r="C3855" s="15" t="s">
        <v>76</v>
      </c>
      <c r="D3855" s="15" t="s">
        <v>38</v>
      </c>
      <c r="E3855" s="15" t="s">
        <v>51</v>
      </c>
      <c r="F3855" s="15" t="s">
        <v>52</v>
      </c>
      <c r="G3855" s="15" t="s">
        <v>78</v>
      </c>
      <c r="H3855" s="15" t="s">
        <v>45</v>
      </c>
      <c r="I3855">
        <v>80</v>
      </c>
      <c r="J3855">
        <v>130</v>
      </c>
      <c r="K3855">
        <v>120</v>
      </c>
      <c r="L3855">
        <v>210</v>
      </c>
      <c r="M3855">
        <v>108</v>
      </c>
      <c r="N3855">
        <v>971</v>
      </c>
      <c r="O3855">
        <v>157</v>
      </c>
      <c r="P3855">
        <v>30</v>
      </c>
      <c r="Q3855">
        <v>171</v>
      </c>
      <c r="R3855">
        <v>282</v>
      </c>
      <c r="S3855">
        <v>1.3428571428571427</v>
      </c>
      <c r="T3855">
        <v>1.425</v>
      </c>
      <c r="U3855">
        <v>1.35</v>
      </c>
    </row>
    <row r="3856" spans="1:21" x14ac:dyDescent="0.35">
      <c r="A3856">
        <v>951</v>
      </c>
      <c r="B3856" s="16">
        <v>40817</v>
      </c>
      <c r="C3856" s="15" t="s">
        <v>76</v>
      </c>
      <c r="D3856" s="15" t="s">
        <v>38</v>
      </c>
      <c r="E3856" s="15" t="s">
        <v>53</v>
      </c>
      <c r="F3856" s="15" t="s">
        <v>52</v>
      </c>
      <c r="G3856" s="15" t="s">
        <v>78</v>
      </c>
      <c r="H3856" s="15" t="s">
        <v>45</v>
      </c>
      <c r="I3856">
        <v>190</v>
      </c>
      <c r="J3856">
        <v>220</v>
      </c>
      <c r="K3856">
        <v>170</v>
      </c>
      <c r="L3856">
        <v>410</v>
      </c>
      <c r="M3856">
        <v>239</v>
      </c>
      <c r="N3856">
        <v>1246</v>
      </c>
      <c r="O3856">
        <v>281</v>
      </c>
      <c r="P3856">
        <v>74</v>
      </c>
      <c r="Q3856">
        <v>276</v>
      </c>
      <c r="R3856">
        <v>554</v>
      </c>
      <c r="S3856">
        <v>1.351219512195122</v>
      </c>
      <c r="T3856">
        <v>1.6235294117647059</v>
      </c>
      <c r="U3856">
        <v>1.2578947368421052</v>
      </c>
    </row>
    <row r="3857" spans="1:21" x14ac:dyDescent="0.35">
      <c r="A3857">
        <v>530</v>
      </c>
      <c r="B3857" s="16">
        <v>40817</v>
      </c>
      <c r="C3857" s="15" t="s">
        <v>76</v>
      </c>
      <c r="D3857" s="15" t="s">
        <v>38</v>
      </c>
      <c r="E3857" s="15" t="s">
        <v>54</v>
      </c>
      <c r="F3857" s="15" t="s">
        <v>52</v>
      </c>
      <c r="G3857" s="15" t="s">
        <v>78</v>
      </c>
      <c r="H3857" s="15" t="s">
        <v>45</v>
      </c>
      <c r="I3857">
        <v>20</v>
      </c>
      <c r="J3857">
        <v>40</v>
      </c>
      <c r="K3857">
        <v>40</v>
      </c>
      <c r="L3857">
        <v>60</v>
      </c>
      <c r="M3857">
        <v>39</v>
      </c>
      <c r="N3857">
        <v>541</v>
      </c>
      <c r="O3857">
        <v>51</v>
      </c>
      <c r="P3857">
        <v>12</v>
      </c>
      <c r="Q3857">
        <v>39</v>
      </c>
      <c r="R3857">
        <v>96</v>
      </c>
      <c r="S3857">
        <v>1.6</v>
      </c>
      <c r="T3857">
        <v>0.97499999999999998</v>
      </c>
      <c r="U3857">
        <v>1.95</v>
      </c>
    </row>
    <row r="3858" spans="1:21" x14ac:dyDescent="0.35">
      <c r="A3858">
        <v>805</v>
      </c>
      <c r="B3858" s="16">
        <v>40817</v>
      </c>
      <c r="C3858" s="15" t="s">
        <v>76</v>
      </c>
      <c r="D3858" s="15" t="s">
        <v>38</v>
      </c>
      <c r="E3858" s="15" t="s">
        <v>48</v>
      </c>
      <c r="F3858" s="15" t="s">
        <v>49</v>
      </c>
      <c r="G3858" s="15" t="s">
        <v>78</v>
      </c>
      <c r="H3858" s="15" t="s">
        <v>42</v>
      </c>
      <c r="I3858">
        <v>110</v>
      </c>
      <c r="J3858">
        <v>160</v>
      </c>
      <c r="K3858">
        <v>50</v>
      </c>
      <c r="L3858">
        <v>270</v>
      </c>
      <c r="M3858">
        <v>125</v>
      </c>
      <c r="N3858">
        <v>898</v>
      </c>
      <c r="O3858">
        <v>173</v>
      </c>
      <c r="P3858">
        <v>113</v>
      </c>
      <c r="Q3858">
        <v>40</v>
      </c>
      <c r="R3858">
        <v>318</v>
      </c>
      <c r="S3858">
        <v>1.1777777777777778</v>
      </c>
      <c r="T3858">
        <v>0.8</v>
      </c>
      <c r="U3858">
        <v>1.1363636363636365</v>
      </c>
    </row>
    <row r="3859" spans="1:21" x14ac:dyDescent="0.35">
      <c r="A3859">
        <v>415</v>
      </c>
      <c r="B3859" s="16">
        <v>40817</v>
      </c>
      <c r="C3859" s="15" t="s">
        <v>76</v>
      </c>
      <c r="D3859" s="15" t="s">
        <v>38</v>
      </c>
      <c r="E3859" s="15" t="s">
        <v>50</v>
      </c>
      <c r="F3859" s="15" t="s">
        <v>49</v>
      </c>
      <c r="G3859" s="15" t="s">
        <v>78</v>
      </c>
      <c r="H3859" s="15" t="s">
        <v>45</v>
      </c>
      <c r="I3859">
        <v>230</v>
      </c>
      <c r="J3859">
        <v>320</v>
      </c>
      <c r="K3859">
        <v>240</v>
      </c>
      <c r="L3859">
        <v>550</v>
      </c>
      <c r="M3859">
        <v>257</v>
      </c>
      <c r="N3859">
        <v>1662</v>
      </c>
      <c r="O3859">
        <v>341</v>
      </c>
      <c r="P3859">
        <v>84</v>
      </c>
      <c r="Q3859">
        <v>334</v>
      </c>
      <c r="R3859">
        <v>637</v>
      </c>
      <c r="S3859">
        <v>1.1581818181818182</v>
      </c>
      <c r="T3859">
        <v>1.3916666666666666</v>
      </c>
      <c r="U3859">
        <v>1.1173913043478261</v>
      </c>
    </row>
    <row r="3860" spans="1:21" x14ac:dyDescent="0.35">
      <c r="A3860">
        <v>909</v>
      </c>
      <c r="B3860" s="16">
        <v>40817</v>
      </c>
      <c r="C3860" s="15" t="s">
        <v>76</v>
      </c>
      <c r="D3860" s="15" t="s">
        <v>38</v>
      </c>
      <c r="E3860" s="15" t="s">
        <v>39</v>
      </c>
      <c r="F3860" s="15" t="s">
        <v>40</v>
      </c>
      <c r="G3860" s="15" t="s">
        <v>78</v>
      </c>
      <c r="H3860" s="15" t="s">
        <v>42</v>
      </c>
      <c r="I3860">
        <v>170</v>
      </c>
      <c r="J3860">
        <v>-20</v>
      </c>
      <c r="K3860">
        <v>-60</v>
      </c>
      <c r="L3860">
        <v>150</v>
      </c>
      <c r="M3860">
        <v>122</v>
      </c>
      <c r="N3860">
        <v>2555</v>
      </c>
      <c r="O3860">
        <v>-13</v>
      </c>
      <c r="P3860">
        <v>39</v>
      </c>
      <c r="Q3860">
        <v>-110</v>
      </c>
      <c r="R3860">
        <v>116</v>
      </c>
      <c r="S3860">
        <v>0.77333333333333332</v>
      </c>
      <c r="T3860">
        <v>1.8333333333333333</v>
      </c>
      <c r="U3860">
        <v>0.71764705882352942</v>
      </c>
    </row>
    <row r="3861" spans="1:21" x14ac:dyDescent="0.35">
      <c r="A3861">
        <v>818</v>
      </c>
      <c r="B3861" s="16">
        <v>40817</v>
      </c>
      <c r="C3861" s="15" t="s">
        <v>76</v>
      </c>
      <c r="D3861" s="15" t="s">
        <v>38</v>
      </c>
      <c r="E3861" s="15" t="s">
        <v>43</v>
      </c>
      <c r="F3861" s="15" t="s">
        <v>40</v>
      </c>
      <c r="G3861" s="15" t="s">
        <v>78</v>
      </c>
      <c r="H3861" s="15" t="s">
        <v>42</v>
      </c>
      <c r="I3861">
        <v>380</v>
      </c>
      <c r="J3861">
        <v>580</v>
      </c>
      <c r="K3861">
        <v>470</v>
      </c>
      <c r="L3861">
        <v>960</v>
      </c>
      <c r="M3861">
        <v>260</v>
      </c>
      <c r="N3861">
        <v>2548</v>
      </c>
      <c r="O3861">
        <v>390</v>
      </c>
      <c r="P3861">
        <v>91</v>
      </c>
      <c r="Q3861">
        <v>367</v>
      </c>
      <c r="R3861">
        <v>693</v>
      </c>
      <c r="S3861">
        <v>0.72187500000000004</v>
      </c>
      <c r="T3861">
        <v>0.7808510638297872</v>
      </c>
      <c r="U3861">
        <v>0.68421052631578949</v>
      </c>
    </row>
    <row r="3862" spans="1:21" x14ac:dyDescent="0.35">
      <c r="A3862">
        <v>650</v>
      </c>
      <c r="B3862" s="16">
        <v>40817</v>
      </c>
      <c r="C3862" s="15" t="s">
        <v>76</v>
      </c>
      <c r="D3862" s="15" t="s">
        <v>38</v>
      </c>
      <c r="E3862" s="15" t="s">
        <v>44</v>
      </c>
      <c r="F3862" s="15" t="s">
        <v>40</v>
      </c>
      <c r="G3862" s="15" t="s">
        <v>78</v>
      </c>
      <c r="H3862" s="15" t="s">
        <v>45</v>
      </c>
      <c r="I3862">
        <v>220</v>
      </c>
      <c r="J3862">
        <v>-30</v>
      </c>
      <c r="K3862">
        <v>-100</v>
      </c>
      <c r="L3862">
        <v>190</v>
      </c>
      <c r="M3862">
        <v>154</v>
      </c>
      <c r="N3862">
        <v>3654</v>
      </c>
      <c r="O3862">
        <v>-24</v>
      </c>
      <c r="P3862">
        <v>50</v>
      </c>
      <c r="Q3862">
        <v>-174</v>
      </c>
      <c r="R3862">
        <v>139</v>
      </c>
      <c r="S3862">
        <v>0.73157894736842111</v>
      </c>
      <c r="T3862">
        <v>1.74</v>
      </c>
      <c r="U3862">
        <v>0.7</v>
      </c>
    </row>
    <row r="3863" spans="1:21" x14ac:dyDescent="0.35">
      <c r="A3863">
        <v>714</v>
      </c>
      <c r="B3863" s="16">
        <v>40817</v>
      </c>
      <c r="C3863" s="15" t="s">
        <v>76</v>
      </c>
      <c r="D3863" s="15" t="s">
        <v>38</v>
      </c>
      <c r="E3863" s="15" t="s">
        <v>72</v>
      </c>
      <c r="F3863" s="15" t="s">
        <v>49</v>
      </c>
      <c r="G3863" s="15" t="s">
        <v>78</v>
      </c>
      <c r="H3863" s="15" t="s">
        <v>42</v>
      </c>
      <c r="I3863">
        <v>210</v>
      </c>
      <c r="J3863">
        <v>220</v>
      </c>
      <c r="K3863">
        <v>160</v>
      </c>
      <c r="L3863">
        <v>430</v>
      </c>
      <c r="M3863">
        <v>239</v>
      </c>
      <c r="N3863">
        <v>1755</v>
      </c>
      <c r="O3863">
        <v>239</v>
      </c>
      <c r="P3863">
        <v>66</v>
      </c>
      <c r="Q3863">
        <v>221</v>
      </c>
      <c r="R3863">
        <v>509</v>
      </c>
      <c r="S3863">
        <v>1.1837209302325582</v>
      </c>
      <c r="T3863">
        <v>1.3812500000000001</v>
      </c>
      <c r="U3863">
        <v>1.138095238095238</v>
      </c>
    </row>
    <row r="3864" spans="1:21" x14ac:dyDescent="0.35">
      <c r="A3864">
        <v>775</v>
      </c>
      <c r="B3864" s="16">
        <v>40817</v>
      </c>
      <c r="C3864" s="15" t="s">
        <v>76</v>
      </c>
      <c r="D3864" s="15" t="s">
        <v>58</v>
      </c>
      <c r="E3864" s="15" t="s">
        <v>55</v>
      </c>
      <c r="F3864" s="15" t="s">
        <v>47</v>
      </c>
      <c r="G3864" s="15" t="s">
        <v>79</v>
      </c>
      <c r="H3864" s="15" t="s">
        <v>42</v>
      </c>
      <c r="I3864">
        <v>110</v>
      </c>
      <c r="J3864">
        <v>180</v>
      </c>
      <c r="K3864">
        <v>130</v>
      </c>
      <c r="L3864">
        <v>290</v>
      </c>
      <c r="M3864">
        <v>257</v>
      </c>
      <c r="N3864">
        <v>1662</v>
      </c>
      <c r="O3864">
        <v>341</v>
      </c>
      <c r="P3864">
        <v>84</v>
      </c>
      <c r="Q3864">
        <v>332</v>
      </c>
      <c r="R3864">
        <v>637</v>
      </c>
      <c r="S3864">
        <v>2.1965517241379309</v>
      </c>
      <c r="T3864">
        <v>2.5538461538461537</v>
      </c>
      <c r="U3864">
        <v>2.3363636363636364</v>
      </c>
    </row>
    <row r="3865" spans="1:21" x14ac:dyDescent="0.35">
      <c r="A3865">
        <v>775</v>
      </c>
      <c r="B3865" s="16">
        <v>40817</v>
      </c>
      <c r="C3865" s="15" t="s">
        <v>76</v>
      </c>
      <c r="D3865" s="15" t="s">
        <v>58</v>
      </c>
      <c r="E3865" s="15" t="s">
        <v>56</v>
      </c>
      <c r="F3865" s="15" t="s">
        <v>47</v>
      </c>
      <c r="G3865" s="15" t="s">
        <v>79</v>
      </c>
      <c r="H3865" s="15" t="s">
        <v>42</v>
      </c>
      <c r="I3865">
        <v>110</v>
      </c>
      <c r="J3865">
        <v>120</v>
      </c>
      <c r="K3865">
        <v>80</v>
      </c>
      <c r="L3865">
        <v>230</v>
      </c>
      <c r="M3865">
        <v>239</v>
      </c>
      <c r="N3865">
        <v>1755</v>
      </c>
      <c r="O3865">
        <v>239</v>
      </c>
      <c r="P3865">
        <v>66</v>
      </c>
      <c r="Q3865">
        <v>221</v>
      </c>
      <c r="R3865">
        <v>509</v>
      </c>
      <c r="S3865">
        <v>2.2130434782608694</v>
      </c>
      <c r="T3865">
        <v>2.7625000000000002</v>
      </c>
      <c r="U3865">
        <v>2.1727272727272728</v>
      </c>
    </row>
    <row r="3866" spans="1:21" x14ac:dyDescent="0.35">
      <c r="A3866">
        <v>702</v>
      </c>
      <c r="B3866" s="16">
        <v>40817</v>
      </c>
      <c r="C3866" s="15" t="s">
        <v>76</v>
      </c>
      <c r="D3866" s="15" t="s">
        <v>58</v>
      </c>
      <c r="E3866" s="15" t="s">
        <v>46</v>
      </c>
      <c r="F3866" s="15" t="s">
        <v>47</v>
      </c>
      <c r="G3866" s="15" t="s">
        <v>79</v>
      </c>
      <c r="H3866" s="15" t="s">
        <v>42</v>
      </c>
      <c r="I3866">
        <v>110</v>
      </c>
      <c r="J3866">
        <v>-110</v>
      </c>
      <c r="K3866">
        <v>-170</v>
      </c>
      <c r="L3866">
        <v>0</v>
      </c>
      <c r="M3866">
        <v>255</v>
      </c>
      <c r="N3866">
        <v>7058</v>
      </c>
      <c r="O3866">
        <v>-255</v>
      </c>
      <c r="P3866">
        <v>96</v>
      </c>
      <c r="Q3866">
        <v>-539</v>
      </c>
      <c r="R3866">
        <v>22</v>
      </c>
      <c r="T3866">
        <v>3.1705882352941175</v>
      </c>
      <c r="U3866">
        <v>2.3181818181818183</v>
      </c>
    </row>
    <row r="3867" spans="1:21" x14ac:dyDescent="0.35">
      <c r="A3867">
        <v>702</v>
      </c>
      <c r="B3867" s="16">
        <v>40817</v>
      </c>
      <c r="C3867" s="15" t="s">
        <v>76</v>
      </c>
      <c r="D3867" s="15" t="s">
        <v>58</v>
      </c>
      <c r="E3867" s="15" t="s">
        <v>51</v>
      </c>
      <c r="F3867" s="15" t="s">
        <v>52</v>
      </c>
      <c r="G3867" s="15" t="s">
        <v>79</v>
      </c>
      <c r="H3867" s="15" t="s">
        <v>45</v>
      </c>
      <c r="I3867">
        <v>90</v>
      </c>
      <c r="J3867">
        <v>150</v>
      </c>
      <c r="K3867">
        <v>60</v>
      </c>
      <c r="L3867">
        <v>240</v>
      </c>
      <c r="M3867">
        <v>125</v>
      </c>
      <c r="N3867">
        <v>898</v>
      </c>
      <c r="O3867">
        <v>173</v>
      </c>
      <c r="P3867">
        <v>113</v>
      </c>
      <c r="Q3867">
        <v>39</v>
      </c>
      <c r="R3867">
        <v>318</v>
      </c>
      <c r="S3867">
        <v>1.325</v>
      </c>
      <c r="T3867">
        <v>0.65</v>
      </c>
      <c r="U3867">
        <v>1.3888888888888888</v>
      </c>
    </row>
    <row r="3868" spans="1:21" x14ac:dyDescent="0.35">
      <c r="A3868">
        <v>775</v>
      </c>
      <c r="B3868" s="16">
        <v>40817</v>
      </c>
      <c r="C3868" s="15" t="s">
        <v>76</v>
      </c>
      <c r="D3868" s="15" t="s">
        <v>58</v>
      </c>
      <c r="E3868" s="15" t="s">
        <v>53</v>
      </c>
      <c r="F3868" s="15" t="s">
        <v>52</v>
      </c>
      <c r="G3868" s="15" t="s">
        <v>79</v>
      </c>
      <c r="H3868" s="15" t="s">
        <v>45</v>
      </c>
      <c r="I3868">
        <v>120</v>
      </c>
      <c r="J3868">
        <v>170</v>
      </c>
      <c r="K3868">
        <v>120</v>
      </c>
      <c r="L3868">
        <v>290</v>
      </c>
      <c r="M3868">
        <v>154</v>
      </c>
      <c r="N3868">
        <v>1132</v>
      </c>
      <c r="O3868">
        <v>213</v>
      </c>
      <c r="P3868">
        <v>50</v>
      </c>
      <c r="Q3868">
        <v>178</v>
      </c>
      <c r="R3868">
        <v>391</v>
      </c>
      <c r="S3868">
        <v>1.3482758620689654</v>
      </c>
      <c r="T3868">
        <v>1.4833333333333334</v>
      </c>
      <c r="U3868">
        <v>1.2833333333333334</v>
      </c>
    </row>
    <row r="3869" spans="1:21" x14ac:dyDescent="0.35">
      <c r="A3869">
        <v>775</v>
      </c>
      <c r="B3869" s="16">
        <v>40817</v>
      </c>
      <c r="C3869" s="15" t="s">
        <v>76</v>
      </c>
      <c r="D3869" s="15" t="s">
        <v>58</v>
      </c>
      <c r="E3869" s="15" t="s">
        <v>54</v>
      </c>
      <c r="F3869" s="15" t="s">
        <v>52</v>
      </c>
      <c r="G3869" s="15" t="s">
        <v>79</v>
      </c>
      <c r="H3869" s="15" t="s">
        <v>45</v>
      </c>
      <c r="I3869">
        <v>90</v>
      </c>
      <c r="J3869">
        <v>150</v>
      </c>
      <c r="K3869">
        <v>130</v>
      </c>
      <c r="L3869">
        <v>240</v>
      </c>
      <c r="M3869">
        <v>122</v>
      </c>
      <c r="N3869">
        <v>789</v>
      </c>
      <c r="O3869">
        <v>176</v>
      </c>
      <c r="P3869">
        <v>39</v>
      </c>
      <c r="Q3869">
        <v>169</v>
      </c>
      <c r="R3869">
        <v>318</v>
      </c>
      <c r="S3869">
        <v>1.325</v>
      </c>
      <c r="T3869">
        <v>1.3</v>
      </c>
      <c r="U3869">
        <v>1.3555555555555556</v>
      </c>
    </row>
    <row r="3870" spans="1:21" x14ac:dyDescent="0.35">
      <c r="A3870">
        <v>775</v>
      </c>
      <c r="B3870" s="16">
        <v>40817</v>
      </c>
      <c r="C3870" s="15" t="s">
        <v>76</v>
      </c>
      <c r="D3870" s="15" t="s">
        <v>58</v>
      </c>
      <c r="E3870" s="15" t="s">
        <v>48</v>
      </c>
      <c r="F3870" s="15" t="s">
        <v>49</v>
      </c>
      <c r="G3870" s="15" t="s">
        <v>79</v>
      </c>
      <c r="H3870" s="15" t="s">
        <v>42</v>
      </c>
      <c r="I3870">
        <v>10</v>
      </c>
      <c r="J3870">
        <v>20</v>
      </c>
      <c r="K3870">
        <v>20</v>
      </c>
      <c r="L3870">
        <v>30</v>
      </c>
      <c r="M3870">
        <v>21</v>
      </c>
      <c r="N3870">
        <v>846</v>
      </c>
      <c r="O3870">
        <v>31</v>
      </c>
      <c r="P3870">
        <v>5</v>
      </c>
      <c r="Q3870">
        <v>21</v>
      </c>
      <c r="R3870">
        <v>55</v>
      </c>
      <c r="S3870">
        <v>1.8333333333333333</v>
      </c>
      <c r="T3870">
        <v>1.05</v>
      </c>
      <c r="U3870">
        <v>2.1</v>
      </c>
    </row>
    <row r="3871" spans="1:21" x14ac:dyDescent="0.35">
      <c r="A3871">
        <v>775</v>
      </c>
      <c r="B3871" s="16">
        <v>40817</v>
      </c>
      <c r="C3871" s="15" t="s">
        <v>76</v>
      </c>
      <c r="D3871" s="15" t="s">
        <v>58</v>
      </c>
      <c r="E3871" s="15" t="s">
        <v>50</v>
      </c>
      <c r="F3871" s="15" t="s">
        <v>49</v>
      </c>
      <c r="G3871" s="15" t="s">
        <v>79</v>
      </c>
      <c r="H3871" s="15" t="s">
        <v>45</v>
      </c>
      <c r="I3871">
        <v>10</v>
      </c>
      <c r="J3871">
        <v>30</v>
      </c>
      <c r="K3871">
        <v>30</v>
      </c>
      <c r="L3871">
        <v>40</v>
      </c>
      <c r="M3871">
        <v>23</v>
      </c>
      <c r="N3871">
        <v>800</v>
      </c>
      <c r="O3871">
        <v>35</v>
      </c>
      <c r="P3871">
        <v>6</v>
      </c>
      <c r="Q3871">
        <v>25</v>
      </c>
      <c r="R3871">
        <v>62</v>
      </c>
      <c r="S3871">
        <v>1.55</v>
      </c>
      <c r="T3871">
        <v>0.83333333333333337</v>
      </c>
      <c r="U3871">
        <v>2.2999999999999998</v>
      </c>
    </row>
    <row r="3872" spans="1:21" x14ac:dyDescent="0.35">
      <c r="A3872">
        <v>702</v>
      </c>
      <c r="B3872" s="16">
        <v>40817</v>
      </c>
      <c r="C3872" s="15" t="s">
        <v>76</v>
      </c>
      <c r="D3872" s="15" t="s">
        <v>58</v>
      </c>
      <c r="E3872" s="15" t="s">
        <v>43</v>
      </c>
      <c r="F3872" s="15" t="s">
        <v>40</v>
      </c>
      <c r="G3872" s="15" t="s">
        <v>79</v>
      </c>
      <c r="H3872" s="15" t="s">
        <v>42</v>
      </c>
      <c r="I3872">
        <v>40</v>
      </c>
      <c r="J3872">
        <v>60</v>
      </c>
      <c r="K3872">
        <v>30</v>
      </c>
      <c r="L3872">
        <v>100</v>
      </c>
      <c r="M3872">
        <v>34</v>
      </c>
      <c r="N3872">
        <v>240</v>
      </c>
      <c r="O3872">
        <v>43</v>
      </c>
      <c r="P3872">
        <v>12</v>
      </c>
      <c r="Q3872">
        <v>-3</v>
      </c>
      <c r="R3872">
        <v>82</v>
      </c>
      <c r="S3872">
        <v>0.82</v>
      </c>
      <c r="T3872">
        <v>-0.1</v>
      </c>
      <c r="U3872">
        <v>0.85</v>
      </c>
    </row>
    <row r="3873" spans="1:21" x14ac:dyDescent="0.35">
      <c r="A3873">
        <v>775</v>
      </c>
      <c r="B3873" s="16">
        <v>40817</v>
      </c>
      <c r="C3873" s="15" t="s">
        <v>76</v>
      </c>
      <c r="D3873" s="15" t="s">
        <v>58</v>
      </c>
      <c r="E3873" s="15" t="s">
        <v>44</v>
      </c>
      <c r="F3873" s="15" t="s">
        <v>40</v>
      </c>
      <c r="G3873" s="15" t="s">
        <v>79</v>
      </c>
      <c r="H3873" s="15" t="s">
        <v>45</v>
      </c>
      <c r="I3873">
        <v>30</v>
      </c>
      <c r="J3873">
        <v>60</v>
      </c>
      <c r="K3873">
        <v>50</v>
      </c>
      <c r="L3873">
        <v>90</v>
      </c>
      <c r="M3873">
        <v>31</v>
      </c>
      <c r="N3873">
        <v>1000</v>
      </c>
      <c r="O3873">
        <v>37</v>
      </c>
      <c r="P3873">
        <v>9</v>
      </c>
      <c r="Q3873">
        <v>10</v>
      </c>
      <c r="R3873">
        <v>72</v>
      </c>
      <c r="S3873">
        <v>0.8</v>
      </c>
      <c r="T3873">
        <v>0.2</v>
      </c>
      <c r="U3873">
        <v>1.0333333333333334</v>
      </c>
    </row>
    <row r="3874" spans="1:21" x14ac:dyDescent="0.35">
      <c r="A3874">
        <v>702</v>
      </c>
      <c r="B3874" s="16">
        <v>40817</v>
      </c>
      <c r="C3874" s="15" t="s">
        <v>76</v>
      </c>
      <c r="D3874" s="15" t="s">
        <v>58</v>
      </c>
      <c r="E3874" s="15" t="s">
        <v>72</v>
      </c>
      <c r="F3874" s="15" t="s">
        <v>49</v>
      </c>
      <c r="G3874" s="15" t="s">
        <v>79</v>
      </c>
      <c r="H3874" s="15" t="s">
        <v>42</v>
      </c>
      <c r="I3874">
        <v>0</v>
      </c>
      <c r="J3874">
        <v>30</v>
      </c>
      <c r="K3874">
        <v>30</v>
      </c>
      <c r="L3874">
        <v>30</v>
      </c>
      <c r="M3874">
        <v>0</v>
      </c>
      <c r="N3874">
        <v>430</v>
      </c>
      <c r="O3874">
        <v>43</v>
      </c>
      <c r="P3874">
        <v>0</v>
      </c>
      <c r="Q3874">
        <v>47</v>
      </c>
      <c r="R3874">
        <v>46</v>
      </c>
      <c r="S3874">
        <v>1.5333333333333334</v>
      </c>
      <c r="T3874">
        <v>1.5666666666666667</v>
      </c>
    </row>
    <row r="3875" spans="1:21" x14ac:dyDescent="0.35">
      <c r="A3875">
        <v>971</v>
      </c>
      <c r="B3875" s="16">
        <v>40817</v>
      </c>
      <c r="C3875" s="15" t="s">
        <v>76</v>
      </c>
      <c r="D3875" s="15" t="s">
        <v>58</v>
      </c>
      <c r="E3875" s="15" t="s">
        <v>55</v>
      </c>
      <c r="F3875" s="15" t="s">
        <v>47</v>
      </c>
      <c r="G3875" s="15" t="s">
        <v>80</v>
      </c>
      <c r="H3875" s="15" t="s">
        <v>42</v>
      </c>
      <c r="I3875">
        <v>0</v>
      </c>
      <c r="J3875">
        <v>20</v>
      </c>
      <c r="K3875">
        <v>20</v>
      </c>
      <c r="L3875">
        <v>20</v>
      </c>
      <c r="M3875">
        <v>21</v>
      </c>
      <c r="N3875">
        <v>480</v>
      </c>
      <c r="O3875">
        <v>32</v>
      </c>
      <c r="P3875">
        <v>5</v>
      </c>
      <c r="Q3875">
        <v>24</v>
      </c>
      <c r="R3875">
        <v>56</v>
      </c>
      <c r="S3875">
        <v>2.8</v>
      </c>
      <c r="T3875">
        <v>1.2</v>
      </c>
    </row>
    <row r="3876" spans="1:21" x14ac:dyDescent="0.35">
      <c r="A3876">
        <v>503</v>
      </c>
      <c r="B3876" s="16">
        <v>40817</v>
      </c>
      <c r="C3876" s="15" t="s">
        <v>76</v>
      </c>
      <c r="D3876" s="15" t="s">
        <v>58</v>
      </c>
      <c r="E3876" s="15" t="s">
        <v>56</v>
      </c>
      <c r="F3876" s="15" t="s">
        <v>47</v>
      </c>
      <c r="G3876" s="15" t="s">
        <v>80</v>
      </c>
      <c r="H3876" s="15" t="s">
        <v>42</v>
      </c>
      <c r="I3876">
        <v>30</v>
      </c>
      <c r="J3876">
        <v>60</v>
      </c>
      <c r="K3876">
        <v>50</v>
      </c>
      <c r="L3876">
        <v>90</v>
      </c>
      <c r="M3876">
        <v>82</v>
      </c>
      <c r="N3876">
        <v>788</v>
      </c>
      <c r="O3876">
        <v>123</v>
      </c>
      <c r="P3876">
        <v>27</v>
      </c>
      <c r="Q3876">
        <v>95</v>
      </c>
      <c r="R3876">
        <v>218</v>
      </c>
      <c r="S3876">
        <v>2.4222222222222221</v>
      </c>
      <c r="T3876">
        <v>1.9</v>
      </c>
      <c r="U3876">
        <v>2.7333333333333334</v>
      </c>
    </row>
    <row r="3877" spans="1:21" x14ac:dyDescent="0.35">
      <c r="A3877">
        <v>541</v>
      </c>
      <c r="B3877" s="16">
        <v>40817</v>
      </c>
      <c r="C3877" s="15" t="s">
        <v>76</v>
      </c>
      <c r="D3877" s="15" t="s">
        <v>58</v>
      </c>
      <c r="E3877" s="15" t="s">
        <v>46</v>
      </c>
      <c r="F3877" s="15" t="s">
        <v>47</v>
      </c>
      <c r="G3877" s="15" t="s">
        <v>80</v>
      </c>
      <c r="H3877" s="15" t="s">
        <v>42</v>
      </c>
      <c r="I3877">
        <v>40</v>
      </c>
      <c r="J3877">
        <v>60</v>
      </c>
      <c r="K3877">
        <v>50</v>
      </c>
      <c r="L3877">
        <v>100</v>
      </c>
      <c r="M3877">
        <v>91</v>
      </c>
      <c r="N3877">
        <v>656</v>
      </c>
      <c r="O3877">
        <v>127</v>
      </c>
      <c r="P3877">
        <v>28</v>
      </c>
      <c r="Q3877">
        <v>113</v>
      </c>
      <c r="R3877">
        <v>232</v>
      </c>
      <c r="S3877">
        <v>2.3199999999999998</v>
      </c>
      <c r="T3877">
        <v>2.2599999999999998</v>
      </c>
      <c r="U3877">
        <v>2.2749999999999999</v>
      </c>
    </row>
    <row r="3878" spans="1:21" x14ac:dyDescent="0.35">
      <c r="A3878">
        <v>971</v>
      </c>
      <c r="B3878" s="16">
        <v>40817</v>
      </c>
      <c r="C3878" s="15" t="s">
        <v>76</v>
      </c>
      <c r="D3878" s="15" t="s">
        <v>58</v>
      </c>
      <c r="E3878" s="15" t="s">
        <v>51</v>
      </c>
      <c r="F3878" s="15" t="s">
        <v>52</v>
      </c>
      <c r="G3878" s="15" t="s">
        <v>80</v>
      </c>
      <c r="H3878" s="15" t="s">
        <v>45</v>
      </c>
      <c r="I3878">
        <v>10</v>
      </c>
      <c r="J3878">
        <v>30</v>
      </c>
      <c r="K3878">
        <v>30</v>
      </c>
      <c r="L3878">
        <v>40</v>
      </c>
      <c r="M3878">
        <v>25</v>
      </c>
      <c r="N3878">
        <v>820</v>
      </c>
      <c r="O3878">
        <v>36</v>
      </c>
      <c r="P3878">
        <v>7</v>
      </c>
      <c r="Q3878">
        <v>25</v>
      </c>
      <c r="R3878">
        <v>65</v>
      </c>
      <c r="S3878">
        <v>1.625</v>
      </c>
      <c r="T3878">
        <v>0.83333333333333337</v>
      </c>
      <c r="U3878">
        <v>2.5</v>
      </c>
    </row>
    <row r="3879" spans="1:21" x14ac:dyDescent="0.35">
      <c r="A3879">
        <v>541</v>
      </c>
      <c r="B3879" s="16">
        <v>40817</v>
      </c>
      <c r="C3879" s="15" t="s">
        <v>76</v>
      </c>
      <c r="D3879" s="15" t="s">
        <v>58</v>
      </c>
      <c r="E3879" s="15" t="s">
        <v>53</v>
      </c>
      <c r="F3879" s="15" t="s">
        <v>52</v>
      </c>
      <c r="G3879" s="15" t="s">
        <v>80</v>
      </c>
      <c r="H3879" s="15" t="s">
        <v>45</v>
      </c>
      <c r="I3879">
        <v>60</v>
      </c>
      <c r="J3879">
        <v>100</v>
      </c>
      <c r="K3879">
        <v>90</v>
      </c>
      <c r="L3879">
        <v>160</v>
      </c>
      <c r="M3879">
        <v>90</v>
      </c>
      <c r="N3879">
        <v>572</v>
      </c>
      <c r="O3879">
        <v>115</v>
      </c>
      <c r="P3879">
        <v>29</v>
      </c>
      <c r="Q3879">
        <v>108</v>
      </c>
      <c r="R3879">
        <v>218</v>
      </c>
      <c r="S3879">
        <v>1.3625</v>
      </c>
      <c r="T3879">
        <v>1.2</v>
      </c>
      <c r="U3879">
        <v>1.5</v>
      </c>
    </row>
    <row r="3880" spans="1:21" x14ac:dyDescent="0.35">
      <c r="A3880">
        <v>971</v>
      </c>
      <c r="B3880" s="16">
        <v>40817</v>
      </c>
      <c r="C3880" s="15" t="s">
        <v>76</v>
      </c>
      <c r="D3880" s="15" t="s">
        <v>58</v>
      </c>
      <c r="E3880" s="15" t="s">
        <v>72</v>
      </c>
      <c r="F3880" s="15" t="s">
        <v>49</v>
      </c>
      <c r="G3880" s="15" t="s">
        <v>80</v>
      </c>
      <c r="H3880" s="15" t="s">
        <v>42</v>
      </c>
      <c r="I3880">
        <v>40</v>
      </c>
      <c r="J3880">
        <v>60</v>
      </c>
      <c r="K3880">
        <v>40</v>
      </c>
      <c r="L3880">
        <v>100</v>
      </c>
      <c r="M3880">
        <v>54</v>
      </c>
      <c r="N3880">
        <v>404</v>
      </c>
      <c r="O3880">
        <v>66</v>
      </c>
      <c r="P3880">
        <v>20</v>
      </c>
      <c r="Q3880">
        <v>18</v>
      </c>
      <c r="R3880">
        <v>128</v>
      </c>
      <c r="S3880">
        <v>1.28</v>
      </c>
      <c r="T3880">
        <v>0.45</v>
      </c>
      <c r="U3880">
        <v>1.35</v>
      </c>
    </row>
    <row r="3881" spans="1:21" x14ac:dyDescent="0.35">
      <c r="A3881">
        <v>541</v>
      </c>
      <c r="B3881" s="16">
        <v>40817</v>
      </c>
      <c r="C3881" s="15" t="s">
        <v>76</v>
      </c>
      <c r="D3881" s="15" t="s">
        <v>58</v>
      </c>
      <c r="E3881" s="15" t="s">
        <v>48</v>
      </c>
      <c r="F3881" s="15" t="s">
        <v>49</v>
      </c>
      <c r="G3881" s="15" t="s">
        <v>80</v>
      </c>
      <c r="H3881" s="15" t="s">
        <v>42</v>
      </c>
      <c r="I3881">
        <v>30</v>
      </c>
      <c r="J3881">
        <v>70</v>
      </c>
      <c r="K3881">
        <v>60</v>
      </c>
      <c r="L3881">
        <v>100</v>
      </c>
      <c r="M3881">
        <v>52</v>
      </c>
      <c r="N3881">
        <v>405</v>
      </c>
      <c r="O3881">
        <v>71</v>
      </c>
      <c r="P3881">
        <v>17</v>
      </c>
      <c r="Q3881">
        <v>40</v>
      </c>
      <c r="R3881">
        <v>131</v>
      </c>
      <c r="S3881">
        <v>1.31</v>
      </c>
      <c r="T3881">
        <v>0.66666666666666663</v>
      </c>
      <c r="U3881">
        <v>1.7333333333333334</v>
      </c>
    </row>
    <row r="3882" spans="1:21" x14ac:dyDescent="0.35">
      <c r="A3882">
        <v>503</v>
      </c>
      <c r="B3882" s="16">
        <v>40817</v>
      </c>
      <c r="C3882" s="15" t="s">
        <v>76</v>
      </c>
      <c r="D3882" s="15" t="s">
        <v>58</v>
      </c>
      <c r="E3882" s="15" t="s">
        <v>50</v>
      </c>
      <c r="F3882" s="15" t="s">
        <v>49</v>
      </c>
      <c r="G3882" s="15" t="s">
        <v>80</v>
      </c>
      <c r="H3882" s="15" t="s">
        <v>45</v>
      </c>
      <c r="I3882">
        <v>140</v>
      </c>
      <c r="J3882">
        <v>150</v>
      </c>
      <c r="K3882">
        <v>110</v>
      </c>
      <c r="L3882">
        <v>290</v>
      </c>
      <c r="M3882">
        <v>161</v>
      </c>
      <c r="N3882">
        <v>1267</v>
      </c>
      <c r="O3882">
        <v>161</v>
      </c>
      <c r="P3882">
        <v>45</v>
      </c>
      <c r="Q3882">
        <v>135</v>
      </c>
      <c r="R3882">
        <v>343</v>
      </c>
      <c r="S3882">
        <v>1.1827586206896552</v>
      </c>
      <c r="T3882">
        <v>1.2272727272727273</v>
      </c>
      <c r="U3882">
        <v>1.1499999999999999</v>
      </c>
    </row>
    <row r="3883" spans="1:21" x14ac:dyDescent="0.35">
      <c r="A3883">
        <v>503</v>
      </c>
      <c r="B3883" s="16">
        <v>40817</v>
      </c>
      <c r="C3883" s="15" t="s">
        <v>76</v>
      </c>
      <c r="D3883" s="15" t="s">
        <v>58</v>
      </c>
      <c r="E3883" s="15" t="s">
        <v>39</v>
      </c>
      <c r="F3883" s="15" t="s">
        <v>40</v>
      </c>
      <c r="G3883" s="15" t="s">
        <v>80</v>
      </c>
      <c r="H3883" s="15" t="s">
        <v>42</v>
      </c>
      <c r="I3883">
        <v>70</v>
      </c>
      <c r="J3883">
        <v>100</v>
      </c>
      <c r="K3883">
        <v>50</v>
      </c>
      <c r="L3883">
        <v>170</v>
      </c>
      <c r="M3883">
        <v>51</v>
      </c>
      <c r="N3883">
        <v>503</v>
      </c>
      <c r="O3883">
        <v>71</v>
      </c>
      <c r="P3883">
        <v>46</v>
      </c>
      <c r="Q3883">
        <v>-7</v>
      </c>
      <c r="R3883">
        <v>130</v>
      </c>
      <c r="S3883">
        <v>0.76470588235294112</v>
      </c>
      <c r="T3883">
        <v>-0.14000000000000001</v>
      </c>
      <c r="U3883">
        <v>0.72857142857142854</v>
      </c>
    </row>
    <row r="3884" spans="1:21" x14ac:dyDescent="0.35">
      <c r="A3884">
        <v>503</v>
      </c>
      <c r="B3884" s="16">
        <v>40817</v>
      </c>
      <c r="C3884" s="15" t="s">
        <v>76</v>
      </c>
      <c r="D3884" s="15" t="s">
        <v>58</v>
      </c>
      <c r="E3884" s="15" t="s">
        <v>43</v>
      </c>
      <c r="F3884" s="15" t="s">
        <v>40</v>
      </c>
      <c r="G3884" s="15" t="s">
        <v>80</v>
      </c>
      <c r="H3884" s="15" t="s">
        <v>42</v>
      </c>
      <c r="I3884">
        <v>80</v>
      </c>
      <c r="J3884">
        <v>130</v>
      </c>
      <c r="K3884">
        <v>90</v>
      </c>
      <c r="L3884">
        <v>210</v>
      </c>
      <c r="M3884">
        <v>60</v>
      </c>
      <c r="N3884">
        <v>463</v>
      </c>
      <c r="O3884">
        <v>84</v>
      </c>
      <c r="P3884">
        <v>19</v>
      </c>
      <c r="Q3884">
        <v>31</v>
      </c>
      <c r="R3884">
        <v>153</v>
      </c>
      <c r="S3884">
        <v>0.72857142857142854</v>
      </c>
      <c r="T3884">
        <v>0.34444444444444444</v>
      </c>
      <c r="U3884">
        <v>0.75</v>
      </c>
    </row>
    <row r="3885" spans="1:21" x14ac:dyDescent="0.35">
      <c r="A3885">
        <v>971</v>
      </c>
      <c r="B3885" s="16">
        <v>40817</v>
      </c>
      <c r="C3885" s="15" t="s">
        <v>76</v>
      </c>
      <c r="D3885" s="15" t="s">
        <v>58</v>
      </c>
      <c r="E3885" s="15" t="s">
        <v>44</v>
      </c>
      <c r="F3885" s="15" t="s">
        <v>40</v>
      </c>
      <c r="G3885" s="15" t="s">
        <v>80</v>
      </c>
      <c r="H3885" s="15" t="s">
        <v>45</v>
      </c>
      <c r="I3885">
        <v>50</v>
      </c>
      <c r="J3885">
        <v>100</v>
      </c>
      <c r="K3885">
        <v>80</v>
      </c>
      <c r="L3885">
        <v>150</v>
      </c>
      <c r="M3885">
        <v>43</v>
      </c>
      <c r="N3885">
        <v>419</v>
      </c>
      <c r="O3885">
        <v>64</v>
      </c>
      <c r="P3885">
        <v>13</v>
      </c>
      <c r="Q3885">
        <v>43</v>
      </c>
      <c r="R3885">
        <v>114</v>
      </c>
      <c r="S3885">
        <v>0.76</v>
      </c>
      <c r="T3885">
        <v>0.53749999999999998</v>
      </c>
      <c r="U3885">
        <v>0.86</v>
      </c>
    </row>
    <row r="3886" spans="1:21" x14ac:dyDescent="0.35">
      <c r="A3886">
        <v>425</v>
      </c>
      <c r="B3886" s="16">
        <v>40817</v>
      </c>
      <c r="C3886" s="15" t="s">
        <v>76</v>
      </c>
      <c r="D3886" s="15" t="s">
        <v>58</v>
      </c>
      <c r="E3886" s="15" t="s">
        <v>55</v>
      </c>
      <c r="F3886" s="15" t="s">
        <v>47</v>
      </c>
      <c r="G3886" s="15" t="s">
        <v>81</v>
      </c>
      <c r="H3886" s="15" t="s">
        <v>42</v>
      </c>
      <c r="I3886">
        <v>20</v>
      </c>
      <c r="J3886">
        <v>50</v>
      </c>
      <c r="K3886">
        <v>40</v>
      </c>
      <c r="L3886">
        <v>70</v>
      </c>
      <c r="M3886">
        <v>60</v>
      </c>
      <c r="N3886">
        <v>329</v>
      </c>
      <c r="O3886">
        <v>99</v>
      </c>
      <c r="P3886">
        <v>18</v>
      </c>
      <c r="Q3886">
        <v>85</v>
      </c>
      <c r="R3886">
        <v>169</v>
      </c>
      <c r="S3886">
        <v>2.4142857142857141</v>
      </c>
      <c r="T3886">
        <v>2.125</v>
      </c>
      <c r="U3886">
        <v>3</v>
      </c>
    </row>
    <row r="3887" spans="1:21" x14ac:dyDescent="0.35">
      <c r="A3887">
        <v>509</v>
      </c>
      <c r="B3887" s="16">
        <v>40817</v>
      </c>
      <c r="C3887" s="15" t="s">
        <v>76</v>
      </c>
      <c r="D3887" s="15" t="s">
        <v>58</v>
      </c>
      <c r="E3887" s="15" t="s">
        <v>56</v>
      </c>
      <c r="F3887" s="15" t="s">
        <v>47</v>
      </c>
      <c r="G3887" s="15" t="s">
        <v>81</v>
      </c>
      <c r="H3887" s="15" t="s">
        <v>42</v>
      </c>
      <c r="I3887">
        <v>20</v>
      </c>
      <c r="J3887">
        <v>30</v>
      </c>
      <c r="K3887">
        <v>30</v>
      </c>
      <c r="L3887">
        <v>50</v>
      </c>
      <c r="M3887">
        <v>46</v>
      </c>
      <c r="N3887">
        <v>449</v>
      </c>
      <c r="O3887">
        <v>67</v>
      </c>
      <c r="P3887">
        <v>14</v>
      </c>
      <c r="Q3887">
        <v>46</v>
      </c>
      <c r="R3887">
        <v>120</v>
      </c>
      <c r="S3887">
        <v>2.4</v>
      </c>
      <c r="T3887">
        <v>1.5333333333333334</v>
      </c>
      <c r="U3887">
        <v>2.2999999999999998</v>
      </c>
    </row>
    <row r="3888" spans="1:21" x14ac:dyDescent="0.35">
      <c r="A3888">
        <v>206</v>
      </c>
      <c r="B3888" s="16">
        <v>40817</v>
      </c>
      <c r="C3888" s="15" t="s">
        <v>76</v>
      </c>
      <c r="D3888" s="15" t="s">
        <v>58</v>
      </c>
      <c r="E3888" s="15" t="s">
        <v>46</v>
      </c>
      <c r="F3888" s="15" t="s">
        <v>47</v>
      </c>
      <c r="G3888" s="15" t="s">
        <v>81</v>
      </c>
      <c r="H3888" s="15" t="s">
        <v>42</v>
      </c>
      <c r="I3888">
        <v>20</v>
      </c>
      <c r="J3888">
        <v>40</v>
      </c>
      <c r="K3888">
        <v>10</v>
      </c>
      <c r="L3888">
        <v>60</v>
      </c>
      <c r="M3888">
        <v>60</v>
      </c>
      <c r="N3888">
        <v>606</v>
      </c>
      <c r="O3888">
        <v>84</v>
      </c>
      <c r="P3888">
        <v>54</v>
      </c>
      <c r="Q3888">
        <v>0</v>
      </c>
      <c r="R3888">
        <v>153</v>
      </c>
      <c r="S3888">
        <v>2.5499999999999998</v>
      </c>
      <c r="T3888">
        <v>0</v>
      </c>
      <c r="U3888">
        <v>3</v>
      </c>
    </row>
    <row r="3889" spans="1:21" x14ac:dyDescent="0.35">
      <c r="A3889">
        <v>360</v>
      </c>
      <c r="B3889" s="16">
        <v>40817</v>
      </c>
      <c r="C3889" s="15" t="s">
        <v>76</v>
      </c>
      <c r="D3889" s="15" t="s">
        <v>58</v>
      </c>
      <c r="E3889" s="15" t="s">
        <v>51</v>
      </c>
      <c r="F3889" s="15" t="s">
        <v>52</v>
      </c>
      <c r="G3889" s="15" t="s">
        <v>81</v>
      </c>
      <c r="H3889" s="15" t="s">
        <v>45</v>
      </c>
      <c r="I3889">
        <v>90</v>
      </c>
      <c r="J3889">
        <v>160</v>
      </c>
      <c r="K3889">
        <v>130</v>
      </c>
      <c r="L3889">
        <v>250</v>
      </c>
      <c r="M3889">
        <v>125</v>
      </c>
      <c r="N3889">
        <v>1119</v>
      </c>
      <c r="O3889">
        <v>188</v>
      </c>
      <c r="P3889">
        <v>41</v>
      </c>
      <c r="Q3889">
        <v>171</v>
      </c>
      <c r="R3889">
        <v>334</v>
      </c>
      <c r="S3889">
        <v>1.3360000000000001</v>
      </c>
      <c r="T3889">
        <v>1.3153846153846154</v>
      </c>
      <c r="U3889">
        <v>1.3888888888888888</v>
      </c>
    </row>
    <row r="3890" spans="1:21" x14ac:dyDescent="0.35">
      <c r="A3890">
        <v>509</v>
      </c>
      <c r="B3890" s="16">
        <v>40817</v>
      </c>
      <c r="C3890" s="15" t="s">
        <v>76</v>
      </c>
      <c r="D3890" s="15" t="s">
        <v>58</v>
      </c>
      <c r="E3890" s="15" t="s">
        <v>53</v>
      </c>
      <c r="F3890" s="15" t="s">
        <v>52</v>
      </c>
      <c r="G3890" s="15" t="s">
        <v>81</v>
      </c>
      <c r="H3890" s="15" t="s">
        <v>45</v>
      </c>
      <c r="I3890">
        <v>30</v>
      </c>
      <c r="J3890">
        <v>60</v>
      </c>
      <c r="K3890">
        <v>60</v>
      </c>
      <c r="L3890">
        <v>90</v>
      </c>
      <c r="M3890">
        <v>48</v>
      </c>
      <c r="N3890">
        <v>829</v>
      </c>
      <c r="O3890">
        <v>71</v>
      </c>
      <c r="P3890">
        <v>13</v>
      </c>
      <c r="Q3890">
        <v>70</v>
      </c>
      <c r="R3890">
        <v>127</v>
      </c>
      <c r="S3890">
        <v>1.4111111111111112</v>
      </c>
      <c r="T3890">
        <v>1.1666666666666667</v>
      </c>
      <c r="U3890">
        <v>1.6</v>
      </c>
    </row>
    <row r="3891" spans="1:21" x14ac:dyDescent="0.35">
      <c r="A3891">
        <v>206</v>
      </c>
      <c r="B3891" s="16">
        <v>40817</v>
      </c>
      <c r="C3891" s="15" t="s">
        <v>76</v>
      </c>
      <c r="D3891" s="15" t="s">
        <v>58</v>
      </c>
      <c r="E3891" s="15" t="s">
        <v>72</v>
      </c>
      <c r="F3891" s="15" t="s">
        <v>49</v>
      </c>
      <c r="G3891" s="15" t="s">
        <v>81</v>
      </c>
      <c r="H3891" s="15" t="s">
        <v>42</v>
      </c>
      <c r="I3891">
        <v>10</v>
      </c>
      <c r="J3891">
        <v>20</v>
      </c>
      <c r="K3891">
        <v>20</v>
      </c>
      <c r="L3891">
        <v>30</v>
      </c>
      <c r="M3891">
        <v>22</v>
      </c>
      <c r="N3891">
        <v>573</v>
      </c>
      <c r="O3891">
        <v>29</v>
      </c>
      <c r="P3891">
        <v>7</v>
      </c>
      <c r="Q3891">
        <v>15</v>
      </c>
      <c r="R3891">
        <v>54</v>
      </c>
      <c r="S3891">
        <v>1.8</v>
      </c>
      <c r="T3891">
        <v>0.75</v>
      </c>
      <c r="U3891">
        <v>2.2000000000000002</v>
      </c>
    </row>
    <row r="3892" spans="1:21" x14ac:dyDescent="0.35">
      <c r="A3892">
        <v>425</v>
      </c>
      <c r="B3892" s="16">
        <v>40817</v>
      </c>
      <c r="C3892" s="15" t="s">
        <v>76</v>
      </c>
      <c r="D3892" s="15" t="s">
        <v>58</v>
      </c>
      <c r="E3892" s="15" t="s">
        <v>48</v>
      </c>
      <c r="F3892" s="15" t="s">
        <v>49</v>
      </c>
      <c r="G3892" s="15" t="s">
        <v>81</v>
      </c>
      <c r="H3892" s="15" t="s">
        <v>42</v>
      </c>
      <c r="I3892">
        <v>40</v>
      </c>
      <c r="J3892">
        <v>70</v>
      </c>
      <c r="K3892">
        <v>50</v>
      </c>
      <c r="L3892">
        <v>110</v>
      </c>
      <c r="M3892">
        <v>56</v>
      </c>
      <c r="N3892">
        <v>385</v>
      </c>
      <c r="O3892">
        <v>70</v>
      </c>
      <c r="P3892">
        <v>21</v>
      </c>
      <c r="Q3892">
        <v>24</v>
      </c>
      <c r="R3892">
        <v>134</v>
      </c>
      <c r="S3892">
        <v>1.2181818181818183</v>
      </c>
      <c r="T3892">
        <v>0.48</v>
      </c>
      <c r="U3892">
        <v>1.4</v>
      </c>
    </row>
    <row r="3893" spans="1:21" x14ac:dyDescent="0.35">
      <c r="A3893">
        <v>360</v>
      </c>
      <c r="B3893" s="16">
        <v>40817</v>
      </c>
      <c r="C3893" s="15" t="s">
        <v>76</v>
      </c>
      <c r="D3893" s="15" t="s">
        <v>58</v>
      </c>
      <c r="E3893" s="15" t="s">
        <v>50</v>
      </c>
      <c r="F3893" s="15" t="s">
        <v>49</v>
      </c>
      <c r="G3893" s="15" t="s">
        <v>81</v>
      </c>
      <c r="H3893" s="15" t="s">
        <v>45</v>
      </c>
      <c r="I3893">
        <v>60</v>
      </c>
      <c r="J3893">
        <v>90</v>
      </c>
      <c r="K3893">
        <v>80</v>
      </c>
      <c r="L3893">
        <v>150</v>
      </c>
      <c r="M3893">
        <v>80</v>
      </c>
      <c r="N3893">
        <v>1055</v>
      </c>
      <c r="O3893">
        <v>94</v>
      </c>
      <c r="P3893">
        <v>24</v>
      </c>
      <c r="Q3893">
        <v>71</v>
      </c>
      <c r="R3893">
        <v>185</v>
      </c>
      <c r="S3893">
        <v>1.2333333333333334</v>
      </c>
      <c r="T3893">
        <v>0.88749999999999996</v>
      </c>
      <c r="U3893">
        <v>1.3333333333333333</v>
      </c>
    </row>
    <row r="3894" spans="1:21" x14ac:dyDescent="0.35">
      <c r="A3894">
        <v>360</v>
      </c>
      <c r="B3894" s="16">
        <v>40817</v>
      </c>
      <c r="C3894" s="15" t="s">
        <v>76</v>
      </c>
      <c r="D3894" s="15" t="s">
        <v>58</v>
      </c>
      <c r="E3894" s="15" t="s">
        <v>43</v>
      </c>
      <c r="F3894" s="15" t="s">
        <v>40</v>
      </c>
      <c r="G3894" s="15" t="s">
        <v>81</v>
      </c>
      <c r="H3894" s="15" t="s">
        <v>42</v>
      </c>
      <c r="I3894">
        <v>90</v>
      </c>
      <c r="J3894">
        <v>140</v>
      </c>
      <c r="K3894">
        <v>110</v>
      </c>
      <c r="L3894">
        <v>230</v>
      </c>
      <c r="M3894">
        <v>68</v>
      </c>
      <c r="N3894">
        <v>438</v>
      </c>
      <c r="O3894">
        <v>99</v>
      </c>
      <c r="P3894">
        <v>21</v>
      </c>
      <c r="Q3894">
        <v>83</v>
      </c>
      <c r="R3894">
        <v>178</v>
      </c>
      <c r="S3894">
        <v>0.77391304347826084</v>
      </c>
      <c r="T3894">
        <v>0.75454545454545452</v>
      </c>
      <c r="U3894">
        <v>0.75555555555555554</v>
      </c>
    </row>
    <row r="3895" spans="1:21" x14ac:dyDescent="0.35">
      <c r="A3895">
        <v>206</v>
      </c>
      <c r="B3895" s="16">
        <v>40817</v>
      </c>
      <c r="C3895" s="15" t="s">
        <v>76</v>
      </c>
      <c r="D3895" s="15" t="s">
        <v>58</v>
      </c>
      <c r="E3895" s="15" t="s">
        <v>44</v>
      </c>
      <c r="F3895" s="15" t="s">
        <v>40</v>
      </c>
      <c r="G3895" s="15" t="s">
        <v>81</v>
      </c>
      <c r="H3895" s="15" t="s">
        <v>45</v>
      </c>
      <c r="I3895">
        <v>140</v>
      </c>
      <c r="J3895">
        <v>190</v>
      </c>
      <c r="K3895">
        <v>100</v>
      </c>
      <c r="L3895">
        <v>330</v>
      </c>
      <c r="M3895">
        <v>96</v>
      </c>
      <c r="N3895">
        <v>683</v>
      </c>
      <c r="O3895">
        <v>134</v>
      </c>
      <c r="P3895">
        <v>87</v>
      </c>
      <c r="Q3895">
        <v>25</v>
      </c>
      <c r="R3895">
        <v>245</v>
      </c>
      <c r="S3895">
        <v>0.74242424242424243</v>
      </c>
      <c r="T3895">
        <v>0.25</v>
      </c>
      <c r="U3895">
        <v>0.68571428571428572</v>
      </c>
    </row>
    <row r="3896" spans="1:21" x14ac:dyDescent="0.35">
      <c r="A3896">
        <v>970</v>
      </c>
      <c r="B3896" s="16">
        <v>40848</v>
      </c>
      <c r="C3896" s="15" t="s">
        <v>37</v>
      </c>
      <c r="D3896" s="15" t="s">
        <v>38</v>
      </c>
      <c r="E3896" s="15" t="s">
        <v>51</v>
      </c>
      <c r="F3896" s="15" t="s">
        <v>52</v>
      </c>
      <c r="G3896" s="15" t="s">
        <v>41</v>
      </c>
      <c r="H3896" s="15" t="s">
        <v>45</v>
      </c>
      <c r="I3896">
        <v>170</v>
      </c>
      <c r="J3896">
        <v>160</v>
      </c>
      <c r="K3896">
        <v>100</v>
      </c>
      <c r="L3896">
        <v>330</v>
      </c>
      <c r="M3896">
        <v>181</v>
      </c>
      <c r="N3896">
        <v>1283</v>
      </c>
      <c r="O3896">
        <v>182</v>
      </c>
      <c r="P3896">
        <v>50</v>
      </c>
      <c r="Q3896">
        <v>159</v>
      </c>
      <c r="R3896">
        <v>387</v>
      </c>
      <c r="S3896">
        <v>1.1727272727272726</v>
      </c>
      <c r="T3896">
        <v>1.59</v>
      </c>
      <c r="U3896">
        <v>1.0647058823529412</v>
      </c>
    </row>
    <row r="3897" spans="1:21" x14ac:dyDescent="0.35">
      <c r="A3897">
        <v>970</v>
      </c>
      <c r="B3897" s="16">
        <v>40848</v>
      </c>
      <c r="C3897" s="15" t="s">
        <v>37</v>
      </c>
      <c r="D3897" s="15" t="s">
        <v>38</v>
      </c>
      <c r="E3897" s="15" t="s">
        <v>53</v>
      </c>
      <c r="F3897" s="15" t="s">
        <v>52</v>
      </c>
      <c r="G3897" s="15" t="s">
        <v>41</v>
      </c>
      <c r="H3897" s="15" t="s">
        <v>45</v>
      </c>
      <c r="I3897">
        <v>40</v>
      </c>
      <c r="J3897">
        <v>70</v>
      </c>
      <c r="K3897">
        <v>10</v>
      </c>
      <c r="L3897">
        <v>110</v>
      </c>
      <c r="M3897">
        <v>52</v>
      </c>
      <c r="N3897">
        <v>509</v>
      </c>
      <c r="O3897">
        <v>73</v>
      </c>
      <c r="P3897">
        <v>47</v>
      </c>
      <c r="Q3897">
        <v>-6</v>
      </c>
      <c r="R3897">
        <v>133</v>
      </c>
      <c r="S3897">
        <v>1.209090909090909</v>
      </c>
      <c r="T3897">
        <v>-0.6</v>
      </c>
      <c r="U3897">
        <v>1.3</v>
      </c>
    </row>
    <row r="3898" spans="1:21" x14ac:dyDescent="0.35">
      <c r="A3898">
        <v>970</v>
      </c>
      <c r="B3898" s="16">
        <v>40848</v>
      </c>
      <c r="C3898" s="15" t="s">
        <v>37</v>
      </c>
      <c r="D3898" s="15" t="s">
        <v>38</v>
      </c>
      <c r="E3898" s="15" t="s">
        <v>54</v>
      </c>
      <c r="F3898" s="15" t="s">
        <v>52</v>
      </c>
      <c r="G3898" s="15" t="s">
        <v>41</v>
      </c>
      <c r="H3898" s="15" t="s">
        <v>45</v>
      </c>
      <c r="I3898">
        <v>50</v>
      </c>
      <c r="J3898">
        <v>70</v>
      </c>
      <c r="K3898">
        <v>40</v>
      </c>
      <c r="L3898">
        <v>120</v>
      </c>
      <c r="M3898">
        <v>59</v>
      </c>
      <c r="N3898">
        <v>411</v>
      </c>
      <c r="O3898">
        <v>79</v>
      </c>
      <c r="P3898">
        <v>19</v>
      </c>
      <c r="Q3898">
        <v>47</v>
      </c>
      <c r="R3898">
        <v>147</v>
      </c>
      <c r="S3898">
        <v>1.2250000000000001</v>
      </c>
      <c r="T3898">
        <v>1.175</v>
      </c>
      <c r="U3898">
        <v>1.18</v>
      </c>
    </row>
    <row r="3899" spans="1:21" x14ac:dyDescent="0.35">
      <c r="A3899">
        <v>719</v>
      </c>
      <c r="B3899" s="16">
        <v>40848</v>
      </c>
      <c r="C3899" s="15" t="s">
        <v>37</v>
      </c>
      <c r="D3899" s="15" t="s">
        <v>38</v>
      </c>
      <c r="E3899" s="15" t="s">
        <v>55</v>
      </c>
      <c r="F3899" s="15" t="s">
        <v>47</v>
      </c>
      <c r="G3899" s="15" t="s">
        <v>41</v>
      </c>
      <c r="H3899" s="15" t="s">
        <v>42</v>
      </c>
      <c r="I3899">
        <v>40</v>
      </c>
      <c r="J3899">
        <v>60</v>
      </c>
      <c r="K3899">
        <v>20</v>
      </c>
      <c r="L3899">
        <v>100</v>
      </c>
      <c r="M3899">
        <v>55</v>
      </c>
      <c r="N3899">
        <v>410</v>
      </c>
      <c r="O3899">
        <v>69</v>
      </c>
      <c r="P3899">
        <v>20</v>
      </c>
      <c r="Q3899">
        <v>22</v>
      </c>
      <c r="R3899">
        <v>132</v>
      </c>
      <c r="S3899">
        <v>1.32</v>
      </c>
      <c r="T3899">
        <v>1.1000000000000001</v>
      </c>
      <c r="U3899">
        <v>1.375</v>
      </c>
    </row>
    <row r="3900" spans="1:21" x14ac:dyDescent="0.35">
      <c r="A3900">
        <v>719</v>
      </c>
      <c r="B3900" s="16">
        <v>40848</v>
      </c>
      <c r="C3900" s="15" t="s">
        <v>37</v>
      </c>
      <c r="D3900" s="15" t="s">
        <v>38</v>
      </c>
      <c r="E3900" s="15" t="s">
        <v>56</v>
      </c>
      <c r="F3900" s="15" t="s">
        <v>47</v>
      </c>
      <c r="G3900" s="15" t="s">
        <v>41</v>
      </c>
      <c r="H3900" s="15" t="s">
        <v>42</v>
      </c>
      <c r="I3900">
        <v>40</v>
      </c>
      <c r="J3900">
        <v>60</v>
      </c>
      <c r="K3900">
        <v>30</v>
      </c>
      <c r="L3900">
        <v>100</v>
      </c>
      <c r="M3900">
        <v>57</v>
      </c>
      <c r="N3900">
        <v>1042</v>
      </c>
      <c r="O3900">
        <v>68</v>
      </c>
      <c r="P3900">
        <v>17</v>
      </c>
      <c r="Q3900">
        <v>43</v>
      </c>
      <c r="R3900">
        <v>133</v>
      </c>
      <c r="S3900">
        <v>1.33</v>
      </c>
      <c r="T3900">
        <v>1.4333333333333333</v>
      </c>
      <c r="U3900">
        <v>1.425</v>
      </c>
    </row>
    <row r="3901" spans="1:21" x14ac:dyDescent="0.35">
      <c r="A3901">
        <v>970</v>
      </c>
      <c r="B3901" s="16">
        <v>40848</v>
      </c>
      <c r="C3901" s="15" t="s">
        <v>37</v>
      </c>
      <c r="D3901" s="15" t="s">
        <v>38</v>
      </c>
      <c r="E3901" s="15" t="s">
        <v>46</v>
      </c>
      <c r="F3901" s="15" t="s">
        <v>47</v>
      </c>
      <c r="G3901" s="15" t="s">
        <v>41</v>
      </c>
      <c r="H3901" s="15" t="s">
        <v>42</v>
      </c>
      <c r="I3901">
        <v>70</v>
      </c>
      <c r="J3901">
        <v>90</v>
      </c>
      <c r="K3901">
        <v>60</v>
      </c>
      <c r="L3901">
        <v>160</v>
      </c>
      <c r="M3901">
        <v>88</v>
      </c>
      <c r="N3901">
        <v>561</v>
      </c>
      <c r="O3901">
        <v>112</v>
      </c>
      <c r="P3901">
        <v>29</v>
      </c>
      <c r="Q3901">
        <v>104</v>
      </c>
      <c r="R3901">
        <v>213</v>
      </c>
      <c r="S3901">
        <v>1.33125</v>
      </c>
      <c r="T3901">
        <v>1.7333333333333334</v>
      </c>
      <c r="U3901">
        <v>1.2571428571428571</v>
      </c>
    </row>
    <row r="3902" spans="1:21" x14ac:dyDescent="0.35">
      <c r="A3902">
        <v>303</v>
      </c>
      <c r="B3902" s="16">
        <v>40848</v>
      </c>
      <c r="C3902" s="15" t="s">
        <v>37</v>
      </c>
      <c r="D3902" s="15" t="s">
        <v>38</v>
      </c>
      <c r="E3902" s="15" t="s">
        <v>48</v>
      </c>
      <c r="F3902" s="15" t="s">
        <v>49</v>
      </c>
      <c r="G3902" s="15" t="s">
        <v>41</v>
      </c>
      <c r="H3902" s="15" t="s">
        <v>42</v>
      </c>
      <c r="I3902">
        <v>60</v>
      </c>
      <c r="J3902">
        <v>90</v>
      </c>
      <c r="K3902">
        <v>70</v>
      </c>
      <c r="L3902">
        <v>150</v>
      </c>
      <c r="M3902">
        <v>50</v>
      </c>
      <c r="N3902">
        <v>589</v>
      </c>
      <c r="O3902">
        <v>73</v>
      </c>
      <c r="P3902">
        <v>14</v>
      </c>
      <c r="Q3902">
        <v>71</v>
      </c>
      <c r="R3902">
        <v>131</v>
      </c>
      <c r="S3902">
        <v>0.87333333333333329</v>
      </c>
      <c r="T3902">
        <v>1.0142857142857142</v>
      </c>
      <c r="U3902">
        <v>0.83333333333333337</v>
      </c>
    </row>
    <row r="3903" spans="1:21" x14ac:dyDescent="0.35">
      <c r="A3903">
        <v>970</v>
      </c>
      <c r="B3903" s="16">
        <v>40848</v>
      </c>
      <c r="C3903" s="15" t="s">
        <v>37</v>
      </c>
      <c r="D3903" s="15" t="s">
        <v>38</v>
      </c>
      <c r="E3903" s="15" t="s">
        <v>50</v>
      </c>
      <c r="F3903" s="15" t="s">
        <v>49</v>
      </c>
      <c r="G3903" s="15" t="s">
        <v>41</v>
      </c>
      <c r="H3903" s="15" t="s">
        <v>45</v>
      </c>
      <c r="I3903">
        <v>90</v>
      </c>
      <c r="J3903">
        <v>150</v>
      </c>
      <c r="K3903">
        <v>100</v>
      </c>
      <c r="L3903">
        <v>240</v>
      </c>
      <c r="M3903">
        <v>75</v>
      </c>
      <c r="N3903">
        <v>659</v>
      </c>
      <c r="O3903">
        <v>114</v>
      </c>
      <c r="P3903">
        <v>24</v>
      </c>
      <c r="Q3903">
        <v>86</v>
      </c>
      <c r="R3903">
        <v>201</v>
      </c>
      <c r="S3903">
        <v>0.83750000000000002</v>
      </c>
      <c r="T3903">
        <v>0.86</v>
      </c>
      <c r="U3903">
        <v>0.83333333333333337</v>
      </c>
    </row>
    <row r="3904" spans="1:21" x14ac:dyDescent="0.35">
      <c r="A3904">
        <v>719</v>
      </c>
      <c r="B3904" s="16">
        <v>40848</v>
      </c>
      <c r="C3904" s="15" t="s">
        <v>37</v>
      </c>
      <c r="D3904" s="15" t="s">
        <v>38</v>
      </c>
      <c r="E3904" s="15" t="s">
        <v>39</v>
      </c>
      <c r="F3904" s="15" t="s">
        <v>40</v>
      </c>
      <c r="G3904" s="15" t="s">
        <v>41</v>
      </c>
      <c r="H3904" s="15" t="s">
        <v>42</v>
      </c>
      <c r="I3904">
        <v>110</v>
      </c>
      <c r="J3904">
        <v>170</v>
      </c>
      <c r="K3904">
        <v>130</v>
      </c>
      <c r="L3904">
        <v>280</v>
      </c>
      <c r="M3904">
        <v>118</v>
      </c>
      <c r="N3904">
        <v>930</v>
      </c>
      <c r="O3904">
        <v>172</v>
      </c>
      <c r="P3904">
        <v>33</v>
      </c>
      <c r="Q3904">
        <v>190</v>
      </c>
      <c r="R3904">
        <v>309</v>
      </c>
      <c r="S3904">
        <v>1.1035714285714286</v>
      </c>
      <c r="T3904">
        <v>1.4615384615384615</v>
      </c>
      <c r="U3904">
        <v>1.0727272727272728</v>
      </c>
    </row>
    <row r="3905" spans="1:21" x14ac:dyDescent="0.35">
      <c r="A3905">
        <v>719</v>
      </c>
      <c r="B3905" s="16">
        <v>40848</v>
      </c>
      <c r="C3905" s="15" t="s">
        <v>37</v>
      </c>
      <c r="D3905" s="15" t="s">
        <v>38</v>
      </c>
      <c r="E3905" s="15" t="s">
        <v>43</v>
      </c>
      <c r="F3905" s="15" t="s">
        <v>40</v>
      </c>
      <c r="G3905" s="15" t="s">
        <v>41</v>
      </c>
      <c r="H3905" s="15" t="s">
        <v>42</v>
      </c>
      <c r="I3905">
        <v>30</v>
      </c>
      <c r="J3905">
        <v>60</v>
      </c>
      <c r="K3905">
        <v>40</v>
      </c>
      <c r="L3905">
        <v>90</v>
      </c>
      <c r="M3905">
        <v>40</v>
      </c>
      <c r="N3905">
        <v>536</v>
      </c>
      <c r="O3905">
        <v>52</v>
      </c>
      <c r="P3905">
        <v>13</v>
      </c>
      <c r="Q3905">
        <v>40</v>
      </c>
      <c r="R3905">
        <v>98</v>
      </c>
      <c r="S3905">
        <v>1.0888888888888888</v>
      </c>
      <c r="T3905">
        <v>1</v>
      </c>
      <c r="U3905">
        <v>1.3333333333333333</v>
      </c>
    </row>
    <row r="3906" spans="1:21" x14ac:dyDescent="0.35">
      <c r="A3906">
        <v>720</v>
      </c>
      <c r="B3906" s="16">
        <v>40848</v>
      </c>
      <c r="C3906" s="15" t="s">
        <v>37</v>
      </c>
      <c r="D3906" s="15" t="s">
        <v>38</v>
      </c>
      <c r="E3906" s="15" t="s">
        <v>44</v>
      </c>
      <c r="F3906" s="15" t="s">
        <v>40</v>
      </c>
      <c r="G3906" s="15" t="s">
        <v>41</v>
      </c>
      <c r="H3906" s="15" t="s">
        <v>45</v>
      </c>
      <c r="I3906">
        <v>80</v>
      </c>
      <c r="J3906">
        <v>110</v>
      </c>
      <c r="K3906">
        <v>80</v>
      </c>
      <c r="L3906">
        <v>190</v>
      </c>
      <c r="M3906">
        <v>81</v>
      </c>
      <c r="N3906">
        <v>984</v>
      </c>
      <c r="O3906">
        <v>117</v>
      </c>
      <c r="P3906">
        <v>22</v>
      </c>
      <c r="Q3906">
        <v>125</v>
      </c>
      <c r="R3906">
        <v>211</v>
      </c>
      <c r="S3906">
        <v>1.1105263157894736</v>
      </c>
      <c r="T3906">
        <v>1.5625</v>
      </c>
      <c r="U3906">
        <v>1.0125</v>
      </c>
    </row>
    <row r="3907" spans="1:21" x14ac:dyDescent="0.35">
      <c r="A3907">
        <v>708</v>
      </c>
      <c r="B3907" s="16">
        <v>40848</v>
      </c>
      <c r="C3907" s="15" t="s">
        <v>37</v>
      </c>
      <c r="D3907" s="15" t="s">
        <v>38</v>
      </c>
      <c r="E3907" s="15" t="s">
        <v>51</v>
      </c>
      <c r="F3907" s="15" t="s">
        <v>52</v>
      </c>
      <c r="G3907" s="15" t="s">
        <v>57</v>
      </c>
      <c r="H3907" s="15" t="s">
        <v>45</v>
      </c>
      <c r="I3907">
        <v>110</v>
      </c>
      <c r="J3907">
        <v>150</v>
      </c>
      <c r="K3907">
        <v>110</v>
      </c>
      <c r="L3907">
        <v>260</v>
      </c>
      <c r="M3907">
        <v>118</v>
      </c>
      <c r="N3907">
        <v>930</v>
      </c>
      <c r="O3907">
        <v>172</v>
      </c>
      <c r="P3907">
        <v>33</v>
      </c>
      <c r="Q3907">
        <v>188</v>
      </c>
      <c r="R3907">
        <v>309</v>
      </c>
      <c r="S3907">
        <v>1.1884615384615385</v>
      </c>
      <c r="T3907">
        <v>1.709090909090909</v>
      </c>
      <c r="U3907">
        <v>1.0727272727272728</v>
      </c>
    </row>
    <row r="3908" spans="1:21" x14ac:dyDescent="0.35">
      <c r="A3908">
        <v>312</v>
      </c>
      <c r="B3908" s="16">
        <v>40848</v>
      </c>
      <c r="C3908" s="15" t="s">
        <v>37</v>
      </c>
      <c r="D3908" s="15" t="s">
        <v>38</v>
      </c>
      <c r="E3908" s="15" t="s">
        <v>53</v>
      </c>
      <c r="F3908" s="15" t="s">
        <v>52</v>
      </c>
      <c r="G3908" s="15" t="s">
        <v>57</v>
      </c>
      <c r="H3908" s="15" t="s">
        <v>45</v>
      </c>
      <c r="I3908">
        <v>30</v>
      </c>
      <c r="J3908">
        <v>50</v>
      </c>
      <c r="K3908">
        <v>30</v>
      </c>
      <c r="L3908">
        <v>80</v>
      </c>
      <c r="M3908">
        <v>40</v>
      </c>
      <c r="N3908">
        <v>536</v>
      </c>
      <c r="O3908">
        <v>52</v>
      </c>
      <c r="P3908">
        <v>13</v>
      </c>
      <c r="Q3908">
        <v>40</v>
      </c>
      <c r="R3908">
        <v>98</v>
      </c>
      <c r="S3908">
        <v>1.2250000000000001</v>
      </c>
      <c r="T3908">
        <v>1.3333333333333333</v>
      </c>
      <c r="U3908">
        <v>1.3333333333333333</v>
      </c>
    </row>
    <row r="3909" spans="1:21" x14ac:dyDescent="0.35">
      <c r="A3909">
        <v>708</v>
      </c>
      <c r="B3909" s="16">
        <v>40848</v>
      </c>
      <c r="C3909" s="15" t="s">
        <v>37</v>
      </c>
      <c r="D3909" s="15" t="s">
        <v>38</v>
      </c>
      <c r="E3909" s="15" t="s">
        <v>54</v>
      </c>
      <c r="F3909" s="15" t="s">
        <v>52</v>
      </c>
      <c r="G3909" s="15" t="s">
        <v>57</v>
      </c>
      <c r="H3909" s="15" t="s">
        <v>45</v>
      </c>
      <c r="I3909">
        <v>70</v>
      </c>
      <c r="J3909">
        <v>110</v>
      </c>
      <c r="K3909">
        <v>80</v>
      </c>
      <c r="L3909">
        <v>180</v>
      </c>
      <c r="M3909">
        <v>81</v>
      </c>
      <c r="N3909">
        <v>984</v>
      </c>
      <c r="O3909">
        <v>117</v>
      </c>
      <c r="P3909">
        <v>22</v>
      </c>
      <c r="Q3909">
        <v>125</v>
      </c>
      <c r="R3909">
        <v>211</v>
      </c>
      <c r="S3909">
        <v>1.1722222222222223</v>
      </c>
      <c r="T3909">
        <v>1.5625</v>
      </c>
      <c r="U3909">
        <v>1.1571428571428573</v>
      </c>
    </row>
    <row r="3910" spans="1:21" x14ac:dyDescent="0.35">
      <c r="A3910">
        <v>708</v>
      </c>
      <c r="B3910" s="16">
        <v>40848</v>
      </c>
      <c r="C3910" s="15" t="s">
        <v>37</v>
      </c>
      <c r="D3910" s="15" t="s">
        <v>38</v>
      </c>
      <c r="E3910" s="15" t="s">
        <v>55</v>
      </c>
      <c r="F3910" s="15" t="s">
        <v>47</v>
      </c>
      <c r="G3910" s="15" t="s">
        <v>57</v>
      </c>
      <c r="H3910" s="15" t="s">
        <v>42</v>
      </c>
      <c r="I3910">
        <v>40</v>
      </c>
      <c r="J3910">
        <v>60</v>
      </c>
      <c r="K3910">
        <v>40</v>
      </c>
      <c r="L3910">
        <v>100</v>
      </c>
      <c r="M3910">
        <v>50</v>
      </c>
      <c r="N3910">
        <v>589</v>
      </c>
      <c r="O3910">
        <v>73</v>
      </c>
      <c r="P3910">
        <v>14</v>
      </c>
      <c r="Q3910">
        <v>71</v>
      </c>
      <c r="R3910">
        <v>131</v>
      </c>
      <c r="S3910">
        <v>1.31</v>
      </c>
      <c r="T3910">
        <v>1.7749999999999999</v>
      </c>
      <c r="U3910">
        <v>1.25</v>
      </c>
    </row>
    <row r="3911" spans="1:21" x14ac:dyDescent="0.35">
      <c r="A3911">
        <v>309</v>
      </c>
      <c r="B3911" s="16">
        <v>40848</v>
      </c>
      <c r="C3911" s="15" t="s">
        <v>37</v>
      </c>
      <c r="D3911" s="15" t="s">
        <v>38</v>
      </c>
      <c r="E3911" s="15" t="s">
        <v>56</v>
      </c>
      <c r="F3911" s="15" t="s">
        <v>47</v>
      </c>
      <c r="G3911" s="15" t="s">
        <v>57</v>
      </c>
      <c r="H3911" s="15" t="s">
        <v>42</v>
      </c>
      <c r="I3911">
        <v>60</v>
      </c>
      <c r="J3911">
        <v>90</v>
      </c>
      <c r="K3911">
        <v>50</v>
      </c>
      <c r="L3911">
        <v>150</v>
      </c>
      <c r="M3911">
        <v>75</v>
      </c>
      <c r="N3911">
        <v>659</v>
      </c>
      <c r="O3911">
        <v>114</v>
      </c>
      <c r="P3911">
        <v>24</v>
      </c>
      <c r="Q3911">
        <v>88</v>
      </c>
      <c r="R3911">
        <v>201</v>
      </c>
      <c r="S3911">
        <v>1.34</v>
      </c>
      <c r="T3911">
        <v>1.76</v>
      </c>
      <c r="U3911">
        <v>1.25</v>
      </c>
    </row>
    <row r="3912" spans="1:21" x14ac:dyDescent="0.35">
      <c r="A3912">
        <v>630</v>
      </c>
      <c r="B3912" s="16">
        <v>40848</v>
      </c>
      <c r="C3912" s="15" t="s">
        <v>37</v>
      </c>
      <c r="D3912" s="15" t="s">
        <v>38</v>
      </c>
      <c r="E3912" s="15" t="s">
        <v>48</v>
      </c>
      <c r="F3912" s="15" t="s">
        <v>49</v>
      </c>
      <c r="G3912" s="15" t="s">
        <v>57</v>
      </c>
      <c r="H3912" s="15" t="s">
        <v>42</v>
      </c>
      <c r="I3912">
        <v>290</v>
      </c>
      <c r="J3912">
        <v>390</v>
      </c>
      <c r="K3912">
        <v>290</v>
      </c>
      <c r="L3912">
        <v>680</v>
      </c>
      <c r="M3912">
        <v>228</v>
      </c>
      <c r="N3912">
        <v>1691</v>
      </c>
      <c r="O3912">
        <v>304</v>
      </c>
      <c r="P3912">
        <v>75</v>
      </c>
      <c r="Q3912">
        <v>291</v>
      </c>
      <c r="R3912">
        <v>567</v>
      </c>
      <c r="S3912">
        <v>0.83382352941176474</v>
      </c>
      <c r="T3912">
        <v>1.0034482758620689</v>
      </c>
      <c r="U3912">
        <v>0.78620689655172415</v>
      </c>
    </row>
    <row r="3913" spans="1:21" x14ac:dyDescent="0.35">
      <c r="A3913">
        <v>847</v>
      </c>
      <c r="B3913" s="16">
        <v>40848</v>
      </c>
      <c r="C3913" s="15" t="s">
        <v>37</v>
      </c>
      <c r="D3913" s="15" t="s">
        <v>38</v>
      </c>
      <c r="E3913" s="15" t="s">
        <v>50</v>
      </c>
      <c r="F3913" s="15" t="s">
        <v>49</v>
      </c>
      <c r="G3913" s="15" t="s">
        <v>57</v>
      </c>
      <c r="H3913" s="15" t="s">
        <v>45</v>
      </c>
      <c r="I3913">
        <v>270</v>
      </c>
      <c r="J3913">
        <v>270</v>
      </c>
      <c r="K3913">
        <v>200</v>
      </c>
      <c r="L3913">
        <v>540</v>
      </c>
      <c r="M3913">
        <v>211</v>
      </c>
      <c r="N3913">
        <v>1778</v>
      </c>
      <c r="O3913">
        <v>212</v>
      </c>
      <c r="P3913">
        <v>59</v>
      </c>
      <c r="Q3913">
        <v>191</v>
      </c>
      <c r="R3913">
        <v>451</v>
      </c>
      <c r="S3913">
        <v>0.83518518518518514</v>
      </c>
      <c r="T3913">
        <v>0.95499999999999996</v>
      </c>
      <c r="U3913">
        <v>0.78148148148148144</v>
      </c>
    </row>
    <row r="3914" spans="1:21" x14ac:dyDescent="0.35">
      <c r="A3914">
        <v>815</v>
      </c>
      <c r="B3914" s="16">
        <v>40848</v>
      </c>
      <c r="C3914" s="15" t="s">
        <v>37</v>
      </c>
      <c r="D3914" s="15" t="s">
        <v>38</v>
      </c>
      <c r="E3914" s="15" t="s">
        <v>43</v>
      </c>
      <c r="F3914" s="15" t="s">
        <v>40</v>
      </c>
      <c r="G3914" s="15" t="s">
        <v>57</v>
      </c>
      <c r="H3914" s="15" t="s">
        <v>42</v>
      </c>
      <c r="I3914">
        <v>170</v>
      </c>
      <c r="J3914">
        <v>230</v>
      </c>
      <c r="K3914">
        <v>140</v>
      </c>
      <c r="L3914">
        <v>400</v>
      </c>
      <c r="M3914">
        <v>173</v>
      </c>
      <c r="N3914">
        <v>1150</v>
      </c>
      <c r="O3914">
        <v>239</v>
      </c>
      <c r="P3914">
        <v>57</v>
      </c>
      <c r="Q3914">
        <v>206</v>
      </c>
      <c r="R3914">
        <v>439</v>
      </c>
      <c r="S3914">
        <v>1.0974999999999999</v>
      </c>
      <c r="T3914">
        <v>1.4714285714285715</v>
      </c>
      <c r="U3914">
        <v>1.0176470588235293</v>
      </c>
    </row>
    <row r="3915" spans="1:21" x14ac:dyDescent="0.35">
      <c r="A3915">
        <v>847</v>
      </c>
      <c r="B3915" s="16">
        <v>40848</v>
      </c>
      <c r="C3915" s="15" t="s">
        <v>37</v>
      </c>
      <c r="D3915" s="15" t="s">
        <v>38</v>
      </c>
      <c r="E3915" s="15" t="s">
        <v>44</v>
      </c>
      <c r="F3915" s="15" t="s">
        <v>40</v>
      </c>
      <c r="G3915" s="15" t="s">
        <v>57</v>
      </c>
      <c r="H3915" s="15" t="s">
        <v>45</v>
      </c>
      <c r="I3915">
        <v>110</v>
      </c>
      <c r="J3915">
        <v>160</v>
      </c>
      <c r="K3915">
        <v>110</v>
      </c>
      <c r="L3915">
        <v>270</v>
      </c>
      <c r="M3915">
        <v>113</v>
      </c>
      <c r="N3915">
        <v>803</v>
      </c>
      <c r="O3915">
        <v>165</v>
      </c>
      <c r="P3915">
        <v>36</v>
      </c>
      <c r="Q3915">
        <v>157</v>
      </c>
      <c r="R3915">
        <v>296</v>
      </c>
      <c r="S3915">
        <v>1.0962962962962963</v>
      </c>
      <c r="T3915">
        <v>1.4272727272727272</v>
      </c>
      <c r="U3915">
        <v>1.0272727272727273</v>
      </c>
    </row>
    <row r="3916" spans="1:21" x14ac:dyDescent="0.35">
      <c r="A3916">
        <v>641</v>
      </c>
      <c r="B3916" s="16">
        <v>40848</v>
      </c>
      <c r="C3916" s="15" t="s">
        <v>37</v>
      </c>
      <c r="D3916" s="15" t="s">
        <v>58</v>
      </c>
      <c r="E3916" s="15" t="s">
        <v>51</v>
      </c>
      <c r="F3916" s="15" t="s">
        <v>52</v>
      </c>
      <c r="G3916" s="15" t="s">
        <v>59</v>
      </c>
      <c r="H3916" s="15" t="s">
        <v>45</v>
      </c>
      <c r="I3916">
        <v>210</v>
      </c>
      <c r="J3916">
        <v>280</v>
      </c>
      <c r="K3916">
        <v>180</v>
      </c>
      <c r="L3916">
        <v>490</v>
      </c>
      <c r="M3916">
        <v>228</v>
      </c>
      <c r="N3916">
        <v>1691</v>
      </c>
      <c r="O3916">
        <v>304</v>
      </c>
      <c r="P3916">
        <v>75</v>
      </c>
      <c r="Q3916">
        <v>291</v>
      </c>
      <c r="R3916">
        <v>567</v>
      </c>
      <c r="S3916">
        <v>1.1571428571428573</v>
      </c>
      <c r="T3916">
        <v>1.6166666666666667</v>
      </c>
      <c r="U3916">
        <v>1.0857142857142856</v>
      </c>
    </row>
    <row r="3917" spans="1:21" x14ac:dyDescent="0.35">
      <c r="A3917">
        <v>641</v>
      </c>
      <c r="B3917" s="16">
        <v>40848</v>
      </c>
      <c r="C3917" s="15" t="s">
        <v>37</v>
      </c>
      <c r="D3917" s="15" t="s">
        <v>58</v>
      </c>
      <c r="E3917" s="15" t="s">
        <v>53</v>
      </c>
      <c r="F3917" s="15" t="s">
        <v>52</v>
      </c>
      <c r="G3917" s="15" t="s">
        <v>59</v>
      </c>
      <c r="H3917" s="15" t="s">
        <v>45</v>
      </c>
      <c r="I3917">
        <v>100</v>
      </c>
      <c r="J3917">
        <v>150</v>
      </c>
      <c r="K3917">
        <v>100</v>
      </c>
      <c r="L3917">
        <v>250</v>
      </c>
      <c r="M3917">
        <v>113</v>
      </c>
      <c r="N3917">
        <v>803</v>
      </c>
      <c r="O3917">
        <v>165</v>
      </c>
      <c r="P3917">
        <v>36</v>
      </c>
      <c r="Q3917">
        <v>159</v>
      </c>
      <c r="R3917">
        <v>296</v>
      </c>
      <c r="S3917">
        <v>1.1839999999999999</v>
      </c>
      <c r="T3917">
        <v>1.59</v>
      </c>
      <c r="U3917">
        <v>1.1299999999999999</v>
      </c>
    </row>
    <row r="3918" spans="1:21" x14ac:dyDescent="0.35">
      <c r="A3918">
        <v>563</v>
      </c>
      <c r="B3918" s="16">
        <v>40848</v>
      </c>
      <c r="C3918" s="15" t="s">
        <v>37</v>
      </c>
      <c r="D3918" s="15" t="s">
        <v>58</v>
      </c>
      <c r="E3918" s="15" t="s">
        <v>55</v>
      </c>
      <c r="F3918" s="15" t="s">
        <v>47</v>
      </c>
      <c r="G3918" s="15" t="s">
        <v>59</v>
      </c>
      <c r="H3918" s="15" t="s">
        <v>42</v>
      </c>
      <c r="I3918">
        <v>170</v>
      </c>
      <c r="J3918">
        <v>180</v>
      </c>
      <c r="K3918">
        <v>110</v>
      </c>
      <c r="L3918">
        <v>350</v>
      </c>
      <c r="M3918">
        <v>211</v>
      </c>
      <c r="N3918">
        <v>1778</v>
      </c>
      <c r="O3918">
        <v>212</v>
      </c>
      <c r="P3918">
        <v>59</v>
      </c>
      <c r="Q3918">
        <v>191</v>
      </c>
      <c r="R3918">
        <v>451</v>
      </c>
      <c r="S3918">
        <v>1.2885714285714285</v>
      </c>
      <c r="T3918">
        <v>1.7363636363636363</v>
      </c>
      <c r="U3918">
        <v>1.2411764705882353</v>
      </c>
    </row>
    <row r="3919" spans="1:21" x14ac:dyDescent="0.35">
      <c r="A3919">
        <v>641</v>
      </c>
      <c r="B3919" s="16">
        <v>40848</v>
      </c>
      <c r="C3919" s="15" t="s">
        <v>37</v>
      </c>
      <c r="D3919" s="15" t="s">
        <v>58</v>
      </c>
      <c r="E3919" s="15" t="s">
        <v>56</v>
      </c>
      <c r="F3919" s="15" t="s">
        <v>47</v>
      </c>
      <c r="G3919" s="15" t="s">
        <v>59</v>
      </c>
      <c r="H3919" s="15" t="s">
        <v>42</v>
      </c>
      <c r="I3919">
        <v>200</v>
      </c>
      <c r="J3919">
        <v>250</v>
      </c>
      <c r="K3919">
        <v>130</v>
      </c>
      <c r="L3919">
        <v>450</v>
      </c>
      <c r="M3919">
        <v>245</v>
      </c>
      <c r="N3919">
        <v>1784</v>
      </c>
      <c r="O3919">
        <v>300</v>
      </c>
      <c r="P3919">
        <v>93</v>
      </c>
      <c r="Q3919">
        <v>257</v>
      </c>
      <c r="R3919">
        <v>581</v>
      </c>
      <c r="S3919">
        <v>1.2911111111111111</v>
      </c>
      <c r="T3919">
        <v>1.976923076923077</v>
      </c>
      <c r="U3919">
        <v>1.2250000000000001</v>
      </c>
    </row>
    <row r="3920" spans="1:21" x14ac:dyDescent="0.35">
      <c r="A3920">
        <v>515</v>
      </c>
      <c r="B3920" s="16">
        <v>40848</v>
      </c>
      <c r="C3920" s="15" t="s">
        <v>37</v>
      </c>
      <c r="D3920" s="15" t="s">
        <v>58</v>
      </c>
      <c r="E3920" s="15" t="s">
        <v>48</v>
      </c>
      <c r="F3920" s="15" t="s">
        <v>49</v>
      </c>
      <c r="G3920" s="15" t="s">
        <v>59</v>
      </c>
      <c r="H3920" s="15" t="s">
        <v>42</v>
      </c>
      <c r="I3920">
        <v>20</v>
      </c>
      <c r="J3920">
        <v>50</v>
      </c>
      <c r="K3920">
        <v>40</v>
      </c>
      <c r="L3920">
        <v>70</v>
      </c>
      <c r="M3920">
        <v>22</v>
      </c>
      <c r="N3920">
        <v>802</v>
      </c>
      <c r="O3920">
        <v>34</v>
      </c>
      <c r="P3920">
        <v>6</v>
      </c>
      <c r="Q3920">
        <v>24</v>
      </c>
      <c r="R3920">
        <v>60</v>
      </c>
      <c r="S3920">
        <v>0.8571428571428571</v>
      </c>
      <c r="T3920">
        <v>0.6</v>
      </c>
      <c r="U3920">
        <v>1.1000000000000001</v>
      </c>
    </row>
    <row r="3921" spans="1:21" x14ac:dyDescent="0.35">
      <c r="A3921">
        <v>515</v>
      </c>
      <c r="B3921" s="16">
        <v>40848</v>
      </c>
      <c r="C3921" s="15" t="s">
        <v>37</v>
      </c>
      <c r="D3921" s="15" t="s">
        <v>58</v>
      </c>
      <c r="E3921" s="15" t="s">
        <v>50</v>
      </c>
      <c r="F3921" s="15" t="s">
        <v>49</v>
      </c>
      <c r="G3921" s="15" t="s">
        <v>59</v>
      </c>
      <c r="H3921" s="15" t="s">
        <v>45</v>
      </c>
      <c r="I3921">
        <v>0</v>
      </c>
      <c r="J3921">
        <v>50</v>
      </c>
      <c r="K3921">
        <v>40</v>
      </c>
      <c r="L3921">
        <v>50</v>
      </c>
      <c r="M3921">
        <v>0</v>
      </c>
      <c r="N3921">
        <v>387</v>
      </c>
      <c r="O3921">
        <v>43</v>
      </c>
      <c r="P3921">
        <v>0</v>
      </c>
      <c r="Q3921">
        <v>46</v>
      </c>
      <c r="R3921">
        <v>46</v>
      </c>
      <c r="S3921">
        <v>0.92</v>
      </c>
      <c r="T3921">
        <v>1.1499999999999999</v>
      </c>
    </row>
    <row r="3922" spans="1:21" x14ac:dyDescent="0.35">
      <c r="A3922">
        <v>712</v>
      </c>
      <c r="B3922" s="16">
        <v>40848</v>
      </c>
      <c r="C3922" s="15" t="s">
        <v>37</v>
      </c>
      <c r="D3922" s="15" t="s">
        <v>58</v>
      </c>
      <c r="E3922" s="15" t="s">
        <v>39</v>
      </c>
      <c r="F3922" s="15" t="s">
        <v>40</v>
      </c>
      <c r="G3922" s="15" t="s">
        <v>59</v>
      </c>
      <c r="H3922" s="15" t="s">
        <v>42</v>
      </c>
      <c r="I3922">
        <v>10</v>
      </c>
      <c r="J3922">
        <v>20</v>
      </c>
      <c r="K3922">
        <v>10</v>
      </c>
      <c r="L3922">
        <v>30</v>
      </c>
      <c r="M3922">
        <v>15</v>
      </c>
      <c r="N3922">
        <v>848</v>
      </c>
      <c r="O3922">
        <v>24</v>
      </c>
      <c r="P3922">
        <v>4</v>
      </c>
      <c r="Q3922">
        <v>12</v>
      </c>
      <c r="R3922">
        <v>42</v>
      </c>
      <c r="S3922">
        <v>1.4</v>
      </c>
      <c r="T3922">
        <v>1.2</v>
      </c>
      <c r="U3922">
        <v>1.5</v>
      </c>
    </row>
    <row r="3923" spans="1:21" x14ac:dyDescent="0.35">
      <c r="A3923">
        <v>515</v>
      </c>
      <c r="B3923" s="16">
        <v>40848</v>
      </c>
      <c r="C3923" s="15" t="s">
        <v>37</v>
      </c>
      <c r="D3923" s="15" t="s">
        <v>58</v>
      </c>
      <c r="E3923" s="15" t="s">
        <v>43</v>
      </c>
      <c r="F3923" s="15" t="s">
        <v>40</v>
      </c>
      <c r="G3923" s="15" t="s">
        <v>59</v>
      </c>
      <c r="H3923" s="15" t="s">
        <v>42</v>
      </c>
      <c r="I3923">
        <v>20</v>
      </c>
      <c r="J3923">
        <v>40</v>
      </c>
      <c r="K3923">
        <v>20</v>
      </c>
      <c r="L3923">
        <v>60</v>
      </c>
      <c r="M3923">
        <v>29</v>
      </c>
      <c r="N3923">
        <v>1003</v>
      </c>
      <c r="O3923">
        <v>35</v>
      </c>
      <c r="P3923">
        <v>8</v>
      </c>
      <c r="Q3923">
        <v>7</v>
      </c>
      <c r="R3923">
        <v>68</v>
      </c>
      <c r="S3923">
        <v>1.1333333333333333</v>
      </c>
      <c r="T3923">
        <v>0.35</v>
      </c>
      <c r="U3923">
        <v>1.45</v>
      </c>
    </row>
    <row r="3924" spans="1:21" x14ac:dyDescent="0.35">
      <c r="A3924">
        <v>319</v>
      </c>
      <c r="B3924" s="16">
        <v>40848</v>
      </c>
      <c r="C3924" s="15" t="s">
        <v>37</v>
      </c>
      <c r="D3924" s="15" t="s">
        <v>58</v>
      </c>
      <c r="E3924" s="15" t="s">
        <v>44</v>
      </c>
      <c r="F3924" s="15" t="s">
        <v>40</v>
      </c>
      <c r="G3924" s="15" t="s">
        <v>59</v>
      </c>
      <c r="H3924" s="15" t="s">
        <v>45</v>
      </c>
      <c r="I3924">
        <v>0</v>
      </c>
      <c r="J3924">
        <v>20</v>
      </c>
      <c r="K3924">
        <v>10</v>
      </c>
      <c r="L3924">
        <v>20</v>
      </c>
      <c r="M3924">
        <v>10</v>
      </c>
      <c r="N3924">
        <v>596</v>
      </c>
      <c r="O3924">
        <v>13</v>
      </c>
      <c r="P3924">
        <v>3</v>
      </c>
      <c r="Q3924">
        <v>-4</v>
      </c>
      <c r="R3924">
        <v>25</v>
      </c>
      <c r="S3924">
        <v>1.25</v>
      </c>
      <c r="T3924">
        <v>-0.4</v>
      </c>
    </row>
    <row r="3925" spans="1:21" x14ac:dyDescent="0.35">
      <c r="A3925">
        <v>314</v>
      </c>
      <c r="B3925" s="16">
        <v>40848</v>
      </c>
      <c r="C3925" s="15" t="s">
        <v>37</v>
      </c>
      <c r="D3925" s="15" t="s">
        <v>58</v>
      </c>
      <c r="E3925" s="15" t="s">
        <v>51</v>
      </c>
      <c r="F3925" s="15" t="s">
        <v>52</v>
      </c>
      <c r="G3925" s="15" t="s">
        <v>60</v>
      </c>
      <c r="H3925" s="15" t="s">
        <v>45</v>
      </c>
      <c r="I3925">
        <v>40</v>
      </c>
      <c r="J3925">
        <v>50</v>
      </c>
      <c r="K3925">
        <v>0</v>
      </c>
      <c r="L3925">
        <v>90</v>
      </c>
      <c r="M3925">
        <v>44</v>
      </c>
      <c r="N3925">
        <v>325</v>
      </c>
      <c r="O3925">
        <v>62</v>
      </c>
      <c r="P3925">
        <v>40</v>
      </c>
      <c r="Q3925">
        <v>-12</v>
      </c>
      <c r="R3925">
        <v>113</v>
      </c>
      <c r="S3925">
        <v>1.2555555555555555</v>
      </c>
      <c r="U3925">
        <v>1.1000000000000001</v>
      </c>
    </row>
    <row r="3926" spans="1:21" x14ac:dyDescent="0.35">
      <c r="A3926">
        <v>314</v>
      </c>
      <c r="B3926" s="16">
        <v>40848</v>
      </c>
      <c r="C3926" s="15" t="s">
        <v>37</v>
      </c>
      <c r="D3926" s="15" t="s">
        <v>58</v>
      </c>
      <c r="E3926" s="15" t="s">
        <v>53</v>
      </c>
      <c r="F3926" s="15" t="s">
        <v>52</v>
      </c>
      <c r="G3926" s="15" t="s">
        <v>60</v>
      </c>
      <c r="H3926" s="15" t="s">
        <v>45</v>
      </c>
      <c r="I3926">
        <v>70</v>
      </c>
      <c r="J3926">
        <v>40</v>
      </c>
      <c r="K3926">
        <v>0</v>
      </c>
      <c r="L3926">
        <v>110</v>
      </c>
      <c r="M3926">
        <v>82</v>
      </c>
      <c r="N3926">
        <v>1804</v>
      </c>
      <c r="O3926">
        <v>40</v>
      </c>
      <c r="P3926">
        <v>25</v>
      </c>
      <c r="Q3926">
        <v>-13</v>
      </c>
      <c r="R3926">
        <v>130</v>
      </c>
      <c r="S3926">
        <v>1.1818181818181819</v>
      </c>
      <c r="U3926">
        <v>1.1714285714285715</v>
      </c>
    </row>
    <row r="3927" spans="1:21" x14ac:dyDescent="0.35">
      <c r="A3927">
        <v>636</v>
      </c>
      <c r="B3927" s="16">
        <v>40848</v>
      </c>
      <c r="C3927" s="15" t="s">
        <v>37</v>
      </c>
      <c r="D3927" s="15" t="s">
        <v>58</v>
      </c>
      <c r="E3927" s="15" t="s">
        <v>55</v>
      </c>
      <c r="F3927" s="15" t="s">
        <v>47</v>
      </c>
      <c r="G3927" s="15" t="s">
        <v>60</v>
      </c>
      <c r="H3927" s="15" t="s">
        <v>42</v>
      </c>
      <c r="I3927">
        <v>20</v>
      </c>
      <c r="J3927">
        <v>40</v>
      </c>
      <c r="K3927">
        <v>10</v>
      </c>
      <c r="L3927">
        <v>60</v>
      </c>
      <c r="M3927">
        <v>35</v>
      </c>
      <c r="N3927">
        <v>248</v>
      </c>
      <c r="O3927">
        <v>47</v>
      </c>
      <c r="P3927">
        <v>11</v>
      </c>
      <c r="Q3927">
        <v>13</v>
      </c>
      <c r="R3927">
        <v>87</v>
      </c>
      <c r="S3927">
        <v>1.45</v>
      </c>
      <c r="T3927">
        <v>1.3</v>
      </c>
      <c r="U3927">
        <v>1.75</v>
      </c>
    </row>
    <row r="3928" spans="1:21" x14ac:dyDescent="0.35">
      <c r="A3928">
        <v>573</v>
      </c>
      <c r="B3928" s="16">
        <v>40848</v>
      </c>
      <c r="C3928" s="15" t="s">
        <v>37</v>
      </c>
      <c r="D3928" s="15" t="s">
        <v>58</v>
      </c>
      <c r="E3928" s="15" t="s">
        <v>56</v>
      </c>
      <c r="F3928" s="15" t="s">
        <v>47</v>
      </c>
      <c r="G3928" s="15" t="s">
        <v>60</v>
      </c>
      <c r="H3928" s="15" t="s">
        <v>42</v>
      </c>
      <c r="I3928">
        <v>20</v>
      </c>
      <c r="J3928">
        <v>40</v>
      </c>
      <c r="K3928">
        <v>0</v>
      </c>
      <c r="L3928">
        <v>60</v>
      </c>
      <c r="M3928">
        <v>34</v>
      </c>
      <c r="N3928">
        <v>211</v>
      </c>
      <c r="O3928">
        <v>42</v>
      </c>
      <c r="P3928">
        <v>12</v>
      </c>
      <c r="Q3928">
        <v>-4</v>
      </c>
      <c r="R3928">
        <v>81</v>
      </c>
      <c r="S3928">
        <v>1.35</v>
      </c>
      <c r="U3928">
        <v>1.7</v>
      </c>
    </row>
    <row r="3929" spans="1:21" x14ac:dyDescent="0.35">
      <c r="A3929">
        <v>314</v>
      </c>
      <c r="B3929" s="16">
        <v>40848</v>
      </c>
      <c r="C3929" s="15" t="s">
        <v>37</v>
      </c>
      <c r="D3929" s="15" t="s">
        <v>58</v>
      </c>
      <c r="E3929" s="15" t="s">
        <v>46</v>
      </c>
      <c r="F3929" s="15" t="s">
        <v>47</v>
      </c>
      <c r="G3929" s="15" t="s">
        <v>60</v>
      </c>
      <c r="H3929" s="15" t="s">
        <v>42</v>
      </c>
      <c r="I3929">
        <v>20</v>
      </c>
      <c r="J3929">
        <v>40</v>
      </c>
      <c r="K3929">
        <v>0</v>
      </c>
      <c r="L3929">
        <v>60</v>
      </c>
      <c r="M3929">
        <v>33</v>
      </c>
      <c r="N3929">
        <v>243</v>
      </c>
      <c r="O3929">
        <v>41</v>
      </c>
      <c r="P3929">
        <v>12</v>
      </c>
      <c r="Q3929">
        <v>-6</v>
      </c>
      <c r="R3929">
        <v>79</v>
      </c>
      <c r="S3929">
        <v>1.3166666666666667</v>
      </c>
      <c r="U3929">
        <v>1.65</v>
      </c>
    </row>
    <row r="3930" spans="1:21" x14ac:dyDescent="0.35">
      <c r="A3930">
        <v>573</v>
      </c>
      <c r="B3930" s="16">
        <v>40848</v>
      </c>
      <c r="C3930" s="15" t="s">
        <v>37</v>
      </c>
      <c r="D3930" s="15" t="s">
        <v>58</v>
      </c>
      <c r="E3930" s="15" t="s">
        <v>48</v>
      </c>
      <c r="F3930" s="15" t="s">
        <v>49</v>
      </c>
      <c r="G3930" s="15" t="s">
        <v>60</v>
      </c>
      <c r="H3930" s="15" t="s">
        <v>42</v>
      </c>
      <c r="I3930">
        <v>60</v>
      </c>
      <c r="J3930">
        <v>100</v>
      </c>
      <c r="K3930">
        <v>80</v>
      </c>
      <c r="L3930">
        <v>160</v>
      </c>
      <c r="M3930">
        <v>54</v>
      </c>
      <c r="N3930">
        <v>885</v>
      </c>
      <c r="O3930">
        <v>78</v>
      </c>
      <c r="P3930">
        <v>15</v>
      </c>
      <c r="Q3930">
        <v>76</v>
      </c>
      <c r="R3930">
        <v>141</v>
      </c>
      <c r="S3930">
        <v>0.88124999999999998</v>
      </c>
      <c r="T3930">
        <v>0.95</v>
      </c>
      <c r="U3930">
        <v>0.9</v>
      </c>
    </row>
    <row r="3931" spans="1:21" x14ac:dyDescent="0.35">
      <c r="A3931">
        <v>636</v>
      </c>
      <c r="B3931" s="16">
        <v>40848</v>
      </c>
      <c r="C3931" s="15" t="s">
        <v>37</v>
      </c>
      <c r="D3931" s="15" t="s">
        <v>58</v>
      </c>
      <c r="E3931" s="15" t="s">
        <v>50</v>
      </c>
      <c r="F3931" s="15" t="s">
        <v>49</v>
      </c>
      <c r="G3931" s="15" t="s">
        <v>60</v>
      </c>
      <c r="H3931" s="15" t="s">
        <v>45</v>
      </c>
      <c r="I3931">
        <v>40</v>
      </c>
      <c r="J3931">
        <v>60</v>
      </c>
      <c r="K3931">
        <v>50</v>
      </c>
      <c r="L3931">
        <v>100</v>
      </c>
      <c r="M3931">
        <v>33</v>
      </c>
      <c r="N3931">
        <v>836</v>
      </c>
      <c r="O3931">
        <v>48</v>
      </c>
      <c r="P3931">
        <v>9</v>
      </c>
      <c r="Q3931">
        <v>40</v>
      </c>
      <c r="R3931">
        <v>86</v>
      </c>
      <c r="S3931">
        <v>0.86</v>
      </c>
      <c r="T3931">
        <v>0.8</v>
      </c>
      <c r="U3931">
        <v>0.82499999999999996</v>
      </c>
    </row>
    <row r="3932" spans="1:21" x14ac:dyDescent="0.35">
      <c r="A3932">
        <v>573</v>
      </c>
      <c r="B3932" s="16">
        <v>40848</v>
      </c>
      <c r="C3932" s="15" t="s">
        <v>37</v>
      </c>
      <c r="D3932" s="15" t="s">
        <v>58</v>
      </c>
      <c r="E3932" s="15" t="s">
        <v>43</v>
      </c>
      <c r="F3932" s="15" t="s">
        <v>40</v>
      </c>
      <c r="G3932" s="15" t="s">
        <v>60</v>
      </c>
      <c r="H3932" s="15" t="s">
        <v>42</v>
      </c>
      <c r="I3932">
        <v>80</v>
      </c>
      <c r="J3932">
        <v>100</v>
      </c>
      <c r="K3932">
        <v>40</v>
      </c>
      <c r="L3932">
        <v>180</v>
      </c>
      <c r="M3932">
        <v>82</v>
      </c>
      <c r="N3932">
        <v>601</v>
      </c>
      <c r="O3932">
        <v>102</v>
      </c>
      <c r="P3932">
        <v>31</v>
      </c>
      <c r="Q3932">
        <v>56</v>
      </c>
      <c r="R3932">
        <v>196</v>
      </c>
      <c r="S3932">
        <v>1.0888888888888888</v>
      </c>
      <c r="T3932">
        <v>1.4</v>
      </c>
      <c r="U3932">
        <v>1.0249999999999999</v>
      </c>
    </row>
    <row r="3933" spans="1:21" x14ac:dyDescent="0.35">
      <c r="A3933">
        <v>417</v>
      </c>
      <c r="B3933" s="16">
        <v>40848</v>
      </c>
      <c r="C3933" s="15" t="s">
        <v>37</v>
      </c>
      <c r="D3933" s="15" t="s">
        <v>58</v>
      </c>
      <c r="E3933" s="15" t="s">
        <v>44</v>
      </c>
      <c r="F3933" s="15" t="s">
        <v>40</v>
      </c>
      <c r="G3933" s="15" t="s">
        <v>60</v>
      </c>
      <c r="H3933" s="15" t="s">
        <v>45</v>
      </c>
      <c r="I3933">
        <v>60</v>
      </c>
      <c r="J3933">
        <v>80</v>
      </c>
      <c r="K3933">
        <v>40</v>
      </c>
      <c r="L3933">
        <v>140</v>
      </c>
      <c r="M3933">
        <v>69</v>
      </c>
      <c r="N3933">
        <v>1060</v>
      </c>
      <c r="O3933">
        <v>81</v>
      </c>
      <c r="P3933">
        <v>21</v>
      </c>
      <c r="Q3933">
        <v>56</v>
      </c>
      <c r="R3933">
        <v>160</v>
      </c>
      <c r="S3933">
        <v>1.1428571428571428</v>
      </c>
      <c r="T3933">
        <v>1.4</v>
      </c>
      <c r="U3933">
        <v>1.1499999999999999</v>
      </c>
    </row>
    <row r="3934" spans="1:21" x14ac:dyDescent="0.35">
      <c r="A3934">
        <v>440</v>
      </c>
      <c r="B3934" s="16">
        <v>40848</v>
      </c>
      <c r="C3934" s="15" t="s">
        <v>37</v>
      </c>
      <c r="D3934" s="15" t="s">
        <v>38</v>
      </c>
      <c r="E3934" s="15" t="s">
        <v>51</v>
      </c>
      <c r="F3934" s="15" t="s">
        <v>52</v>
      </c>
      <c r="G3934" s="15" t="s">
        <v>61</v>
      </c>
      <c r="H3934" s="15" t="s">
        <v>45</v>
      </c>
      <c r="I3934">
        <v>30</v>
      </c>
      <c r="J3934">
        <v>40</v>
      </c>
      <c r="K3934">
        <v>30</v>
      </c>
      <c r="L3934">
        <v>70</v>
      </c>
      <c r="M3934">
        <v>32</v>
      </c>
      <c r="N3934">
        <v>482</v>
      </c>
      <c r="O3934">
        <v>48</v>
      </c>
      <c r="P3934">
        <v>8</v>
      </c>
      <c r="Q3934">
        <v>43</v>
      </c>
      <c r="R3934">
        <v>85</v>
      </c>
      <c r="S3934">
        <v>1.2142857142857142</v>
      </c>
      <c r="T3934">
        <v>1.4333333333333333</v>
      </c>
      <c r="U3934">
        <v>1.0666666666666667</v>
      </c>
    </row>
    <row r="3935" spans="1:21" x14ac:dyDescent="0.35">
      <c r="A3935">
        <v>419</v>
      </c>
      <c r="B3935" s="16">
        <v>40848</v>
      </c>
      <c r="C3935" s="15" t="s">
        <v>37</v>
      </c>
      <c r="D3935" s="15" t="s">
        <v>38</v>
      </c>
      <c r="E3935" s="15" t="s">
        <v>53</v>
      </c>
      <c r="F3935" s="15" t="s">
        <v>52</v>
      </c>
      <c r="G3935" s="15" t="s">
        <v>61</v>
      </c>
      <c r="H3935" s="15" t="s">
        <v>45</v>
      </c>
      <c r="I3935">
        <v>30</v>
      </c>
      <c r="J3935">
        <v>50</v>
      </c>
      <c r="K3935">
        <v>40</v>
      </c>
      <c r="L3935">
        <v>80</v>
      </c>
      <c r="M3935">
        <v>36</v>
      </c>
      <c r="N3935">
        <v>862</v>
      </c>
      <c r="O3935">
        <v>52</v>
      </c>
      <c r="P3935">
        <v>10</v>
      </c>
      <c r="Q3935">
        <v>45</v>
      </c>
      <c r="R3935">
        <v>94</v>
      </c>
      <c r="S3935">
        <v>1.175</v>
      </c>
      <c r="T3935">
        <v>1.125</v>
      </c>
      <c r="U3935">
        <v>1.2</v>
      </c>
    </row>
    <row r="3936" spans="1:21" x14ac:dyDescent="0.35">
      <c r="A3936">
        <v>614</v>
      </c>
      <c r="B3936" s="16">
        <v>40848</v>
      </c>
      <c r="C3936" s="15" t="s">
        <v>37</v>
      </c>
      <c r="D3936" s="15" t="s">
        <v>38</v>
      </c>
      <c r="E3936" s="15" t="s">
        <v>55</v>
      </c>
      <c r="F3936" s="15" t="s">
        <v>47</v>
      </c>
      <c r="G3936" s="15" t="s">
        <v>61</v>
      </c>
      <c r="H3936" s="15" t="s">
        <v>42</v>
      </c>
      <c r="I3936">
        <v>60</v>
      </c>
      <c r="J3936">
        <v>100</v>
      </c>
      <c r="K3936">
        <v>60</v>
      </c>
      <c r="L3936">
        <v>160</v>
      </c>
      <c r="M3936">
        <v>78</v>
      </c>
      <c r="N3936">
        <v>798</v>
      </c>
      <c r="O3936">
        <v>119</v>
      </c>
      <c r="P3936">
        <v>25</v>
      </c>
      <c r="Q3936">
        <v>92</v>
      </c>
      <c r="R3936">
        <v>210</v>
      </c>
      <c r="S3936">
        <v>1.3125</v>
      </c>
      <c r="T3936">
        <v>1.5333333333333334</v>
      </c>
      <c r="U3936">
        <v>1.3</v>
      </c>
    </row>
    <row r="3937" spans="1:21" x14ac:dyDescent="0.35">
      <c r="A3937">
        <v>740</v>
      </c>
      <c r="B3937" s="16">
        <v>40848</v>
      </c>
      <c r="C3937" s="15" t="s">
        <v>37</v>
      </c>
      <c r="D3937" s="15" t="s">
        <v>38</v>
      </c>
      <c r="E3937" s="15" t="s">
        <v>56</v>
      </c>
      <c r="F3937" s="15" t="s">
        <v>47</v>
      </c>
      <c r="G3937" s="15" t="s">
        <v>61</v>
      </c>
      <c r="H3937" s="15" t="s">
        <v>42</v>
      </c>
      <c r="I3937">
        <v>80</v>
      </c>
      <c r="J3937">
        <v>120</v>
      </c>
      <c r="K3937">
        <v>70</v>
      </c>
      <c r="L3937">
        <v>200</v>
      </c>
      <c r="M3937">
        <v>102</v>
      </c>
      <c r="N3937">
        <v>666</v>
      </c>
      <c r="O3937">
        <v>143</v>
      </c>
      <c r="P3937">
        <v>31</v>
      </c>
      <c r="Q3937">
        <v>132</v>
      </c>
      <c r="R3937">
        <v>261</v>
      </c>
      <c r="S3937">
        <v>1.3049999999999999</v>
      </c>
      <c r="T3937">
        <v>1.8857142857142857</v>
      </c>
      <c r="U3937">
        <v>1.2749999999999999</v>
      </c>
    </row>
    <row r="3938" spans="1:21" x14ac:dyDescent="0.35">
      <c r="A3938">
        <v>234</v>
      </c>
      <c r="B3938" s="16">
        <v>40848</v>
      </c>
      <c r="C3938" s="15" t="s">
        <v>37</v>
      </c>
      <c r="D3938" s="15" t="s">
        <v>38</v>
      </c>
      <c r="E3938" s="15" t="s">
        <v>48</v>
      </c>
      <c r="F3938" s="15" t="s">
        <v>49</v>
      </c>
      <c r="G3938" s="15" t="s">
        <v>61</v>
      </c>
      <c r="H3938" s="15" t="s">
        <v>42</v>
      </c>
      <c r="I3938">
        <v>230</v>
      </c>
      <c r="J3938">
        <v>230</v>
      </c>
      <c r="K3938">
        <v>170</v>
      </c>
      <c r="L3938">
        <v>460</v>
      </c>
      <c r="M3938">
        <v>181</v>
      </c>
      <c r="N3938">
        <v>1283</v>
      </c>
      <c r="O3938">
        <v>182</v>
      </c>
      <c r="P3938">
        <v>50</v>
      </c>
      <c r="Q3938">
        <v>159</v>
      </c>
      <c r="R3938">
        <v>387</v>
      </c>
      <c r="S3938">
        <v>0.84130434782608698</v>
      </c>
      <c r="T3938">
        <v>0.93529411764705883</v>
      </c>
      <c r="U3938">
        <v>0.78695652173913044</v>
      </c>
    </row>
    <row r="3939" spans="1:21" x14ac:dyDescent="0.35">
      <c r="A3939">
        <v>937</v>
      </c>
      <c r="B3939" s="16">
        <v>40848</v>
      </c>
      <c r="C3939" s="15" t="s">
        <v>37</v>
      </c>
      <c r="D3939" s="15" t="s">
        <v>38</v>
      </c>
      <c r="E3939" s="15" t="s">
        <v>50</v>
      </c>
      <c r="F3939" s="15" t="s">
        <v>49</v>
      </c>
      <c r="G3939" s="15" t="s">
        <v>61</v>
      </c>
      <c r="H3939" s="15" t="s">
        <v>45</v>
      </c>
      <c r="I3939">
        <v>70</v>
      </c>
      <c r="J3939">
        <v>80</v>
      </c>
      <c r="K3939">
        <v>40</v>
      </c>
      <c r="L3939">
        <v>150</v>
      </c>
      <c r="M3939">
        <v>55</v>
      </c>
      <c r="N3939">
        <v>410</v>
      </c>
      <c r="O3939">
        <v>69</v>
      </c>
      <c r="P3939">
        <v>20</v>
      </c>
      <c r="Q3939">
        <v>24</v>
      </c>
      <c r="R3939">
        <v>132</v>
      </c>
      <c r="S3939">
        <v>0.88</v>
      </c>
      <c r="T3939">
        <v>0.6</v>
      </c>
      <c r="U3939">
        <v>0.7857142857142857</v>
      </c>
    </row>
    <row r="3940" spans="1:21" x14ac:dyDescent="0.35">
      <c r="A3940">
        <v>234</v>
      </c>
      <c r="B3940" s="16">
        <v>40848</v>
      </c>
      <c r="C3940" s="15" t="s">
        <v>37</v>
      </c>
      <c r="D3940" s="15" t="s">
        <v>38</v>
      </c>
      <c r="E3940" s="15" t="s">
        <v>39</v>
      </c>
      <c r="F3940" s="15" t="s">
        <v>40</v>
      </c>
      <c r="G3940" s="15" t="s">
        <v>61</v>
      </c>
      <c r="H3940" s="15" t="s">
        <v>42</v>
      </c>
      <c r="I3940">
        <v>50</v>
      </c>
      <c r="J3940">
        <v>80</v>
      </c>
      <c r="K3940">
        <v>50</v>
      </c>
      <c r="L3940">
        <v>130</v>
      </c>
      <c r="M3940">
        <v>59</v>
      </c>
      <c r="N3940">
        <v>411</v>
      </c>
      <c r="O3940">
        <v>79</v>
      </c>
      <c r="P3940">
        <v>19</v>
      </c>
      <c r="Q3940">
        <v>49</v>
      </c>
      <c r="R3940">
        <v>147</v>
      </c>
      <c r="S3940">
        <v>1.1307692307692307</v>
      </c>
      <c r="T3940">
        <v>0.98</v>
      </c>
      <c r="U3940">
        <v>1.18</v>
      </c>
    </row>
    <row r="3941" spans="1:21" x14ac:dyDescent="0.35">
      <c r="A3941">
        <v>234</v>
      </c>
      <c r="B3941" s="16">
        <v>40848</v>
      </c>
      <c r="C3941" s="15" t="s">
        <v>37</v>
      </c>
      <c r="D3941" s="15" t="s">
        <v>38</v>
      </c>
      <c r="E3941" s="15" t="s">
        <v>43</v>
      </c>
      <c r="F3941" s="15" t="s">
        <v>40</v>
      </c>
      <c r="G3941" s="15" t="s">
        <v>61</v>
      </c>
      <c r="H3941" s="15" t="s">
        <v>42</v>
      </c>
      <c r="I3941">
        <v>40</v>
      </c>
      <c r="J3941">
        <v>70</v>
      </c>
      <c r="K3941">
        <v>40</v>
      </c>
      <c r="L3941">
        <v>110</v>
      </c>
      <c r="M3941">
        <v>46</v>
      </c>
      <c r="N3941">
        <v>424</v>
      </c>
      <c r="O3941">
        <v>68</v>
      </c>
      <c r="P3941">
        <v>14</v>
      </c>
      <c r="Q3941">
        <v>47</v>
      </c>
      <c r="R3941">
        <v>121</v>
      </c>
      <c r="S3941">
        <v>1.1000000000000001</v>
      </c>
      <c r="T3941">
        <v>1.175</v>
      </c>
      <c r="U3941">
        <v>1.1499999999999999</v>
      </c>
    </row>
    <row r="3942" spans="1:21" x14ac:dyDescent="0.35">
      <c r="A3942">
        <v>614</v>
      </c>
      <c r="B3942" s="16">
        <v>40848</v>
      </c>
      <c r="C3942" s="15" t="s">
        <v>37</v>
      </c>
      <c r="D3942" s="15" t="s">
        <v>38</v>
      </c>
      <c r="E3942" s="15" t="s">
        <v>44</v>
      </c>
      <c r="F3942" s="15" t="s">
        <v>40</v>
      </c>
      <c r="G3942" s="15" t="s">
        <v>61</v>
      </c>
      <c r="H3942" s="15" t="s">
        <v>45</v>
      </c>
      <c r="I3942">
        <v>50</v>
      </c>
      <c r="J3942">
        <v>70</v>
      </c>
      <c r="K3942">
        <v>10</v>
      </c>
      <c r="L3942">
        <v>120</v>
      </c>
      <c r="M3942">
        <v>52</v>
      </c>
      <c r="N3942">
        <v>509</v>
      </c>
      <c r="O3942">
        <v>73</v>
      </c>
      <c r="P3942">
        <v>47</v>
      </c>
      <c r="Q3942">
        <v>-4</v>
      </c>
      <c r="R3942">
        <v>133</v>
      </c>
      <c r="S3942">
        <v>1.1083333333333334</v>
      </c>
      <c r="T3942">
        <v>-0.4</v>
      </c>
      <c r="U3942">
        <v>1.04</v>
      </c>
    </row>
    <row r="3943" spans="1:21" x14ac:dyDescent="0.35">
      <c r="A3943">
        <v>262</v>
      </c>
      <c r="B3943" s="16">
        <v>40848</v>
      </c>
      <c r="C3943" s="15" t="s">
        <v>37</v>
      </c>
      <c r="D3943" s="15" t="s">
        <v>58</v>
      </c>
      <c r="E3943" s="15" t="s">
        <v>51</v>
      </c>
      <c r="F3943" s="15" t="s">
        <v>52</v>
      </c>
      <c r="G3943" s="15" t="s">
        <v>62</v>
      </c>
      <c r="H3943" s="15" t="s">
        <v>45</v>
      </c>
      <c r="I3943">
        <v>50</v>
      </c>
      <c r="J3943">
        <v>80</v>
      </c>
      <c r="K3943">
        <v>50</v>
      </c>
      <c r="L3943">
        <v>130</v>
      </c>
      <c r="M3943">
        <v>53</v>
      </c>
      <c r="N3943">
        <v>321</v>
      </c>
      <c r="O3943">
        <v>88</v>
      </c>
      <c r="P3943">
        <v>16</v>
      </c>
      <c r="Q3943">
        <v>71</v>
      </c>
      <c r="R3943">
        <v>150</v>
      </c>
      <c r="S3943">
        <v>1.1538461538461537</v>
      </c>
      <c r="T3943">
        <v>1.42</v>
      </c>
      <c r="U3943">
        <v>1.06</v>
      </c>
    </row>
    <row r="3944" spans="1:21" x14ac:dyDescent="0.35">
      <c r="A3944">
        <v>715</v>
      </c>
      <c r="B3944" s="16">
        <v>40848</v>
      </c>
      <c r="C3944" s="15" t="s">
        <v>37</v>
      </c>
      <c r="D3944" s="15" t="s">
        <v>58</v>
      </c>
      <c r="E3944" s="15" t="s">
        <v>53</v>
      </c>
      <c r="F3944" s="15" t="s">
        <v>52</v>
      </c>
      <c r="G3944" s="15" t="s">
        <v>62</v>
      </c>
      <c r="H3944" s="15" t="s">
        <v>45</v>
      </c>
      <c r="I3944">
        <v>20</v>
      </c>
      <c r="J3944">
        <v>50</v>
      </c>
      <c r="K3944">
        <v>40</v>
      </c>
      <c r="L3944">
        <v>70</v>
      </c>
      <c r="M3944">
        <v>31</v>
      </c>
      <c r="N3944">
        <v>856</v>
      </c>
      <c r="O3944">
        <v>47</v>
      </c>
      <c r="P3944">
        <v>8</v>
      </c>
      <c r="Q3944">
        <v>40</v>
      </c>
      <c r="R3944">
        <v>83</v>
      </c>
      <c r="S3944">
        <v>1.1857142857142857</v>
      </c>
      <c r="T3944">
        <v>1</v>
      </c>
      <c r="U3944">
        <v>1.55</v>
      </c>
    </row>
    <row r="3945" spans="1:21" x14ac:dyDescent="0.35">
      <c r="A3945">
        <v>715</v>
      </c>
      <c r="B3945" s="16">
        <v>40848</v>
      </c>
      <c r="C3945" s="15" t="s">
        <v>37</v>
      </c>
      <c r="D3945" s="15" t="s">
        <v>58</v>
      </c>
      <c r="E3945" s="15" t="s">
        <v>55</v>
      </c>
      <c r="F3945" s="15" t="s">
        <v>47</v>
      </c>
      <c r="G3945" s="15" t="s">
        <v>62</v>
      </c>
      <c r="H3945" s="15" t="s">
        <v>42</v>
      </c>
      <c r="I3945">
        <v>40</v>
      </c>
      <c r="J3945">
        <v>50</v>
      </c>
      <c r="K3945">
        <v>20</v>
      </c>
      <c r="L3945">
        <v>90</v>
      </c>
      <c r="M3945">
        <v>49</v>
      </c>
      <c r="N3945">
        <v>454</v>
      </c>
      <c r="O3945">
        <v>71</v>
      </c>
      <c r="P3945">
        <v>15</v>
      </c>
      <c r="Q3945">
        <v>49</v>
      </c>
      <c r="R3945">
        <v>128</v>
      </c>
      <c r="S3945">
        <v>1.4222222222222223</v>
      </c>
      <c r="T3945">
        <v>2.4500000000000002</v>
      </c>
      <c r="U3945">
        <v>1.2250000000000001</v>
      </c>
    </row>
    <row r="3946" spans="1:21" x14ac:dyDescent="0.35">
      <c r="A3946">
        <v>715</v>
      </c>
      <c r="B3946" s="16">
        <v>40848</v>
      </c>
      <c r="C3946" s="15" t="s">
        <v>37</v>
      </c>
      <c r="D3946" s="15" t="s">
        <v>58</v>
      </c>
      <c r="E3946" s="15" t="s">
        <v>56</v>
      </c>
      <c r="F3946" s="15" t="s">
        <v>47</v>
      </c>
      <c r="G3946" s="15" t="s">
        <v>62</v>
      </c>
      <c r="H3946" s="15" t="s">
        <v>42</v>
      </c>
      <c r="I3946">
        <v>50</v>
      </c>
      <c r="J3946">
        <v>70</v>
      </c>
      <c r="K3946">
        <v>0</v>
      </c>
      <c r="L3946">
        <v>120</v>
      </c>
      <c r="M3946">
        <v>61</v>
      </c>
      <c r="N3946">
        <v>613</v>
      </c>
      <c r="O3946">
        <v>86</v>
      </c>
      <c r="P3946">
        <v>55</v>
      </c>
      <c r="Q3946">
        <v>3</v>
      </c>
      <c r="R3946">
        <v>157</v>
      </c>
      <c r="S3946">
        <v>1.3083333333333333</v>
      </c>
      <c r="U3946">
        <v>1.22</v>
      </c>
    </row>
    <row r="3947" spans="1:21" x14ac:dyDescent="0.35">
      <c r="A3947">
        <v>715</v>
      </c>
      <c r="B3947" s="16">
        <v>40848</v>
      </c>
      <c r="C3947" s="15" t="s">
        <v>37</v>
      </c>
      <c r="D3947" s="15" t="s">
        <v>58</v>
      </c>
      <c r="E3947" s="15" t="s">
        <v>48</v>
      </c>
      <c r="F3947" s="15" t="s">
        <v>49</v>
      </c>
      <c r="G3947" s="15" t="s">
        <v>62</v>
      </c>
      <c r="H3947" s="15" t="s">
        <v>42</v>
      </c>
      <c r="I3947">
        <v>90</v>
      </c>
      <c r="J3947">
        <v>110</v>
      </c>
      <c r="K3947">
        <v>70</v>
      </c>
      <c r="L3947">
        <v>200</v>
      </c>
      <c r="M3947">
        <v>75</v>
      </c>
      <c r="N3947">
        <v>1063</v>
      </c>
      <c r="O3947">
        <v>89</v>
      </c>
      <c r="P3947">
        <v>23</v>
      </c>
      <c r="Q3947">
        <v>67</v>
      </c>
      <c r="R3947">
        <v>175</v>
      </c>
      <c r="S3947">
        <v>0.875</v>
      </c>
      <c r="T3947">
        <v>0.95714285714285718</v>
      </c>
      <c r="U3947">
        <v>0.83333333333333337</v>
      </c>
    </row>
    <row r="3948" spans="1:21" x14ac:dyDescent="0.35">
      <c r="A3948">
        <v>920</v>
      </c>
      <c r="B3948" s="16">
        <v>40848</v>
      </c>
      <c r="C3948" s="15" t="s">
        <v>37</v>
      </c>
      <c r="D3948" s="15" t="s">
        <v>58</v>
      </c>
      <c r="E3948" s="15" t="s">
        <v>50</v>
      </c>
      <c r="F3948" s="15" t="s">
        <v>49</v>
      </c>
      <c r="G3948" s="15" t="s">
        <v>62</v>
      </c>
      <c r="H3948" s="15" t="s">
        <v>45</v>
      </c>
      <c r="I3948">
        <v>20</v>
      </c>
      <c r="J3948">
        <v>40</v>
      </c>
      <c r="K3948">
        <v>30</v>
      </c>
      <c r="L3948">
        <v>60</v>
      </c>
      <c r="M3948">
        <v>22</v>
      </c>
      <c r="N3948">
        <v>570</v>
      </c>
      <c r="O3948">
        <v>30</v>
      </c>
      <c r="P3948">
        <v>7</v>
      </c>
      <c r="Q3948">
        <v>16</v>
      </c>
      <c r="R3948">
        <v>55</v>
      </c>
      <c r="S3948">
        <v>0.91666666666666663</v>
      </c>
      <c r="T3948">
        <v>0.53333333333333333</v>
      </c>
      <c r="U3948">
        <v>1.1000000000000001</v>
      </c>
    </row>
    <row r="3949" spans="1:21" x14ac:dyDescent="0.35">
      <c r="A3949">
        <v>262</v>
      </c>
      <c r="B3949" s="16">
        <v>40848</v>
      </c>
      <c r="C3949" s="15" t="s">
        <v>37</v>
      </c>
      <c r="D3949" s="15" t="s">
        <v>58</v>
      </c>
      <c r="E3949" s="15" t="s">
        <v>39</v>
      </c>
      <c r="F3949" s="15" t="s">
        <v>40</v>
      </c>
      <c r="G3949" s="15" t="s">
        <v>62</v>
      </c>
      <c r="H3949" s="15" t="s">
        <v>42</v>
      </c>
      <c r="I3949">
        <v>50</v>
      </c>
      <c r="J3949">
        <v>60</v>
      </c>
      <c r="K3949">
        <v>20</v>
      </c>
      <c r="L3949">
        <v>110</v>
      </c>
      <c r="M3949">
        <v>54</v>
      </c>
      <c r="N3949">
        <v>391</v>
      </c>
      <c r="O3949">
        <v>67</v>
      </c>
      <c r="P3949">
        <v>20</v>
      </c>
      <c r="Q3949">
        <v>21</v>
      </c>
      <c r="R3949">
        <v>129</v>
      </c>
      <c r="S3949">
        <v>1.1727272727272726</v>
      </c>
      <c r="T3949">
        <v>1.05</v>
      </c>
      <c r="U3949">
        <v>1.08</v>
      </c>
    </row>
    <row r="3950" spans="1:21" x14ac:dyDescent="0.35">
      <c r="A3950">
        <v>608</v>
      </c>
      <c r="B3950" s="16">
        <v>40848</v>
      </c>
      <c r="C3950" s="15" t="s">
        <v>37</v>
      </c>
      <c r="D3950" s="15" t="s">
        <v>58</v>
      </c>
      <c r="E3950" s="15" t="s">
        <v>43</v>
      </c>
      <c r="F3950" s="15" t="s">
        <v>40</v>
      </c>
      <c r="G3950" s="15" t="s">
        <v>62</v>
      </c>
      <c r="H3950" s="15" t="s">
        <v>42</v>
      </c>
      <c r="I3950">
        <v>90</v>
      </c>
      <c r="J3950">
        <v>130</v>
      </c>
      <c r="K3950">
        <v>30</v>
      </c>
      <c r="L3950">
        <v>220</v>
      </c>
      <c r="M3950">
        <v>94</v>
      </c>
      <c r="N3950">
        <v>694</v>
      </c>
      <c r="O3950">
        <v>130</v>
      </c>
      <c r="P3950">
        <v>85</v>
      </c>
      <c r="Q3950">
        <v>24</v>
      </c>
      <c r="R3950">
        <v>239</v>
      </c>
      <c r="S3950">
        <v>1.0863636363636364</v>
      </c>
      <c r="T3950">
        <v>0.8</v>
      </c>
      <c r="U3950">
        <v>1.0444444444444445</v>
      </c>
    </row>
    <row r="3951" spans="1:21" x14ac:dyDescent="0.35">
      <c r="A3951">
        <v>920</v>
      </c>
      <c r="B3951" s="16">
        <v>40848</v>
      </c>
      <c r="C3951" s="15" t="s">
        <v>37</v>
      </c>
      <c r="D3951" s="15" t="s">
        <v>58</v>
      </c>
      <c r="E3951" s="15" t="s">
        <v>44</v>
      </c>
      <c r="F3951" s="15" t="s">
        <v>40</v>
      </c>
      <c r="G3951" s="15" t="s">
        <v>62</v>
      </c>
      <c r="H3951" s="15" t="s">
        <v>45</v>
      </c>
      <c r="I3951">
        <v>70</v>
      </c>
      <c r="J3951">
        <v>100</v>
      </c>
      <c r="K3951">
        <v>60</v>
      </c>
      <c r="L3951">
        <v>170</v>
      </c>
      <c r="M3951">
        <v>77</v>
      </c>
      <c r="N3951">
        <v>557</v>
      </c>
      <c r="O3951">
        <v>103</v>
      </c>
      <c r="P3951">
        <v>25</v>
      </c>
      <c r="Q3951">
        <v>76</v>
      </c>
      <c r="R3951">
        <v>192</v>
      </c>
      <c r="S3951">
        <v>1.1294117647058823</v>
      </c>
      <c r="T3951">
        <v>1.2666666666666666</v>
      </c>
      <c r="U3951">
        <v>1.1000000000000001</v>
      </c>
    </row>
    <row r="3952" spans="1:21" x14ac:dyDescent="0.35">
      <c r="A3952">
        <v>475</v>
      </c>
      <c r="B3952" s="16">
        <v>40848</v>
      </c>
      <c r="C3952" s="15" t="s">
        <v>63</v>
      </c>
      <c r="D3952" s="15" t="s">
        <v>58</v>
      </c>
      <c r="E3952" s="15" t="s">
        <v>53</v>
      </c>
      <c r="F3952" s="15" t="s">
        <v>52</v>
      </c>
      <c r="G3952" s="15" t="s">
        <v>64</v>
      </c>
      <c r="H3952" s="15" t="s">
        <v>45</v>
      </c>
      <c r="I3952">
        <v>60</v>
      </c>
      <c r="J3952">
        <v>70</v>
      </c>
      <c r="K3952">
        <v>30</v>
      </c>
      <c r="L3952">
        <v>130</v>
      </c>
      <c r="M3952">
        <v>82</v>
      </c>
      <c r="N3952">
        <v>601</v>
      </c>
      <c r="O3952">
        <v>102</v>
      </c>
      <c r="P3952">
        <v>31</v>
      </c>
      <c r="Q3952">
        <v>56</v>
      </c>
      <c r="R3952">
        <v>196</v>
      </c>
      <c r="S3952">
        <v>1.5076923076923077</v>
      </c>
      <c r="T3952">
        <v>1.8666666666666667</v>
      </c>
      <c r="U3952">
        <v>1.3666666666666667</v>
      </c>
    </row>
    <row r="3953" spans="1:21" x14ac:dyDescent="0.35">
      <c r="A3953">
        <v>959</v>
      </c>
      <c r="B3953" s="16">
        <v>40848</v>
      </c>
      <c r="C3953" s="15" t="s">
        <v>63</v>
      </c>
      <c r="D3953" s="15" t="s">
        <v>58</v>
      </c>
      <c r="E3953" s="15" t="s">
        <v>54</v>
      </c>
      <c r="F3953" s="15" t="s">
        <v>52</v>
      </c>
      <c r="G3953" s="15" t="s">
        <v>64</v>
      </c>
      <c r="H3953" s="15" t="s">
        <v>45</v>
      </c>
      <c r="I3953">
        <v>50</v>
      </c>
      <c r="J3953">
        <v>50</v>
      </c>
      <c r="K3953">
        <v>30</v>
      </c>
      <c r="L3953">
        <v>100</v>
      </c>
      <c r="M3953">
        <v>69</v>
      </c>
      <c r="N3953">
        <v>1060</v>
      </c>
      <c r="O3953">
        <v>81</v>
      </c>
      <c r="P3953">
        <v>21</v>
      </c>
      <c r="Q3953">
        <v>56</v>
      </c>
      <c r="R3953">
        <v>160</v>
      </c>
      <c r="S3953">
        <v>1.6</v>
      </c>
      <c r="T3953">
        <v>1.8666666666666667</v>
      </c>
      <c r="U3953">
        <v>1.38</v>
      </c>
    </row>
    <row r="3954" spans="1:21" x14ac:dyDescent="0.35">
      <c r="A3954">
        <v>860</v>
      </c>
      <c r="B3954" s="16">
        <v>40848</v>
      </c>
      <c r="C3954" s="15" t="s">
        <v>63</v>
      </c>
      <c r="D3954" s="15" t="s">
        <v>58</v>
      </c>
      <c r="E3954" s="15" t="s">
        <v>55</v>
      </c>
      <c r="F3954" s="15" t="s">
        <v>47</v>
      </c>
      <c r="G3954" s="15" t="s">
        <v>64</v>
      </c>
      <c r="H3954" s="15" t="s">
        <v>42</v>
      </c>
      <c r="I3954">
        <v>50</v>
      </c>
      <c r="J3954">
        <v>80</v>
      </c>
      <c r="K3954">
        <v>60</v>
      </c>
      <c r="L3954">
        <v>130</v>
      </c>
      <c r="M3954">
        <v>54</v>
      </c>
      <c r="N3954">
        <v>885</v>
      </c>
      <c r="O3954">
        <v>78</v>
      </c>
      <c r="P3954">
        <v>15</v>
      </c>
      <c r="Q3954">
        <v>76</v>
      </c>
      <c r="R3954">
        <v>141</v>
      </c>
      <c r="S3954">
        <v>1.0846153846153845</v>
      </c>
      <c r="T3954">
        <v>1.2666666666666666</v>
      </c>
      <c r="U3954">
        <v>1.08</v>
      </c>
    </row>
    <row r="3955" spans="1:21" x14ac:dyDescent="0.35">
      <c r="A3955">
        <v>203</v>
      </c>
      <c r="B3955" s="16">
        <v>40848</v>
      </c>
      <c r="C3955" s="15" t="s">
        <v>63</v>
      </c>
      <c r="D3955" s="15" t="s">
        <v>58</v>
      </c>
      <c r="E3955" s="15" t="s">
        <v>46</v>
      </c>
      <c r="F3955" s="15" t="s">
        <v>47</v>
      </c>
      <c r="G3955" s="15" t="s">
        <v>64</v>
      </c>
      <c r="H3955" s="15" t="s">
        <v>42</v>
      </c>
      <c r="I3955">
        <v>30</v>
      </c>
      <c r="J3955">
        <v>60</v>
      </c>
      <c r="K3955">
        <v>40</v>
      </c>
      <c r="L3955">
        <v>90</v>
      </c>
      <c r="M3955">
        <v>36</v>
      </c>
      <c r="N3955">
        <v>809</v>
      </c>
      <c r="O3955">
        <v>54</v>
      </c>
      <c r="P3955">
        <v>10</v>
      </c>
      <c r="Q3955">
        <v>49</v>
      </c>
      <c r="R3955">
        <v>96</v>
      </c>
      <c r="S3955">
        <v>1.0666666666666667</v>
      </c>
      <c r="T3955">
        <v>1.2250000000000001</v>
      </c>
      <c r="U3955">
        <v>1.2</v>
      </c>
    </row>
    <row r="3956" spans="1:21" x14ac:dyDescent="0.35">
      <c r="A3956">
        <v>475</v>
      </c>
      <c r="B3956" s="16">
        <v>40848</v>
      </c>
      <c r="C3956" s="15" t="s">
        <v>63</v>
      </c>
      <c r="D3956" s="15" t="s">
        <v>58</v>
      </c>
      <c r="E3956" s="15" t="s">
        <v>48</v>
      </c>
      <c r="F3956" s="15" t="s">
        <v>49</v>
      </c>
      <c r="G3956" s="15" t="s">
        <v>64</v>
      </c>
      <c r="H3956" s="15" t="s">
        <v>42</v>
      </c>
      <c r="I3956">
        <v>60</v>
      </c>
      <c r="J3956">
        <v>80</v>
      </c>
      <c r="K3956">
        <v>10</v>
      </c>
      <c r="L3956">
        <v>140</v>
      </c>
      <c r="M3956">
        <v>61</v>
      </c>
      <c r="N3956">
        <v>613</v>
      </c>
      <c r="O3956">
        <v>86</v>
      </c>
      <c r="P3956">
        <v>55</v>
      </c>
      <c r="Q3956">
        <v>3</v>
      </c>
      <c r="R3956">
        <v>157</v>
      </c>
      <c r="S3956">
        <v>1.1214285714285714</v>
      </c>
      <c r="T3956">
        <v>0.3</v>
      </c>
      <c r="U3956">
        <v>1.0166666666666666</v>
      </c>
    </row>
    <row r="3957" spans="1:21" x14ac:dyDescent="0.35">
      <c r="A3957">
        <v>203</v>
      </c>
      <c r="B3957" s="16">
        <v>40848</v>
      </c>
      <c r="C3957" s="15" t="s">
        <v>63</v>
      </c>
      <c r="D3957" s="15" t="s">
        <v>58</v>
      </c>
      <c r="E3957" s="15" t="s">
        <v>50</v>
      </c>
      <c r="F3957" s="15" t="s">
        <v>49</v>
      </c>
      <c r="G3957" s="15" t="s">
        <v>64</v>
      </c>
      <c r="H3957" s="15" t="s">
        <v>45</v>
      </c>
      <c r="I3957">
        <v>50</v>
      </c>
      <c r="J3957">
        <v>70</v>
      </c>
      <c r="K3957">
        <v>40</v>
      </c>
      <c r="L3957">
        <v>120</v>
      </c>
      <c r="M3957">
        <v>53</v>
      </c>
      <c r="N3957">
        <v>380</v>
      </c>
      <c r="O3957">
        <v>71</v>
      </c>
      <c r="P3957">
        <v>17</v>
      </c>
      <c r="Q3957">
        <v>39</v>
      </c>
      <c r="R3957">
        <v>132</v>
      </c>
      <c r="S3957">
        <v>1.1000000000000001</v>
      </c>
      <c r="T3957">
        <v>0.97499999999999998</v>
      </c>
      <c r="U3957">
        <v>1.06</v>
      </c>
    </row>
    <row r="3958" spans="1:21" x14ac:dyDescent="0.35">
      <c r="A3958">
        <v>203</v>
      </c>
      <c r="B3958" s="16">
        <v>40848</v>
      </c>
      <c r="C3958" s="15" t="s">
        <v>63</v>
      </c>
      <c r="D3958" s="15" t="s">
        <v>58</v>
      </c>
      <c r="E3958" s="15" t="s">
        <v>43</v>
      </c>
      <c r="F3958" s="15" t="s">
        <v>40</v>
      </c>
      <c r="G3958" s="15" t="s">
        <v>64</v>
      </c>
      <c r="H3958" s="15" t="s">
        <v>42</v>
      </c>
      <c r="I3958">
        <v>110</v>
      </c>
      <c r="J3958">
        <v>180</v>
      </c>
      <c r="K3958">
        <v>130</v>
      </c>
      <c r="L3958">
        <v>290</v>
      </c>
      <c r="M3958">
        <v>130</v>
      </c>
      <c r="N3958">
        <v>1134</v>
      </c>
      <c r="O3958">
        <v>195</v>
      </c>
      <c r="P3958">
        <v>42</v>
      </c>
      <c r="Q3958">
        <v>181</v>
      </c>
      <c r="R3958">
        <v>346</v>
      </c>
      <c r="S3958">
        <v>1.193103448275862</v>
      </c>
      <c r="T3958">
        <v>1.3923076923076922</v>
      </c>
      <c r="U3958">
        <v>1.1818181818181819</v>
      </c>
    </row>
    <row r="3959" spans="1:21" x14ac:dyDescent="0.35">
      <c r="A3959">
        <v>727</v>
      </c>
      <c r="B3959" s="16">
        <v>40848</v>
      </c>
      <c r="C3959" s="15" t="s">
        <v>63</v>
      </c>
      <c r="D3959" s="15" t="s">
        <v>38</v>
      </c>
      <c r="E3959" s="15" t="s">
        <v>51</v>
      </c>
      <c r="F3959" s="15" t="s">
        <v>52</v>
      </c>
      <c r="G3959" s="15" t="s">
        <v>65</v>
      </c>
      <c r="H3959" s="15" t="s">
        <v>45</v>
      </c>
      <c r="I3959">
        <v>10</v>
      </c>
      <c r="J3959">
        <v>20</v>
      </c>
      <c r="K3959">
        <v>10</v>
      </c>
      <c r="L3959">
        <v>30</v>
      </c>
      <c r="M3959">
        <v>22</v>
      </c>
      <c r="N3959">
        <v>570</v>
      </c>
      <c r="O3959">
        <v>30</v>
      </c>
      <c r="P3959">
        <v>7</v>
      </c>
      <c r="Q3959">
        <v>16</v>
      </c>
      <c r="R3959">
        <v>55</v>
      </c>
      <c r="S3959">
        <v>1.8333333333333333</v>
      </c>
      <c r="T3959">
        <v>1.6</v>
      </c>
      <c r="U3959">
        <v>2.2000000000000002</v>
      </c>
    </row>
    <row r="3960" spans="1:21" x14ac:dyDescent="0.35">
      <c r="A3960">
        <v>561</v>
      </c>
      <c r="B3960" s="16">
        <v>40848</v>
      </c>
      <c r="C3960" s="15" t="s">
        <v>63</v>
      </c>
      <c r="D3960" s="15" t="s">
        <v>38</v>
      </c>
      <c r="E3960" s="15" t="s">
        <v>53</v>
      </c>
      <c r="F3960" s="15" t="s">
        <v>52</v>
      </c>
      <c r="G3960" s="15" t="s">
        <v>65</v>
      </c>
      <c r="H3960" s="15" t="s">
        <v>45</v>
      </c>
      <c r="I3960">
        <v>40</v>
      </c>
      <c r="J3960">
        <v>40</v>
      </c>
      <c r="K3960">
        <v>10</v>
      </c>
      <c r="L3960">
        <v>80</v>
      </c>
      <c r="M3960">
        <v>54</v>
      </c>
      <c r="N3960">
        <v>391</v>
      </c>
      <c r="O3960">
        <v>67</v>
      </c>
      <c r="P3960">
        <v>20</v>
      </c>
      <c r="Q3960">
        <v>19</v>
      </c>
      <c r="R3960">
        <v>129</v>
      </c>
      <c r="S3960">
        <v>1.6125</v>
      </c>
      <c r="T3960">
        <v>1.9</v>
      </c>
      <c r="U3960">
        <v>1.35</v>
      </c>
    </row>
    <row r="3961" spans="1:21" x14ac:dyDescent="0.35">
      <c r="A3961">
        <v>561</v>
      </c>
      <c r="B3961" s="16">
        <v>40848</v>
      </c>
      <c r="C3961" s="15" t="s">
        <v>63</v>
      </c>
      <c r="D3961" s="15" t="s">
        <v>38</v>
      </c>
      <c r="E3961" s="15" t="s">
        <v>54</v>
      </c>
      <c r="F3961" s="15" t="s">
        <v>52</v>
      </c>
      <c r="G3961" s="15" t="s">
        <v>65</v>
      </c>
      <c r="H3961" s="15" t="s">
        <v>45</v>
      </c>
      <c r="I3961">
        <v>50</v>
      </c>
      <c r="J3961">
        <v>60</v>
      </c>
      <c r="K3961">
        <v>30</v>
      </c>
      <c r="L3961">
        <v>110</v>
      </c>
      <c r="M3961">
        <v>75</v>
      </c>
      <c r="N3961">
        <v>1063</v>
      </c>
      <c r="O3961">
        <v>89</v>
      </c>
      <c r="P3961">
        <v>23</v>
      </c>
      <c r="Q3961">
        <v>65</v>
      </c>
      <c r="R3961">
        <v>175</v>
      </c>
      <c r="S3961">
        <v>1.5909090909090908</v>
      </c>
      <c r="T3961">
        <v>2.1666666666666665</v>
      </c>
      <c r="U3961">
        <v>1.5</v>
      </c>
    </row>
    <row r="3962" spans="1:21" x14ac:dyDescent="0.35">
      <c r="A3962">
        <v>352</v>
      </c>
      <c r="B3962" s="16">
        <v>40848</v>
      </c>
      <c r="C3962" s="15" t="s">
        <v>63</v>
      </c>
      <c r="D3962" s="15" t="s">
        <v>38</v>
      </c>
      <c r="E3962" s="15" t="s">
        <v>55</v>
      </c>
      <c r="F3962" s="15" t="s">
        <v>47</v>
      </c>
      <c r="G3962" s="15" t="s">
        <v>65</v>
      </c>
      <c r="H3962" s="15" t="s">
        <v>42</v>
      </c>
      <c r="I3962">
        <v>20</v>
      </c>
      <c r="J3962">
        <v>50</v>
      </c>
      <c r="K3962">
        <v>40</v>
      </c>
      <c r="L3962">
        <v>70</v>
      </c>
      <c r="M3962">
        <v>28</v>
      </c>
      <c r="N3962">
        <v>875</v>
      </c>
      <c r="O3962">
        <v>42</v>
      </c>
      <c r="P3962">
        <v>7</v>
      </c>
      <c r="Q3962">
        <v>34</v>
      </c>
      <c r="R3962">
        <v>75</v>
      </c>
      <c r="S3962">
        <v>1.0714285714285714</v>
      </c>
      <c r="T3962">
        <v>0.85</v>
      </c>
      <c r="U3962">
        <v>1.4</v>
      </c>
    </row>
    <row r="3963" spans="1:21" x14ac:dyDescent="0.35">
      <c r="A3963">
        <v>904</v>
      </c>
      <c r="B3963" s="16">
        <v>40848</v>
      </c>
      <c r="C3963" s="15" t="s">
        <v>63</v>
      </c>
      <c r="D3963" s="15" t="s">
        <v>38</v>
      </c>
      <c r="E3963" s="15" t="s">
        <v>46</v>
      </c>
      <c r="F3963" s="15" t="s">
        <v>47</v>
      </c>
      <c r="G3963" s="15" t="s">
        <v>65</v>
      </c>
      <c r="H3963" s="15" t="s">
        <v>42</v>
      </c>
      <c r="I3963">
        <v>30</v>
      </c>
      <c r="J3963">
        <v>50</v>
      </c>
      <c r="K3963">
        <v>40</v>
      </c>
      <c r="L3963">
        <v>80</v>
      </c>
      <c r="M3963">
        <v>31</v>
      </c>
      <c r="N3963">
        <v>856</v>
      </c>
      <c r="O3963">
        <v>47</v>
      </c>
      <c r="P3963">
        <v>8</v>
      </c>
      <c r="Q3963">
        <v>42</v>
      </c>
      <c r="R3963">
        <v>83</v>
      </c>
      <c r="S3963">
        <v>1.0375000000000001</v>
      </c>
      <c r="T3963">
        <v>1.05</v>
      </c>
      <c r="U3963">
        <v>1.0333333333333334</v>
      </c>
    </row>
    <row r="3964" spans="1:21" x14ac:dyDescent="0.35">
      <c r="A3964">
        <v>813</v>
      </c>
      <c r="B3964" s="16">
        <v>40848</v>
      </c>
      <c r="C3964" s="15" t="s">
        <v>63</v>
      </c>
      <c r="D3964" s="15" t="s">
        <v>38</v>
      </c>
      <c r="E3964" s="15" t="s">
        <v>48</v>
      </c>
      <c r="F3964" s="15" t="s">
        <v>49</v>
      </c>
      <c r="G3964" s="15" t="s">
        <v>65</v>
      </c>
      <c r="H3964" s="15" t="s">
        <v>42</v>
      </c>
      <c r="I3964">
        <v>90</v>
      </c>
      <c r="J3964">
        <v>120</v>
      </c>
      <c r="K3964">
        <v>20</v>
      </c>
      <c r="L3964">
        <v>210</v>
      </c>
      <c r="M3964">
        <v>94</v>
      </c>
      <c r="N3964">
        <v>694</v>
      </c>
      <c r="O3964">
        <v>130</v>
      </c>
      <c r="P3964">
        <v>85</v>
      </c>
      <c r="Q3964">
        <v>22</v>
      </c>
      <c r="R3964">
        <v>239</v>
      </c>
      <c r="S3964">
        <v>1.138095238095238</v>
      </c>
      <c r="T3964">
        <v>1.1000000000000001</v>
      </c>
      <c r="U3964">
        <v>1.0444444444444445</v>
      </c>
    </row>
    <row r="3965" spans="1:21" x14ac:dyDescent="0.35">
      <c r="A3965">
        <v>772</v>
      </c>
      <c r="B3965" s="16">
        <v>40848</v>
      </c>
      <c r="C3965" s="15" t="s">
        <v>63</v>
      </c>
      <c r="D3965" s="15" t="s">
        <v>38</v>
      </c>
      <c r="E3965" s="15" t="s">
        <v>50</v>
      </c>
      <c r="F3965" s="15" t="s">
        <v>49</v>
      </c>
      <c r="G3965" s="15" t="s">
        <v>65</v>
      </c>
      <c r="H3965" s="15" t="s">
        <v>45</v>
      </c>
      <c r="I3965">
        <v>70</v>
      </c>
      <c r="J3965">
        <v>100</v>
      </c>
      <c r="K3965">
        <v>60</v>
      </c>
      <c r="L3965">
        <v>170</v>
      </c>
      <c r="M3965">
        <v>77</v>
      </c>
      <c r="N3965">
        <v>557</v>
      </c>
      <c r="O3965">
        <v>103</v>
      </c>
      <c r="P3965">
        <v>25</v>
      </c>
      <c r="Q3965">
        <v>76</v>
      </c>
      <c r="R3965">
        <v>192</v>
      </c>
      <c r="S3965">
        <v>1.1294117647058823</v>
      </c>
      <c r="T3965">
        <v>1.2666666666666666</v>
      </c>
      <c r="U3965">
        <v>1.1000000000000001</v>
      </c>
    </row>
    <row r="3966" spans="1:21" x14ac:dyDescent="0.35">
      <c r="A3966">
        <v>786</v>
      </c>
      <c r="B3966" s="16">
        <v>40848</v>
      </c>
      <c r="C3966" s="15" t="s">
        <v>63</v>
      </c>
      <c r="D3966" s="15" t="s">
        <v>38</v>
      </c>
      <c r="E3966" s="15" t="s">
        <v>43</v>
      </c>
      <c r="F3966" s="15" t="s">
        <v>40</v>
      </c>
      <c r="G3966" s="15" t="s">
        <v>65</v>
      </c>
      <c r="H3966" s="15" t="s">
        <v>42</v>
      </c>
      <c r="I3966">
        <v>70</v>
      </c>
      <c r="J3966">
        <v>100</v>
      </c>
      <c r="K3966">
        <v>60</v>
      </c>
      <c r="L3966">
        <v>170</v>
      </c>
      <c r="M3966">
        <v>78</v>
      </c>
      <c r="N3966">
        <v>798</v>
      </c>
      <c r="O3966">
        <v>119</v>
      </c>
      <c r="P3966">
        <v>25</v>
      </c>
      <c r="Q3966">
        <v>93</v>
      </c>
      <c r="R3966">
        <v>210</v>
      </c>
      <c r="S3966">
        <v>1.2352941176470589</v>
      </c>
      <c r="T3966">
        <v>1.55</v>
      </c>
      <c r="U3966">
        <v>1.1142857142857143</v>
      </c>
    </row>
    <row r="3967" spans="1:21" x14ac:dyDescent="0.35">
      <c r="A3967">
        <v>904</v>
      </c>
      <c r="B3967" s="16">
        <v>40848</v>
      </c>
      <c r="C3967" s="15" t="s">
        <v>63</v>
      </c>
      <c r="D3967" s="15" t="s">
        <v>38</v>
      </c>
      <c r="E3967" s="15" t="s">
        <v>44</v>
      </c>
      <c r="F3967" s="15" t="s">
        <v>40</v>
      </c>
      <c r="G3967" s="15" t="s">
        <v>65</v>
      </c>
      <c r="H3967" s="15" t="s">
        <v>45</v>
      </c>
      <c r="I3967">
        <v>90</v>
      </c>
      <c r="J3967">
        <v>130</v>
      </c>
      <c r="K3967">
        <v>90</v>
      </c>
      <c r="L3967">
        <v>220</v>
      </c>
      <c r="M3967">
        <v>102</v>
      </c>
      <c r="N3967">
        <v>666</v>
      </c>
      <c r="O3967">
        <v>143</v>
      </c>
      <c r="P3967">
        <v>31</v>
      </c>
      <c r="Q3967">
        <v>132</v>
      </c>
      <c r="R3967">
        <v>261</v>
      </c>
      <c r="S3967">
        <v>1.1863636363636363</v>
      </c>
      <c r="T3967">
        <v>1.4666666666666666</v>
      </c>
      <c r="U3967">
        <v>1.1333333333333333</v>
      </c>
    </row>
    <row r="3968" spans="1:21" x14ac:dyDescent="0.35">
      <c r="A3968">
        <v>857</v>
      </c>
      <c r="B3968" s="16">
        <v>40848</v>
      </c>
      <c r="C3968" s="15" t="s">
        <v>63</v>
      </c>
      <c r="D3968" s="15" t="s">
        <v>38</v>
      </c>
      <c r="E3968" s="15" t="s">
        <v>53</v>
      </c>
      <c r="F3968" s="15" t="s">
        <v>52</v>
      </c>
      <c r="G3968" s="15" t="s">
        <v>66</v>
      </c>
      <c r="H3968" s="15" t="s">
        <v>45</v>
      </c>
      <c r="I3968">
        <v>40</v>
      </c>
      <c r="J3968">
        <v>50</v>
      </c>
      <c r="K3968">
        <v>20</v>
      </c>
      <c r="L3968">
        <v>90</v>
      </c>
      <c r="M3968">
        <v>55</v>
      </c>
      <c r="N3968">
        <v>410</v>
      </c>
      <c r="O3968">
        <v>69</v>
      </c>
      <c r="P3968">
        <v>20</v>
      </c>
      <c r="Q3968">
        <v>22</v>
      </c>
      <c r="R3968">
        <v>132</v>
      </c>
      <c r="S3968">
        <v>1.4666666666666666</v>
      </c>
      <c r="T3968">
        <v>1.1000000000000001</v>
      </c>
      <c r="U3968">
        <v>1.375</v>
      </c>
    </row>
    <row r="3969" spans="1:21" x14ac:dyDescent="0.35">
      <c r="A3969">
        <v>351</v>
      </c>
      <c r="B3969" s="16">
        <v>40848</v>
      </c>
      <c r="C3969" s="15" t="s">
        <v>63</v>
      </c>
      <c r="D3969" s="15" t="s">
        <v>38</v>
      </c>
      <c r="E3969" s="15" t="s">
        <v>55</v>
      </c>
      <c r="F3969" s="15" t="s">
        <v>47</v>
      </c>
      <c r="G3969" s="15" t="s">
        <v>66</v>
      </c>
      <c r="H3969" s="15" t="s">
        <v>42</v>
      </c>
      <c r="I3969">
        <v>30</v>
      </c>
      <c r="J3969">
        <v>60</v>
      </c>
      <c r="K3969">
        <v>40</v>
      </c>
      <c r="L3969">
        <v>90</v>
      </c>
      <c r="M3969">
        <v>36</v>
      </c>
      <c r="N3969">
        <v>862</v>
      </c>
      <c r="O3969">
        <v>52</v>
      </c>
      <c r="P3969">
        <v>10</v>
      </c>
      <c r="Q3969">
        <v>46</v>
      </c>
      <c r="R3969">
        <v>94</v>
      </c>
      <c r="S3969">
        <v>1.0444444444444445</v>
      </c>
      <c r="T3969">
        <v>1.1499999999999999</v>
      </c>
      <c r="U3969">
        <v>1.2</v>
      </c>
    </row>
    <row r="3970" spans="1:21" x14ac:dyDescent="0.35">
      <c r="A3970">
        <v>978</v>
      </c>
      <c r="B3970" s="16">
        <v>40848</v>
      </c>
      <c r="C3970" s="15" t="s">
        <v>63</v>
      </c>
      <c r="D3970" s="15" t="s">
        <v>38</v>
      </c>
      <c r="E3970" s="15" t="s">
        <v>46</v>
      </c>
      <c r="F3970" s="15" t="s">
        <v>47</v>
      </c>
      <c r="G3970" s="15" t="s">
        <v>66</v>
      </c>
      <c r="H3970" s="15" t="s">
        <v>42</v>
      </c>
      <c r="I3970">
        <v>30</v>
      </c>
      <c r="J3970">
        <v>50</v>
      </c>
      <c r="K3970">
        <v>40</v>
      </c>
      <c r="L3970">
        <v>80</v>
      </c>
      <c r="M3970">
        <v>32</v>
      </c>
      <c r="N3970">
        <v>482</v>
      </c>
      <c r="O3970">
        <v>48</v>
      </c>
      <c r="P3970">
        <v>8</v>
      </c>
      <c r="Q3970">
        <v>43</v>
      </c>
      <c r="R3970">
        <v>85</v>
      </c>
      <c r="S3970">
        <v>1.0625</v>
      </c>
      <c r="T3970">
        <v>1.075</v>
      </c>
      <c r="U3970">
        <v>1.0666666666666667</v>
      </c>
    </row>
    <row r="3971" spans="1:21" x14ac:dyDescent="0.35">
      <c r="A3971">
        <v>339</v>
      </c>
      <c r="B3971" s="16">
        <v>40848</v>
      </c>
      <c r="C3971" s="15" t="s">
        <v>63</v>
      </c>
      <c r="D3971" s="15" t="s">
        <v>38</v>
      </c>
      <c r="E3971" s="15" t="s">
        <v>48</v>
      </c>
      <c r="F3971" s="15" t="s">
        <v>49</v>
      </c>
      <c r="G3971" s="15" t="s">
        <v>66</v>
      </c>
      <c r="H3971" s="15" t="s">
        <v>42</v>
      </c>
      <c r="I3971">
        <v>50</v>
      </c>
      <c r="J3971">
        <v>60</v>
      </c>
      <c r="K3971">
        <v>0</v>
      </c>
      <c r="L3971">
        <v>110</v>
      </c>
      <c r="M3971">
        <v>52</v>
      </c>
      <c r="N3971">
        <v>554</v>
      </c>
      <c r="O3971">
        <v>68</v>
      </c>
      <c r="P3971">
        <v>47</v>
      </c>
      <c r="Q3971">
        <v>-12</v>
      </c>
      <c r="R3971">
        <v>128</v>
      </c>
      <c r="S3971">
        <v>1.1636363636363636</v>
      </c>
      <c r="U3971">
        <v>1.04</v>
      </c>
    </row>
    <row r="3972" spans="1:21" x14ac:dyDescent="0.35">
      <c r="A3972">
        <v>617</v>
      </c>
      <c r="B3972" s="16">
        <v>40848</v>
      </c>
      <c r="C3972" s="15" t="s">
        <v>63</v>
      </c>
      <c r="D3972" s="15" t="s">
        <v>38</v>
      </c>
      <c r="E3972" s="15" t="s">
        <v>67</v>
      </c>
      <c r="F3972" s="15" t="s">
        <v>49</v>
      </c>
      <c r="G3972" s="15" t="s">
        <v>66</v>
      </c>
      <c r="H3972" s="15" t="s">
        <v>42</v>
      </c>
      <c r="I3972">
        <v>170</v>
      </c>
      <c r="J3972">
        <v>180</v>
      </c>
      <c r="K3972">
        <v>120</v>
      </c>
      <c r="L3972">
        <v>350</v>
      </c>
      <c r="M3972">
        <v>181</v>
      </c>
      <c r="N3972">
        <v>1283</v>
      </c>
      <c r="O3972">
        <v>182</v>
      </c>
      <c r="P3972">
        <v>50</v>
      </c>
      <c r="Q3972">
        <v>160</v>
      </c>
      <c r="R3972">
        <v>387</v>
      </c>
      <c r="S3972">
        <v>1.1057142857142856</v>
      </c>
      <c r="T3972">
        <v>1.3333333333333333</v>
      </c>
      <c r="U3972">
        <v>1.0647058823529412</v>
      </c>
    </row>
    <row r="3973" spans="1:21" x14ac:dyDescent="0.35">
      <c r="A3973">
        <v>857</v>
      </c>
      <c r="B3973" s="16">
        <v>40848</v>
      </c>
      <c r="C3973" s="15" t="s">
        <v>63</v>
      </c>
      <c r="D3973" s="15" t="s">
        <v>38</v>
      </c>
      <c r="E3973" s="15" t="s">
        <v>43</v>
      </c>
      <c r="F3973" s="15" t="s">
        <v>40</v>
      </c>
      <c r="G3973" s="15" t="s">
        <v>66</v>
      </c>
      <c r="H3973" s="15" t="s">
        <v>42</v>
      </c>
      <c r="I3973">
        <v>60</v>
      </c>
      <c r="J3973">
        <v>340</v>
      </c>
      <c r="K3973">
        <v>300</v>
      </c>
      <c r="L3973">
        <v>400</v>
      </c>
      <c r="M3973">
        <v>75</v>
      </c>
      <c r="N3973">
        <v>-3287</v>
      </c>
      <c r="O3973">
        <v>379</v>
      </c>
      <c r="P3973">
        <v>24</v>
      </c>
      <c r="Q3973">
        <v>481</v>
      </c>
      <c r="R3973">
        <v>484</v>
      </c>
      <c r="S3973">
        <v>1.21</v>
      </c>
      <c r="T3973">
        <v>1.6033333333333333</v>
      </c>
      <c r="U3973">
        <v>1.25</v>
      </c>
    </row>
    <row r="3974" spans="1:21" x14ac:dyDescent="0.35">
      <c r="A3974">
        <v>603</v>
      </c>
      <c r="B3974" s="16">
        <v>40848</v>
      </c>
      <c r="C3974" s="15" t="s">
        <v>63</v>
      </c>
      <c r="D3974" s="15" t="s">
        <v>58</v>
      </c>
      <c r="E3974" s="15" t="s">
        <v>53</v>
      </c>
      <c r="F3974" s="15" t="s">
        <v>52</v>
      </c>
      <c r="G3974" s="15" t="s">
        <v>68</v>
      </c>
      <c r="H3974" s="15" t="s">
        <v>45</v>
      </c>
      <c r="I3974">
        <v>20</v>
      </c>
      <c r="J3974">
        <v>30</v>
      </c>
      <c r="K3974">
        <v>0</v>
      </c>
      <c r="L3974">
        <v>50</v>
      </c>
      <c r="M3974">
        <v>33</v>
      </c>
      <c r="N3974">
        <v>243</v>
      </c>
      <c r="O3974">
        <v>41</v>
      </c>
      <c r="P3974">
        <v>12</v>
      </c>
      <c r="Q3974">
        <v>-6</v>
      </c>
      <c r="R3974">
        <v>79</v>
      </c>
      <c r="S3974">
        <v>1.58</v>
      </c>
      <c r="U3974">
        <v>1.65</v>
      </c>
    </row>
    <row r="3975" spans="1:21" x14ac:dyDescent="0.35">
      <c r="A3975">
        <v>603</v>
      </c>
      <c r="B3975" s="16">
        <v>40848</v>
      </c>
      <c r="C3975" s="15" t="s">
        <v>63</v>
      </c>
      <c r="D3975" s="15" t="s">
        <v>58</v>
      </c>
      <c r="E3975" s="15" t="s">
        <v>55</v>
      </c>
      <c r="F3975" s="15" t="s">
        <v>47</v>
      </c>
      <c r="G3975" s="15" t="s">
        <v>68</v>
      </c>
      <c r="H3975" s="15" t="s">
        <v>42</v>
      </c>
      <c r="I3975">
        <v>10</v>
      </c>
      <c r="J3975">
        <v>30</v>
      </c>
      <c r="K3975">
        <v>20</v>
      </c>
      <c r="L3975">
        <v>40</v>
      </c>
      <c r="M3975">
        <v>15</v>
      </c>
      <c r="N3975">
        <v>848</v>
      </c>
      <c r="O3975">
        <v>24</v>
      </c>
      <c r="P3975">
        <v>4</v>
      </c>
      <c r="Q3975">
        <v>12</v>
      </c>
      <c r="R3975">
        <v>42</v>
      </c>
      <c r="S3975">
        <v>1.05</v>
      </c>
      <c r="T3975">
        <v>0.6</v>
      </c>
      <c r="U3975">
        <v>1.5</v>
      </c>
    </row>
    <row r="3976" spans="1:21" x14ac:dyDescent="0.35">
      <c r="A3976">
        <v>603</v>
      </c>
      <c r="B3976" s="16">
        <v>40848</v>
      </c>
      <c r="C3976" s="15" t="s">
        <v>63</v>
      </c>
      <c r="D3976" s="15" t="s">
        <v>58</v>
      </c>
      <c r="E3976" s="15" t="s">
        <v>46</v>
      </c>
      <c r="F3976" s="15" t="s">
        <v>47</v>
      </c>
      <c r="G3976" s="15" t="s">
        <v>68</v>
      </c>
      <c r="H3976" s="15" t="s">
        <v>42</v>
      </c>
      <c r="I3976">
        <v>0</v>
      </c>
      <c r="J3976">
        <v>40</v>
      </c>
      <c r="K3976">
        <v>30</v>
      </c>
      <c r="L3976">
        <v>40</v>
      </c>
      <c r="M3976">
        <v>0</v>
      </c>
      <c r="N3976">
        <v>387</v>
      </c>
      <c r="O3976">
        <v>43</v>
      </c>
      <c r="P3976">
        <v>0</v>
      </c>
      <c r="Q3976">
        <v>47</v>
      </c>
      <c r="R3976">
        <v>46</v>
      </c>
      <c r="S3976">
        <v>1.1499999999999999</v>
      </c>
      <c r="T3976">
        <v>1.5666666666666667</v>
      </c>
    </row>
    <row r="3977" spans="1:21" x14ac:dyDescent="0.35">
      <c r="A3977">
        <v>603</v>
      </c>
      <c r="B3977" s="16">
        <v>40848</v>
      </c>
      <c r="C3977" s="15" t="s">
        <v>63</v>
      </c>
      <c r="D3977" s="15" t="s">
        <v>58</v>
      </c>
      <c r="E3977" s="15" t="s">
        <v>48</v>
      </c>
      <c r="F3977" s="15" t="s">
        <v>49</v>
      </c>
      <c r="G3977" s="15" t="s">
        <v>68</v>
      </c>
      <c r="H3977" s="15" t="s">
        <v>42</v>
      </c>
      <c r="I3977">
        <v>40</v>
      </c>
      <c r="J3977">
        <v>60</v>
      </c>
      <c r="K3977">
        <v>10</v>
      </c>
      <c r="L3977">
        <v>100</v>
      </c>
      <c r="M3977">
        <v>44</v>
      </c>
      <c r="N3977">
        <v>325</v>
      </c>
      <c r="O3977">
        <v>62</v>
      </c>
      <c r="P3977">
        <v>40</v>
      </c>
      <c r="Q3977">
        <v>-12</v>
      </c>
      <c r="R3977">
        <v>113</v>
      </c>
      <c r="S3977">
        <v>1.1299999999999999</v>
      </c>
      <c r="T3977">
        <v>-1.2</v>
      </c>
      <c r="U3977">
        <v>1.1000000000000001</v>
      </c>
    </row>
    <row r="3978" spans="1:21" x14ac:dyDescent="0.35">
      <c r="A3978">
        <v>603</v>
      </c>
      <c r="B3978" s="16">
        <v>40848</v>
      </c>
      <c r="C3978" s="15" t="s">
        <v>63</v>
      </c>
      <c r="D3978" s="15" t="s">
        <v>58</v>
      </c>
      <c r="E3978" s="15" t="s">
        <v>67</v>
      </c>
      <c r="F3978" s="15" t="s">
        <v>49</v>
      </c>
      <c r="G3978" s="15" t="s">
        <v>68</v>
      </c>
      <c r="H3978" s="15" t="s">
        <v>42</v>
      </c>
      <c r="I3978">
        <v>30</v>
      </c>
      <c r="J3978">
        <v>40</v>
      </c>
      <c r="K3978">
        <v>0</v>
      </c>
      <c r="L3978">
        <v>70</v>
      </c>
      <c r="M3978">
        <v>34</v>
      </c>
      <c r="N3978">
        <v>211</v>
      </c>
      <c r="O3978">
        <v>42</v>
      </c>
      <c r="P3978">
        <v>12</v>
      </c>
      <c r="Q3978">
        <v>-4</v>
      </c>
      <c r="R3978">
        <v>81</v>
      </c>
      <c r="S3978">
        <v>1.1571428571428573</v>
      </c>
      <c r="U3978">
        <v>1.1333333333333333</v>
      </c>
    </row>
    <row r="3979" spans="1:21" x14ac:dyDescent="0.35">
      <c r="A3979">
        <v>603</v>
      </c>
      <c r="B3979" s="16">
        <v>40848</v>
      </c>
      <c r="C3979" s="15" t="s">
        <v>63</v>
      </c>
      <c r="D3979" s="15" t="s">
        <v>58</v>
      </c>
      <c r="E3979" s="15" t="s">
        <v>39</v>
      </c>
      <c r="F3979" s="15" t="s">
        <v>40</v>
      </c>
      <c r="G3979" s="15" t="s">
        <v>68</v>
      </c>
      <c r="H3979" s="15" t="s">
        <v>42</v>
      </c>
      <c r="I3979">
        <v>40</v>
      </c>
      <c r="J3979">
        <v>60</v>
      </c>
      <c r="K3979">
        <v>40</v>
      </c>
      <c r="L3979">
        <v>100</v>
      </c>
      <c r="M3979">
        <v>46</v>
      </c>
      <c r="N3979">
        <v>316</v>
      </c>
      <c r="O3979">
        <v>67</v>
      </c>
      <c r="P3979">
        <v>14</v>
      </c>
      <c r="Q3979">
        <v>45</v>
      </c>
      <c r="R3979">
        <v>120</v>
      </c>
      <c r="S3979">
        <v>1.2</v>
      </c>
      <c r="T3979">
        <v>1.125</v>
      </c>
      <c r="U3979">
        <v>1.1499999999999999</v>
      </c>
    </row>
    <row r="3980" spans="1:21" x14ac:dyDescent="0.35">
      <c r="A3980">
        <v>603</v>
      </c>
      <c r="B3980" s="16">
        <v>40848</v>
      </c>
      <c r="C3980" s="15" t="s">
        <v>63</v>
      </c>
      <c r="D3980" s="15" t="s">
        <v>58</v>
      </c>
      <c r="E3980" s="15" t="s">
        <v>43</v>
      </c>
      <c r="F3980" s="15" t="s">
        <v>40</v>
      </c>
      <c r="G3980" s="15" t="s">
        <v>68</v>
      </c>
      <c r="H3980" s="15" t="s">
        <v>42</v>
      </c>
      <c r="I3980">
        <v>30</v>
      </c>
      <c r="J3980">
        <v>60</v>
      </c>
      <c r="K3980">
        <v>30</v>
      </c>
      <c r="L3980">
        <v>90</v>
      </c>
      <c r="M3980">
        <v>43</v>
      </c>
      <c r="N3980">
        <v>452</v>
      </c>
      <c r="O3980">
        <v>66</v>
      </c>
      <c r="P3980">
        <v>14</v>
      </c>
      <c r="Q3980">
        <v>30</v>
      </c>
      <c r="R3980">
        <v>116</v>
      </c>
      <c r="S3980">
        <v>1.288888888888889</v>
      </c>
      <c r="T3980">
        <v>1</v>
      </c>
      <c r="U3980">
        <v>1.4333333333333333</v>
      </c>
    </row>
    <row r="3981" spans="1:21" x14ac:dyDescent="0.35">
      <c r="A3981">
        <v>585</v>
      </c>
      <c r="B3981" s="16">
        <v>40848</v>
      </c>
      <c r="C3981" s="15" t="s">
        <v>63</v>
      </c>
      <c r="D3981" s="15" t="s">
        <v>38</v>
      </c>
      <c r="E3981" s="15" t="s">
        <v>53</v>
      </c>
      <c r="F3981" s="15" t="s">
        <v>52</v>
      </c>
      <c r="G3981" s="15" t="s">
        <v>69</v>
      </c>
      <c r="H3981" s="15" t="s">
        <v>45</v>
      </c>
      <c r="I3981">
        <v>180</v>
      </c>
      <c r="J3981">
        <v>240</v>
      </c>
      <c r="K3981">
        <v>140</v>
      </c>
      <c r="L3981">
        <v>420</v>
      </c>
      <c r="M3981">
        <v>245</v>
      </c>
      <c r="N3981">
        <v>1704</v>
      </c>
      <c r="O3981">
        <v>331</v>
      </c>
      <c r="P3981">
        <v>93</v>
      </c>
      <c r="Q3981">
        <v>303</v>
      </c>
      <c r="R3981">
        <v>614</v>
      </c>
      <c r="S3981">
        <v>1.4619047619047618</v>
      </c>
      <c r="T3981">
        <v>2.1642857142857141</v>
      </c>
      <c r="U3981">
        <v>1.3611111111111112</v>
      </c>
    </row>
    <row r="3982" spans="1:21" x14ac:dyDescent="0.35">
      <c r="A3982">
        <v>518</v>
      </c>
      <c r="B3982" s="16">
        <v>40848</v>
      </c>
      <c r="C3982" s="15" t="s">
        <v>63</v>
      </c>
      <c r="D3982" s="15" t="s">
        <v>38</v>
      </c>
      <c r="E3982" s="15" t="s">
        <v>54</v>
      </c>
      <c r="F3982" s="15" t="s">
        <v>52</v>
      </c>
      <c r="G3982" s="15" t="s">
        <v>69</v>
      </c>
      <c r="H3982" s="15" t="s">
        <v>45</v>
      </c>
      <c r="I3982">
        <v>160</v>
      </c>
      <c r="J3982">
        <v>-50</v>
      </c>
      <c r="K3982">
        <v>-120</v>
      </c>
      <c r="L3982">
        <v>110</v>
      </c>
      <c r="M3982">
        <v>225</v>
      </c>
      <c r="N3982">
        <v>4742</v>
      </c>
      <c r="O3982">
        <v>-65</v>
      </c>
      <c r="P3982">
        <v>69</v>
      </c>
      <c r="Q3982">
        <v>-232</v>
      </c>
      <c r="R3982">
        <v>171</v>
      </c>
      <c r="S3982">
        <v>1.5545454545454545</v>
      </c>
      <c r="T3982">
        <v>1.9333333333333333</v>
      </c>
      <c r="U3982">
        <v>1.40625</v>
      </c>
    </row>
    <row r="3983" spans="1:21" x14ac:dyDescent="0.35">
      <c r="A3983">
        <v>516</v>
      </c>
      <c r="B3983" s="16">
        <v>40848</v>
      </c>
      <c r="C3983" s="15" t="s">
        <v>63</v>
      </c>
      <c r="D3983" s="15" t="s">
        <v>38</v>
      </c>
      <c r="E3983" s="15" t="s">
        <v>55</v>
      </c>
      <c r="F3983" s="15" t="s">
        <v>47</v>
      </c>
      <c r="G3983" s="15" t="s">
        <v>69</v>
      </c>
      <c r="H3983" s="15" t="s">
        <v>42</v>
      </c>
      <c r="I3983">
        <v>80</v>
      </c>
      <c r="J3983">
        <v>120</v>
      </c>
      <c r="K3983">
        <v>90</v>
      </c>
      <c r="L3983">
        <v>200</v>
      </c>
      <c r="M3983">
        <v>81</v>
      </c>
      <c r="N3983">
        <v>984</v>
      </c>
      <c r="O3983">
        <v>117</v>
      </c>
      <c r="P3983">
        <v>22</v>
      </c>
      <c r="Q3983">
        <v>125</v>
      </c>
      <c r="R3983">
        <v>211</v>
      </c>
      <c r="S3983">
        <v>1.0549999999999999</v>
      </c>
      <c r="T3983">
        <v>1.3888888888888888</v>
      </c>
      <c r="U3983">
        <v>1.0125</v>
      </c>
    </row>
    <row r="3984" spans="1:21" x14ac:dyDescent="0.35">
      <c r="A3984">
        <v>914</v>
      </c>
      <c r="B3984" s="16">
        <v>40848</v>
      </c>
      <c r="C3984" s="15" t="s">
        <v>63</v>
      </c>
      <c r="D3984" s="15" t="s">
        <v>38</v>
      </c>
      <c r="E3984" s="15" t="s">
        <v>56</v>
      </c>
      <c r="F3984" s="15" t="s">
        <v>47</v>
      </c>
      <c r="G3984" s="15" t="s">
        <v>69</v>
      </c>
      <c r="H3984" s="15" t="s">
        <v>42</v>
      </c>
      <c r="I3984">
        <v>120</v>
      </c>
      <c r="J3984">
        <v>170</v>
      </c>
      <c r="K3984">
        <v>130</v>
      </c>
      <c r="L3984">
        <v>290</v>
      </c>
      <c r="M3984">
        <v>118</v>
      </c>
      <c r="N3984">
        <v>930</v>
      </c>
      <c r="O3984">
        <v>172</v>
      </c>
      <c r="P3984">
        <v>33</v>
      </c>
      <c r="Q3984">
        <v>188</v>
      </c>
      <c r="R3984">
        <v>309</v>
      </c>
      <c r="S3984">
        <v>1.0655172413793104</v>
      </c>
      <c r="T3984">
        <v>1.4461538461538461</v>
      </c>
      <c r="U3984">
        <v>0.98333333333333328</v>
      </c>
    </row>
    <row r="3985" spans="1:21" x14ac:dyDescent="0.35">
      <c r="A3985">
        <v>914</v>
      </c>
      <c r="B3985" s="16">
        <v>40848</v>
      </c>
      <c r="C3985" s="15" t="s">
        <v>63</v>
      </c>
      <c r="D3985" s="15" t="s">
        <v>38</v>
      </c>
      <c r="E3985" s="15" t="s">
        <v>46</v>
      </c>
      <c r="F3985" s="15" t="s">
        <v>47</v>
      </c>
      <c r="G3985" s="15" t="s">
        <v>69</v>
      </c>
      <c r="H3985" s="15" t="s">
        <v>42</v>
      </c>
      <c r="I3985">
        <v>50</v>
      </c>
      <c r="J3985">
        <v>70</v>
      </c>
      <c r="K3985">
        <v>50</v>
      </c>
      <c r="L3985">
        <v>120</v>
      </c>
      <c r="M3985">
        <v>50</v>
      </c>
      <c r="N3985">
        <v>589</v>
      </c>
      <c r="O3985">
        <v>73</v>
      </c>
      <c r="P3985">
        <v>14</v>
      </c>
      <c r="Q3985">
        <v>70</v>
      </c>
      <c r="R3985">
        <v>131</v>
      </c>
      <c r="S3985">
        <v>1.0916666666666666</v>
      </c>
      <c r="T3985">
        <v>1.4</v>
      </c>
      <c r="U3985">
        <v>1</v>
      </c>
    </row>
    <row r="3986" spans="1:21" x14ac:dyDescent="0.35">
      <c r="A3986">
        <v>914</v>
      </c>
      <c r="B3986" s="16">
        <v>40848</v>
      </c>
      <c r="C3986" s="15" t="s">
        <v>63</v>
      </c>
      <c r="D3986" s="15" t="s">
        <v>38</v>
      </c>
      <c r="E3986" s="15" t="s">
        <v>48</v>
      </c>
      <c r="F3986" s="15" t="s">
        <v>49</v>
      </c>
      <c r="G3986" s="15" t="s">
        <v>69</v>
      </c>
      <c r="H3986" s="15" t="s">
        <v>42</v>
      </c>
      <c r="I3986">
        <v>110</v>
      </c>
      <c r="J3986">
        <v>-60</v>
      </c>
      <c r="K3986">
        <v>-190</v>
      </c>
      <c r="L3986">
        <v>50</v>
      </c>
      <c r="M3986">
        <v>121</v>
      </c>
      <c r="N3986">
        <v>3385</v>
      </c>
      <c r="O3986">
        <v>-60</v>
      </c>
      <c r="P3986">
        <v>109</v>
      </c>
      <c r="Q3986">
        <v>-300</v>
      </c>
      <c r="R3986">
        <v>65</v>
      </c>
      <c r="S3986">
        <v>1.3</v>
      </c>
      <c r="T3986">
        <v>1.5789473684210527</v>
      </c>
      <c r="U3986">
        <v>1.1000000000000001</v>
      </c>
    </row>
    <row r="3987" spans="1:21" x14ac:dyDescent="0.35">
      <c r="A3987">
        <v>917</v>
      </c>
      <c r="B3987" s="16">
        <v>40848</v>
      </c>
      <c r="C3987" s="15" t="s">
        <v>63</v>
      </c>
      <c r="D3987" s="15" t="s">
        <v>38</v>
      </c>
      <c r="E3987" s="15" t="s">
        <v>67</v>
      </c>
      <c r="F3987" s="15" t="s">
        <v>49</v>
      </c>
      <c r="G3987" s="15" t="s">
        <v>69</v>
      </c>
      <c r="H3987" s="15" t="s">
        <v>42</v>
      </c>
      <c r="I3987">
        <v>200</v>
      </c>
      <c r="J3987">
        <v>460</v>
      </c>
      <c r="K3987">
        <v>390</v>
      </c>
      <c r="L3987">
        <v>660</v>
      </c>
      <c r="M3987">
        <v>211</v>
      </c>
      <c r="N3987">
        <v>933</v>
      </c>
      <c r="O3987">
        <v>464</v>
      </c>
      <c r="P3987">
        <v>59</v>
      </c>
      <c r="Q3987">
        <v>565</v>
      </c>
      <c r="R3987">
        <v>719</v>
      </c>
      <c r="S3987">
        <v>1.0893939393939394</v>
      </c>
      <c r="T3987">
        <v>1.4487179487179487</v>
      </c>
      <c r="U3987">
        <v>1.0549999999999999</v>
      </c>
    </row>
    <row r="3988" spans="1:21" x14ac:dyDescent="0.35">
      <c r="A3988">
        <v>607</v>
      </c>
      <c r="B3988" s="16">
        <v>40848</v>
      </c>
      <c r="C3988" s="15" t="s">
        <v>63</v>
      </c>
      <c r="D3988" s="15" t="s">
        <v>38</v>
      </c>
      <c r="E3988" s="15" t="s">
        <v>43</v>
      </c>
      <c r="F3988" s="15" t="s">
        <v>40</v>
      </c>
      <c r="G3988" s="15" t="s">
        <v>69</v>
      </c>
      <c r="H3988" s="15" t="s">
        <v>42</v>
      </c>
      <c r="I3988">
        <v>220</v>
      </c>
      <c r="J3988">
        <v>340</v>
      </c>
      <c r="K3988">
        <v>230</v>
      </c>
      <c r="L3988">
        <v>560</v>
      </c>
      <c r="M3988">
        <v>249</v>
      </c>
      <c r="N3988">
        <v>2580</v>
      </c>
      <c r="O3988">
        <v>374</v>
      </c>
      <c r="P3988">
        <v>87</v>
      </c>
      <c r="Q3988">
        <v>350</v>
      </c>
      <c r="R3988">
        <v>664</v>
      </c>
      <c r="S3988">
        <v>1.1857142857142857</v>
      </c>
      <c r="T3988">
        <v>1.5217391304347827</v>
      </c>
      <c r="U3988">
        <v>1.1318181818181818</v>
      </c>
    </row>
    <row r="3989" spans="1:21" x14ac:dyDescent="0.35">
      <c r="A3989">
        <v>985</v>
      </c>
      <c r="B3989" s="16">
        <v>40848</v>
      </c>
      <c r="C3989" s="15" t="s">
        <v>70</v>
      </c>
      <c r="D3989" s="15" t="s">
        <v>58</v>
      </c>
      <c r="E3989" s="15" t="s">
        <v>51</v>
      </c>
      <c r="F3989" s="15" t="s">
        <v>52</v>
      </c>
      <c r="G3989" s="15" t="s">
        <v>71</v>
      </c>
      <c r="H3989" s="15" t="s">
        <v>45</v>
      </c>
      <c r="I3989">
        <v>90</v>
      </c>
      <c r="J3989">
        <v>120</v>
      </c>
      <c r="K3989">
        <v>80</v>
      </c>
      <c r="L3989">
        <v>210</v>
      </c>
      <c r="M3989">
        <v>101</v>
      </c>
      <c r="N3989">
        <v>552</v>
      </c>
      <c r="O3989">
        <v>130</v>
      </c>
      <c r="P3989">
        <v>33</v>
      </c>
      <c r="Q3989">
        <v>126</v>
      </c>
      <c r="R3989">
        <v>246</v>
      </c>
      <c r="S3989">
        <v>1.1714285714285715</v>
      </c>
      <c r="T3989">
        <v>1.575</v>
      </c>
      <c r="U3989">
        <v>1.1222222222222222</v>
      </c>
    </row>
    <row r="3990" spans="1:21" x14ac:dyDescent="0.35">
      <c r="A3990">
        <v>337</v>
      </c>
      <c r="B3990" s="16">
        <v>40848</v>
      </c>
      <c r="C3990" s="15" t="s">
        <v>70</v>
      </c>
      <c r="D3990" s="15" t="s">
        <v>58</v>
      </c>
      <c r="E3990" s="15" t="s">
        <v>53</v>
      </c>
      <c r="F3990" s="15" t="s">
        <v>52</v>
      </c>
      <c r="G3990" s="15" t="s">
        <v>71</v>
      </c>
      <c r="H3990" s="15" t="s">
        <v>45</v>
      </c>
      <c r="I3990">
        <v>70</v>
      </c>
      <c r="J3990">
        <v>100</v>
      </c>
      <c r="K3990">
        <v>40</v>
      </c>
      <c r="L3990">
        <v>170</v>
      </c>
      <c r="M3990">
        <v>82</v>
      </c>
      <c r="N3990">
        <v>601</v>
      </c>
      <c r="O3990">
        <v>102</v>
      </c>
      <c r="P3990">
        <v>31</v>
      </c>
      <c r="Q3990">
        <v>56</v>
      </c>
      <c r="R3990">
        <v>196</v>
      </c>
      <c r="S3990">
        <v>1.1529411764705881</v>
      </c>
      <c r="T3990">
        <v>1.4</v>
      </c>
      <c r="U3990">
        <v>1.1714285714285715</v>
      </c>
    </row>
    <row r="3991" spans="1:21" x14ac:dyDescent="0.35">
      <c r="A3991">
        <v>318</v>
      </c>
      <c r="B3991" s="16">
        <v>40848</v>
      </c>
      <c r="C3991" s="15" t="s">
        <v>70</v>
      </c>
      <c r="D3991" s="15" t="s">
        <v>58</v>
      </c>
      <c r="E3991" s="15" t="s">
        <v>43</v>
      </c>
      <c r="F3991" s="15" t="s">
        <v>40</v>
      </c>
      <c r="G3991" s="15" t="s">
        <v>71</v>
      </c>
      <c r="H3991" s="15" t="s">
        <v>42</v>
      </c>
      <c r="I3991">
        <v>50</v>
      </c>
      <c r="J3991">
        <v>80</v>
      </c>
      <c r="K3991">
        <v>60</v>
      </c>
      <c r="L3991">
        <v>130</v>
      </c>
      <c r="M3991">
        <v>47</v>
      </c>
      <c r="N3991">
        <v>834</v>
      </c>
      <c r="O3991">
        <v>68</v>
      </c>
      <c r="P3991">
        <v>13</v>
      </c>
      <c r="Q3991">
        <v>65</v>
      </c>
      <c r="R3991">
        <v>123</v>
      </c>
      <c r="S3991">
        <v>0.94615384615384612</v>
      </c>
      <c r="T3991">
        <v>1.0833333333333333</v>
      </c>
      <c r="U3991">
        <v>0.94</v>
      </c>
    </row>
    <row r="3992" spans="1:21" x14ac:dyDescent="0.35">
      <c r="A3992">
        <v>504</v>
      </c>
      <c r="B3992" s="16">
        <v>40848</v>
      </c>
      <c r="C3992" s="15" t="s">
        <v>70</v>
      </c>
      <c r="D3992" s="15" t="s">
        <v>58</v>
      </c>
      <c r="E3992" s="15" t="s">
        <v>44</v>
      </c>
      <c r="F3992" s="15" t="s">
        <v>40</v>
      </c>
      <c r="G3992" s="15" t="s">
        <v>71</v>
      </c>
      <c r="H3992" s="15" t="s">
        <v>45</v>
      </c>
      <c r="I3992">
        <v>30</v>
      </c>
      <c r="J3992">
        <v>60</v>
      </c>
      <c r="K3992">
        <v>50</v>
      </c>
      <c r="L3992">
        <v>90</v>
      </c>
      <c r="M3992">
        <v>31</v>
      </c>
      <c r="N3992">
        <v>856</v>
      </c>
      <c r="O3992">
        <v>47</v>
      </c>
      <c r="P3992">
        <v>8</v>
      </c>
      <c r="Q3992">
        <v>42</v>
      </c>
      <c r="R3992">
        <v>83</v>
      </c>
      <c r="S3992">
        <v>0.92222222222222228</v>
      </c>
      <c r="T3992">
        <v>0.84</v>
      </c>
      <c r="U3992">
        <v>1.0333333333333334</v>
      </c>
    </row>
    <row r="3993" spans="1:21" x14ac:dyDescent="0.35">
      <c r="A3993">
        <v>318</v>
      </c>
      <c r="B3993" s="16">
        <v>40848</v>
      </c>
      <c r="C3993" s="15" t="s">
        <v>70</v>
      </c>
      <c r="D3993" s="15" t="s">
        <v>58</v>
      </c>
      <c r="E3993" s="15" t="s">
        <v>72</v>
      </c>
      <c r="F3993" s="15" t="s">
        <v>49</v>
      </c>
      <c r="G3993" s="15" t="s">
        <v>71</v>
      </c>
      <c r="H3993" s="15" t="s">
        <v>42</v>
      </c>
      <c r="I3993">
        <v>40</v>
      </c>
      <c r="J3993">
        <v>70</v>
      </c>
      <c r="K3993">
        <v>10</v>
      </c>
      <c r="L3993">
        <v>110</v>
      </c>
      <c r="M3993">
        <v>61</v>
      </c>
      <c r="N3993">
        <v>-906</v>
      </c>
      <c r="O3993">
        <v>86</v>
      </c>
      <c r="P3993">
        <v>55</v>
      </c>
      <c r="Q3993">
        <v>1</v>
      </c>
      <c r="R3993">
        <v>157</v>
      </c>
      <c r="S3993">
        <v>1.4272727272727272</v>
      </c>
      <c r="T3993">
        <v>0.1</v>
      </c>
      <c r="U3993">
        <v>1.5249999999999999</v>
      </c>
    </row>
    <row r="3994" spans="1:21" x14ac:dyDescent="0.35">
      <c r="A3994">
        <v>318</v>
      </c>
      <c r="B3994" s="16">
        <v>40848</v>
      </c>
      <c r="C3994" s="15" t="s">
        <v>70</v>
      </c>
      <c r="D3994" s="15" t="s">
        <v>58</v>
      </c>
      <c r="E3994" s="15" t="s">
        <v>48</v>
      </c>
      <c r="F3994" s="15" t="s">
        <v>49</v>
      </c>
      <c r="G3994" s="15" t="s">
        <v>71</v>
      </c>
      <c r="H3994" s="15" t="s">
        <v>42</v>
      </c>
      <c r="I3994">
        <v>40</v>
      </c>
      <c r="J3994">
        <v>60</v>
      </c>
      <c r="K3994">
        <v>30</v>
      </c>
      <c r="L3994">
        <v>100</v>
      </c>
      <c r="M3994">
        <v>53</v>
      </c>
      <c r="N3994">
        <v>321</v>
      </c>
      <c r="O3994">
        <v>88</v>
      </c>
      <c r="P3994">
        <v>16</v>
      </c>
      <c r="Q3994">
        <v>73</v>
      </c>
      <c r="R3994">
        <v>150</v>
      </c>
      <c r="S3994">
        <v>1.5</v>
      </c>
      <c r="T3994">
        <v>2.4333333333333331</v>
      </c>
      <c r="U3994">
        <v>1.325</v>
      </c>
    </row>
    <row r="3995" spans="1:21" x14ac:dyDescent="0.35">
      <c r="A3995">
        <v>337</v>
      </c>
      <c r="B3995" s="16">
        <v>40848</v>
      </c>
      <c r="C3995" s="15" t="s">
        <v>70</v>
      </c>
      <c r="D3995" s="15" t="s">
        <v>58</v>
      </c>
      <c r="E3995" s="15" t="s">
        <v>50</v>
      </c>
      <c r="F3995" s="15" t="s">
        <v>49</v>
      </c>
      <c r="G3995" s="15" t="s">
        <v>71</v>
      </c>
      <c r="H3995" s="15" t="s">
        <v>45</v>
      </c>
      <c r="I3995">
        <v>30</v>
      </c>
      <c r="J3995">
        <v>60</v>
      </c>
      <c r="K3995">
        <v>30</v>
      </c>
      <c r="L3995">
        <v>90</v>
      </c>
      <c r="M3995">
        <v>49</v>
      </c>
      <c r="N3995">
        <v>454</v>
      </c>
      <c r="O3995">
        <v>71</v>
      </c>
      <c r="P3995">
        <v>15</v>
      </c>
      <c r="Q3995">
        <v>50</v>
      </c>
      <c r="R3995">
        <v>128</v>
      </c>
      <c r="S3995">
        <v>1.4222222222222223</v>
      </c>
      <c r="T3995">
        <v>1.6666666666666667</v>
      </c>
      <c r="U3995">
        <v>1.6333333333333333</v>
      </c>
    </row>
    <row r="3996" spans="1:21" x14ac:dyDescent="0.35">
      <c r="A3996">
        <v>505</v>
      </c>
      <c r="B3996" s="16">
        <v>40848</v>
      </c>
      <c r="C3996" s="15" t="s">
        <v>70</v>
      </c>
      <c r="D3996" s="15" t="s">
        <v>58</v>
      </c>
      <c r="E3996" s="15" t="s">
        <v>51</v>
      </c>
      <c r="F3996" s="15" t="s">
        <v>52</v>
      </c>
      <c r="G3996" s="15" t="s">
        <v>73</v>
      </c>
      <c r="H3996" s="15" t="s">
        <v>45</v>
      </c>
      <c r="I3996">
        <v>10</v>
      </c>
      <c r="J3996">
        <v>20</v>
      </c>
      <c r="K3996">
        <v>10</v>
      </c>
      <c r="L3996">
        <v>30</v>
      </c>
      <c r="M3996">
        <v>15</v>
      </c>
      <c r="N3996">
        <v>848</v>
      </c>
      <c r="O3996">
        <v>24</v>
      </c>
      <c r="P3996">
        <v>4</v>
      </c>
      <c r="Q3996">
        <v>13</v>
      </c>
      <c r="R3996">
        <v>42</v>
      </c>
      <c r="S3996">
        <v>1.4</v>
      </c>
      <c r="T3996">
        <v>1.3</v>
      </c>
      <c r="U3996">
        <v>1.5</v>
      </c>
    </row>
    <row r="3997" spans="1:21" x14ac:dyDescent="0.35">
      <c r="A3997">
        <v>505</v>
      </c>
      <c r="B3997" s="16">
        <v>40848</v>
      </c>
      <c r="C3997" s="15" t="s">
        <v>70</v>
      </c>
      <c r="D3997" s="15" t="s">
        <v>58</v>
      </c>
      <c r="E3997" s="15" t="s">
        <v>53</v>
      </c>
      <c r="F3997" s="15" t="s">
        <v>52</v>
      </c>
      <c r="G3997" s="15" t="s">
        <v>73</v>
      </c>
      <c r="H3997" s="15" t="s">
        <v>45</v>
      </c>
      <c r="I3997">
        <v>20</v>
      </c>
      <c r="J3997">
        <v>30</v>
      </c>
      <c r="K3997">
        <v>10</v>
      </c>
      <c r="L3997">
        <v>50</v>
      </c>
      <c r="M3997">
        <v>29</v>
      </c>
      <c r="N3997">
        <v>1003</v>
      </c>
      <c r="O3997">
        <v>35</v>
      </c>
      <c r="P3997">
        <v>8</v>
      </c>
      <c r="Q3997">
        <v>7</v>
      </c>
      <c r="R3997">
        <v>68</v>
      </c>
      <c r="S3997">
        <v>1.36</v>
      </c>
      <c r="T3997">
        <v>0.7</v>
      </c>
      <c r="U3997">
        <v>1.45</v>
      </c>
    </row>
    <row r="3998" spans="1:21" x14ac:dyDescent="0.35">
      <c r="A3998">
        <v>505</v>
      </c>
      <c r="B3998" s="16">
        <v>40848</v>
      </c>
      <c r="C3998" s="15" t="s">
        <v>70</v>
      </c>
      <c r="D3998" s="15" t="s">
        <v>58</v>
      </c>
      <c r="E3998" s="15" t="s">
        <v>43</v>
      </c>
      <c r="F3998" s="15" t="s">
        <v>40</v>
      </c>
      <c r="G3998" s="15" t="s">
        <v>73</v>
      </c>
      <c r="H3998" s="15" t="s">
        <v>42</v>
      </c>
      <c r="I3998">
        <v>50</v>
      </c>
      <c r="J3998">
        <v>70</v>
      </c>
      <c r="K3998">
        <v>30</v>
      </c>
      <c r="L3998">
        <v>120</v>
      </c>
      <c r="M3998">
        <v>43</v>
      </c>
      <c r="N3998">
        <v>452</v>
      </c>
      <c r="O3998">
        <v>66</v>
      </c>
      <c r="P3998">
        <v>14</v>
      </c>
      <c r="Q3998">
        <v>30</v>
      </c>
      <c r="R3998">
        <v>116</v>
      </c>
      <c r="S3998">
        <v>0.96666666666666667</v>
      </c>
      <c r="T3998">
        <v>1</v>
      </c>
      <c r="U3998">
        <v>0.86</v>
      </c>
    </row>
    <row r="3999" spans="1:21" x14ac:dyDescent="0.35">
      <c r="A3999">
        <v>505</v>
      </c>
      <c r="B3999" s="16">
        <v>40848</v>
      </c>
      <c r="C3999" s="15" t="s">
        <v>70</v>
      </c>
      <c r="D3999" s="15" t="s">
        <v>58</v>
      </c>
      <c r="E3999" s="15" t="s">
        <v>44</v>
      </c>
      <c r="F3999" s="15" t="s">
        <v>40</v>
      </c>
      <c r="G3999" s="15" t="s">
        <v>73</v>
      </c>
      <c r="H3999" s="15" t="s">
        <v>45</v>
      </c>
      <c r="I3999">
        <v>90</v>
      </c>
      <c r="J3999">
        <v>50</v>
      </c>
      <c r="K3999">
        <v>10</v>
      </c>
      <c r="L3999">
        <v>140</v>
      </c>
      <c r="M3999">
        <v>82</v>
      </c>
      <c r="N3999">
        <v>1804</v>
      </c>
      <c r="O3999">
        <v>40</v>
      </c>
      <c r="P3999">
        <v>25</v>
      </c>
      <c r="Q3999">
        <v>-12</v>
      </c>
      <c r="R3999">
        <v>130</v>
      </c>
      <c r="S3999">
        <v>0.9285714285714286</v>
      </c>
      <c r="T3999">
        <v>-1.2</v>
      </c>
      <c r="U3999">
        <v>0.91111111111111109</v>
      </c>
    </row>
    <row r="4000" spans="1:21" x14ac:dyDescent="0.35">
      <c r="A4000">
        <v>505</v>
      </c>
      <c r="B4000" s="16">
        <v>40848</v>
      </c>
      <c r="C4000" s="15" t="s">
        <v>70</v>
      </c>
      <c r="D4000" s="15" t="s">
        <v>58</v>
      </c>
      <c r="E4000" s="15" t="s">
        <v>72</v>
      </c>
      <c r="F4000" s="15" t="s">
        <v>49</v>
      </c>
      <c r="G4000" s="15" t="s">
        <v>73</v>
      </c>
      <c r="H4000" s="15" t="s">
        <v>42</v>
      </c>
      <c r="I4000">
        <v>20</v>
      </c>
      <c r="J4000">
        <v>30</v>
      </c>
      <c r="K4000">
        <v>-10</v>
      </c>
      <c r="L4000">
        <v>50</v>
      </c>
      <c r="M4000">
        <v>34</v>
      </c>
      <c r="N4000">
        <v>-522</v>
      </c>
      <c r="O4000">
        <v>42</v>
      </c>
      <c r="P4000">
        <v>12</v>
      </c>
      <c r="Q4000">
        <v>-6</v>
      </c>
      <c r="R4000">
        <v>81</v>
      </c>
      <c r="S4000">
        <v>1.62</v>
      </c>
      <c r="T4000">
        <v>0.6</v>
      </c>
      <c r="U4000">
        <v>1.7</v>
      </c>
    </row>
    <row r="4001" spans="1:21" x14ac:dyDescent="0.35">
      <c r="A4001">
        <v>505</v>
      </c>
      <c r="B4001" s="16">
        <v>40848</v>
      </c>
      <c r="C4001" s="15" t="s">
        <v>70</v>
      </c>
      <c r="D4001" s="15" t="s">
        <v>58</v>
      </c>
      <c r="E4001" s="15" t="s">
        <v>48</v>
      </c>
      <c r="F4001" s="15" t="s">
        <v>49</v>
      </c>
      <c r="G4001" s="15" t="s">
        <v>73</v>
      </c>
      <c r="H4001" s="15" t="s">
        <v>42</v>
      </c>
      <c r="I4001">
        <v>30</v>
      </c>
      <c r="J4001">
        <v>50</v>
      </c>
      <c r="K4001">
        <v>0</v>
      </c>
      <c r="L4001">
        <v>80</v>
      </c>
      <c r="M4001">
        <v>44</v>
      </c>
      <c r="N4001">
        <v>325</v>
      </c>
      <c r="O4001">
        <v>62</v>
      </c>
      <c r="P4001">
        <v>40</v>
      </c>
      <c r="Q4001">
        <v>-10</v>
      </c>
      <c r="R4001">
        <v>113</v>
      </c>
      <c r="S4001">
        <v>1.4125000000000001</v>
      </c>
      <c r="U4001">
        <v>1.4666666666666666</v>
      </c>
    </row>
    <row r="4002" spans="1:21" x14ac:dyDescent="0.35">
      <c r="A4002">
        <v>505</v>
      </c>
      <c r="B4002" s="16">
        <v>40848</v>
      </c>
      <c r="C4002" s="15" t="s">
        <v>70</v>
      </c>
      <c r="D4002" s="15" t="s">
        <v>58</v>
      </c>
      <c r="E4002" s="15" t="s">
        <v>50</v>
      </c>
      <c r="F4002" s="15" t="s">
        <v>49</v>
      </c>
      <c r="G4002" s="15" t="s">
        <v>73</v>
      </c>
      <c r="H4002" s="15" t="s">
        <v>45</v>
      </c>
      <c r="I4002">
        <v>20</v>
      </c>
      <c r="J4002">
        <v>40</v>
      </c>
      <c r="K4002">
        <v>20</v>
      </c>
      <c r="L4002">
        <v>60</v>
      </c>
      <c r="M4002">
        <v>35</v>
      </c>
      <c r="N4002">
        <v>248</v>
      </c>
      <c r="O4002">
        <v>47</v>
      </c>
      <c r="P4002">
        <v>11</v>
      </c>
      <c r="Q4002">
        <v>12</v>
      </c>
      <c r="R4002">
        <v>87</v>
      </c>
      <c r="S4002">
        <v>1.45</v>
      </c>
      <c r="T4002">
        <v>0.6</v>
      </c>
      <c r="U4002">
        <v>1.75</v>
      </c>
    </row>
    <row r="4003" spans="1:21" x14ac:dyDescent="0.35">
      <c r="A4003">
        <v>580</v>
      </c>
      <c r="B4003" s="16">
        <v>40848</v>
      </c>
      <c r="C4003" s="15" t="s">
        <v>70</v>
      </c>
      <c r="D4003" s="15" t="s">
        <v>58</v>
      </c>
      <c r="E4003" s="15" t="s">
        <v>51</v>
      </c>
      <c r="F4003" s="15" t="s">
        <v>52</v>
      </c>
      <c r="G4003" s="15" t="s">
        <v>74</v>
      </c>
      <c r="H4003" s="15" t="s">
        <v>45</v>
      </c>
      <c r="I4003">
        <v>50</v>
      </c>
      <c r="J4003">
        <v>60</v>
      </c>
      <c r="K4003">
        <v>20</v>
      </c>
      <c r="L4003">
        <v>110</v>
      </c>
      <c r="M4003">
        <v>54</v>
      </c>
      <c r="N4003">
        <v>391</v>
      </c>
      <c r="O4003">
        <v>67</v>
      </c>
      <c r="P4003">
        <v>20</v>
      </c>
      <c r="Q4003">
        <v>19</v>
      </c>
      <c r="R4003">
        <v>129</v>
      </c>
      <c r="S4003">
        <v>1.1727272727272726</v>
      </c>
      <c r="T4003">
        <v>0.95</v>
      </c>
      <c r="U4003">
        <v>1.08</v>
      </c>
    </row>
    <row r="4004" spans="1:21" x14ac:dyDescent="0.35">
      <c r="A4004">
        <v>405</v>
      </c>
      <c r="B4004" s="16">
        <v>40848</v>
      </c>
      <c r="C4004" s="15" t="s">
        <v>70</v>
      </c>
      <c r="D4004" s="15" t="s">
        <v>58</v>
      </c>
      <c r="E4004" s="15" t="s">
        <v>53</v>
      </c>
      <c r="F4004" s="15" t="s">
        <v>52</v>
      </c>
      <c r="G4004" s="15" t="s">
        <v>74</v>
      </c>
      <c r="H4004" s="15" t="s">
        <v>45</v>
      </c>
      <c r="I4004">
        <v>80</v>
      </c>
      <c r="J4004">
        <v>120</v>
      </c>
      <c r="K4004">
        <v>20</v>
      </c>
      <c r="L4004">
        <v>200</v>
      </c>
      <c r="M4004">
        <v>94</v>
      </c>
      <c r="N4004">
        <v>694</v>
      </c>
      <c r="O4004">
        <v>130</v>
      </c>
      <c r="P4004">
        <v>85</v>
      </c>
      <c r="Q4004">
        <v>22</v>
      </c>
      <c r="R4004">
        <v>239</v>
      </c>
      <c r="S4004">
        <v>1.1950000000000001</v>
      </c>
      <c r="T4004">
        <v>1.1000000000000001</v>
      </c>
      <c r="U4004">
        <v>1.175</v>
      </c>
    </row>
    <row r="4005" spans="1:21" x14ac:dyDescent="0.35">
      <c r="A4005">
        <v>918</v>
      </c>
      <c r="B4005" s="16">
        <v>40848</v>
      </c>
      <c r="C4005" s="15" t="s">
        <v>70</v>
      </c>
      <c r="D4005" s="15" t="s">
        <v>58</v>
      </c>
      <c r="E4005" s="15" t="s">
        <v>43</v>
      </c>
      <c r="F4005" s="15" t="s">
        <v>40</v>
      </c>
      <c r="G4005" s="15" t="s">
        <v>74</v>
      </c>
      <c r="H4005" s="15" t="s">
        <v>42</v>
      </c>
      <c r="I4005">
        <v>100</v>
      </c>
      <c r="J4005">
        <v>130</v>
      </c>
      <c r="K4005">
        <v>90</v>
      </c>
      <c r="L4005">
        <v>230</v>
      </c>
      <c r="M4005">
        <v>88</v>
      </c>
      <c r="N4005">
        <v>561</v>
      </c>
      <c r="O4005">
        <v>112</v>
      </c>
      <c r="P4005">
        <v>29</v>
      </c>
      <c r="Q4005">
        <v>105</v>
      </c>
      <c r="R4005">
        <v>213</v>
      </c>
      <c r="S4005">
        <v>0.92608695652173911</v>
      </c>
      <c r="T4005">
        <v>1.1666666666666667</v>
      </c>
      <c r="U4005">
        <v>0.88</v>
      </c>
    </row>
    <row r="4006" spans="1:21" x14ac:dyDescent="0.35">
      <c r="A4006">
        <v>580</v>
      </c>
      <c r="B4006" s="16">
        <v>40848</v>
      </c>
      <c r="C4006" s="15" t="s">
        <v>70</v>
      </c>
      <c r="D4006" s="15" t="s">
        <v>58</v>
      </c>
      <c r="E4006" s="15" t="s">
        <v>44</v>
      </c>
      <c r="F4006" s="15" t="s">
        <v>40</v>
      </c>
      <c r="G4006" s="15" t="s">
        <v>74</v>
      </c>
      <c r="H4006" s="15" t="s">
        <v>45</v>
      </c>
      <c r="I4006">
        <v>40</v>
      </c>
      <c r="J4006">
        <v>60</v>
      </c>
      <c r="K4006">
        <v>40</v>
      </c>
      <c r="L4006">
        <v>100</v>
      </c>
      <c r="M4006">
        <v>36</v>
      </c>
      <c r="N4006">
        <v>862</v>
      </c>
      <c r="O4006">
        <v>52</v>
      </c>
      <c r="P4006">
        <v>10</v>
      </c>
      <c r="Q4006">
        <v>45</v>
      </c>
      <c r="R4006">
        <v>94</v>
      </c>
      <c r="S4006">
        <v>0.94</v>
      </c>
      <c r="T4006">
        <v>1.125</v>
      </c>
      <c r="U4006">
        <v>0.9</v>
      </c>
    </row>
    <row r="4007" spans="1:21" x14ac:dyDescent="0.35">
      <c r="A4007">
        <v>405</v>
      </c>
      <c r="B4007" s="16">
        <v>40848</v>
      </c>
      <c r="C4007" s="15" t="s">
        <v>70</v>
      </c>
      <c r="D4007" s="15" t="s">
        <v>58</v>
      </c>
      <c r="E4007" s="15" t="s">
        <v>72</v>
      </c>
      <c r="F4007" s="15" t="s">
        <v>49</v>
      </c>
      <c r="G4007" s="15" t="s">
        <v>74</v>
      </c>
      <c r="H4007" s="15" t="s">
        <v>42</v>
      </c>
      <c r="I4007">
        <v>80</v>
      </c>
      <c r="J4007">
        <v>100</v>
      </c>
      <c r="K4007">
        <v>60</v>
      </c>
      <c r="L4007">
        <v>180</v>
      </c>
      <c r="M4007">
        <v>102</v>
      </c>
      <c r="N4007">
        <v>-2003</v>
      </c>
      <c r="O4007">
        <v>143</v>
      </c>
      <c r="P4007">
        <v>31</v>
      </c>
      <c r="Q4007">
        <v>132</v>
      </c>
      <c r="R4007">
        <v>261</v>
      </c>
      <c r="S4007">
        <v>1.45</v>
      </c>
      <c r="T4007">
        <v>2.2000000000000002</v>
      </c>
      <c r="U4007">
        <v>1.2749999999999999</v>
      </c>
    </row>
    <row r="4008" spans="1:21" x14ac:dyDescent="0.35">
      <c r="A4008">
        <v>580</v>
      </c>
      <c r="B4008" s="16">
        <v>40848</v>
      </c>
      <c r="C4008" s="15" t="s">
        <v>70</v>
      </c>
      <c r="D4008" s="15" t="s">
        <v>58</v>
      </c>
      <c r="E4008" s="15" t="s">
        <v>48</v>
      </c>
      <c r="F4008" s="15" t="s">
        <v>49</v>
      </c>
      <c r="G4008" s="15" t="s">
        <v>74</v>
      </c>
      <c r="H4008" s="15" t="s">
        <v>42</v>
      </c>
      <c r="I4008">
        <v>20</v>
      </c>
      <c r="J4008">
        <v>40</v>
      </c>
      <c r="K4008">
        <v>30</v>
      </c>
      <c r="L4008">
        <v>60</v>
      </c>
      <c r="M4008">
        <v>32</v>
      </c>
      <c r="N4008">
        <v>482</v>
      </c>
      <c r="O4008">
        <v>48</v>
      </c>
      <c r="P4008">
        <v>8</v>
      </c>
      <c r="Q4008">
        <v>43</v>
      </c>
      <c r="R4008">
        <v>85</v>
      </c>
      <c r="S4008">
        <v>1.4166666666666667</v>
      </c>
      <c r="T4008">
        <v>1.4333333333333333</v>
      </c>
      <c r="U4008">
        <v>1.6</v>
      </c>
    </row>
    <row r="4009" spans="1:21" x14ac:dyDescent="0.35">
      <c r="A4009">
        <v>580</v>
      </c>
      <c r="B4009" s="16">
        <v>40848</v>
      </c>
      <c r="C4009" s="15" t="s">
        <v>70</v>
      </c>
      <c r="D4009" s="15" t="s">
        <v>58</v>
      </c>
      <c r="E4009" s="15" t="s">
        <v>50</v>
      </c>
      <c r="F4009" s="15" t="s">
        <v>49</v>
      </c>
      <c r="G4009" s="15" t="s">
        <v>74</v>
      </c>
      <c r="H4009" s="15" t="s">
        <v>45</v>
      </c>
      <c r="I4009">
        <v>60</v>
      </c>
      <c r="J4009">
        <v>90</v>
      </c>
      <c r="K4009">
        <v>40</v>
      </c>
      <c r="L4009">
        <v>150</v>
      </c>
      <c r="M4009">
        <v>78</v>
      </c>
      <c r="N4009">
        <v>798</v>
      </c>
      <c r="O4009">
        <v>119</v>
      </c>
      <c r="P4009">
        <v>25</v>
      </c>
      <c r="Q4009">
        <v>92</v>
      </c>
      <c r="R4009">
        <v>210</v>
      </c>
      <c r="S4009">
        <v>1.4</v>
      </c>
      <c r="T4009">
        <v>2.2999999999999998</v>
      </c>
      <c r="U4009">
        <v>1.3</v>
      </c>
    </row>
    <row r="4010" spans="1:21" x14ac:dyDescent="0.35">
      <c r="A4010">
        <v>936</v>
      </c>
      <c r="B4010" s="16">
        <v>40848</v>
      </c>
      <c r="C4010" s="15" t="s">
        <v>70</v>
      </c>
      <c r="D4010" s="15" t="s">
        <v>38</v>
      </c>
      <c r="E4010" s="15" t="s">
        <v>51</v>
      </c>
      <c r="F4010" s="15" t="s">
        <v>52</v>
      </c>
      <c r="G4010" s="15" t="s">
        <v>75</v>
      </c>
      <c r="H4010" s="15" t="s">
        <v>45</v>
      </c>
      <c r="I4010">
        <v>50</v>
      </c>
      <c r="J4010">
        <v>70</v>
      </c>
      <c r="K4010">
        <v>40</v>
      </c>
      <c r="L4010">
        <v>120</v>
      </c>
      <c r="M4010">
        <v>59</v>
      </c>
      <c r="N4010">
        <v>411</v>
      </c>
      <c r="O4010">
        <v>79</v>
      </c>
      <c r="P4010">
        <v>19</v>
      </c>
      <c r="Q4010">
        <v>47</v>
      </c>
      <c r="R4010">
        <v>147</v>
      </c>
      <c r="S4010">
        <v>1.2250000000000001</v>
      </c>
      <c r="T4010">
        <v>1.175</v>
      </c>
      <c r="U4010">
        <v>1.18</v>
      </c>
    </row>
    <row r="4011" spans="1:21" x14ac:dyDescent="0.35">
      <c r="A4011">
        <v>806</v>
      </c>
      <c r="B4011" s="16">
        <v>40848</v>
      </c>
      <c r="C4011" s="15" t="s">
        <v>70</v>
      </c>
      <c r="D4011" s="15" t="s">
        <v>38</v>
      </c>
      <c r="E4011" s="15" t="s">
        <v>53</v>
      </c>
      <c r="F4011" s="15" t="s">
        <v>52</v>
      </c>
      <c r="G4011" s="15" t="s">
        <v>75</v>
      </c>
      <c r="H4011" s="15" t="s">
        <v>45</v>
      </c>
      <c r="I4011">
        <v>40</v>
      </c>
      <c r="J4011">
        <v>60</v>
      </c>
      <c r="K4011">
        <v>30</v>
      </c>
      <c r="L4011">
        <v>100</v>
      </c>
      <c r="M4011">
        <v>46</v>
      </c>
      <c r="N4011">
        <v>424</v>
      </c>
      <c r="O4011">
        <v>68</v>
      </c>
      <c r="P4011">
        <v>14</v>
      </c>
      <c r="Q4011">
        <v>46</v>
      </c>
      <c r="R4011">
        <v>121</v>
      </c>
      <c r="S4011">
        <v>1.21</v>
      </c>
      <c r="T4011">
        <v>1.5333333333333334</v>
      </c>
      <c r="U4011">
        <v>1.1499999999999999</v>
      </c>
    </row>
    <row r="4012" spans="1:21" x14ac:dyDescent="0.35">
      <c r="A4012">
        <v>432</v>
      </c>
      <c r="B4012" s="16">
        <v>40848</v>
      </c>
      <c r="C4012" s="15" t="s">
        <v>70</v>
      </c>
      <c r="D4012" s="15" t="s">
        <v>38</v>
      </c>
      <c r="E4012" s="15" t="s">
        <v>43</v>
      </c>
      <c r="F4012" s="15" t="s">
        <v>40</v>
      </c>
      <c r="G4012" s="15" t="s">
        <v>75</v>
      </c>
      <c r="H4012" s="15" t="s">
        <v>42</v>
      </c>
      <c r="I4012">
        <v>260</v>
      </c>
      <c r="J4012">
        <v>320</v>
      </c>
      <c r="K4012">
        <v>230</v>
      </c>
      <c r="L4012">
        <v>580</v>
      </c>
      <c r="M4012">
        <v>225</v>
      </c>
      <c r="N4012">
        <v>1272</v>
      </c>
      <c r="O4012">
        <v>265</v>
      </c>
      <c r="P4012">
        <v>69</v>
      </c>
      <c r="Q4012">
        <v>258</v>
      </c>
      <c r="R4012">
        <v>522</v>
      </c>
      <c r="S4012">
        <v>0.9</v>
      </c>
      <c r="T4012">
        <v>1.1217391304347826</v>
      </c>
      <c r="U4012">
        <v>0.86538461538461542</v>
      </c>
    </row>
    <row r="4013" spans="1:21" x14ac:dyDescent="0.35">
      <c r="A4013">
        <v>936</v>
      </c>
      <c r="B4013" s="16">
        <v>40848</v>
      </c>
      <c r="C4013" s="15" t="s">
        <v>70</v>
      </c>
      <c r="D4013" s="15" t="s">
        <v>38</v>
      </c>
      <c r="E4013" s="15" t="s">
        <v>44</v>
      </c>
      <c r="F4013" s="15" t="s">
        <v>40</v>
      </c>
      <c r="G4013" s="15" t="s">
        <v>75</v>
      </c>
      <c r="H4013" s="15" t="s">
        <v>45</v>
      </c>
      <c r="I4013">
        <v>40</v>
      </c>
      <c r="J4013">
        <v>60</v>
      </c>
      <c r="K4013">
        <v>40</v>
      </c>
      <c r="L4013">
        <v>100</v>
      </c>
      <c r="M4013">
        <v>40</v>
      </c>
      <c r="N4013">
        <v>536</v>
      </c>
      <c r="O4013">
        <v>52</v>
      </c>
      <c r="P4013">
        <v>13</v>
      </c>
      <c r="Q4013">
        <v>39</v>
      </c>
      <c r="R4013">
        <v>98</v>
      </c>
      <c r="S4013">
        <v>0.98</v>
      </c>
      <c r="T4013">
        <v>0.97499999999999998</v>
      </c>
      <c r="U4013">
        <v>1</v>
      </c>
    </row>
    <row r="4014" spans="1:21" x14ac:dyDescent="0.35">
      <c r="A4014">
        <v>806</v>
      </c>
      <c r="B4014" s="16">
        <v>40848</v>
      </c>
      <c r="C4014" s="15" t="s">
        <v>70</v>
      </c>
      <c r="D4014" s="15" t="s">
        <v>38</v>
      </c>
      <c r="E4014" s="15" t="s">
        <v>72</v>
      </c>
      <c r="F4014" s="15" t="s">
        <v>49</v>
      </c>
      <c r="G4014" s="15" t="s">
        <v>75</v>
      </c>
      <c r="H4014" s="15" t="s">
        <v>42</v>
      </c>
      <c r="I4014">
        <v>50</v>
      </c>
      <c r="J4014">
        <v>90</v>
      </c>
      <c r="K4014">
        <v>40</v>
      </c>
      <c r="L4014">
        <v>140</v>
      </c>
      <c r="M4014">
        <v>75</v>
      </c>
      <c r="N4014">
        <v>-1050</v>
      </c>
      <c r="O4014">
        <v>114</v>
      </c>
      <c r="P4014">
        <v>24</v>
      </c>
      <c r="Q4014">
        <v>88</v>
      </c>
      <c r="R4014">
        <v>201</v>
      </c>
      <c r="S4014">
        <v>1.4357142857142857</v>
      </c>
      <c r="T4014">
        <v>2.2000000000000002</v>
      </c>
      <c r="U4014">
        <v>1.5</v>
      </c>
    </row>
    <row r="4015" spans="1:21" x14ac:dyDescent="0.35">
      <c r="A4015">
        <v>915</v>
      </c>
      <c r="B4015" s="16">
        <v>40848</v>
      </c>
      <c r="C4015" s="15" t="s">
        <v>70</v>
      </c>
      <c r="D4015" s="15" t="s">
        <v>38</v>
      </c>
      <c r="E4015" s="15" t="s">
        <v>48</v>
      </c>
      <c r="F4015" s="15" t="s">
        <v>49</v>
      </c>
      <c r="G4015" s="15" t="s">
        <v>75</v>
      </c>
      <c r="H4015" s="15" t="s">
        <v>42</v>
      </c>
      <c r="I4015">
        <v>90</v>
      </c>
      <c r="J4015">
        <v>130</v>
      </c>
      <c r="K4015">
        <v>100</v>
      </c>
      <c r="L4015">
        <v>220</v>
      </c>
      <c r="M4015">
        <v>118</v>
      </c>
      <c r="N4015">
        <v>930</v>
      </c>
      <c r="O4015">
        <v>172</v>
      </c>
      <c r="P4015">
        <v>33</v>
      </c>
      <c r="Q4015">
        <v>188</v>
      </c>
      <c r="R4015">
        <v>309</v>
      </c>
      <c r="S4015">
        <v>1.4045454545454545</v>
      </c>
      <c r="T4015">
        <v>1.88</v>
      </c>
      <c r="U4015">
        <v>1.3111111111111111</v>
      </c>
    </row>
    <row r="4016" spans="1:21" x14ac:dyDescent="0.35">
      <c r="A4016">
        <v>254</v>
      </c>
      <c r="B4016" s="16">
        <v>40848</v>
      </c>
      <c r="C4016" s="15" t="s">
        <v>70</v>
      </c>
      <c r="D4016" s="15" t="s">
        <v>38</v>
      </c>
      <c r="E4016" s="15" t="s">
        <v>50</v>
      </c>
      <c r="F4016" s="15" t="s">
        <v>49</v>
      </c>
      <c r="G4016" s="15" t="s">
        <v>75</v>
      </c>
      <c r="H4016" s="15" t="s">
        <v>45</v>
      </c>
      <c r="I4016">
        <v>30</v>
      </c>
      <c r="J4016">
        <v>60</v>
      </c>
      <c r="K4016">
        <v>40</v>
      </c>
      <c r="L4016">
        <v>90</v>
      </c>
      <c r="M4016">
        <v>50</v>
      </c>
      <c r="N4016">
        <v>589</v>
      </c>
      <c r="O4016">
        <v>73</v>
      </c>
      <c r="P4016">
        <v>14</v>
      </c>
      <c r="Q4016">
        <v>71</v>
      </c>
      <c r="R4016">
        <v>131</v>
      </c>
      <c r="S4016">
        <v>1.4555555555555555</v>
      </c>
      <c r="T4016">
        <v>1.7749999999999999</v>
      </c>
      <c r="U4016">
        <v>1.6666666666666667</v>
      </c>
    </row>
    <row r="4017" spans="1:21" x14ac:dyDescent="0.35">
      <c r="A4017">
        <v>435</v>
      </c>
      <c r="B4017" s="16">
        <v>40848</v>
      </c>
      <c r="C4017" s="15" t="s">
        <v>76</v>
      </c>
      <c r="D4017" s="15" t="s">
        <v>58</v>
      </c>
      <c r="E4017" s="15" t="s">
        <v>55</v>
      </c>
      <c r="F4017" s="15" t="s">
        <v>47</v>
      </c>
      <c r="G4017" s="15" t="s">
        <v>77</v>
      </c>
      <c r="H4017" s="15" t="s">
        <v>42</v>
      </c>
      <c r="I4017">
        <v>30</v>
      </c>
      <c r="J4017">
        <v>40</v>
      </c>
      <c r="K4017">
        <v>-10</v>
      </c>
      <c r="L4017">
        <v>70</v>
      </c>
      <c r="M4017">
        <v>44</v>
      </c>
      <c r="N4017">
        <v>325</v>
      </c>
      <c r="O4017">
        <v>62</v>
      </c>
      <c r="P4017">
        <v>40</v>
      </c>
      <c r="Q4017">
        <v>-10</v>
      </c>
      <c r="R4017">
        <v>113</v>
      </c>
      <c r="S4017">
        <v>1.6142857142857143</v>
      </c>
      <c r="T4017">
        <v>1</v>
      </c>
      <c r="U4017">
        <v>1.4666666666666666</v>
      </c>
    </row>
    <row r="4018" spans="1:21" x14ac:dyDescent="0.35">
      <c r="A4018">
        <v>435</v>
      </c>
      <c r="B4018" s="16">
        <v>40848</v>
      </c>
      <c r="C4018" s="15" t="s">
        <v>76</v>
      </c>
      <c r="D4018" s="15" t="s">
        <v>58</v>
      </c>
      <c r="E4018" s="15" t="s">
        <v>56</v>
      </c>
      <c r="F4018" s="15" t="s">
        <v>47</v>
      </c>
      <c r="G4018" s="15" t="s">
        <v>77</v>
      </c>
      <c r="H4018" s="15" t="s">
        <v>42</v>
      </c>
      <c r="I4018">
        <v>20</v>
      </c>
      <c r="J4018">
        <v>30</v>
      </c>
      <c r="K4018">
        <v>10</v>
      </c>
      <c r="L4018">
        <v>50</v>
      </c>
      <c r="M4018">
        <v>35</v>
      </c>
      <c r="N4018">
        <v>248</v>
      </c>
      <c r="O4018">
        <v>47</v>
      </c>
      <c r="P4018">
        <v>11</v>
      </c>
      <c r="Q4018">
        <v>13</v>
      </c>
      <c r="R4018">
        <v>87</v>
      </c>
      <c r="S4018">
        <v>1.74</v>
      </c>
      <c r="T4018">
        <v>1.3</v>
      </c>
      <c r="U4018">
        <v>1.75</v>
      </c>
    </row>
    <row r="4019" spans="1:21" x14ac:dyDescent="0.35">
      <c r="A4019">
        <v>435</v>
      </c>
      <c r="B4019" s="16">
        <v>40848</v>
      </c>
      <c r="C4019" s="15" t="s">
        <v>76</v>
      </c>
      <c r="D4019" s="15" t="s">
        <v>58</v>
      </c>
      <c r="E4019" s="15" t="s">
        <v>46</v>
      </c>
      <c r="F4019" s="15" t="s">
        <v>47</v>
      </c>
      <c r="G4019" s="15" t="s">
        <v>77</v>
      </c>
      <c r="H4019" s="15" t="s">
        <v>42</v>
      </c>
      <c r="I4019">
        <v>20</v>
      </c>
      <c r="J4019">
        <v>30</v>
      </c>
      <c r="K4019">
        <v>0</v>
      </c>
      <c r="L4019">
        <v>50</v>
      </c>
      <c r="M4019">
        <v>34</v>
      </c>
      <c r="N4019">
        <v>211</v>
      </c>
      <c r="O4019">
        <v>42</v>
      </c>
      <c r="P4019">
        <v>12</v>
      </c>
      <c r="Q4019">
        <v>-4</v>
      </c>
      <c r="R4019">
        <v>81</v>
      </c>
      <c r="S4019">
        <v>1.62</v>
      </c>
      <c r="U4019">
        <v>1.7</v>
      </c>
    </row>
    <row r="4020" spans="1:21" x14ac:dyDescent="0.35">
      <c r="A4020">
        <v>435</v>
      </c>
      <c r="B4020" s="16">
        <v>40848</v>
      </c>
      <c r="C4020" s="15" t="s">
        <v>76</v>
      </c>
      <c r="D4020" s="15" t="s">
        <v>58</v>
      </c>
      <c r="E4020" s="15" t="s">
        <v>51</v>
      </c>
      <c r="F4020" s="15" t="s">
        <v>52</v>
      </c>
      <c r="G4020" s="15" t="s">
        <v>77</v>
      </c>
      <c r="H4020" s="15" t="s">
        <v>45</v>
      </c>
      <c r="I4020">
        <v>40</v>
      </c>
      <c r="J4020">
        <v>60</v>
      </c>
      <c r="K4020">
        <v>30</v>
      </c>
      <c r="L4020">
        <v>100</v>
      </c>
      <c r="M4020">
        <v>46</v>
      </c>
      <c r="N4020">
        <v>316</v>
      </c>
      <c r="O4020">
        <v>67</v>
      </c>
      <c r="P4020">
        <v>14</v>
      </c>
      <c r="Q4020">
        <v>45</v>
      </c>
      <c r="R4020">
        <v>120</v>
      </c>
      <c r="S4020">
        <v>1.2</v>
      </c>
      <c r="T4020">
        <v>1.5</v>
      </c>
      <c r="U4020">
        <v>1.1499999999999999</v>
      </c>
    </row>
    <row r="4021" spans="1:21" x14ac:dyDescent="0.35">
      <c r="A4021">
        <v>435</v>
      </c>
      <c r="B4021" s="16">
        <v>40848</v>
      </c>
      <c r="C4021" s="15" t="s">
        <v>76</v>
      </c>
      <c r="D4021" s="15" t="s">
        <v>58</v>
      </c>
      <c r="E4021" s="15" t="s">
        <v>53</v>
      </c>
      <c r="F4021" s="15" t="s">
        <v>52</v>
      </c>
      <c r="G4021" s="15" t="s">
        <v>77</v>
      </c>
      <c r="H4021" s="15" t="s">
        <v>45</v>
      </c>
      <c r="I4021">
        <v>40</v>
      </c>
      <c r="J4021">
        <v>60</v>
      </c>
      <c r="K4021">
        <v>30</v>
      </c>
      <c r="L4021">
        <v>100</v>
      </c>
      <c r="M4021">
        <v>43</v>
      </c>
      <c r="N4021">
        <v>452</v>
      </c>
      <c r="O4021">
        <v>66</v>
      </c>
      <c r="P4021">
        <v>14</v>
      </c>
      <c r="Q4021">
        <v>30</v>
      </c>
      <c r="R4021">
        <v>116</v>
      </c>
      <c r="S4021">
        <v>1.1599999999999999</v>
      </c>
      <c r="T4021">
        <v>1</v>
      </c>
      <c r="U4021">
        <v>1.075</v>
      </c>
    </row>
    <row r="4022" spans="1:21" x14ac:dyDescent="0.35">
      <c r="A4022">
        <v>435</v>
      </c>
      <c r="B4022" s="16">
        <v>40848</v>
      </c>
      <c r="C4022" s="15" t="s">
        <v>76</v>
      </c>
      <c r="D4022" s="15" t="s">
        <v>58</v>
      </c>
      <c r="E4022" s="15" t="s">
        <v>54</v>
      </c>
      <c r="F4022" s="15" t="s">
        <v>52</v>
      </c>
      <c r="G4022" s="15" t="s">
        <v>77</v>
      </c>
      <c r="H4022" s="15" t="s">
        <v>45</v>
      </c>
      <c r="I4022">
        <v>70</v>
      </c>
      <c r="J4022">
        <v>40</v>
      </c>
      <c r="K4022">
        <v>0</v>
      </c>
      <c r="L4022">
        <v>110</v>
      </c>
      <c r="M4022">
        <v>82</v>
      </c>
      <c r="N4022">
        <v>1804</v>
      </c>
      <c r="O4022">
        <v>40</v>
      </c>
      <c r="P4022">
        <v>25</v>
      </c>
      <c r="Q4022">
        <v>-12</v>
      </c>
      <c r="R4022">
        <v>130</v>
      </c>
      <c r="S4022">
        <v>1.1818181818181819</v>
      </c>
      <c r="U4022">
        <v>1.1714285714285715</v>
      </c>
    </row>
    <row r="4023" spans="1:21" x14ac:dyDescent="0.35">
      <c r="A4023">
        <v>801</v>
      </c>
      <c r="B4023" s="16">
        <v>40848</v>
      </c>
      <c r="C4023" s="15" t="s">
        <v>76</v>
      </c>
      <c r="D4023" s="15" t="s">
        <v>58</v>
      </c>
      <c r="E4023" s="15" t="s">
        <v>48</v>
      </c>
      <c r="F4023" s="15" t="s">
        <v>49</v>
      </c>
      <c r="G4023" s="15" t="s">
        <v>77</v>
      </c>
      <c r="H4023" s="15" t="s">
        <v>42</v>
      </c>
      <c r="I4023">
        <v>90</v>
      </c>
      <c r="J4023">
        <v>130</v>
      </c>
      <c r="K4023">
        <v>90</v>
      </c>
      <c r="L4023">
        <v>220</v>
      </c>
      <c r="M4023">
        <v>101</v>
      </c>
      <c r="N4023">
        <v>552</v>
      </c>
      <c r="O4023">
        <v>130</v>
      </c>
      <c r="P4023">
        <v>33</v>
      </c>
      <c r="Q4023">
        <v>126</v>
      </c>
      <c r="R4023">
        <v>246</v>
      </c>
      <c r="S4023">
        <v>1.1181818181818182</v>
      </c>
      <c r="T4023">
        <v>1.4</v>
      </c>
      <c r="U4023">
        <v>1.1222222222222222</v>
      </c>
    </row>
    <row r="4024" spans="1:21" x14ac:dyDescent="0.35">
      <c r="A4024">
        <v>435</v>
      </c>
      <c r="B4024" s="16">
        <v>40848</v>
      </c>
      <c r="C4024" s="15" t="s">
        <v>76</v>
      </c>
      <c r="D4024" s="15" t="s">
        <v>58</v>
      </c>
      <c r="E4024" s="15" t="s">
        <v>50</v>
      </c>
      <c r="F4024" s="15" t="s">
        <v>49</v>
      </c>
      <c r="G4024" s="15" t="s">
        <v>77</v>
      </c>
      <c r="H4024" s="15" t="s">
        <v>45</v>
      </c>
      <c r="I4024">
        <v>50</v>
      </c>
      <c r="J4024">
        <v>70</v>
      </c>
      <c r="K4024">
        <v>50</v>
      </c>
      <c r="L4024">
        <v>120</v>
      </c>
      <c r="M4024">
        <v>54</v>
      </c>
      <c r="N4024">
        <v>885</v>
      </c>
      <c r="O4024">
        <v>78</v>
      </c>
      <c r="P4024">
        <v>15</v>
      </c>
      <c r="Q4024">
        <v>77</v>
      </c>
      <c r="R4024">
        <v>141</v>
      </c>
      <c r="S4024">
        <v>1.175</v>
      </c>
      <c r="T4024">
        <v>1.54</v>
      </c>
      <c r="U4024">
        <v>1.08</v>
      </c>
    </row>
    <row r="4025" spans="1:21" x14ac:dyDescent="0.35">
      <c r="A4025">
        <v>435</v>
      </c>
      <c r="B4025" s="16">
        <v>40848</v>
      </c>
      <c r="C4025" s="15" t="s">
        <v>76</v>
      </c>
      <c r="D4025" s="15" t="s">
        <v>58</v>
      </c>
      <c r="E4025" s="15" t="s">
        <v>39</v>
      </c>
      <c r="F4025" s="15" t="s">
        <v>40</v>
      </c>
      <c r="G4025" s="15" t="s">
        <v>77</v>
      </c>
      <c r="H4025" s="15" t="s">
        <v>42</v>
      </c>
      <c r="I4025">
        <v>80</v>
      </c>
      <c r="J4025">
        <v>90</v>
      </c>
      <c r="K4025">
        <v>50</v>
      </c>
      <c r="L4025">
        <v>170</v>
      </c>
      <c r="M4025">
        <v>69</v>
      </c>
      <c r="N4025">
        <v>1060</v>
      </c>
      <c r="O4025">
        <v>81</v>
      </c>
      <c r="P4025">
        <v>21</v>
      </c>
      <c r="Q4025">
        <v>58</v>
      </c>
      <c r="R4025">
        <v>160</v>
      </c>
      <c r="S4025">
        <v>0.94117647058823528</v>
      </c>
      <c r="T4025">
        <v>1.1599999999999999</v>
      </c>
      <c r="U4025">
        <v>0.86250000000000004</v>
      </c>
    </row>
    <row r="4026" spans="1:21" x14ac:dyDescent="0.35">
      <c r="A4026">
        <v>435</v>
      </c>
      <c r="B4026" s="16">
        <v>40848</v>
      </c>
      <c r="C4026" s="15" t="s">
        <v>76</v>
      </c>
      <c r="D4026" s="15" t="s">
        <v>58</v>
      </c>
      <c r="E4026" s="15" t="s">
        <v>43</v>
      </c>
      <c r="F4026" s="15" t="s">
        <v>40</v>
      </c>
      <c r="G4026" s="15" t="s">
        <v>77</v>
      </c>
      <c r="H4026" s="15" t="s">
        <v>42</v>
      </c>
      <c r="I4026">
        <v>60</v>
      </c>
      <c r="J4026">
        <v>80</v>
      </c>
      <c r="K4026">
        <v>50</v>
      </c>
      <c r="L4026">
        <v>140</v>
      </c>
      <c r="M4026">
        <v>53</v>
      </c>
      <c r="N4026">
        <v>380</v>
      </c>
      <c r="O4026">
        <v>71</v>
      </c>
      <c r="P4026">
        <v>17</v>
      </c>
      <c r="Q4026">
        <v>40</v>
      </c>
      <c r="R4026">
        <v>132</v>
      </c>
      <c r="S4026">
        <v>0.94285714285714284</v>
      </c>
      <c r="T4026">
        <v>0.8</v>
      </c>
      <c r="U4026">
        <v>0.8833333333333333</v>
      </c>
    </row>
    <row r="4027" spans="1:21" x14ac:dyDescent="0.35">
      <c r="A4027">
        <v>435</v>
      </c>
      <c r="B4027" s="16">
        <v>40848</v>
      </c>
      <c r="C4027" s="15" t="s">
        <v>76</v>
      </c>
      <c r="D4027" s="15" t="s">
        <v>58</v>
      </c>
      <c r="E4027" s="15" t="s">
        <v>44</v>
      </c>
      <c r="F4027" s="15" t="s">
        <v>40</v>
      </c>
      <c r="G4027" s="15" t="s">
        <v>77</v>
      </c>
      <c r="H4027" s="15" t="s">
        <v>45</v>
      </c>
      <c r="I4027">
        <v>90</v>
      </c>
      <c r="J4027">
        <v>120</v>
      </c>
      <c r="K4027">
        <v>60</v>
      </c>
      <c r="L4027">
        <v>210</v>
      </c>
      <c r="M4027">
        <v>82</v>
      </c>
      <c r="N4027">
        <v>601</v>
      </c>
      <c r="O4027">
        <v>102</v>
      </c>
      <c r="P4027">
        <v>31</v>
      </c>
      <c r="Q4027">
        <v>56</v>
      </c>
      <c r="R4027">
        <v>196</v>
      </c>
      <c r="S4027">
        <v>0.93333333333333335</v>
      </c>
      <c r="T4027">
        <v>0.93333333333333335</v>
      </c>
      <c r="U4027">
        <v>0.91111111111111109</v>
      </c>
    </row>
    <row r="4028" spans="1:21" x14ac:dyDescent="0.35">
      <c r="A4028">
        <v>435</v>
      </c>
      <c r="B4028" s="16">
        <v>40848</v>
      </c>
      <c r="C4028" s="15" t="s">
        <v>76</v>
      </c>
      <c r="D4028" s="15" t="s">
        <v>58</v>
      </c>
      <c r="E4028" s="15" t="s">
        <v>72</v>
      </c>
      <c r="F4028" s="15" t="s">
        <v>49</v>
      </c>
      <c r="G4028" s="15" t="s">
        <v>77</v>
      </c>
      <c r="H4028" s="15" t="s">
        <v>42</v>
      </c>
      <c r="I4028">
        <v>30</v>
      </c>
      <c r="J4028">
        <v>40</v>
      </c>
      <c r="K4028">
        <v>30</v>
      </c>
      <c r="L4028">
        <v>70</v>
      </c>
      <c r="M4028">
        <v>33</v>
      </c>
      <c r="N4028">
        <v>836</v>
      </c>
      <c r="O4028">
        <v>48</v>
      </c>
      <c r="P4028">
        <v>9</v>
      </c>
      <c r="Q4028">
        <v>40</v>
      </c>
      <c r="R4028">
        <v>86</v>
      </c>
      <c r="S4028">
        <v>1.2285714285714286</v>
      </c>
      <c r="T4028">
        <v>1.3333333333333333</v>
      </c>
      <c r="U4028">
        <v>1.1000000000000001</v>
      </c>
    </row>
    <row r="4029" spans="1:21" x14ac:dyDescent="0.35">
      <c r="A4029">
        <v>805</v>
      </c>
      <c r="B4029" s="16">
        <v>40848</v>
      </c>
      <c r="C4029" s="15" t="s">
        <v>76</v>
      </c>
      <c r="D4029" s="15" t="s">
        <v>38</v>
      </c>
      <c r="E4029" s="15" t="s">
        <v>55</v>
      </c>
      <c r="F4029" s="15" t="s">
        <v>47</v>
      </c>
      <c r="G4029" s="15" t="s">
        <v>78</v>
      </c>
      <c r="H4029" s="15" t="s">
        <v>42</v>
      </c>
      <c r="I4029">
        <v>80</v>
      </c>
      <c r="J4029">
        <v>130</v>
      </c>
      <c r="K4029">
        <v>110</v>
      </c>
      <c r="L4029">
        <v>210</v>
      </c>
      <c r="M4029">
        <v>118</v>
      </c>
      <c r="N4029">
        <v>930</v>
      </c>
      <c r="O4029">
        <v>172</v>
      </c>
      <c r="P4029">
        <v>33</v>
      </c>
      <c r="Q4029">
        <v>190</v>
      </c>
      <c r="R4029">
        <v>309</v>
      </c>
      <c r="S4029">
        <v>1.4714285714285715</v>
      </c>
      <c r="T4029">
        <v>1.7272727272727273</v>
      </c>
      <c r="U4029">
        <v>1.4750000000000001</v>
      </c>
    </row>
    <row r="4030" spans="1:21" x14ac:dyDescent="0.35">
      <c r="A4030">
        <v>760</v>
      </c>
      <c r="B4030" s="16">
        <v>40848</v>
      </c>
      <c r="C4030" s="15" t="s">
        <v>76</v>
      </c>
      <c r="D4030" s="15" t="s">
        <v>38</v>
      </c>
      <c r="E4030" s="15" t="s">
        <v>56</v>
      </c>
      <c r="F4030" s="15" t="s">
        <v>47</v>
      </c>
      <c r="G4030" s="15" t="s">
        <v>78</v>
      </c>
      <c r="H4030" s="15" t="s">
        <v>42</v>
      </c>
      <c r="I4030">
        <v>30</v>
      </c>
      <c r="J4030">
        <v>50</v>
      </c>
      <c r="K4030">
        <v>40</v>
      </c>
      <c r="L4030">
        <v>80</v>
      </c>
      <c r="M4030">
        <v>50</v>
      </c>
      <c r="N4030">
        <v>589</v>
      </c>
      <c r="O4030">
        <v>73</v>
      </c>
      <c r="P4030">
        <v>14</v>
      </c>
      <c r="Q4030">
        <v>70</v>
      </c>
      <c r="R4030">
        <v>131</v>
      </c>
      <c r="S4030">
        <v>1.6375</v>
      </c>
      <c r="T4030">
        <v>1.75</v>
      </c>
      <c r="U4030">
        <v>1.6666666666666667</v>
      </c>
    </row>
    <row r="4031" spans="1:21" x14ac:dyDescent="0.35">
      <c r="A4031">
        <v>209</v>
      </c>
      <c r="B4031" s="16">
        <v>40848</v>
      </c>
      <c r="C4031" s="15" t="s">
        <v>76</v>
      </c>
      <c r="D4031" s="15" t="s">
        <v>38</v>
      </c>
      <c r="E4031" s="15" t="s">
        <v>46</v>
      </c>
      <c r="F4031" s="15" t="s">
        <v>47</v>
      </c>
      <c r="G4031" s="15" t="s">
        <v>78</v>
      </c>
      <c r="H4031" s="15" t="s">
        <v>42</v>
      </c>
      <c r="I4031">
        <v>50</v>
      </c>
      <c r="J4031">
        <v>80</v>
      </c>
      <c r="K4031">
        <v>40</v>
      </c>
      <c r="L4031">
        <v>130</v>
      </c>
      <c r="M4031">
        <v>75</v>
      </c>
      <c r="N4031">
        <v>659</v>
      </c>
      <c r="O4031">
        <v>114</v>
      </c>
      <c r="P4031">
        <v>24</v>
      </c>
      <c r="Q4031">
        <v>88</v>
      </c>
      <c r="R4031">
        <v>201</v>
      </c>
      <c r="S4031">
        <v>1.5461538461538462</v>
      </c>
      <c r="T4031">
        <v>2.2000000000000002</v>
      </c>
      <c r="U4031">
        <v>1.5</v>
      </c>
    </row>
    <row r="4032" spans="1:21" x14ac:dyDescent="0.35">
      <c r="A4032">
        <v>760</v>
      </c>
      <c r="B4032" s="16">
        <v>40848</v>
      </c>
      <c r="C4032" s="15" t="s">
        <v>76</v>
      </c>
      <c r="D4032" s="15" t="s">
        <v>38</v>
      </c>
      <c r="E4032" s="15" t="s">
        <v>51</v>
      </c>
      <c r="F4032" s="15" t="s">
        <v>52</v>
      </c>
      <c r="G4032" s="15" t="s">
        <v>78</v>
      </c>
      <c r="H4032" s="15" t="s">
        <v>45</v>
      </c>
      <c r="I4032">
        <v>70</v>
      </c>
      <c r="J4032">
        <v>110</v>
      </c>
      <c r="K4032">
        <v>80</v>
      </c>
      <c r="L4032">
        <v>180</v>
      </c>
      <c r="M4032">
        <v>81</v>
      </c>
      <c r="N4032">
        <v>984</v>
      </c>
      <c r="O4032">
        <v>117</v>
      </c>
      <c r="P4032">
        <v>22</v>
      </c>
      <c r="Q4032">
        <v>125</v>
      </c>
      <c r="R4032">
        <v>211</v>
      </c>
      <c r="S4032">
        <v>1.1722222222222223</v>
      </c>
      <c r="T4032">
        <v>1.5625</v>
      </c>
      <c r="U4032">
        <v>1.1571428571428573</v>
      </c>
    </row>
    <row r="4033" spans="1:21" x14ac:dyDescent="0.35">
      <c r="A4033">
        <v>510</v>
      </c>
      <c r="B4033" s="16">
        <v>40848</v>
      </c>
      <c r="C4033" s="15" t="s">
        <v>76</v>
      </c>
      <c r="D4033" s="15" t="s">
        <v>38</v>
      </c>
      <c r="E4033" s="15" t="s">
        <v>53</v>
      </c>
      <c r="F4033" s="15" t="s">
        <v>52</v>
      </c>
      <c r="G4033" s="15" t="s">
        <v>78</v>
      </c>
      <c r="H4033" s="15" t="s">
        <v>45</v>
      </c>
      <c r="I4033">
        <v>210</v>
      </c>
      <c r="J4033">
        <v>240</v>
      </c>
      <c r="K4033">
        <v>160</v>
      </c>
      <c r="L4033">
        <v>450</v>
      </c>
      <c r="M4033">
        <v>225</v>
      </c>
      <c r="N4033">
        <v>1272</v>
      </c>
      <c r="O4033">
        <v>265</v>
      </c>
      <c r="P4033">
        <v>69</v>
      </c>
      <c r="Q4033">
        <v>258</v>
      </c>
      <c r="R4033">
        <v>522</v>
      </c>
      <c r="S4033">
        <v>1.1599999999999999</v>
      </c>
      <c r="T4033">
        <v>1.6125</v>
      </c>
      <c r="U4033">
        <v>1.0714285714285714</v>
      </c>
    </row>
    <row r="4034" spans="1:21" x14ac:dyDescent="0.35">
      <c r="A4034">
        <v>323</v>
      </c>
      <c r="B4034" s="16">
        <v>40848</v>
      </c>
      <c r="C4034" s="15" t="s">
        <v>76</v>
      </c>
      <c r="D4034" s="15" t="s">
        <v>38</v>
      </c>
      <c r="E4034" s="15" t="s">
        <v>54</v>
      </c>
      <c r="F4034" s="15" t="s">
        <v>52</v>
      </c>
      <c r="G4034" s="15" t="s">
        <v>78</v>
      </c>
      <c r="H4034" s="15" t="s">
        <v>45</v>
      </c>
      <c r="I4034">
        <v>30</v>
      </c>
      <c r="J4034">
        <v>50</v>
      </c>
      <c r="K4034">
        <v>30</v>
      </c>
      <c r="L4034">
        <v>80</v>
      </c>
      <c r="M4034">
        <v>40</v>
      </c>
      <c r="N4034">
        <v>536</v>
      </c>
      <c r="O4034">
        <v>52</v>
      </c>
      <c r="P4034">
        <v>13</v>
      </c>
      <c r="Q4034">
        <v>40</v>
      </c>
      <c r="R4034">
        <v>98</v>
      </c>
      <c r="S4034">
        <v>1.2250000000000001</v>
      </c>
      <c r="T4034">
        <v>1.3333333333333333</v>
      </c>
      <c r="U4034">
        <v>1.3333333333333333</v>
      </c>
    </row>
    <row r="4035" spans="1:21" x14ac:dyDescent="0.35">
      <c r="A4035">
        <v>916</v>
      </c>
      <c r="B4035" s="16">
        <v>40848</v>
      </c>
      <c r="C4035" s="15" t="s">
        <v>76</v>
      </c>
      <c r="D4035" s="15" t="s">
        <v>38</v>
      </c>
      <c r="E4035" s="15" t="s">
        <v>48</v>
      </c>
      <c r="F4035" s="15" t="s">
        <v>49</v>
      </c>
      <c r="G4035" s="15" t="s">
        <v>78</v>
      </c>
      <c r="H4035" s="15" t="s">
        <v>42</v>
      </c>
      <c r="I4035">
        <v>110</v>
      </c>
      <c r="J4035">
        <v>170</v>
      </c>
      <c r="K4035">
        <v>40</v>
      </c>
      <c r="L4035">
        <v>280</v>
      </c>
      <c r="M4035">
        <v>121</v>
      </c>
      <c r="N4035">
        <v>912</v>
      </c>
      <c r="O4035">
        <v>168</v>
      </c>
      <c r="P4035">
        <v>109</v>
      </c>
      <c r="Q4035">
        <v>39</v>
      </c>
      <c r="R4035">
        <v>308</v>
      </c>
      <c r="S4035">
        <v>1.1000000000000001</v>
      </c>
      <c r="T4035">
        <v>0.97499999999999998</v>
      </c>
      <c r="U4035">
        <v>1.1000000000000001</v>
      </c>
    </row>
    <row r="4036" spans="1:21" x14ac:dyDescent="0.35">
      <c r="A4036">
        <v>213</v>
      </c>
      <c r="B4036" s="16">
        <v>40848</v>
      </c>
      <c r="C4036" s="15" t="s">
        <v>76</v>
      </c>
      <c r="D4036" s="15" t="s">
        <v>38</v>
      </c>
      <c r="E4036" s="15" t="s">
        <v>50</v>
      </c>
      <c r="F4036" s="15" t="s">
        <v>49</v>
      </c>
      <c r="G4036" s="15" t="s">
        <v>78</v>
      </c>
      <c r="H4036" s="15" t="s">
        <v>45</v>
      </c>
      <c r="I4036">
        <v>220</v>
      </c>
      <c r="J4036">
        <v>290</v>
      </c>
      <c r="K4036">
        <v>190</v>
      </c>
      <c r="L4036">
        <v>510</v>
      </c>
      <c r="M4036">
        <v>228</v>
      </c>
      <c r="N4036">
        <v>1691</v>
      </c>
      <c r="O4036">
        <v>304</v>
      </c>
      <c r="P4036">
        <v>75</v>
      </c>
      <c r="Q4036">
        <v>292</v>
      </c>
      <c r="R4036">
        <v>567</v>
      </c>
      <c r="S4036">
        <v>1.111764705882353</v>
      </c>
      <c r="T4036">
        <v>1.5368421052631578</v>
      </c>
      <c r="U4036">
        <v>1.0363636363636364</v>
      </c>
    </row>
    <row r="4037" spans="1:21" x14ac:dyDescent="0.35">
      <c r="A4037">
        <v>916</v>
      </c>
      <c r="B4037" s="16">
        <v>40848</v>
      </c>
      <c r="C4037" s="15" t="s">
        <v>76</v>
      </c>
      <c r="D4037" s="15" t="s">
        <v>38</v>
      </c>
      <c r="E4037" s="15" t="s">
        <v>39</v>
      </c>
      <c r="F4037" s="15" t="s">
        <v>40</v>
      </c>
      <c r="G4037" s="15" t="s">
        <v>78</v>
      </c>
      <c r="H4037" s="15" t="s">
        <v>42</v>
      </c>
      <c r="I4037">
        <v>130</v>
      </c>
      <c r="J4037">
        <v>0</v>
      </c>
      <c r="K4037">
        <v>-50</v>
      </c>
      <c r="L4037">
        <v>130</v>
      </c>
      <c r="M4037">
        <v>113</v>
      </c>
      <c r="N4037">
        <v>2758</v>
      </c>
      <c r="O4037">
        <v>3</v>
      </c>
      <c r="P4037">
        <v>36</v>
      </c>
      <c r="Q4037">
        <v>-83</v>
      </c>
      <c r="R4037">
        <v>124</v>
      </c>
      <c r="S4037">
        <v>0.9538461538461539</v>
      </c>
      <c r="T4037">
        <v>1.66</v>
      </c>
      <c r="U4037">
        <v>0.86923076923076925</v>
      </c>
    </row>
    <row r="4038" spans="1:21" x14ac:dyDescent="0.35">
      <c r="A4038">
        <v>213</v>
      </c>
      <c r="B4038" s="16">
        <v>40848</v>
      </c>
      <c r="C4038" s="15" t="s">
        <v>76</v>
      </c>
      <c r="D4038" s="15" t="s">
        <v>38</v>
      </c>
      <c r="E4038" s="15" t="s">
        <v>43</v>
      </c>
      <c r="F4038" s="15" t="s">
        <v>40</v>
      </c>
      <c r="G4038" s="15" t="s">
        <v>78</v>
      </c>
      <c r="H4038" s="15" t="s">
        <v>42</v>
      </c>
      <c r="I4038">
        <v>290</v>
      </c>
      <c r="J4038">
        <v>450</v>
      </c>
      <c r="K4038">
        <v>310</v>
      </c>
      <c r="L4038">
        <v>740</v>
      </c>
      <c r="M4038">
        <v>249</v>
      </c>
      <c r="N4038">
        <v>2580</v>
      </c>
      <c r="O4038">
        <v>374</v>
      </c>
      <c r="P4038">
        <v>87</v>
      </c>
      <c r="Q4038">
        <v>349</v>
      </c>
      <c r="R4038">
        <v>664</v>
      </c>
      <c r="S4038">
        <v>0.89729729729729735</v>
      </c>
      <c r="T4038">
        <v>1.1258064516129032</v>
      </c>
      <c r="U4038">
        <v>0.85862068965517246</v>
      </c>
    </row>
    <row r="4039" spans="1:21" x14ac:dyDescent="0.35">
      <c r="A4039">
        <v>626</v>
      </c>
      <c r="B4039" s="16">
        <v>40848</v>
      </c>
      <c r="C4039" s="15" t="s">
        <v>76</v>
      </c>
      <c r="D4039" s="15" t="s">
        <v>38</v>
      </c>
      <c r="E4039" s="15" t="s">
        <v>44</v>
      </c>
      <c r="F4039" s="15" t="s">
        <v>40</v>
      </c>
      <c r="G4039" s="15" t="s">
        <v>78</v>
      </c>
      <c r="H4039" s="15" t="s">
        <v>45</v>
      </c>
      <c r="I4039">
        <v>200</v>
      </c>
      <c r="J4039">
        <v>-30</v>
      </c>
      <c r="K4039">
        <v>-130</v>
      </c>
      <c r="L4039">
        <v>170</v>
      </c>
      <c r="M4039">
        <v>173</v>
      </c>
      <c r="N4039">
        <v>3909</v>
      </c>
      <c r="O4039">
        <v>-27</v>
      </c>
      <c r="P4039">
        <v>57</v>
      </c>
      <c r="Q4039">
        <v>-188</v>
      </c>
      <c r="R4039">
        <v>156</v>
      </c>
      <c r="S4039">
        <v>0.91764705882352937</v>
      </c>
      <c r="T4039">
        <v>1.4461538461538461</v>
      </c>
      <c r="U4039">
        <v>0.86499999999999999</v>
      </c>
    </row>
    <row r="4040" spans="1:21" x14ac:dyDescent="0.35">
      <c r="A4040">
        <v>951</v>
      </c>
      <c r="B4040" s="16">
        <v>40848</v>
      </c>
      <c r="C4040" s="15" t="s">
        <v>76</v>
      </c>
      <c r="D4040" s="15" t="s">
        <v>38</v>
      </c>
      <c r="E4040" s="15" t="s">
        <v>72</v>
      </c>
      <c r="F4040" s="15" t="s">
        <v>49</v>
      </c>
      <c r="G4040" s="15" t="s">
        <v>78</v>
      </c>
      <c r="H4040" s="15" t="s">
        <v>42</v>
      </c>
      <c r="I4040">
        <v>200</v>
      </c>
      <c r="J4040">
        <v>210</v>
      </c>
      <c r="K4040">
        <v>140</v>
      </c>
      <c r="L4040">
        <v>410</v>
      </c>
      <c r="M4040">
        <v>211</v>
      </c>
      <c r="N4040">
        <v>1778</v>
      </c>
      <c r="O4040">
        <v>212</v>
      </c>
      <c r="P4040">
        <v>59</v>
      </c>
      <c r="Q4040">
        <v>191</v>
      </c>
      <c r="R4040">
        <v>451</v>
      </c>
      <c r="S4040">
        <v>1.1000000000000001</v>
      </c>
      <c r="T4040">
        <v>1.3642857142857143</v>
      </c>
      <c r="U4040">
        <v>1.0549999999999999</v>
      </c>
    </row>
    <row r="4041" spans="1:21" x14ac:dyDescent="0.35">
      <c r="A4041">
        <v>775</v>
      </c>
      <c r="B4041" s="16">
        <v>40848</v>
      </c>
      <c r="C4041" s="15" t="s">
        <v>76</v>
      </c>
      <c r="D4041" s="15" t="s">
        <v>58</v>
      </c>
      <c r="E4041" s="15" t="s">
        <v>55</v>
      </c>
      <c r="F4041" s="15" t="s">
        <v>47</v>
      </c>
      <c r="G4041" s="15" t="s">
        <v>79</v>
      </c>
      <c r="H4041" s="15" t="s">
        <v>42</v>
      </c>
      <c r="I4041">
        <v>160</v>
      </c>
      <c r="J4041">
        <v>220</v>
      </c>
      <c r="K4041">
        <v>140</v>
      </c>
      <c r="L4041">
        <v>380</v>
      </c>
      <c r="M4041">
        <v>228</v>
      </c>
      <c r="N4041">
        <v>1691</v>
      </c>
      <c r="O4041">
        <v>304</v>
      </c>
      <c r="P4041">
        <v>75</v>
      </c>
      <c r="Q4041">
        <v>291</v>
      </c>
      <c r="R4041">
        <v>567</v>
      </c>
      <c r="S4041">
        <v>1.4921052631578948</v>
      </c>
      <c r="T4041">
        <v>2.0785714285714287</v>
      </c>
      <c r="U4041">
        <v>1.425</v>
      </c>
    </row>
    <row r="4042" spans="1:21" x14ac:dyDescent="0.35">
      <c r="A4042">
        <v>702</v>
      </c>
      <c r="B4042" s="16">
        <v>40848</v>
      </c>
      <c r="C4042" s="15" t="s">
        <v>76</v>
      </c>
      <c r="D4042" s="15" t="s">
        <v>58</v>
      </c>
      <c r="E4042" s="15" t="s">
        <v>56</v>
      </c>
      <c r="F4042" s="15" t="s">
        <v>47</v>
      </c>
      <c r="G4042" s="15" t="s">
        <v>79</v>
      </c>
      <c r="H4042" s="15" t="s">
        <v>42</v>
      </c>
      <c r="I4042">
        <v>150</v>
      </c>
      <c r="J4042">
        <v>150</v>
      </c>
      <c r="K4042">
        <v>80</v>
      </c>
      <c r="L4042">
        <v>300</v>
      </c>
      <c r="M4042">
        <v>211</v>
      </c>
      <c r="N4042">
        <v>1778</v>
      </c>
      <c r="O4042">
        <v>212</v>
      </c>
      <c r="P4042">
        <v>59</v>
      </c>
      <c r="Q4042">
        <v>190</v>
      </c>
      <c r="R4042">
        <v>451</v>
      </c>
      <c r="S4042">
        <v>1.5033333333333334</v>
      </c>
      <c r="T4042">
        <v>2.375</v>
      </c>
      <c r="U4042">
        <v>1.4066666666666667</v>
      </c>
    </row>
    <row r="4043" spans="1:21" x14ac:dyDescent="0.35">
      <c r="A4043">
        <v>775</v>
      </c>
      <c r="B4043" s="16">
        <v>40848</v>
      </c>
      <c r="C4043" s="15" t="s">
        <v>76</v>
      </c>
      <c r="D4043" s="15" t="s">
        <v>58</v>
      </c>
      <c r="E4043" s="15" t="s">
        <v>46</v>
      </c>
      <c r="F4043" s="15" t="s">
        <v>47</v>
      </c>
      <c r="G4043" s="15" t="s">
        <v>79</v>
      </c>
      <c r="H4043" s="15" t="s">
        <v>42</v>
      </c>
      <c r="I4043">
        <v>180</v>
      </c>
      <c r="J4043">
        <v>-180</v>
      </c>
      <c r="K4043">
        <v>-280</v>
      </c>
      <c r="L4043">
        <v>0</v>
      </c>
      <c r="M4043">
        <v>245</v>
      </c>
      <c r="N4043">
        <v>7653</v>
      </c>
      <c r="O4043">
        <v>-245</v>
      </c>
      <c r="P4043">
        <v>93</v>
      </c>
      <c r="Q4043">
        <v>-505</v>
      </c>
      <c r="R4043">
        <v>34</v>
      </c>
      <c r="T4043">
        <v>1.8035714285714286</v>
      </c>
      <c r="U4043">
        <v>1.3611111111111112</v>
      </c>
    </row>
    <row r="4044" spans="1:21" x14ac:dyDescent="0.35">
      <c r="A4044">
        <v>702</v>
      </c>
      <c r="B4044" s="16">
        <v>40848</v>
      </c>
      <c r="C4044" s="15" t="s">
        <v>76</v>
      </c>
      <c r="D4044" s="15" t="s">
        <v>58</v>
      </c>
      <c r="E4044" s="15" t="s">
        <v>51</v>
      </c>
      <c r="F4044" s="15" t="s">
        <v>52</v>
      </c>
      <c r="G4044" s="15" t="s">
        <v>79</v>
      </c>
      <c r="H4044" s="15" t="s">
        <v>45</v>
      </c>
      <c r="I4044">
        <v>110</v>
      </c>
      <c r="J4044">
        <v>150</v>
      </c>
      <c r="K4044">
        <v>20</v>
      </c>
      <c r="L4044">
        <v>260</v>
      </c>
      <c r="M4044">
        <v>121</v>
      </c>
      <c r="N4044">
        <v>912</v>
      </c>
      <c r="O4044">
        <v>168</v>
      </c>
      <c r="P4044">
        <v>109</v>
      </c>
      <c r="Q4044">
        <v>39</v>
      </c>
      <c r="R4044">
        <v>308</v>
      </c>
      <c r="S4044">
        <v>1.1846153846153846</v>
      </c>
      <c r="T4044">
        <v>1.95</v>
      </c>
      <c r="U4044">
        <v>1.1000000000000001</v>
      </c>
    </row>
    <row r="4045" spans="1:21" x14ac:dyDescent="0.35">
      <c r="A4045">
        <v>702</v>
      </c>
      <c r="B4045" s="16">
        <v>40848</v>
      </c>
      <c r="C4045" s="15" t="s">
        <v>76</v>
      </c>
      <c r="D4045" s="15" t="s">
        <v>58</v>
      </c>
      <c r="E4045" s="15" t="s">
        <v>53</v>
      </c>
      <c r="F4045" s="15" t="s">
        <v>52</v>
      </c>
      <c r="G4045" s="15" t="s">
        <v>79</v>
      </c>
      <c r="H4045" s="15" t="s">
        <v>45</v>
      </c>
      <c r="I4045">
        <v>160</v>
      </c>
      <c r="J4045">
        <v>220</v>
      </c>
      <c r="K4045">
        <v>130</v>
      </c>
      <c r="L4045">
        <v>380</v>
      </c>
      <c r="M4045">
        <v>173</v>
      </c>
      <c r="N4045">
        <v>1150</v>
      </c>
      <c r="O4045">
        <v>239</v>
      </c>
      <c r="P4045">
        <v>57</v>
      </c>
      <c r="Q4045">
        <v>205</v>
      </c>
      <c r="R4045">
        <v>439</v>
      </c>
      <c r="S4045">
        <v>1.1552631578947368</v>
      </c>
      <c r="T4045">
        <v>1.5769230769230769</v>
      </c>
      <c r="U4045">
        <v>1.08125</v>
      </c>
    </row>
    <row r="4046" spans="1:21" x14ac:dyDescent="0.35">
      <c r="A4046">
        <v>775</v>
      </c>
      <c r="B4046" s="16">
        <v>40848</v>
      </c>
      <c r="C4046" s="15" t="s">
        <v>76</v>
      </c>
      <c r="D4046" s="15" t="s">
        <v>58</v>
      </c>
      <c r="E4046" s="15" t="s">
        <v>54</v>
      </c>
      <c r="F4046" s="15" t="s">
        <v>52</v>
      </c>
      <c r="G4046" s="15" t="s">
        <v>79</v>
      </c>
      <c r="H4046" s="15" t="s">
        <v>45</v>
      </c>
      <c r="I4046">
        <v>100</v>
      </c>
      <c r="J4046">
        <v>150</v>
      </c>
      <c r="K4046">
        <v>100</v>
      </c>
      <c r="L4046">
        <v>250</v>
      </c>
      <c r="M4046">
        <v>113</v>
      </c>
      <c r="N4046">
        <v>803</v>
      </c>
      <c r="O4046">
        <v>165</v>
      </c>
      <c r="P4046">
        <v>36</v>
      </c>
      <c r="Q4046">
        <v>159</v>
      </c>
      <c r="R4046">
        <v>296</v>
      </c>
      <c r="S4046">
        <v>1.1839999999999999</v>
      </c>
      <c r="T4046">
        <v>1.59</v>
      </c>
      <c r="U4046">
        <v>1.1299999999999999</v>
      </c>
    </row>
    <row r="4047" spans="1:21" x14ac:dyDescent="0.35">
      <c r="A4047">
        <v>775</v>
      </c>
      <c r="B4047" s="16">
        <v>40848</v>
      </c>
      <c r="C4047" s="15" t="s">
        <v>76</v>
      </c>
      <c r="D4047" s="15" t="s">
        <v>58</v>
      </c>
      <c r="E4047" s="15" t="s">
        <v>72</v>
      </c>
      <c r="F4047" s="15" t="s">
        <v>49</v>
      </c>
      <c r="G4047" s="15" t="s">
        <v>79</v>
      </c>
      <c r="H4047" s="15" t="s">
        <v>42</v>
      </c>
      <c r="I4047">
        <v>0</v>
      </c>
      <c r="J4047">
        <v>40</v>
      </c>
      <c r="K4047">
        <v>30</v>
      </c>
      <c r="L4047">
        <v>40</v>
      </c>
      <c r="M4047">
        <v>0</v>
      </c>
      <c r="N4047">
        <v>387</v>
      </c>
      <c r="O4047">
        <v>43</v>
      </c>
      <c r="P4047">
        <v>0</v>
      </c>
      <c r="Q4047">
        <v>46</v>
      </c>
      <c r="R4047">
        <v>46</v>
      </c>
      <c r="S4047">
        <v>1.1499999999999999</v>
      </c>
      <c r="T4047">
        <v>1.5333333333333334</v>
      </c>
    </row>
    <row r="4048" spans="1:21" x14ac:dyDescent="0.35">
      <c r="A4048">
        <v>775</v>
      </c>
      <c r="B4048" s="16">
        <v>40848</v>
      </c>
      <c r="C4048" s="15" t="s">
        <v>76</v>
      </c>
      <c r="D4048" s="15" t="s">
        <v>58</v>
      </c>
      <c r="E4048" s="15" t="s">
        <v>48</v>
      </c>
      <c r="F4048" s="15" t="s">
        <v>49</v>
      </c>
      <c r="G4048" s="15" t="s">
        <v>79</v>
      </c>
      <c r="H4048" s="15" t="s">
        <v>42</v>
      </c>
      <c r="I4048">
        <v>10</v>
      </c>
      <c r="J4048">
        <v>20</v>
      </c>
      <c r="K4048">
        <v>10</v>
      </c>
      <c r="L4048">
        <v>30</v>
      </c>
      <c r="M4048">
        <v>15</v>
      </c>
      <c r="N4048">
        <v>848</v>
      </c>
      <c r="O4048">
        <v>24</v>
      </c>
      <c r="P4048">
        <v>4</v>
      </c>
      <c r="Q4048">
        <v>13</v>
      </c>
      <c r="R4048">
        <v>42</v>
      </c>
      <c r="S4048">
        <v>1.4</v>
      </c>
      <c r="T4048">
        <v>1.3</v>
      </c>
      <c r="U4048">
        <v>1.5</v>
      </c>
    </row>
    <row r="4049" spans="1:21" x14ac:dyDescent="0.35">
      <c r="A4049">
        <v>775</v>
      </c>
      <c r="B4049" s="16">
        <v>40848</v>
      </c>
      <c r="C4049" s="15" t="s">
        <v>76</v>
      </c>
      <c r="D4049" s="15" t="s">
        <v>58</v>
      </c>
      <c r="E4049" s="15" t="s">
        <v>50</v>
      </c>
      <c r="F4049" s="15" t="s">
        <v>49</v>
      </c>
      <c r="G4049" s="15" t="s">
        <v>79</v>
      </c>
      <c r="H4049" s="15" t="s">
        <v>45</v>
      </c>
      <c r="I4049">
        <v>20</v>
      </c>
      <c r="J4049">
        <v>30</v>
      </c>
      <c r="K4049">
        <v>20</v>
      </c>
      <c r="L4049">
        <v>50</v>
      </c>
      <c r="M4049">
        <v>22</v>
      </c>
      <c r="N4049">
        <v>802</v>
      </c>
      <c r="O4049">
        <v>34</v>
      </c>
      <c r="P4049">
        <v>6</v>
      </c>
      <c r="Q4049">
        <v>25</v>
      </c>
      <c r="R4049">
        <v>60</v>
      </c>
      <c r="S4049">
        <v>1.2</v>
      </c>
      <c r="T4049">
        <v>1.25</v>
      </c>
      <c r="U4049">
        <v>1.1000000000000001</v>
      </c>
    </row>
    <row r="4050" spans="1:21" x14ac:dyDescent="0.35">
      <c r="A4050">
        <v>775</v>
      </c>
      <c r="B4050" s="16">
        <v>40848</v>
      </c>
      <c r="C4050" s="15" t="s">
        <v>76</v>
      </c>
      <c r="D4050" s="15" t="s">
        <v>58</v>
      </c>
      <c r="E4050" s="15" t="s">
        <v>43</v>
      </c>
      <c r="F4050" s="15" t="s">
        <v>40</v>
      </c>
      <c r="G4050" s="15" t="s">
        <v>79</v>
      </c>
      <c r="H4050" s="15" t="s">
        <v>42</v>
      </c>
      <c r="I4050">
        <v>30</v>
      </c>
      <c r="J4050">
        <v>50</v>
      </c>
      <c r="K4050">
        <v>10</v>
      </c>
      <c r="L4050">
        <v>80</v>
      </c>
      <c r="M4050">
        <v>33</v>
      </c>
      <c r="N4050">
        <v>243</v>
      </c>
      <c r="O4050">
        <v>41</v>
      </c>
      <c r="P4050">
        <v>12</v>
      </c>
      <c r="Q4050">
        <v>-6</v>
      </c>
      <c r="R4050">
        <v>79</v>
      </c>
      <c r="S4050">
        <v>0.98750000000000004</v>
      </c>
      <c r="T4050">
        <v>-0.6</v>
      </c>
      <c r="U4050">
        <v>1.1000000000000001</v>
      </c>
    </row>
    <row r="4051" spans="1:21" x14ac:dyDescent="0.35">
      <c r="A4051">
        <v>702</v>
      </c>
      <c r="B4051" s="16">
        <v>40848</v>
      </c>
      <c r="C4051" s="15" t="s">
        <v>76</v>
      </c>
      <c r="D4051" s="15" t="s">
        <v>58</v>
      </c>
      <c r="E4051" s="15" t="s">
        <v>44</v>
      </c>
      <c r="F4051" s="15" t="s">
        <v>40</v>
      </c>
      <c r="G4051" s="15" t="s">
        <v>79</v>
      </c>
      <c r="H4051" s="15" t="s">
        <v>45</v>
      </c>
      <c r="I4051">
        <v>30</v>
      </c>
      <c r="J4051">
        <v>40</v>
      </c>
      <c r="K4051">
        <v>20</v>
      </c>
      <c r="L4051">
        <v>70</v>
      </c>
      <c r="M4051">
        <v>29</v>
      </c>
      <c r="N4051">
        <v>1003</v>
      </c>
      <c r="O4051">
        <v>35</v>
      </c>
      <c r="P4051">
        <v>8</v>
      </c>
      <c r="Q4051">
        <v>7</v>
      </c>
      <c r="R4051">
        <v>68</v>
      </c>
      <c r="S4051">
        <v>0.97142857142857142</v>
      </c>
      <c r="T4051">
        <v>0.35</v>
      </c>
      <c r="U4051">
        <v>0.96666666666666667</v>
      </c>
    </row>
    <row r="4052" spans="1:21" x14ac:dyDescent="0.35">
      <c r="A4052">
        <v>503</v>
      </c>
      <c r="B4052" s="16">
        <v>40848</v>
      </c>
      <c r="C4052" s="15" t="s">
        <v>76</v>
      </c>
      <c r="D4052" s="15" t="s">
        <v>58</v>
      </c>
      <c r="E4052" s="15" t="s">
        <v>55</v>
      </c>
      <c r="F4052" s="15" t="s">
        <v>47</v>
      </c>
      <c r="G4052" s="15" t="s">
        <v>80</v>
      </c>
      <c r="H4052" s="15" t="s">
        <v>42</v>
      </c>
      <c r="I4052">
        <v>20</v>
      </c>
      <c r="J4052">
        <v>30</v>
      </c>
      <c r="K4052">
        <v>30</v>
      </c>
      <c r="L4052">
        <v>50</v>
      </c>
      <c r="M4052">
        <v>32</v>
      </c>
      <c r="N4052">
        <v>482</v>
      </c>
      <c r="O4052">
        <v>48</v>
      </c>
      <c r="P4052">
        <v>8</v>
      </c>
      <c r="Q4052">
        <v>42</v>
      </c>
      <c r="R4052">
        <v>85</v>
      </c>
      <c r="S4052">
        <v>1.7</v>
      </c>
      <c r="T4052">
        <v>1.4</v>
      </c>
      <c r="U4052">
        <v>1.6</v>
      </c>
    </row>
    <row r="4053" spans="1:21" x14ac:dyDescent="0.35">
      <c r="A4053">
        <v>503</v>
      </c>
      <c r="B4053" s="16">
        <v>40848</v>
      </c>
      <c r="C4053" s="15" t="s">
        <v>76</v>
      </c>
      <c r="D4053" s="15" t="s">
        <v>58</v>
      </c>
      <c r="E4053" s="15" t="s">
        <v>56</v>
      </c>
      <c r="F4053" s="15" t="s">
        <v>47</v>
      </c>
      <c r="G4053" s="15" t="s">
        <v>80</v>
      </c>
      <c r="H4053" s="15" t="s">
        <v>42</v>
      </c>
      <c r="I4053">
        <v>50</v>
      </c>
      <c r="J4053">
        <v>90</v>
      </c>
      <c r="K4053">
        <v>50</v>
      </c>
      <c r="L4053">
        <v>140</v>
      </c>
      <c r="M4053">
        <v>78</v>
      </c>
      <c r="N4053">
        <v>798</v>
      </c>
      <c r="O4053">
        <v>119</v>
      </c>
      <c r="P4053">
        <v>25</v>
      </c>
      <c r="Q4053">
        <v>92</v>
      </c>
      <c r="R4053">
        <v>210</v>
      </c>
      <c r="S4053">
        <v>1.5</v>
      </c>
      <c r="T4053">
        <v>1.84</v>
      </c>
      <c r="U4053">
        <v>1.56</v>
      </c>
    </row>
    <row r="4054" spans="1:21" x14ac:dyDescent="0.35">
      <c r="A4054">
        <v>971</v>
      </c>
      <c r="B4054" s="16">
        <v>40848</v>
      </c>
      <c r="C4054" s="15" t="s">
        <v>76</v>
      </c>
      <c r="D4054" s="15" t="s">
        <v>58</v>
      </c>
      <c r="E4054" s="15" t="s">
        <v>46</v>
      </c>
      <c r="F4054" s="15" t="s">
        <v>47</v>
      </c>
      <c r="G4054" s="15" t="s">
        <v>80</v>
      </c>
      <c r="H4054" s="15" t="s">
        <v>42</v>
      </c>
      <c r="I4054">
        <v>70</v>
      </c>
      <c r="J4054">
        <v>100</v>
      </c>
      <c r="K4054">
        <v>70</v>
      </c>
      <c r="L4054">
        <v>170</v>
      </c>
      <c r="M4054">
        <v>102</v>
      </c>
      <c r="N4054">
        <v>666</v>
      </c>
      <c r="O4054">
        <v>143</v>
      </c>
      <c r="P4054">
        <v>31</v>
      </c>
      <c r="Q4054">
        <v>132</v>
      </c>
      <c r="R4054">
        <v>261</v>
      </c>
      <c r="S4054">
        <v>1.5352941176470589</v>
      </c>
      <c r="T4054">
        <v>1.8857142857142857</v>
      </c>
      <c r="U4054">
        <v>1.4571428571428571</v>
      </c>
    </row>
    <row r="4055" spans="1:21" x14ac:dyDescent="0.35">
      <c r="A4055">
        <v>541</v>
      </c>
      <c r="B4055" s="16">
        <v>40848</v>
      </c>
      <c r="C4055" s="15" t="s">
        <v>76</v>
      </c>
      <c r="D4055" s="15" t="s">
        <v>58</v>
      </c>
      <c r="E4055" s="15" t="s">
        <v>51</v>
      </c>
      <c r="F4055" s="15" t="s">
        <v>52</v>
      </c>
      <c r="G4055" s="15" t="s">
        <v>80</v>
      </c>
      <c r="H4055" s="15" t="s">
        <v>45</v>
      </c>
      <c r="I4055">
        <v>20</v>
      </c>
      <c r="J4055">
        <v>30</v>
      </c>
      <c r="K4055">
        <v>20</v>
      </c>
      <c r="L4055">
        <v>50</v>
      </c>
      <c r="M4055">
        <v>25</v>
      </c>
      <c r="N4055">
        <v>823</v>
      </c>
      <c r="O4055">
        <v>38</v>
      </c>
      <c r="P4055">
        <v>7</v>
      </c>
      <c r="Q4055">
        <v>28</v>
      </c>
      <c r="R4055">
        <v>67</v>
      </c>
      <c r="S4055">
        <v>1.34</v>
      </c>
      <c r="T4055">
        <v>1.4</v>
      </c>
      <c r="U4055">
        <v>1.25</v>
      </c>
    </row>
    <row r="4056" spans="1:21" x14ac:dyDescent="0.35">
      <c r="A4056">
        <v>541</v>
      </c>
      <c r="B4056" s="16">
        <v>40848</v>
      </c>
      <c r="C4056" s="15" t="s">
        <v>76</v>
      </c>
      <c r="D4056" s="15" t="s">
        <v>58</v>
      </c>
      <c r="E4056" s="15" t="s">
        <v>53</v>
      </c>
      <c r="F4056" s="15" t="s">
        <v>52</v>
      </c>
      <c r="G4056" s="15" t="s">
        <v>80</v>
      </c>
      <c r="H4056" s="15" t="s">
        <v>45</v>
      </c>
      <c r="I4056">
        <v>80</v>
      </c>
      <c r="J4056">
        <v>100</v>
      </c>
      <c r="K4056">
        <v>70</v>
      </c>
      <c r="L4056">
        <v>180</v>
      </c>
      <c r="M4056">
        <v>88</v>
      </c>
      <c r="N4056">
        <v>561</v>
      </c>
      <c r="O4056">
        <v>112</v>
      </c>
      <c r="P4056">
        <v>29</v>
      </c>
      <c r="Q4056">
        <v>104</v>
      </c>
      <c r="R4056">
        <v>213</v>
      </c>
      <c r="S4056">
        <v>1.1833333333333333</v>
      </c>
      <c r="T4056">
        <v>1.4857142857142858</v>
      </c>
      <c r="U4056">
        <v>1.1000000000000001</v>
      </c>
    </row>
    <row r="4057" spans="1:21" x14ac:dyDescent="0.35">
      <c r="A4057">
        <v>503</v>
      </c>
      <c r="B4057" s="16">
        <v>40848</v>
      </c>
      <c r="C4057" s="15" t="s">
        <v>76</v>
      </c>
      <c r="D4057" s="15" t="s">
        <v>58</v>
      </c>
      <c r="E4057" s="15" t="s">
        <v>72</v>
      </c>
      <c r="F4057" s="15" t="s">
        <v>49</v>
      </c>
      <c r="G4057" s="15" t="s">
        <v>80</v>
      </c>
      <c r="H4057" s="15" t="s">
        <v>42</v>
      </c>
      <c r="I4057">
        <v>50</v>
      </c>
      <c r="J4057">
        <v>70</v>
      </c>
      <c r="K4057">
        <v>30</v>
      </c>
      <c r="L4057">
        <v>120</v>
      </c>
      <c r="M4057">
        <v>55</v>
      </c>
      <c r="N4057">
        <v>410</v>
      </c>
      <c r="O4057">
        <v>69</v>
      </c>
      <c r="P4057">
        <v>20</v>
      </c>
      <c r="Q4057">
        <v>24</v>
      </c>
      <c r="R4057">
        <v>132</v>
      </c>
      <c r="S4057">
        <v>1.1000000000000001</v>
      </c>
      <c r="T4057">
        <v>0.8</v>
      </c>
      <c r="U4057">
        <v>1.1000000000000001</v>
      </c>
    </row>
    <row r="4058" spans="1:21" x14ac:dyDescent="0.35">
      <c r="A4058">
        <v>541</v>
      </c>
      <c r="B4058" s="16">
        <v>40848</v>
      </c>
      <c r="C4058" s="15" t="s">
        <v>76</v>
      </c>
      <c r="D4058" s="15" t="s">
        <v>58</v>
      </c>
      <c r="E4058" s="15" t="s">
        <v>48</v>
      </c>
      <c r="F4058" s="15" t="s">
        <v>49</v>
      </c>
      <c r="G4058" s="15" t="s">
        <v>80</v>
      </c>
      <c r="H4058" s="15" t="s">
        <v>42</v>
      </c>
      <c r="I4058">
        <v>50</v>
      </c>
      <c r="J4058">
        <v>80</v>
      </c>
      <c r="K4058">
        <v>50</v>
      </c>
      <c r="L4058">
        <v>130</v>
      </c>
      <c r="M4058">
        <v>59</v>
      </c>
      <c r="N4058">
        <v>411</v>
      </c>
      <c r="O4058">
        <v>79</v>
      </c>
      <c r="P4058">
        <v>19</v>
      </c>
      <c r="Q4058">
        <v>49</v>
      </c>
      <c r="R4058">
        <v>147</v>
      </c>
      <c r="S4058">
        <v>1.1307692307692307</v>
      </c>
      <c r="T4058">
        <v>0.98</v>
      </c>
      <c r="U4058">
        <v>1.18</v>
      </c>
    </row>
    <row r="4059" spans="1:21" x14ac:dyDescent="0.35">
      <c r="A4059">
        <v>971</v>
      </c>
      <c r="B4059" s="16">
        <v>40848</v>
      </c>
      <c r="C4059" s="15" t="s">
        <v>76</v>
      </c>
      <c r="D4059" s="15" t="s">
        <v>58</v>
      </c>
      <c r="E4059" s="15" t="s">
        <v>50</v>
      </c>
      <c r="F4059" s="15" t="s">
        <v>49</v>
      </c>
      <c r="G4059" s="15" t="s">
        <v>80</v>
      </c>
      <c r="H4059" s="15" t="s">
        <v>45</v>
      </c>
      <c r="I4059">
        <v>170</v>
      </c>
      <c r="J4059">
        <v>180</v>
      </c>
      <c r="K4059">
        <v>120</v>
      </c>
      <c r="L4059">
        <v>350</v>
      </c>
      <c r="M4059">
        <v>181</v>
      </c>
      <c r="N4059">
        <v>1283</v>
      </c>
      <c r="O4059">
        <v>182</v>
      </c>
      <c r="P4059">
        <v>50</v>
      </c>
      <c r="Q4059">
        <v>160</v>
      </c>
      <c r="R4059">
        <v>387</v>
      </c>
      <c r="S4059">
        <v>1.1057142857142856</v>
      </c>
      <c r="T4059">
        <v>1.3333333333333333</v>
      </c>
      <c r="U4059">
        <v>1.0647058823529412</v>
      </c>
    </row>
    <row r="4060" spans="1:21" x14ac:dyDescent="0.35">
      <c r="A4060">
        <v>971</v>
      </c>
      <c r="B4060" s="16">
        <v>40848</v>
      </c>
      <c r="C4060" s="15" t="s">
        <v>76</v>
      </c>
      <c r="D4060" s="15" t="s">
        <v>58</v>
      </c>
      <c r="E4060" s="15" t="s">
        <v>39</v>
      </c>
      <c r="F4060" s="15" t="s">
        <v>40</v>
      </c>
      <c r="G4060" s="15" t="s">
        <v>80</v>
      </c>
      <c r="H4060" s="15" t="s">
        <v>42</v>
      </c>
      <c r="I4060">
        <v>60</v>
      </c>
      <c r="J4060">
        <v>80</v>
      </c>
      <c r="K4060">
        <v>10</v>
      </c>
      <c r="L4060">
        <v>140</v>
      </c>
      <c r="M4060">
        <v>52</v>
      </c>
      <c r="N4060">
        <v>509</v>
      </c>
      <c r="O4060">
        <v>73</v>
      </c>
      <c r="P4060">
        <v>47</v>
      </c>
      <c r="Q4060">
        <v>-6</v>
      </c>
      <c r="R4060">
        <v>133</v>
      </c>
      <c r="S4060">
        <v>0.95</v>
      </c>
      <c r="T4060">
        <v>-0.6</v>
      </c>
      <c r="U4060">
        <v>0.8666666666666667</v>
      </c>
    </row>
    <row r="4061" spans="1:21" x14ac:dyDescent="0.35">
      <c r="A4061">
        <v>541</v>
      </c>
      <c r="B4061" s="16">
        <v>40848</v>
      </c>
      <c r="C4061" s="15" t="s">
        <v>76</v>
      </c>
      <c r="D4061" s="15" t="s">
        <v>58</v>
      </c>
      <c r="E4061" s="15" t="s">
        <v>43</v>
      </c>
      <c r="F4061" s="15" t="s">
        <v>40</v>
      </c>
      <c r="G4061" s="15" t="s">
        <v>80</v>
      </c>
      <c r="H4061" s="15" t="s">
        <v>42</v>
      </c>
      <c r="I4061">
        <v>60</v>
      </c>
      <c r="J4061">
        <v>90</v>
      </c>
      <c r="K4061">
        <v>40</v>
      </c>
      <c r="L4061">
        <v>150</v>
      </c>
      <c r="M4061">
        <v>53</v>
      </c>
      <c r="N4061">
        <v>470</v>
      </c>
      <c r="O4061">
        <v>75</v>
      </c>
      <c r="P4061">
        <v>17</v>
      </c>
      <c r="Q4061">
        <v>21</v>
      </c>
      <c r="R4061">
        <v>136</v>
      </c>
      <c r="S4061">
        <v>0.90666666666666662</v>
      </c>
      <c r="T4061">
        <v>0.52500000000000002</v>
      </c>
      <c r="U4061">
        <v>0.8833333333333333</v>
      </c>
    </row>
    <row r="4062" spans="1:21" x14ac:dyDescent="0.35">
      <c r="A4062">
        <v>503</v>
      </c>
      <c r="B4062" s="16">
        <v>40848</v>
      </c>
      <c r="C4062" s="15" t="s">
        <v>76</v>
      </c>
      <c r="D4062" s="15" t="s">
        <v>58</v>
      </c>
      <c r="E4062" s="15" t="s">
        <v>44</v>
      </c>
      <c r="F4062" s="15" t="s">
        <v>40</v>
      </c>
      <c r="G4062" s="15" t="s">
        <v>80</v>
      </c>
      <c r="H4062" s="15" t="s">
        <v>45</v>
      </c>
      <c r="I4062">
        <v>50</v>
      </c>
      <c r="J4062">
        <v>80</v>
      </c>
      <c r="K4062">
        <v>50</v>
      </c>
      <c r="L4062">
        <v>130</v>
      </c>
      <c r="M4062">
        <v>46</v>
      </c>
      <c r="N4062">
        <v>424</v>
      </c>
      <c r="O4062">
        <v>68</v>
      </c>
      <c r="P4062">
        <v>14</v>
      </c>
      <c r="Q4062">
        <v>47</v>
      </c>
      <c r="R4062">
        <v>121</v>
      </c>
      <c r="S4062">
        <v>0.93076923076923079</v>
      </c>
      <c r="T4062">
        <v>0.94</v>
      </c>
      <c r="U4062">
        <v>0.92</v>
      </c>
    </row>
    <row r="4063" spans="1:21" x14ac:dyDescent="0.35">
      <c r="A4063">
        <v>509</v>
      </c>
      <c r="B4063" s="16">
        <v>40848</v>
      </c>
      <c r="C4063" s="15" t="s">
        <v>76</v>
      </c>
      <c r="D4063" s="15" t="s">
        <v>58</v>
      </c>
      <c r="E4063" s="15" t="s">
        <v>55</v>
      </c>
      <c r="F4063" s="15" t="s">
        <v>47</v>
      </c>
      <c r="G4063" s="15" t="s">
        <v>81</v>
      </c>
      <c r="H4063" s="15" t="s">
        <v>42</v>
      </c>
      <c r="I4063">
        <v>30</v>
      </c>
      <c r="J4063">
        <v>70</v>
      </c>
      <c r="K4063">
        <v>50</v>
      </c>
      <c r="L4063">
        <v>100</v>
      </c>
      <c r="M4063">
        <v>53</v>
      </c>
      <c r="N4063">
        <v>321</v>
      </c>
      <c r="O4063">
        <v>88</v>
      </c>
      <c r="P4063">
        <v>16</v>
      </c>
      <c r="Q4063">
        <v>73</v>
      </c>
      <c r="R4063">
        <v>150</v>
      </c>
      <c r="S4063">
        <v>1.5</v>
      </c>
      <c r="T4063">
        <v>1.46</v>
      </c>
      <c r="U4063">
        <v>1.7666666666666666</v>
      </c>
    </row>
    <row r="4064" spans="1:21" x14ac:dyDescent="0.35">
      <c r="A4064">
        <v>206</v>
      </c>
      <c r="B4064" s="16">
        <v>40848</v>
      </c>
      <c r="C4064" s="15" t="s">
        <v>76</v>
      </c>
      <c r="D4064" s="15" t="s">
        <v>58</v>
      </c>
      <c r="E4064" s="15" t="s">
        <v>56</v>
      </c>
      <c r="F4064" s="15" t="s">
        <v>47</v>
      </c>
      <c r="G4064" s="15" t="s">
        <v>81</v>
      </c>
      <c r="H4064" s="15" t="s">
        <v>42</v>
      </c>
      <c r="I4064">
        <v>30</v>
      </c>
      <c r="J4064">
        <v>50</v>
      </c>
      <c r="K4064">
        <v>30</v>
      </c>
      <c r="L4064">
        <v>80</v>
      </c>
      <c r="M4064">
        <v>49</v>
      </c>
      <c r="N4064">
        <v>454</v>
      </c>
      <c r="O4064">
        <v>71</v>
      </c>
      <c r="P4064">
        <v>15</v>
      </c>
      <c r="Q4064">
        <v>50</v>
      </c>
      <c r="R4064">
        <v>128</v>
      </c>
      <c r="S4064">
        <v>1.6</v>
      </c>
      <c r="T4064">
        <v>1.6666666666666667</v>
      </c>
      <c r="U4064">
        <v>1.6333333333333333</v>
      </c>
    </row>
    <row r="4065" spans="1:21" x14ac:dyDescent="0.35">
      <c r="A4065">
        <v>509</v>
      </c>
      <c r="B4065" s="16">
        <v>40848</v>
      </c>
      <c r="C4065" s="15" t="s">
        <v>76</v>
      </c>
      <c r="D4065" s="15" t="s">
        <v>58</v>
      </c>
      <c r="E4065" s="15" t="s">
        <v>46</v>
      </c>
      <c r="F4065" s="15" t="s">
        <v>47</v>
      </c>
      <c r="G4065" s="15" t="s">
        <v>81</v>
      </c>
      <c r="H4065" s="15" t="s">
        <v>42</v>
      </c>
      <c r="I4065">
        <v>40</v>
      </c>
      <c r="J4065">
        <v>60</v>
      </c>
      <c r="K4065">
        <v>0</v>
      </c>
      <c r="L4065">
        <v>100</v>
      </c>
      <c r="M4065">
        <v>61</v>
      </c>
      <c r="N4065">
        <v>613</v>
      </c>
      <c r="O4065">
        <v>86</v>
      </c>
      <c r="P4065">
        <v>55</v>
      </c>
      <c r="Q4065">
        <v>1</v>
      </c>
      <c r="R4065">
        <v>157</v>
      </c>
      <c r="S4065">
        <v>1.57</v>
      </c>
      <c r="U4065">
        <v>1.5249999999999999</v>
      </c>
    </row>
    <row r="4066" spans="1:21" x14ac:dyDescent="0.35">
      <c r="A4066">
        <v>206</v>
      </c>
      <c r="B4066" s="16">
        <v>40848</v>
      </c>
      <c r="C4066" s="15" t="s">
        <v>76</v>
      </c>
      <c r="D4066" s="15" t="s">
        <v>58</v>
      </c>
      <c r="E4066" s="15" t="s">
        <v>51</v>
      </c>
      <c r="F4066" s="15" t="s">
        <v>52</v>
      </c>
      <c r="G4066" s="15" t="s">
        <v>81</v>
      </c>
      <c r="H4066" s="15" t="s">
        <v>45</v>
      </c>
      <c r="I4066">
        <v>120</v>
      </c>
      <c r="J4066">
        <v>180</v>
      </c>
      <c r="K4066">
        <v>120</v>
      </c>
      <c r="L4066">
        <v>300</v>
      </c>
      <c r="M4066">
        <v>130</v>
      </c>
      <c r="N4066">
        <v>1134</v>
      </c>
      <c r="O4066">
        <v>195</v>
      </c>
      <c r="P4066">
        <v>42</v>
      </c>
      <c r="Q4066">
        <v>181</v>
      </c>
      <c r="R4066">
        <v>346</v>
      </c>
      <c r="S4066">
        <v>1.1533333333333333</v>
      </c>
      <c r="T4066">
        <v>1.5083333333333333</v>
      </c>
      <c r="U4066">
        <v>1.0833333333333333</v>
      </c>
    </row>
    <row r="4067" spans="1:21" x14ac:dyDescent="0.35">
      <c r="A4067">
        <v>253</v>
      </c>
      <c r="B4067" s="16">
        <v>40848</v>
      </c>
      <c r="C4067" s="15" t="s">
        <v>76</v>
      </c>
      <c r="D4067" s="15" t="s">
        <v>58</v>
      </c>
      <c r="E4067" s="15" t="s">
        <v>53</v>
      </c>
      <c r="F4067" s="15" t="s">
        <v>52</v>
      </c>
      <c r="G4067" s="15" t="s">
        <v>81</v>
      </c>
      <c r="H4067" s="15" t="s">
        <v>45</v>
      </c>
      <c r="I4067">
        <v>40</v>
      </c>
      <c r="J4067">
        <v>60</v>
      </c>
      <c r="K4067">
        <v>40</v>
      </c>
      <c r="L4067">
        <v>100</v>
      </c>
      <c r="M4067">
        <v>47</v>
      </c>
      <c r="N4067">
        <v>834</v>
      </c>
      <c r="O4067">
        <v>68</v>
      </c>
      <c r="P4067">
        <v>13</v>
      </c>
      <c r="Q4067">
        <v>65</v>
      </c>
      <c r="R4067">
        <v>123</v>
      </c>
      <c r="S4067">
        <v>1.23</v>
      </c>
      <c r="T4067">
        <v>1.625</v>
      </c>
      <c r="U4067">
        <v>1.175</v>
      </c>
    </row>
    <row r="4068" spans="1:21" x14ac:dyDescent="0.35">
      <c r="A4068">
        <v>425</v>
      </c>
      <c r="B4068" s="16">
        <v>40848</v>
      </c>
      <c r="C4068" s="15" t="s">
        <v>76</v>
      </c>
      <c r="D4068" s="15" t="s">
        <v>58</v>
      </c>
      <c r="E4068" s="15" t="s">
        <v>72</v>
      </c>
      <c r="F4068" s="15" t="s">
        <v>49</v>
      </c>
      <c r="G4068" s="15" t="s">
        <v>81</v>
      </c>
      <c r="H4068" s="15" t="s">
        <v>42</v>
      </c>
      <c r="I4068">
        <v>20</v>
      </c>
      <c r="J4068">
        <v>30</v>
      </c>
      <c r="K4068">
        <v>20</v>
      </c>
      <c r="L4068">
        <v>50</v>
      </c>
      <c r="M4068">
        <v>22</v>
      </c>
      <c r="N4068">
        <v>570</v>
      </c>
      <c r="O4068">
        <v>30</v>
      </c>
      <c r="P4068">
        <v>7</v>
      </c>
      <c r="Q4068">
        <v>16</v>
      </c>
      <c r="R4068">
        <v>55</v>
      </c>
      <c r="S4068">
        <v>1.1000000000000001</v>
      </c>
      <c r="T4068">
        <v>0.8</v>
      </c>
      <c r="U4068">
        <v>1.1000000000000001</v>
      </c>
    </row>
    <row r="4069" spans="1:21" x14ac:dyDescent="0.35">
      <c r="A4069">
        <v>206</v>
      </c>
      <c r="B4069" s="16">
        <v>40848</v>
      </c>
      <c r="C4069" s="15" t="s">
        <v>76</v>
      </c>
      <c r="D4069" s="15" t="s">
        <v>58</v>
      </c>
      <c r="E4069" s="15" t="s">
        <v>48</v>
      </c>
      <c r="F4069" s="15" t="s">
        <v>49</v>
      </c>
      <c r="G4069" s="15" t="s">
        <v>81</v>
      </c>
      <c r="H4069" s="15" t="s">
        <v>42</v>
      </c>
      <c r="I4069">
        <v>50</v>
      </c>
      <c r="J4069">
        <v>60</v>
      </c>
      <c r="K4069">
        <v>20</v>
      </c>
      <c r="L4069">
        <v>110</v>
      </c>
      <c r="M4069">
        <v>54</v>
      </c>
      <c r="N4069">
        <v>391</v>
      </c>
      <c r="O4069">
        <v>67</v>
      </c>
      <c r="P4069">
        <v>20</v>
      </c>
      <c r="Q4069">
        <v>19</v>
      </c>
      <c r="R4069">
        <v>129</v>
      </c>
      <c r="S4069">
        <v>1.1727272727272726</v>
      </c>
      <c r="T4069">
        <v>0.95</v>
      </c>
      <c r="U4069">
        <v>1.08</v>
      </c>
    </row>
    <row r="4070" spans="1:21" x14ac:dyDescent="0.35">
      <c r="A4070">
        <v>425</v>
      </c>
      <c r="B4070" s="16">
        <v>40848</v>
      </c>
      <c r="C4070" s="15" t="s">
        <v>76</v>
      </c>
      <c r="D4070" s="15" t="s">
        <v>58</v>
      </c>
      <c r="E4070" s="15" t="s">
        <v>50</v>
      </c>
      <c r="F4070" s="15" t="s">
        <v>49</v>
      </c>
      <c r="G4070" s="15" t="s">
        <v>81</v>
      </c>
      <c r="H4070" s="15" t="s">
        <v>45</v>
      </c>
      <c r="I4070">
        <v>70</v>
      </c>
      <c r="J4070">
        <v>80</v>
      </c>
      <c r="K4070">
        <v>40</v>
      </c>
      <c r="L4070">
        <v>150</v>
      </c>
      <c r="M4070">
        <v>75</v>
      </c>
      <c r="N4070">
        <v>1063</v>
      </c>
      <c r="O4070">
        <v>89</v>
      </c>
      <c r="P4070">
        <v>23</v>
      </c>
      <c r="Q4070">
        <v>67</v>
      </c>
      <c r="R4070">
        <v>175</v>
      </c>
      <c r="S4070">
        <v>1.1666666666666667</v>
      </c>
      <c r="T4070">
        <v>1.675</v>
      </c>
      <c r="U4070">
        <v>1.0714285714285714</v>
      </c>
    </row>
    <row r="4071" spans="1:21" x14ac:dyDescent="0.35">
      <c r="A4071">
        <v>253</v>
      </c>
      <c r="B4071" s="16">
        <v>40848</v>
      </c>
      <c r="C4071" s="15" t="s">
        <v>76</v>
      </c>
      <c r="D4071" s="15" t="s">
        <v>58</v>
      </c>
      <c r="E4071" s="15" t="s">
        <v>43</v>
      </c>
      <c r="F4071" s="15" t="s">
        <v>40</v>
      </c>
      <c r="G4071" s="15" t="s">
        <v>81</v>
      </c>
      <c r="H4071" s="15" t="s">
        <v>42</v>
      </c>
      <c r="I4071">
        <v>70</v>
      </c>
      <c r="J4071">
        <v>110</v>
      </c>
      <c r="K4071">
        <v>70</v>
      </c>
      <c r="L4071">
        <v>180</v>
      </c>
      <c r="M4071">
        <v>63</v>
      </c>
      <c r="N4071">
        <v>446</v>
      </c>
      <c r="O4071">
        <v>93</v>
      </c>
      <c r="P4071">
        <v>20</v>
      </c>
      <c r="Q4071">
        <v>74</v>
      </c>
      <c r="R4071">
        <v>166</v>
      </c>
      <c r="S4071">
        <v>0.92222222222222228</v>
      </c>
      <c r="T4071">
        <v>1.0571428571428572</v>
      </c>
      <c r="U4071">
        <v>0.9</v>
      </c>
    </row>
    <row r="4072" spans="1:21" x14ac:dyDescent="0.35">
      <c r="A4072">
        <v>509</v>
      </c>
      <c r="B4072" s="16">
        <v>40848</v>
      </c>
      <c r="C4072" s="15" t="s">
        <v>76</v>
      </c>
      <c r="D4072" s="15" t="s">
        <v>58</v>
      </c>
      <c r="E4072" s="15" t="s">
        <v>44</v>
      </c>
      <c r="F4072" s="15" t="s">
        <v>40</v>
      </c>
      <c r="G4072" s="15" t="s">
        <v>81</v>
      </c>
      <c r="H4072" s="15" t="s">
        <v>45</v>
      </c>
      <c r="I4072">
        <v>110</v>
      </c>
      <c r="J4072">
        <v>150</v>
      </c>
      <c r="K4072">
        <v>40</v>
      </c>
      <c r="L4072">
        <v>260</v>
      </c>
      <c r="M4072">
        <v>94</v>
      </c>
      <c r="N4072">
        <v>694</v>
      </c>
      <c r="O4072">
        <v>130</v>
      </c>
      <c r="P4072">
        <v>85</v>
      </c>
      <c r="Q4072">
        <v>24</v>
      </c>
      <c r="R4072">
        <v>239</v>
      </c>
      <c r="S4072">
        <v>0.91923076923076918</v>
      </c>
      <c r="T4072">
        <v>0.6</v>
      </c>
      <c r="U4072">
        <v>0.8545454545454545</v>
      </c>
    </row>
    <row r="4073" spans="1:21" x14ac:dyDescent="0.35">
      <c r="A4073">
        <v>970</v>
      </c>
      <c r="B4073" s="16">
        <v>40878</v>
      </c>
      <c r="C4073" s="15" t="s">
        <v>37</v>
      </c>
      <c r="D4073" s="15" t="s">
        <v>38</v>
      </c>
      <c r="E4073" s="15" t="s">
        <v>51</v>
      </c>
      <c r="F4073" s="15" t="s">
        <v>52</v>
      </c>
      <c r="G4073" s="15" t="s">
        <v>41</v>
      </c>
      <c r="H4073" s="15" t="s">
        <v>45</v>
      </c>
      <c r="I4073">
        <v>140</v>
      </c>
      <c r="J4073">
        <v>140</v>
      </c>
      <c r="K4073">
        <v>80</v>
      </c>
      <c r="L4073">
        <v>280</v>
      </c>
      <c r="M4073">
        <v>153</v>
      </c>
      <c r="N4073">
        <v>1319</v>
      </c>
      <c r="O4073">
        <v>153</v>
      </c>
      <c r="P4073">
        <v>42</v>
      </c>
      <c r="Q4073">
        <v>129</v>
      </c>
      <c r="R4073">
        <v>326</v>
      </c>
      <c r="S4073">
        <v>1.1642857142857144</v>
      </c>
      <c r="T4073">
        <v>1.6125</v>
      </c>
      <c r="U4073">
        <v>1.0928571428571427</v>
      </c>
    </row>
    <row r="4074" spans="1:21" x14ac:dyDescent="0.35">
      <c r="A4074">
        <v>719</v>
      </c>
      <c r="B4074" s="16">
        <v>40878</v>
      </c>
      <c r="C4074" s="15" t="s">
        <v>37</v>
      </c>
      <c r="D4074" s="15" t="s">
        <v>38</v>
      </c>
      <c r="E4074" s="15" t="s">
        <v>53</v>
      </c>
      <c r="F4074" s="15" t="s">
        <v>52</v>
      </c>
      <c r="G4074" s="15" t="s">
        <v>41</v>
      </c>
      <c r="H4074" s="15" t="s">
        <v>45</v>
      </c>
      <c r="I4074">
        <v>40</v>
      </c>
      <c r="J4074">
        <v>60</v>
      </c>
      <c r="K4074">
        <v>0</v>
      </c>
      <c r="L4074">
        <v>100</v>
      </c>
      <c r="M4074">
        <v>47</v>
      </c>
      <c r="N4074">
        <v>521</v>
      </c>
      <c r="O4074">
        <v>65</v>
      </c>
      <c r="P4074">
        <v>42</v>
      </c>
      <c r="Q4074">
        <v>-9</v>
      </c>
      <c r="R4074">
        <v>119</v>
      </c>
      <c r="S4074">
        <v>1.19</v>
      </c>
      <c r="U4074">
        <v>1.175</v>
      </c>
    </row>
    <row r="4075" spans="1:21" x14ac:dyDescent="0.35">
      <c r="A4075">
        <v>970</v>
      </c>
      <c r="B4075" s="16">
        <v>40878</v>
      </c>
      <c r="C4075" s="15" t="s">
        <v>37</v>
      </c>
      <c r="D4075" s="15" t="s">
        <v>38</v>
      </c>
      <c r="E4075" s="15" t="s">
        <v>54</v>
      </c>
      <c r="F4075" s="15" t="s">
        <v>52</v>
      </c>
      <c r="G4075" s="15" t="s">
        <v>41</v>
      </c>
      <c r="H4075" s="15" t="s">
        <v>45</v>
      </c>
      <c r="I4075">
        <v>50</v>
      </c>
      <c r="J4075">
        <v>60</v>
      </c>
      <c r="K4075">
        <v>30</v>
      </c>
      <c r="L4075">
        <v>110</v>
      </c>
      <c r="M4075">
        <v>54</v>
      </c>
      <c r="N4075">
        <v>424</v>
      </c>
      <c r="O4075">
        <v>73</v>
      </c>
      <c r="P4075">
        <v>17</v>
      </c>
      <c r="Q4075">
        <v>43</v>
      </c>
      <c r="R4075">
        <v>135</v>
      </c>
      <c r="S4075">
        <v>1.2272727272727273</v>
      </c>
      <c r="T4075">
        <v>1.4333333333333333</v>
      </c>
      <c r="U4075">
        <v>1.08</v>
      </c>
    </row>
    <row r="4076" spans="1:21" x14ac:dyDescent="0.35">
      <c r="A4076">
        <v>303</v>
      </c>
      <c r="B4076" s="16">
        <v>40878</v>
      </c>
      <c r="C4076" s="15" t="s">
        <v>37</v>
      </c>
      <c r="D4076" s="15" t="s">
        <v>38</v>
      </c>
      <c r="E4076" s="15" t="s">
        <v>55</v>
      </c>
      <c r="F4076" s="15" t="s">
        <v>47</v>
      </c>
      <c r="G4076" s="15" t="s">
        <v>41</v>
      </c>
      <c r="H4076" s="15" t="s">
        <v>42</v>
      </c>
      <c r="I4076">
        <v>30</v>
      </c>
      <c r="J4076">
        <v>50</v>
      </c>
      <c r="K4076">
        <v>10</v>
      </c>
      <c r="L4076">
        <v>80</v>
      </c>
      <c r="M4076">
        <v>46</v>
      </c>
      <c r="N4076">
        <v>422</v>
      </c>
      <c r="O4076">
        <v>57</v>
      </c>
      <c r="P4076">
        <v>17</v>
      </c>
      <c r="Q4076">
        <v>9</v>
      </c>
      <c r="R4076">
        <v>110</v>
      </c>
      <c r="S4076">
        <v>1.375</v>
      </c>
      <c r="T4076">
        <v>0.9</v>
      </c>
      <c r="U4076">
        <v>1.5333333333333334</v>
      </c>
    </row>
    <row r="4077" spans="1:21" x14ac:dyDescent="0.35">
      <c r="A4077">
        <v>970</v>
      </c>
      <c r="B4077" s="16">
        <v>40878</v>
      </c>
      <c r="C4077" s="15" t="s">
        <v>37</v>
      </c>
      <c r="D4077" s="15" t="s">
        <v>38</v>
      </c>
      <c r="E4077" s="15" t="s">
        <v>56</v>
      </c>
      <c r="F4077" s="15" t="s">
        <v>47</v>
      </c>
      <c r="G4077" s="15" t="s">
        <v>41</v>
      </c>
      <c r="H4077" s="15" t="s">
        <v>42</v>
      </c>
      <c r="I4077">
        <v>40</v>
      </c>
      <c r="J4077">
        <v>50</v>
      </c>
      <c r="K4077">
        <v>20</v>
      </c>
      <c r="L4077">
        <v>90</v>
      </c>
      <c r="M4077">
        <v>53</v>
      </c>
      <c r="N4077">
        <v>1054</v>
      </c>
      <c r="O4077">
        <v>63</v>
      </c>
      <c r="P4077">
        <v>16</v>
      </c>
      <c r="Q4077">
        <v>39</v>
      </c>
      <c r="R4077">
        <v>124</v>
      </c>
      <c r="S4077">
        <v>1.3777777777777778</v>
      </c>
      <c r="T4077">
        <v>1.95</v>
      </c>
      <c r="U4077">
        <v>1.325</v>
      </c>
    </row>
    <row r="4078" spans="1:21" x14ac:dyDescent="0.35">
      <c r="A4078">
        <v>719</v>
      </c>
      <c r="B4078" s="16">
        <v>40878</v>
      </c>
      <c r="C4078" s="15" t="s">
        <v>37</v>
      </c>
      <c r="D4078" s="15" t="s">
        <v>38</v>
      </c>
      <c r="E4078" s="15" t="s">
        <v>46</v>
      </c>
      <c r="F4078" s="15" t="s">
        <v>47</v>
      </c>
      <c r="G4078" s="15" t="s">
        <v>41</v>
      </c>
      <c r="H4078" s="15" t="s">
        <v>42</v>
      </c>
      <c r="I4078">
        <v>60</v>
      </c>
      <c r="J4078">
        <v>90</v>
      </c>
      <c r="K4078">
        <v>60</v>
      </c>
      <c r="L4078">
        <v>150</v>
      </c>
      <c r="M4078">
        <v>81</v>
      </c>
      <c r="N4078">
        <v>551</v>
      </c>
      <c r="O4078">
        <v>104</v>
      </c>
      <c r="P4078">
        <v>26</v>
      </c>
      <c r="Q4078">
        <v>98</v>
      </c>
      <c r="R4078">
        <v>197</v>
      </c>
      <c r="S4078">
        <v>1.3133333333333332</v>
      </c>
      <c r="T4078">
        <v>1.6333333333333333</v>
      </c>
      <c r="U4078">
        <v>1.35</v>
      </c>
    </row>
    <row r="4079" spans="1:21" x14ac:dyDescent="0.35">
      <c r="A4079">
        <v>970</v>
      </c>
      <c r="B4079" s="16">
        <v>40878</v>
      </c>
      <c r="C4079" s="15" t="s">
        <v>37</v>
      </c>
      <c r="D4079" s="15" t="s">
        <v>38</v>
      </c>
      <c r="E4079" s="15" t="s">
        <v>48</v>
      </c>
      <c r="F4079" s="15" t="s">
        <v>49</v>
      </c>
      <c r="G4079" s="15" t="s">
        <v>41</v>
      </c>
      <c r="H4079" s="15" t="s">
        <v>42</v>
      </c>
      <c r="I4079">
        <v>60</v>
      </c>
      <c r="J4079">
        <v>110</v>
      </c>
      <c r="K4079">
        <v>90</v>
      </c>
      <c r="L4079">
        <v>170</v>
      </c>
      <c r="M4079">
        <v>54</v>
      </c>
      <c r="N4079">
        <v>601</v>
      </c>
      <c r="O4079">
        <v>79</v>
      </c>
      <c r="P4079">
        <v>15</v>
      </c>
      <c r="Q4079">
        <v>79</v>
      </c>
      <c r="R4079">
        <v>142</v>
      </c>
      <c r="S4079">
        <v>0.83529411764705885</v>
      </c>
      <c r="T4079">
        <v>0.87777777777777777</v>
      </c>
      <c r="U4079">
        <v>0.9</v>
      </c>
    </row>
    <row r="4080" spans="1:21" x14ac:dyDescent="0.35">
      <c r="A4080">
        <v>720</v>
      </c>
      <c r="B4080" s="16">
        <v>40878</v>
      </c>
      <c r="C4080" s="15" t="s">
        <v>37</v>
      </c>
      <c r="D4080" s="15" t="s">
        <v>38</v>
      </c>
      <c r="E4080" s="15" t="s">
        <v>50</v>
      </c>
      <c r="F4080" s="15" t="s">
        <v>49</v>
      </c>
      <c r="G4080" s="15" t="s">
        <v>41</v>
      </c>
      <c r="H4080" s="15" t="s">
        <v>45</v>
      </c>
      <c r="I4080">
        <v>80</v>
      </c>
      <c r="J4080">
        <v>130</v>
      </c>
      <c r="K4080">
        <v>80</v>
      </c>
      <c r="L4080">
        <v>210</v>
      </c>
      <c r="M4080">
        <v>67</v>
      </c>
      <c r="N4080">
        <v>677</v>
      </c>
      <c r="O4080">
        <v>101</v>
      </c>
      <c r="P4080">
        <v>22</v>
      </c>
      <c r="Q4080">
        <v>70</v>
      </c>
      <c r="R4080">
        <v>179</v>
      </c>
      <c r="S4080">
        <v>0.85238095238095235</v>
      </c>
      <c r="T4080">
        <v>0.875</v>
      </c>
      <c r="U4080">
        <v>0.83750000000000002</v>
      </c>
    </row>
    <row r="4081" spans="1:21" x14ac:dyDescent="0.35">
      <c r="A4081">
        <v>303</v>
      </c>
      <c r="B4081" s="16">
        <v>40878</v>
      </c>
      <c r="C4081" s="15" t="s">
        <v>37</v>
      </c>
      <c r="D4081" s="15" t="s">
        <v>38</v>
      </c>
      <c r="E4081" s="15" t="s">
        <v>39</v>
      </c>
      <c r="F4081" s="15" t="s">
        <v>40</v>
      </c>
      <c r="G4081" s="15" t="s">
        <v>41</v>
      </c>
      <c r="H4081" s="15" t="s">
        <v>42</v>
      </c>
      <c r="I4081">
        <v>120</v>
      </c>
      <c r="J4081">
        <v>170</v>
      </c>
      <c r="K4081">
        <v>130</v>
      </c>
      <c r="L4081">
        <v>290</v>
      </c>
      <c r="M4081">
        <v>123</v>
      </c>
      <c r="N4081">
        <v>959</v>
      </c>
      <c r="O4081">
        <v>179</v>
      </c>
      <c r="P4081">
        <v>34</v>
      </c>
      <c r="Q4081">
        <v>199</v>
      </c>
      <c r="R4081">
        <v>322</v>
      </c>
      <c r="S4081">
        <v>1.1103448275862069</v>
      </c>
      <c r="T4081">
        <v>1.5307692307692307</v>
      </c>
      <c r="U4081">
        <v>1.0249999999999999</v>
      </c>
    </row>
    <row r="4082" spans="1:21" x14ac:dyDescent="0.35">
      <c r="A4082">
        <v>970</v>
      </c>
      <c r="B4082" s="16">
        <v>40878</v>
      </c>
      <c r="C4082" s="15" t="s">
        <v>37</v>
      </c>
      <c r="D4082" s="15" t="s">
        <v>38</v>
      </c>
      <c r="E4082" s="15" t="s">
        <v>43</v>
      </c>
      <c r="F4082" s="15" t="s">
        <v>40</v>
      </c>
      <c r="G4082" s="15" t="s">
        <v>41</v>
      </c>
      <c r="H4082" s="15" t="s">
        <v>42</v>
      </c>
      <c r="I4082">
        <v>40</v>
      </c>
      <c r="J4082">
        <v>50</v>
      </c>
      <c r="K4082">
        <v>30</v>
      </c>
      <c r="L4082">
        <v>90</v>
      </c>
      <c r="M4082">
        <v>43</v>
      </c>
      <c r="N4082">
        <v>531</v>
      </c>
      <c r="O4082">
        <v>56</v>
      </c>
      <c r="P4082">
        <v>14</v>
      </c>
      <c r="Q4082">
        <v>43</v>
      </c>
      <c r="R4082">
        <v>106</v>
      </c>
      <c r="S4082">
        <v>1.1777777777777778</v>
      </c>
      <c r="T4082">
        <v>1.4333333333333333</v>
      </c>
      <c r="U4082">
        <v>1.075</v>
      </c>
    </row>
    <row r="4083" spans="1:21" x14ac:dyDescent="0.35">
      <c r="A4083">
        <v>720</v>
      </c>
      <c r="B4083" s="16">
        <v>40878</v>
      </c>
      <c r="C4083" s="15" t="s">
        <v>37</v>
      </c>
      <c r="D4083" s="15" t="s">
        <v>38</v>
      </c>
      <c r="E4083" s="15" t="s">
        <v>44</v>
      </c>
      <c r="F4083" s="15" t="s">
        <v>40</v>
      </c>
      <c r="G4083" s="15" t="s">
        <v>41</v>
      </c>
      <c r="H4083" s="15" t="s">
        <v>45</v>
      </c>
      <c r="I4083">
        <v>80</v>
      </c>
      <c r="J4083">
        <v>120</v>
      </c>
      <c r="K4083">
        <v>90</v>
      </c>
      <c r="L4083">
        <v>200</v>
      </c>
      <c r="M4083">
        <v>86</v>
      </c>
      <c r="N4083">
        <v>1003</v>
      </c>
      <c r="O4083">
        <v>124</v>
      </c>
      <c r="P4083">
        <v>24</v>
      </c>
      <c r="Q4083">
        <v>131</v>
      </c>
      <c r="R4083">
        <v>224</v>
      </c>
      <c r="S4083">
        <v>1.1200000000000001</v>
      </c>
      <c r="T4083">
        <v>1.4555555555555555</v>
      </c>
      <c r="U4083">
        <v>1.075</v>
      </c>
    </row>
    <row r="4084" spans="1:21" x14ac:dyDescent="0.35">
      <c r="A4084">
        <v>618</v>
      </c>
      <c r="B4084" s="16">
        <v>40878</v>
      </c>
      <c r="C4084" s="15" t="s">
        <v>37</v>
      </c>
      <c r="D4084" s="15" t="s">
        <v>38</v>
      </c>
      <c r="E4084" s="15" t="s">
        <v>51</v>
      </c>
      <c r="F4084" s="15" t="s">
        <v>52</v>
      </c>
      <c r="G4084" s="15" t="s">
        <v>57</v>
      </c>
      <c r="H4084" s="15" t="s">
        <v>45</v>
      </c>
      <c r="I4084">
        <v>110</v>
      </c>
      <c r="J4084">
        <v>170</v>
      </c>
      <c r="K4084">
        <v>130</v>
      </c>
      <c r="L4084">
        <v>280</v>
      </c>
      <c r="M4084">
        <v>123</v>
      </c>
      <c r="N4084">
        <v>959</v>
      </c>
      <c r="O4084">
        <v>179</v>
      </c>
      <c r="P4084">
        <v>34</v>
      </c>
      <c r="Q4084">
        <v>197</v>
      </c>
      <c r="R4084">
        <v>322</v>
      </c>
      <c r="S4084">
        <v>1.1499999999999999</v>
      </c>
      <c r="T4084">
        <v>1.5153846153846153</v>
      </c>
      <c r="U4084">
        <v>1.1181818181818182</v>
      </c>
    </row>
    <row r="4085" spans="1:21" x14ac:dyDescent="0.35">
      <c r="A4085">
        <v>312</v>
      </c>
      <c r="B4085" s="16">
        <v>40878</v>
      </c>
      <c r="C4085" s="15" t="s">
        <v>37</v>
      </c>
      <c r="D4085" s="15" t="s">
        <v>38</v>
      </c>
      <c r="E4085" s="15" t="s">
        <v>53</v>
      </c>
      <c r="F4085" s="15" t="s">
        <v>52</v>
      </c>
      <c r="G4085" s="15" t="s">
        <v>57</v>
      </c>
      <c r="H4085" s="15" t="s">
        <v>45</v>
      </c>
      <c r="I4085">
        <v>40</v>
      </c>
      <c r="J4085">
        <v>50</v>
      </c>
      <c r="K4085">
        <v>30</v>
      </c>
      <c r="L4085">
        <v>90</v>
      </c>
      <c r="M4085">
        <v>43</v>
      </c>
      <c r="N4085">
        <v>531</v>
      </c>
      <c r="O4085">
        <v>56</v>
      </c>
      <c r="P4085">
        <v>14</v>
      </c>
      <c r="Q4085">
        <v>43</v>
      </c>
      <c r="R4085">
        <v>106</v>
      </c>
      <c r="S4085">
        <v>1.1777777777777778</v>
      </c>
      <c r="T4085">
        <v>1.4333333333333333</v>
      </c>
      <c r="U4085">
        <v>1.075</v>
      </c>
    </row>
    <row r="4086" spans="1:21" x14ac:dyDescent="0.35">
      <c r="A4086">
        <v>312</v>
      </c>
      <c r="B4086" s="16">
        <v>40878</v>
      </c>
      <c r="C4086" s="15" t="s">
        <v>37</v>
      </c>
      <c r="D4086" s="15" t="s">
        <v>38</v>
      </c>
      <c r="E4086" s="15" t="s">
        <v>54</v>
      </c>
      <c r="F4086" s="15" t="s">
        <v>52</v>
      </c>
      <c r="G4086" s="15" t="s">
        <v>57</v>
      </c>
      <c r="H4086" s="15" t="s">
        <v>45</v>
      </c>
      <c r="I4086">
        <v>80</v>
      </c>
      <c r="J4086">
        <v>110</v>
      </c>
      <c r="K4086">
        <v>80</v>
      </c>
      <c r="L4086">
        <v>190</v>
      </c>
      <c r="M4086">
        <v>86</v>
      </c>
      <c r="N4086">
        <v>1003</v>
      </c>
      <c r="O4086">
        <v>124</v>
      </c>
      <c r="P4086">
        <v>24</v>
      </c>
      <c r="Q4086">
        <v>131</v>
      </c>
      <c r="R4086">
        <v>224</v>
      </c>
      <c r="S4086">
        <v>1.1789473684210525</v>
      </c>
      <c r="T4086">
        <v>1.6375</v>
      </c>
      <c r="U4086">
        <v>1.075</v>
      </c>
    </row>
    <row r="4087" spans="1:21" x14ac:dyDescent="0.35">
      <c r="A4087">
        <v>630</v>
      </c>
      <c r="B4087" s="16">
        <v>40878</v>
      </c>
      <c r="C4087" s="15" t="s">
        <v>37</v>
      </c>
      <c r="D4087" s="15" t="s">
        <v>38</v>
      </c>
      <c r="E4087" s="15" t="s">
        <v>55</v>
      </c>
      <c r="F4087" s="15" t="s">
        <v>47</v>
      </c>
      <c r="G4087" s="15" t="s">
        <v>57</v>
      </c>
      <c r="H4087" s="15" t="s">
        <v>42</v>
      </c>
      <c r="I4087">
        <v>40</v>
      </c>
      <c r="J4087">
        <v>70</v>
      </c>
      <c r="K4087">
        <v>50</v>
      </c>
      <c r="L4087">
        <v>110</v>
      </c>
      <c r="M4087">
        <v>54</v>
      </c>
      <c r="N4087">
        <v>601</v>
      </c>
      <c r="O4087">
        <v>79</v>
      </c>
      <c r="P4087">
        <v>15</v>
      </c>
      <c r="Q4087">
        <v>79</v>
      </c>
      <c r="R4087">
        <v>142</v>
      </c>
      <c r="S4087">
        <v>1.290909090909091</v>
      </c>
      <c r="T4087">
        <v>1.58</v>
      </c>
      <c r="U4087">
        <v>1.35</v>
      </c>
    </row>
    <row r="4088" spans="1:21" x14ac:dyDescent="0.35">
      <c r="A4088">
        <v>708</v>
      </c>
      <c r="B4088" s="16">
        <v>40878</v>
      </c>
      <c r="C4088" s="15" t="s">
        <v>37</v>
      </c>
      <c r="D4088" s="15" t="s">
        <v>38</v>
      </c>
      <c r="E4088" s="15" t="s">
        <v>56</v>
      </c>
      <c r="F4088" s="15" t="s">
        <v>47</v>
      </c>
      <c r="G4088" s="15" t="s">
        <v>57</v>
      </c>
      <c r="H4088" s="15" t="s">
        <v>42</v>
      </c>
      <c r="I4088">
        <v>50</v>
      </c>
      <c r="J4088">
        <v>80</v>
      </c>
      <c r="K4088">
        <v>40</v>
      </c>
      <c r="L4088">
        <v>130</v>
      </c>
      <c r="M4088">
        <v>67</v>
      </c>
      <c r="N4088">
        <v>677</v>
      </c>
      <c r="O4088">
        <v>101</v>
      </c>
      <c r="P4088">
        <v>22</v>
      </c>
      <c r="Q4088">
        <v>70</v>
      </c>
      <c r="R4088">
        <v>179</v>
      </c>
      <c r="S4088">
        <v>1.3769230769230769</v>
      </c>
      <c r="T4088">
        <v>1.75</v>
      </c>
      <c r="U4088">
        <v>1.34</v>
      </c>
    </row>
    <row r="4089" spans="1:21" x14ac:dyDescent="0.35">
      <c r="A4089">
        <v>708</v>
      </c>
      <c r="B4089" s="16">
        <v>40878</v>
      </c>
      <c r="C4089" s="15" t="s">
        <v>37</v>
      </c>
      <c r="D4089" s="15" t="s">
        <v>38</v>
      </c>
      <c r="E4089" s="15" t="s">
        <v>48</v>
      </c>
      <c r="F4089" s="15" t="s">
        <v>49</v>
      </c>
      <c r="G4089" s="15" t="s">
        <v>57</v>
      </c>
      <c r="H4089" s="15" t="s">
        <v>42</v>
      </c>
      <c r="I4089">
        <v>310</v>
      </c>
      <c r="J4089">
        <v>420</v>
      </c>
      <c r="K4089">
        <v>320</v>
      </c>
      <c r="L4089">
        <v>730</v>
      </c>
      <c r="M4089">
        <v>247</v>
      </c>
      <c r="N4089">
        <v>1744</v>
      </c>
      <c r="O4089">
        <v>329</v>
      </c>
      <c r="P4089">
        <v>81</v>
      </c>
      <c r="Q4089">
        <v>321</v>
      </c>
      <c r="R4089">
        <v>614</v>
      </c>
      <c r="S4089">
        <v>0.84109589041095889</v>
      </c>
      <c r="T4089">
        <v>1.003125</v>
      </c>
      <c r="U4089">
        <v>0.79677419354838708</v>
      </c>
    </row>
    <row r="4090" spans="1:21" x14ac:dyDescent="0.35">
      <c r="A4090">
        <v>773</v>
      </c>
      <c r="B4090" s="16">
        <v>40878</v>
      </c>
      <c r="C4090" s="15" t="s">
        <v>37</v>
      </c>
      <c r="D4090" s="15" t="s">
        <v>38</v>
      </c>
      <c r="E4090" s="15" t="s">
        <v>50</v>
      </c>
      <c r="F4090" s="15" t="s">
        <v>49</v>
      </c>
      <c r="G4090" s="15" t="s">
        <v>57</v>
      </c>
      <c r="H4090" s="15" t="s">
        <v>45</v>
      </c>
      <c r="I4090">
        <v>320</v>
      </c>
      <c r="J4090">
        <v>320</v>
      </c>
      <c r="K4090">
        <v>240</v>
      </c>
      <c r="L4090">
        <v>640</v>
      </c>
      <c r="M4090">
        <v>250</v>
      </c>
      <c r="N4090">
        <v>1820</v>
      </c>
      <c r="O4090">
        <v>251</v>
      </c>
      <c r="P4090">
        <v>70</v>
      </c>
      <c r="Q4090">
        <v>233</v>
      </c>
      <c r="R4090">
        <v>534</v>
      </c>
      <c r="S4090">
        <v>0.83437499999999998</v>
      </c>
      <c r="T4090">
        <v>0.97083333333333333</v>
      </c>
      <c r="U4090">
        <v>0.78125</v>
      </c>
    </row>
    <row r="4091" spans="1:21" x14ac:dyDescent="0.35">
      <c r="A4091">
        <v>312</v>
      </c>
      <c r="B4091" s="16">
        <v>40878</v>
      </c>
      <c r="C4091" s="15" t="s">
        <v>37</v>
      </c>
      <c r="D4091" s="15" t="s">
        <v>38</v>
      </c>
      <c r="E4091" s="15" t="s">
        <v>43</v>
      </c>
      <c r="F4091" s="15" t="s">
        <v>40</v>
      </c>
      <c r="G4091" s="15" t="s">
        <v>57</v>
      </c>
      <c r="H4091" s="15" t="s">
        <v>42</v>
      </c>
      <c r="I4091">
        <v>220</v>
      </c>
      <c r="J4091">
        <v>300</v>
      </c>
      <c r="K4091">
        <v>190</v>
      </c>
      <c r="L4091">
        <v>520</v>
      </c>
      <c r="M4091">
        <v>224</v>
      </c>
      <c r="N4091">
        <v>1191</v>
      </c>
      <c r="O4091">
        <v>310</v>
      </c>
      <c r="P4091">
        <v>73</v>
      </c>
      <c r="Q4091">
        <v>288</v>
      </c>
      <c r="R4091">
        <v>569</v>
      </c>
      <c r="S4091">
        <v>1.0942307692307693</v>
      </c>
      <c r="T4091">
        <v>1.5157894736842106</v>
      </c>
      <c r="U4091">
        <v>1.0181818181818181</v>
      </c>
    </row>
    <row r="4092" spans="1:21" x14ac:dyDescent="0.35">
      <c r="A4092">
        <v>312</v>
      </c>
      <c r="B4092" s="16">
        <v>40878</v>
      </c>
      <c r="C4092" s="15" t="s">
        <v>37</v>
      </c>
      <c r="D4092" s="15" t="s">
        <v>38</v>
      </c>
      <c r="E4092" s="15" t="s">
        <v>44</v>
      </c>
      <c r="F4092" s="15" t="s">
        <v>40</v>
      </c>
      <c r="G4092" s="15" t="s">
        <v>57</v>
      </c>
      <c r="H4092" s="15" t="s">
        <v>45</v>
      </c>
      <c r="I4092">
        <v>120</v>
      </c>
      <c r="J4092">
        <v>180</v>
      </c>
      <c r="K4092">
        <v>130</v>
      </c>
      <c r="L4092">
        <v>300</v>
      </c>
      <c r="M4092">
        <v>127</v>
      </c>
      <c r="N4092">
        <v>830</v>
      </c>
      <c r="O4092">
        <v>185</v>
      </c>
      <c r="P4092">
        <v>40</v>
      </c>
      <c r="Q4092">
        <v>181</v>
      </c>
      <c r="R4092">
        <v>332</v>
      </c>
      <c r="S4092">
        <v>1.1066666666666667</v>
      </c>
      <c r="T4092">
        <v>1.3923076923076922</v>
      </c>
      <c r="U4092">
        <v>1.0583333333333333</v>
      </c>
    </row>
    <row r="4093" spans="1:21" x14ac:dyDescent="0.35">
      <c r="A4093">
        <v>515</v>
      </c>
      <c r="B4093" s="16">
        <v>40878</v>
      </c>
      <c r="C4093" s="15" t="s">
        <v>37</v>
      </c>
      <c r="D4093" s="15" t="s">
        <v>58</v>
      </c>
      <c r="E4093" s="15" t="s">
        <v>51</v>
      </c>
      <c r="F4093" s="15" t="s">
        <v>52</v>
      </c>
      <c r="G4093" s="15" t="s">
        <v>59</v>
      </c>
      <c r="H4093" s="15" t="s">
        <v>45</v>
      </c>
      <c r="I4093">
        <v>230</v>
      </c>
      <c r="J4093">
        <v>300</v>
      </c>
      <c r="K4093">
        <v>200</v>
      </c>
      <c r="L4093">
        <v>530</v>
      </c>
      <c r="M4093">
        <v>247</v>
      </c>
      <c r="N4093">
        <v>1744</v>
      </c>
      <c r="O4093">
        <v>329</v>
      </c>
      <c r="P4093">
        <v>81</v>
      </c>
      <c r="Q4093">
        <v>321</v>
      </c>
      <c r="R4093">
        <v>614</v>
      </c>
      <c r="S4093">
        <v>1.1584905660377358</v>
      </c>
      <c r="T4093">
        <v>1.605</v>
      </c>
      <c r="U4093">
        <v>1.0739130434782609</v>
      </c>
    </row>
    <row r="4094" spans="1:21" x14ac:dyDescent="0.35">
      <c r="A4094">
        <v>515</v>
      </c>
      <c r="B4094" s="16">
        <v>40878</v>
      </c>
      <c r="C4094" s="15" t="s">
        <v>37</v>
      </c>
      <c r="D4094" s="15" t="s">
        <v>58</v>
      </c>
      <c r="E4094" s="15" t="s">
        <v>53</v>
      </c>
      <c r="F4094" s="15" t="s">
        <v>52</v>
      </c>
      <c r="G4094" s="15" t="s">
        <v>59</v>
      </c>
      <c r="H4094" s="15" t="s">
        <v>45</v>
      </c>
      <c r="I4094">
        <v>120</v>
      </c>
      <c r="J4094">
        <v>170</v>
      </c>
      <c r="K4094">
        <v>120</v>
      </c>
      <c r="L4094">
        <v>290</v>
      </c>
      <c r="M4094">
        <v>127</v>
      </c>
      <c r="N4094">
        <v>830</v>
      </c>
      <c r="O4094">
        <v>185</v>
      </c>
      <c r="P4094">
        <v>40</v>
      </c>
      <c r="Q4094">
        <v>183</v>
      </c>
      <c r="R4094">
        <v>332</v>
      </c>
      <c r="S4094">
        <v>1.1448275862068966</v>
      </c>
      <c r="T4094">
        <v>1.5249999999999999</v>
      </c>
      <c r="U4094">
        <v>1.0583333333333333</v>
      </c>
    </row>
    <row r="4095" spans="1:21" x14ac:dyDescent="0.35">
      <c r="A4095">
        <v>641</v>
      </c>
      <c r="B4095" s="16">
        <v>40878</v>
      </c>
      <c r="C4095" s="15" t="s">
        <v>37</v>
      </c>
      <c r="D4095" s="15" t="s">
        <v>58</v>
      </c>
      <c r="E4095" s="15" t="s">
        <v>55</v>
      </c>
      <c r="F4095" s="15" t="s">
        <v>47</v>
      </c>
      <c r="G4095" s="15" t="s">
        <v>59</v>
      </c>
      <c r="H4095" s="15" t="s">
        <v>42</v>
      </c>
      <c r="I4095">
        <v>210</v>
      </c>
      <c r="J4095">
        <v>200</v>
      </c>
      <c r="K4095">
        <v>120</v>
      </c>
      <c r="L4095">
        <v>410</v>
      </c>
      <c r="M4095">
        <v>250</v>
      </c>
      <c r="N4095">
        <v>1820</v>
      </c>
      <c r="O4095">
        <v>251</v>
      </c>
      <c r="P4095">
        <v>70</v>
      </c>
      <c r="Q4095">
        <v>232</v>
      </c>
      <c r="R4095">
        <v>534</v>
      </c>
      <c r="S4095">
        <v>1.3024390243902439</v>
      </c>
      <c r="T4095">
        <v>1.9333333333333333</v>
      </c>
      <c r="U4095">
        <v>1.1904761904761905</v>
      </c>
    </row>
    <row r="4096" spans="1:21" x14ac:dyDescent="0.35">
      <c r="A4096">
        <v>563</v>
      </c>
      <c r="B4096" s="16">
        <v>40878</v>
      </c>
      <c r="C4096" s="15" t="s">
        <v>37</v>
      </c>
      <c r="D4096" s="15" t="s">
        <v>58</v>
      </c>
      <c r="E4096" s="15" t="s">
        <v>56</v>
      </c>
      <c r="F4096" s="15" t="s">
        <v>47</v>
      </c>
      <c r="G4096" s="15" t="s">
        <v>59</v>
      </c>
      <c r="H4096" s="15" t="s">
        <v>42</v>
      </c>
      <c r="I4096">
        <v>240</v>
      </c>
      <c r="J4096">
        <v>300</v>
      </c>
      <c r="K4096">
        <v>170</v>
      </c>
      <c r="L4096">
        <v>540</v>
      </c>
      <c r="M4096">
        <v>294</v>
      </c>
      <c r="N4096">
        <v>1838</v>
      </c>
      <c r="O4096">
        <v>360</v>
      </c>
      <c r="P4096">
        <v>111</v>
      </c>
      <c r="Q4096">
        <v>321</v>
      </c>
      <c r="R4096">
        <v>697</v>
      </c>
      <c r="S4096">
        <v>1.2907407407407407</v>
      </c>
      <c r="T4096">
        <v>1.888235294117647</v>
      </c>
      <c r="U4096">
        <v>1.2250000000000001</v>
      </c>
    </row>
    <row r="4097" spans="1:21" x14ac:dyDescent="0.35">
      <c r="A4097">
        <v>515</v>
      </c>
      <c r="B4097" s="16">
        <v>40878</v>
      </c>
      <c r="C4097" s="15" t="s">
        <v>37</v>
      </c>
      <c r="D4097" s="15" t="s">
        <v>58</v>
      </c>
      <c r="E4097" s="15" t="s">
        <v>48</v>
      </c>
      <c r="F4097" s="15" t="s">
        <v>49</v>
      </c>
      <c r="G4097" s="15" t="s">
        <v>59</v>
      </c>
      <c r="H4097" s="15" t="s">
        <v>42</v>
      </c>
      <c r="I4097">
        <v>20</v>
      </c>
      <c r="J4097">
        <v>50</v>
      </c>
      <c r="K4097">
        <v>40</v>
      </c>
      <c r="L4097">
        <v>70</v>
      </c>
      <c r="M4097">
        <v>23</v>
      </c>
      <c r="N4097">
        <v>807</v>
      </c>
      <c r="O4097">
        <v>35</v>
      </c>
      <c r="P4097">
        <v>6</v>
      </c>
      <c r="Q4097">
        <v>25</v>
      </c>
      <c r="R4097">
        <v>62</v>
      </c>
      <c r="S4097">
        <v>0.88571428571428568</v>
      </c>
      <c r="T4097">
        <v>0.625</v>
      </c>
      <c r="U4097">
        <v>1.1499999999999999</v>
      </c>
    </row>
    <row r="4098" spans="1:21" x14ac:dyDescent="0.35">
      <c r="A4098">
        <v>563</v>
      </c>
      <c r="B4098" s="16">
        <v>40878</v>
      </c>
      <c r="C4098" s="15" t="s">
        <v>37</v>
      </c>
      <c r="D4098" s="15" t="s">
        <v>58</v>
      </c>
      <c r="E4098" s="15" t="s">
        <v>50</v>
      </c>
      <c r="F4098" s="15" t="s">
        <v>49</v>
      </c>
      <c r="G4098" s="15" t="s">
        <v>59</v>
      </c>
      <c r="H4098" s="15" t="s">
        <v>45</v>
      </c>
      <c r="I4098">
        <v>0</v>
      </c>
      <c r="J4098">
        <v>50</v>
      </c>
      <c r="K4098">
        <v>40</v>
      </c>
      <c r="L4098">
        <v>50</v>
      </c>
      <c r="M4098">
        <v>0</v>
      </c>
      <c r="N4098">
        <v>344</v>
      </c>
      <c r="O4098">
        <v>43</v>
      </c>
      <c r="P4098">
        <v>0</v>
      </c>
      <c r="Q4098">
        <v>47</v>
      </c>
      <c r="R4098">
        <v>46</v>
      </c>
      <c r="S4098">
        <v>0.92</v>
      </c>
      <c r="T4098">
        <v>1.175</v>
      </c>
    </row>
    <row r="4099" spans="1:21" x14ac:dyDescent="0.35">
      <c r="A4099">
        <v>563</v>
      </c>
      <c r="B4099" s="16">
        <v>40878</v>
      </c>
      <c r="C4099" s="15" t="s">
        <v>37</v>
      </c>
      <c r="D4099" s="15" t="s">
        <v>58</v>
      </c>
      <c r="E4099" s="15" t="s">
        <v>39</v>
      </c>
      <c r="F4099" s="15" t="s">
        <v>40</v>
      </c>
      <c r="G4099" s="15" t="s">
        <v>59</v>
      </c>
      <c r="H4099" s="15" t="s">
        <v>42</v>
      </c>
      <c r="I4099">
        <v>10</v>
      </c>
      <c r="J4099">
        <v>30</v>
      </c>
      <c r="K4099">
        <v>20</v>
      </c>
      <c r="L4099">
        <v>40</v>
      </c>
      <c r="M4099">
        <v>16</v>
      </c>
      <c r="N4099">
        <v>851</v>
      </c>
      <c r="O4099">
        <v>25</v>
      </c>
      <c r="P4099">
        <v>4</v>
      </c>
      <c r="Q4099">
        <v>15</v>
      </c>
      <c r="R4099">
        <v>44</v>
      </c>
      <c r="S4099">
        <v>1.1000000000000001</v>
      </c>
      <c r="T4099">
        <v>0.75</v>
      </c>
      <c r="U4099">
        <v>1.6</v>
      </c>
    </row>
    <row r="4100" spans="1:21" x14ac:dyDescent="0.35">
      <c r="A4100">
        <v>641</v>
      </c>
      <c r="B4100" s="16">
        <v>40878</v>
      </c>
      <c r="C4100" s="15" t="s">
        <v>37</v>
      </c>
      <c r="D4100" s="15" t="s">
        <v>58</v>
      </c>
      <c r="E4100" s="15" t="s">
        <v>43</v>
      </c>
      <c r="F4100" s="15" t="s">
        <v>40</v>
      </c>
      <c r="G4100" s="15" t="s">
        <v>59</v>
      </c>
      <c r="H4100" s="15" t="s">
        <v>42</v>
      </c>
      <c r="I4100">
        <v>30</v>
      </c>
      <c r="J4100">
        <v>30</v>
      </c>
      <c r="K4100">
        <v>10</v>
      </c>
      <c r="L4100">
        <v>60</v>
      </c>
      <c r="M4100">
        <v>31</v>
      </c>
      <c r="N4100">
        <v>1009</v>
      </c>
      <c r="O4100">
        <v>38</v>
      </c>
      <c r="P4100">
        <v>9</v>
      </c>
      <c r="Q4100">
        <v>12</v>
      </c>
      <c r="R4100">
        <v>74</v>
      </c>
      <c r="S4100">
        <v>1.2333333333333334</v>
      </c>
      <c r="T4100">
        <v>1.2</v>
      </c>
      <c r="U4100">
        <v>1.0333333333333334</v>
      </c>
    </row>
    <row r="4101" spans="1:21" x14ac:dyDescent="0.35">
      <c r="A4101">
        <v>712</v>
      </c>
      <c r="B4101" s="16">
        <v>40878</v>
      </c>
      <c r="C4101" s="15" t="s">
        <v>37</v>
      </c>
      <c r="D4101" s="15" t="s">
        <v>58</v>
      </c>
      <c r="E4101" s="15" t="s">
        <v>44</v>
      </c>
      <c r="F4101" s="15" t="s">
        <v>40</v>
      </c>
      <c r="G4101" s="15" t="s">
        <v>59</v>
      </c>
      <c r="H4101" s="15" t="s">
        <v>45</v>
      </c>
      <c r="I4101">
        <v>0</v>
      </c>
      <c r="J4101">
        <v>20</v>
      </c>
      <c r="K4101">
        <v>10</v>
      </c>
      <c r="L4101">
        <v>20</v>
      </c>
      <c r="M4101">
        <v>10</v>
      </c>
      <c r="N4101">
        <v>594</v>
      </c>
      <c r="O4101">
        <v>14</v>
      </c>
      <c r="P4101">
        <v>3</v>
      </c>
      <c r="Q4101">
        <v>-1</v>
      </c>
      <c r="R4101">
        <v>26</v>
      </c>
      <c r="S4101">
        <v>1.3</v>
      </c>
      <c r="T4101">
        <v>-0.1</v>
      </c>
    </row>
    <row r="4102" spans="1:21" x14ac:dyDescent="0.35">
      <c r="A4102">
        <v>314</v>
      </c>
      <c r="B4102" s="16">
        <v>40878</v>
      </c>
      <c r="C4102" s="15" t="s">
        <v>37</v>
      </c>
      <c r="D4102" s="15" t="s">
        <v>58</v>
      </c>
      <c r="E4102" s="15" t="s">
        <v>51</v>
      </c>
      <c r="F4102" s="15" t="s">
        <v>52</v>
      </c>
      <c r="G4102" s="15" t="s">
        <v>60</v>
      </c>
      <c r="H4102" s="15" t="s">
        <v>45</v>
      </c>
      <c r="I4102">
        <v>40</v>
      </c>
      <c r="J4102">
        <v>60</v>
      </c>
      <c r="K4102">
        <v>0</v>
      </c>
      <c r="L4102">
        <v>100</v>
      </c>
      <c r="M4102">
        <v>49</v>
      </c>
      <c r="N4102">
        <v>335</v>
      </c>
      <c r="O4102">
        <v>69</v>
      </c>
      <c r="P4102">
        <v>44</v>
      </c>
      <c r="Q4102">
        <v>-7</v>
      </c>
      <c r="R4102">
        <v>126</v>
      </c>
      <c r="S4102">
        <v>1.26</v>
      </c>
      <c r="U4102">
        <v>1.2250000000000001</v>
      </c>
    </row>
    <row r="4103" spans="1:21" x14ac:dyDescent="0.35">
      <c r="A4103">
        <v>417</v>
      </c>
      <c r="B4103" s="16">
        <v>40878</v>
      </c>
      <c r="C4103" s="15" t="s">
        <v>37</v>
      </c>
      <c r="D4103" s="15" t="s">
        <v>58</v>
      </c>
      <c r="E4103" s="15" t="s">
        <v>53</v>
      </c>
      <c r="F4103" s="15" t="s">
        <v>52</v>
      </c>
      <c r="G4103" s="15" t="s">
        <v>60</v>
      </c>
      <c r="H4103" s="15" t="s">
        <v>45</v>
      </c>
      <c r="I4103">
        <v>80</v>
      </c>
      <c r="J4103">
        <v>60</v>
      </c>
      <c r="K4103">
        <v>20</v>
      </c>
      <c r="L4103">
        <v>140</v>
      </c>
      <c r="M4103">
        <v>92</v>
      </c>
      <c r="N4103">
        <v>1898</v>
      </c>
      <c r="O4103">
        <v>68</v>
      </c>
      <c r="P4103">
        <v>28</v>
      </c>
      <c r="Q4103">
        <v>24</v>
      </c>
      <c r="R4103">
        <v>171</v>
      </c>
      <c r="S4103">
        <v>1.2214285714285715</v>
      </c>
      <c r="T4103">
        <v>1.2</v>
      </c>
      <c r="U4103">
        <v>1.1499999999999999</v>
      </c>
    </row>
    <row r="4104" spans="1:21" x14ac:dyDescent="0.35">
      <c r="A4104">
        <v>314</v>
      </c>
      <c r="B4104" s="16">
        <v>40878</v>
      </c>
      <c r="C4104" s="15" t="s">
        <v>37</v>
      </c>
      <c r="D4104" s="15" t="s">
        <v>58</v>
      </c>
      <c r="E4104" s="15" t="s">
        <v>55</v>
      </c>
      <c r="F4104" s="15" t="s">
        <v>47</v>
      </c>
      <c r="G4104" s="15" t="s">
        <v>60</v>
      </c>
      <c r="H4104" s="15" t="s">
        <v>42</v>
      </c>
      <c r="I4104">
        <v>30</v>
      </c>
      <c r="J4104">
        <v>40</v>
      </c>
      <c r="K4104">
        <v>10</v>
      </c>
      <c r="L4104">
        <v>70</v>
      </c>
      <c r="M4104">
        <v>38</v>
      </c>
      <c r="N4104">
        <v>256</v>
      </c>
      <c r="O4104">
        <v>51</v>
      </c>
      <c r="P4104">
        <v>12</v>
      </c>
      <c r="Q4104">
        <v>16</v>
      </c>
      <c r="R4104">
        <v>95</v>
      </c>
      <c r="S4104">
        <v>1.3571428571428572</v>
      </c>
      <c r="T4104">
        <v>1.6</v>
      </c>
      <c r="U4104">
        <v>1.2666666666666666</v>
      </c>
    </row>
    <row r="4105" spans="1:21" x14ac:dyDescent="0.35">
      <c r="A4105">
        <v>816</v>
      </c>
      <c r="B4105" s="16">
        <v>40878</v>
      </c>
      <c r="C4105" s="15" t="s">
        <v>37</v>
      </c>
      <c r="D4105" s="15" t="s">
        <v>58</v>
      </c>
      <c r="E4105" s="15" t="s">
        <v>56</v>
      </c>
      <c r="F4105" s="15" t="s">
        <v>47</v>
      </c>
      <c r="G4105" s="15" t="s">
        <v>60</v>
      </c>
      <c r="H4105" s="15" t="s">
        <v>42</v>
      </c>
      <c r="I4105">
        <v>10</v>
      </c>
      <c r="J4105">
        <v>20</v>
      </c>
      <c r="K4105">
        <v>-10</v>
      </c>
      <c r="L4105">
        <v>30</v>
      </c>
      <c r="M4105">
        <v>20</v>
      </c>
      <c r="N4105">
        <v>218</v>
      </c>
      <c r="O4105">
        <v>25</v>
      </c>
      <c r="P4105">
        <v>7</v>
      </c>
      <c r="Q4105">
        <v>-24</v>
      </c>
      <c r="R4105">
        <v>48</v>
      </c>
      <c r="S4105">
        <v>1.6</v>
      </c>
      <c r="T4105">
        <v>2.4</v>
      </c>
      <c r="U4105">
        <v>2</v>
      </c>
    </row>
    <row r="4106" spans="1:21" x14ac:dyDescent="0.35">
      <c r="A4106">
        <v>660</v>
      </c>
      <c r="B4106" s="16">
        <v>40878</v>
      </c>
      <c r="C4106" s="15" t="s">
        <v>37</v>
      </c>
      <c r="D4106" s="15" t="s">
        <v>58</v>
      </c>
      <c r="E4106" s="15" t="s">
        <v>46</v>
      </c>
      <c r="F4106" s="15" t="s">
        <v>47</v>
      </c>
      <c r="G4106" s="15" t="s">
        <v>60</v>
      </c>
      <c r="H4106" s="15" t="s">
        <v>42</v>
      </c>
      <c r="I4106">
        <v>30</v>
      </c>
      <c r="J4106">
        <v>40</v>
      </c>
      <c r="K4106">
        <v>0</v>
      </c>
      <c r="L4106">
        <v>70</v>
      </c>
      <c r="M4106">
        <v>39</v>
      </c>
      <c r="N4106">
        <v>250</v>
      </c>
      <c r="O4106">
        <v>49</v>
      </c>
      <c r="P4106">
        <v>14</v>
      </c>
      <c r="Q4106">
        <v>3</v>
      </c>
      <c r="R4106">
        <v>94</v>
      </c>
      <c r="S4106">
        <v>1.3428571428571427</v>
      </c>
      <c r="U4106">
        <v>1.3</v>
      </c>
    </row>
    <row r="4107" spans="1:21" x14ac:dyDescent="0.35">
      <c r="A4107">
        <v>573</v>
      </c>
      <c r="B4107" s="16">
        <v>40878</v>
      </c>
      <c r="C4107" s="15" t="s">
        <v>37</v>
      </c>
      <c r="D4107" s="15" t="s">
        <v>58</v>
      </c>
      <c r="E4107" s="15" t="s">
        <v>48</v>
      </c>
      <c r="F4107" s="15" t="s">
        <v>49</v>
      </c>
      <c r="G4107" s="15" t="s">
        <v>60</v>
      </c>
      <c r="H4107" s="15" t="s">
        <v>42</v>
      </c>
      <c r="I4107">
        <v>60</v>
      </c>
      <c r="J4107">
        <v>90</v>
      </c>
      <c r="K4107">
        <v>70</v>
      </c>
      <c r="L4107">
        <v>150</v>
      </c>
      <c r="M4107">
        <v>50</v>
      </c>
      <c r="N4107">
        <v>898</v>
      </c>
      <c r="O4107">
        <v>73</v>
      </c>
      <c r="P4107">
        <v>14</v>
      </c>
      <c r="Q4107">
        <v>71</v>
      </c>
      <c r="R4107">
        <v>131</v>
      </c>
      <c r="S4107">
        <v>0.87333333333333329</v>
      </c>
      <c r="T4107">
        <v>1.0142857142857142</v>
      </c>
      <c r="U4107">
        <v>0.83333333333333337</v>
      </c>
    </row>
    <row r="4108" spans="1:21" x14ac:dyDescent="0.35">
      <c r="A4108">
        <v>816</v>
      </c>
      <c r="B4108" s="16">
        <v>40878</v>
      </c>
      <c r="C4108" s="15" t="s">
        <v>37</v>
      </c>
      <c r="D4108" s="15" t="s">
        <v>58</v>
      </c>
      <c r="E4108" s="15" t="s">
        <v>50</v>
      </c>
      <c r="F4108" s="15" t="s">
        <v>49</v>
      </c>
      <c r="G4108" s="15" t="s">
        <v>60</v>
      </c>
      <c r="H4108" s="15" t="s">
        <v>45</v>
      </c>
      <c r="I4108">
        <v>30</v>
      </c>
      <c r="J4108">
        <v>60</v>
      </c>
      <c r="K4108">
        <v>50</v>
      </c>
      <c r="L4108">
        <v>90</v>
      </c>
      <c r="M4108">
        <v>31</v>
      </c>
      <c r="N4108">
        <v>844</v>
      </c>
      <c r="O4108">
        <v>46</v>
      </c>
      <c r="P4108">
        <v>8</v>
      </c>
      <c r="Q4108">
        <v>40</v>
      </c>
      <c r="R4108">
        <v>82</v>
      </c>
      <c r="S4108">
        <v>0.91111111111111109</v>
      </c>
      <c r="T4108">
        <v>0.8</v>
      </c>
      <c r="U4108">
        <v>1.0333333333333334</v>
      </c>
    </row>
    <row r="4109" spans="1:21" x14ac:dyDescent="0.35">
      <c r="A4109">
        <v>573</v>
      </c>
      <c r="B4109" s="16">
        <v>40878</v>
      </c>
      <c r="C4109" s="15" t="s">
        <v>37</v>
      </c>
      <c r="D4109" s="15" t="s">
        <v>58</v>
      </c>
      <c r="E4109" s="15" t="s">
        <v>43</v>
      </c>
      <c r="F4109" s="15" t="s">
        <v>40</v>
      </c>
      <c r="G4109" s="15" t="s">
        <v>60</v>
      </c>
      <c r="H4109" s="15" t="s">
        <v>42</v>
      </c>
      <c r="I4109">
        <v>60</v>
      </c>
      <c r="J4109">
        <v>90</v>
      </c>
      <c r="K4109">
        <v>40</v>
      </c>
      <c r="L4109">
        <v>150</v>
      </c>
      <c r="M4109">
        <v>68</v>
      </c>
      <c r="N4109">
        <v>619</v>
      </c>
      <c r="O4109">
        <v>85</v>
      </c>
      <c r="P4109">
        <v>25</v>
      </c>
      <c r="Q4109">
        <v>39</v>
      </c>
      <c r="R4109">
        <v>163</v>
      </c>
      <c r="S4109">
        <v>1.0866666666666667</v>
      </c>
      <c r="T4109">
        <v>0.97499999999999998</v>
      </c>
      <c r="U4109">
        <v>1.1333333333333333</v>
      </c>
    </row>
    <row r="4110" spans="1:21" x14ac:dyDescent="0.35">
      <c r="A4110">
        <v>636</v>
      </c>
      <c r="B4110" s="16">
        <v>40878</v>
      </c>
      <c r="C4110" s="15" t="s">
        <v>37</v>
      </c>
      <c r="D4110" s="15" t="s">
        <v>58</v>
      </c>
      <c r="E4110" s="15" t="s">
        <v>44</v>
      </c>
      <c r="F4110" s="15" t="s">
        <v>40</v>
      </c>
      <c r="G4110" s="15" t="s">
        <v>60</v>
      </c>
      <c r="H4110" s="15" t="s">
        <v>45</v>
      </c>
      <c r="I4110">
        <v>60</v>
      </c>
      <c r="J4110">
        <v>70</v>
      </c>
      <c r="K4110">
        <v>40</v>
      </c>
      <c r="L4110">
        <v>130</v>
      </c>
      <c r="M4110">
        <v>63</v>
      </c>
      <c r="N4110">
        <v>1075</v>
      </c>
      <c r="O4110">
        <v>76</v>
      </c>
      <c r="P4110">
        <v>19</v>
      </c>
      <c r="Q4110">
        <v>53</v>
      </c>
      <c r="R4110">
        <v>148</v>
      </c>
      <c r="S4110">
        <v>1.1384615384615384</v>
      </c>
      <c r="T4110">
        <v>1.325</v>
      </c>
      <c r="U4110">
        <v>1.05</v>
      </c>
    </row>
    <row r="4111" spans="1:21" x14ac:dyDescent="0.35">
      <c r="A4111">
        <v>614</v>
      </c>
      <c r="B4111" s="16">
        <v>40878</v>
      </c>
      <c r="C4111" s="15" t="s">
        <v>37</v>
      </c>
      <c r="D4111" s="15" t="s">
        <v>38</v>
      </c>
      <c r="E4111" s="15" t="s">
        <v>51</v>
      </c>
      <c r="F4111" s="15" t="s">
        <v>52</v>
      </c>
      <c r="G4111" s="15" t="s">
        <v>61</v>
      </c>
      <c r="H4111" s="15" t="s">
        <v>45</v>
      </c>
      <c r="I4111">
        <v>20</v>
      </c>
      <c r="J4111">
        <v>40</v>
      </c>
      <c r="K4111">
        <v>30</v>
      </c>
      <c r="L4111">
        <v>60</v>
      </c>
      <c r="M4111">
        <v>29</v>
      </c>
      <c r="N4111">
        <v>490</v>
      </c>
      <c r="O4111">
        <v>44</v>
      </c>
      <c r="P4111">
        <v>8</v>
      </c>
      <c r="Q4111">
        <v>37</v>
      </c>
      <c r="R4111">
        <v>78</v>
      </c>
      <c r="S4111">
        <v>1.3</v>
      </c>
      <c r="T4111">
        <v>1.2333333333333334</v>
      </c>
      <c r="U4111">
        <v>1.45</v>
      </c>
    </row>
    <row r="4112" spans="1:21" x14ac:dyDescent="0.35">
      <c r="A4112">
        <v>440</v>
      </c>
      <c r="B4112" s="16">
        <v>40878</v>
      </c>
      <c r="C4112" s="15" t="s">
        <v>37</v>
      </c>
      <c r="D4112" s="15" t="s">
        <v>38</v>
      </c>
      <c r="E4112" s="15" t="s">
        <v>53</v>
      </c>
      <c r="F4112" s="15" t="s">
        <v>52</v>
      </c>
      <c r="G4112" s="15" t="s">
        <v>61</v>
      </c>
      <c r="H4112" s="15" t="s">
        <v>45</v>
      </c>
      <c r="I4112">
        <v>30</v>
      </c>
      <c r="J4112">
        <v>40</v>
      </c>
      <c r="K4112">
        <v>30</v>
      </c>
      <c r="L4112">
        <v>70</v>
      </c>
      <c r="M4112">
        <v>33</v>
      </c>
      <c r="N4112">
        <v>870</v>
      </c>
      <c r="O4112">
        <v>49</v>
      </c>
      <c r="P4112">
        <v>9</v>
      </c>
      <c r="Q4112">
        <v>43</v>
      </c>
      <c r="R4112">
        <v>87</v>
      </c>
      <c r="S4112">
        <v>1.2428571428571429</v>
      </c>
      <c r="T4112">
        <v>1.4333333333333333</v>
      </c>
      <c r="U4112">
        <v>1.1000000000000001</v>
      </c>
    </row>
    <row r="4113" spans="1:21" x14ac:dyDescent="0.35">
      <c r="A4113">
        <v>513</v>
      </c>
      <c r="B4113" s="16">
        <v>40878</v>
      </c>
      <c r="C4113" s="15" t="s">
        <v>37</v>
      </c>
      <c r="D4113" s="15" t="s">
        <v>38</v>
      </c>
      <c r="E4113" s="15" t="s">
        <v>55</v>
      </c>
      <c r="F4113" s="15" t="s">
        <v>47</v>
      </c>
      <c r="G4113" s="15" t="s">
        <v>61</v>
      </c>
      <c r="H4113" s="15" t="s">
        <v>42</v>
      </c>
      <c r="I4113">
        <v>70</v>
      </c>
      <c r="J4113">
        <v>110</v>
      </c>
      <c r="K4113">
        <v>70</v>
      </c>
      <c r="L4113">
        <v>180</v>
      </c>
      <c r="M4113">
        <v>88</v>
      </c>
      <c r="N4113">
        <v>817</v>
      </c>
      <c r="O4113">
        <v>133</v>
      </c>
      <c r="P4113">
        <v>29</v>
      </c>
      <c r="Q4113">
        <v>107</v>
      </c>
      <c r="R4113">
        <v>236</v>
      </c>
      <c r="S4113">
        <v>1.3111111111111111</v>
      </c>
      <c r="T4113">
        <v>1.5285714285714285</v>
      </c>
      <c r="U4113">
        <v>1.2571428571428571</v>
      </c>
    </row>
    <row r="4114" spans="1:21" x14ac:dyDescent="0.35">
      <c r="A4114">
        <v>513</v>
      </c>
      <c r="B4114" s="16">
        <v>40878</v>
      </c>
      <c r="C4114" s="15" t="s">
        <v>37</v>
      </c>
      <c r="D4114" s="15" t="s">
        <v>38</v>
      </c>
      <c r="E4114" s="15" t="s">
        <v>56</v>
      </c>
      <c r="F4114" s="15" t="s">
        <v>47</v>
      </c>
      <c r="G4114" s="15" t="s">
        <v>61</v>
      </c>
      <c r="H4114" s="15" t="s">
        <v>42</v>
      </c>
      <c r="I4114">
        <v>110</v>
      </c>
      <c r="J4114">
        <v>150</v>
      </c>
      <c r="K4114">
        <v>90</v>
      </c>
      <c r="L4114">
        <v>260</v>
      </c>
      <c r="M4114">
        <v>134</v>
      </c>
      <c r="N4114">
        <v>690</v>
      </c>
      <c r="O4114">
        <v>186</v>
      </c>
      <c r="P4114">
        <v>41</v>
      </c>
      <c r="Q4114">
        <v>180</v>
      </c>
      <c r="R4114">
        <v>341</v>
      </c>
      <c r="S4114">
        <v>1.3115384615384615</v>
      </c>
      <c r="T4114">
        <v>2</v>
      </c>
      <c r="U4114">
        <v>1.2181818181818183</v>
      </c>
    </row>
    <row r="4115" spans="1:21" x14ac:dyDescent="0.35">
      <c r="A4115">
        <v>937</v>
      </c>
      <c r="B4115" s="16">
        <v>40878</v>
      </c>
      <c r="C4115" s="15" t="s">
        <v>37</v>
      </c>
      <c r="D4115" s="15" t="s">
        <v>38</v>
      </c>
      <c r="E4115" s="15" t="s">
        <v>48</v>
      </c>
      <c r="F4115" s="15" t="s">
        <v>49</v>
      </c>
      <c r="G4115" s="15" t="s">
        <v>61</v>
      </c>
      <c r="H4115" s="15" t="s">
        <v>42</v>
      </c>
      <c r="I4115">
        <v>190</v>
      </c>
      <c r="J4115">
        <v>200</v>
      </c>
      <c r="K4115">
        <v>140</v>
      </c>
      <c r="L4115">
        <v>390</v>
      </c>
      <c r="M4115">
        <v>153</v>
      </c>
      <c r="N4115">
        <v>1319</v>
      </c>
      <c r="O4115">
        <v>153</v>
      </c>
      <c r="P4115">
        <v>42</v>
      </c>
      <c r="Q4115">
        <v>129</v>
      </c>
      <c r="R4115">
        <v>326</v>
      </c>
      <c r="S4115">
        <v>0.83589743589743593</v>
      </c>
      <c r="T4115">
        <v>0.92142857142857137</v>
      </c>
      <c r="U4115">
        <v>0.80526315789473679</v>
      </c>
    </row>
    <row r="4116" spans="1:21" x14ac:dyDescent="0.35">
      <c r="A4116">
        <v>419</v>
      </c>
      <c r="B4116" s="16">
        <v>40878</v>
      </c>
      <c r="C4116" s="15" t="s">
        <v>37</v>
      </c>
      <c r="D4116" s="15" t="s">
        <v>38</v>
      </c>
      <c r="E4116" s="15" t="s">
        <v>50</v>
      </c>
      <c r="F4116" s="15" t="s">
        <v>49</v>
      </c>
      <c r="G4116" s="15" t="s">
        <v>61</v>
      </c>
      <c r="H4116" s="15" t="s">
        <v>45</v>
      </c>
      <c r="I4116">
        <v>50</v>
      </c>
      <c r="J4116">
        <v>80</v>
      </c>
      <c r="K4116">
        <v>40</v>
      </c>
      <c r="L4116">
        <v>130</v>
      </c>
      <c r="M4116">
        <v>46</v>
      </c>
      <c r="N4116">
        <v>422</v>
      </c>
      <c r="O4116">
        <v>57</v>
      </c>
      <c r="P4116">
        <v>17</v>
      </c>
      <c r="Q4116">
        <v>9</v>
      </c>
      <c r="R4116">
        <v>110</v>
      </c>
      <c r="S4116">
        <v>0.84615384615384615</v>
      </c>
      <c r="T4116">
        <v>0.22500000000000001</v>
      </c>
      <c r="U4116">
        <v>0.92</v>
      </c>
    </row>
    <row r="4117" spans="1:21" x14ac:dyDescent="0.35">
      <c r="A4117">
        <v>234</v>
      </c>
      <c r="B4117" s="16">
        <v>40878</v>
      </c>
      <c r="C4117" s="15" t="s">
        <v>37</v>
      </c>
      <c r="D4117" s="15" t="s">
        <v>38</v>
      </c>
      <c r="E4117" s="15" t="s">
        <v>39</v>
      </c>
      <c r="F4117" s="15" t="s">
        <v>40</v>
      </c>
      <c r="G4117" s="15" t="s">
        <v>61</v>
      </c>
      <c r="H4117" s="15" t="s">
        <v>42</v>
      </c>
      <c r="I4117">
        <v>50</v>
      </c>
      <c r="J4117">
        <v>70</v>
      </c>
      <c r="K4117">
        <v>40</v>
      </c>
      <c r="L4117">
        <v>120</v>
      </c>
      <c r="M4117">
        <v>54</v>
      </c>
      <c r="N4117">
        <v>424</v>
      </c>
      <c r="O4117">
        <v>73</v>
      </c>
      <c r="P4117">
        <v>17</v>
      </c>
      <c r="Q4117">
        <v>43</v>
      </c>
      <c r="R4117">
        <v>135</v>
      </c>
      <c r="S4117">
        <v>1.125</v>
      </c>
      <c r="T4117">
        <v>1.075</v>
      </c>
      <c r="U4117">
        <v>1.08</v>
      </c>
    </row>
    <row r="4118" spans="1:21" x14ac:dyDescent="0.35">
      <c r="A4118">
        <v>330</v>
      </c>
      <c r="B4118" s="16">
        <v>40878</v>
      </c>
      <c r="C4118" s="15" t="s">
        <v>37</v>
      </c>
      <c r="D4118" s="15" t="s">
        <v>38</v>
      </c>
      <c r="E4118" s="15" t="s">
        <v>43</v>
      </c>
      <c r="F4118" s="15" t="s">
        <v>40</v>
      </c>
      <c r="G4118" s="15" t="s">
        <v>61</v>
      </c>
      <c r="H4118" s="15" t="s">
        <v>42</v>
      </c>
      <c r="I4118">
        <v>40</v>
      </c>
      <c r="J4118">
        <v>50</v>
      </c>
      <c r="K4118">
        <v>20</v>
      </c>
      <c r="L4118">
        <v>90</v>
      </c>
      <c r="M4118">
        <v>41</v>
      </c>
      <c r="N4118">
        <v>435</v>
      </c>
      <c r="O4118">
        <v>60</v>
      </c>
      <c r="P4118">
        <v>13</v>
      </c>
      <c r="Q4118">
        <v>36</v>
      </c>
      <c r="R4118">
        <v>108</v>
      </c>
      <c r="S4118">
        <v>1.2</v>
      </c>
      <c r="T4118">
        <v>1.8</v>
      </c>
      <c r="U4118">
        <v>1.0249999999999999</v>
      </c>
    </row>
    <row r="4119" spans="1:21" x14ac:dyDescent="0.35">
      <c r="A4119">
        <v>513</v>
      </c>
      <c r="B4119" s="16">
        <v>40878</v>
      </c>
      <c r="C4119" s="15" t="s">
        <v>37</v>
      </c>
      <c r="D4119" s="15" t="s">
        <v>38</v>
      </c>
      <c r="E4119" s="15" t="s">
        <v>44</v>
      </c>
      <c r="F4119" s="15" t="s">
        <v>40</v>
      </c>
      <c r="G4119" s="15" t="s">
        <v>61</v>
      </c>
      <c r="H4119" s="15" t="s">
        <v>45</v>
      </c>
      <c r="I4119">
        <v>40</v>
      </c>
      <c r="J4119">
        <v>70</v>
      </c>
      <c r="K4119">
        <v>10</v>
      </c>
      <c r="L4119">
        <v>110</v>
      </c>
      <c r="M4119">
        <v>47</v>
      </c>
      <c r="N4119">
        <v>521</v>
      </c>
      <c r="O4119">
        <v>65</v>
      </c>
      <c r="P4119">
        <v>42</v>
      </c>
      <c r="Q4119">
        <v>-9</v>
      </c>
      <c r="R4119">
        <v>119</v>
      </c>
      <c r="S4119">
        <v>1.0818181818181818</v>
      </c>
      <c r="T4119">
        <v>-0.9</v>
      </c>
      <c r="U4119">
        <v>1.175</v>
      </c>
    </row>
    <row r="4120" spans="1:21" x14ac:dyDescent="0.35">
      <c r="A4120">
        <v>920</v>
      </c>
      <c r="B4120" s="16">
        <v>40878</v>
      </c>
      <c r="C4120" s="15" t="s">
        <v>37</v>
      </c>
      <c r="D4120" s="15" t="s">
        <v>58</v>
      </c>
      <c r="E4120" s="15" t="s">
        <v>51</v>
      </c>
      <c r="F4120" s="15" t="s">
        <v>52</v>
      </c>
      <c r="G4120" s="15" t="s">
        <v>62</v>
      </c>
      <c r="H4120" s="15" t="s">
        <v>45</v>
      </c>
      <c r="I4120">
        <v>30</v>
      </c>
      <c r="J4120">
        <v>60</v>
      </c>
      <c r="K4120">
        <v>30</v>
      </c>
      <c r="L4120">
        <v>90</v>
      </c>
      <c r="M4120">
        <v>41</v>
      </c>
      <c r="N4120">
        <v>320</v>
      </c>
      <c r="O4120">
        <v>66</v>
      </c>
      <c r="P4120">
        <v>12</v>
      </c>
      <c r="Q4120">
        <v>45</v>
      </c>
      <c r="R4120">
        <v>114</v>
      </c>
      <c r="S4120">
        <v>1.2666666666666666</v>
      </c>
      <c r="T4120">
        <v>1.5</v>
      </c>
      <c r="U4120">
        <v>1.3666666666666667</v>
      </c>
    </row>
    <row r="4121" spans="1:21" x14ac:dyDescent="0.35">
      <c r="A4121">
        <v>715</v>
      </c>
      <c r="B4121" s="16">
        <v>40878</v>
      </c>
      <c r="C4121" s="15" t="s">
        <v>37</v>
      </c>
      <c r="D4121" s="15" t="s">
        <v>58</v>
      </c>
      <c r="E4121" s="15" t="s">
        <v>53</v>
      </c>
      <c r="F4121" s="15" t="s">
        <v>52</v>
      </c>
      <c r="G4121" s="15" t="s">
        <v>62</v>
      </c>
      <c r="H4121" s="15" t="s">
        <v>45</v>
      </c>
      <c r="I4121">
        <v>30</v>
      </c>
      <c r="J4121">
        <v>40</v>
      </c>
      <c r="K4121">
        <v>30</v>
      </c>
      <c r="L4121">
        <v>70</v>
      </c>
      <c r="M4121">
        <v>34</v>
      </c>
      <c r="N4121">
        <v>863</v>
      </c>
      <c r="O4121">
        <v>51</v>
      </c>
      <c r="P4121">
        <v>9</v>
      </c>
      <c r="Q4121">
        <v>45</v>
      </c>
      <c r="R4121">
        <v>91</v>
      </c>
      <c r="S4121">
        <v>1.3</v>
      </c>
      <c r="T4121">
        <v>1.5</v>
      </c>
      <c r="U4121">
        <v>1.1333333333333333</v>
      </c>
    </row>
    <row r="4122" spans="1:21" x14ac:dyDescent="0.35">
      <c r="A4122">
        <v>262</v>
      </c>
      <c r="B4122" s="16">
        <v>40878</v>
      </c>
      <c r="C4122" s="15" t="s">
        <v>37</v>
      </c>
      <c r="D4122" s="15" t="s">
        <v>58</v>
      </c>
      <c r="E4122" s="15" t="s">
        <v>55</v>
      </c>
      <c r="F4122" s="15" t="s">
        <v>47</v>
      </c>
      <c r="G4122" s="15" t="s">
        <v>62</v>
      </c>
      <c r="H4122" s="15" t="s">
        <v>42</v>
      </c>
      <c r="I4122">
        <v>30</v>
      </c>
      <c r="J4122">
        <v>50</v>
      </c>
      <c r="K4122">
        <v>20</v>
      </c>
      <c r="L4122">
        <v>80</v>
      </c>
      <c r="M4122">
        <v>43</v>
      </c>
      <c r="N4122">
        <v>466</v>
      </c>
      <c r="O4122">
        <v>63</v>
      </c>
      <c r="P4122">
        <v>13</v>
      </c>
      <c r="Q4122">
        <v>42</v>
      </c>
      <c r="R4122">
        <v>113</v>
      </c>
      <c r="S4122">
        <v>1.4125000000000001</v>
      </c>
      <c r="T4122">
        <v>2.1</v>
      </c>
      <c r="U4122">
        <v>1.4333333333333333</v>
      </c>
    </row>
    <row r="4123" spans="1:21" x14ac:dyDescent="0.35">
      <c r="A4123">
        <v>262</v>
      </c>
      <c r="B4123" s="16">
        <v>40878</v>
      </c>
      <c r="C4123" s="15" t="s">
        <v>37</v>
      </c>
      <c r="D4123" s="15" t="s">
        <v>58</v>
      </c>
      <c r="E4123" s="15" t="s">
        <v>56</v>
      </c>
      <c r="F4123" s="15" t="s">
        <v>47</v>
      </c>
      <c r="G4123" s="15" t="s">
        <v>62</v>
      </c>
      <c r="H4123" s="15" t="s">
        <v>42</v>
      </c>
      <c r="I4123">
        <v>40</v>
      </c>
      <c r="J4123">
        <v>60</v>
      </c>
      <c r="K4123">
        <v>0</v>
      </c>
      <c r="L4123">
        <v>100</v>
      </c>
      <c r="M4123">
        <v>55</v>
      </c>
      <c r="N4123">
        <v>627</v>
      </c>
      <c r="O4123">
        <v>76</v>
      </c>
      <c r="P4123">
        <v>49</v>
      </c>
      <c r="Q4123">
        <v>-4</v>
      </c>
      <c r="R4123">
        <v>140</v>
      </c>
      <c r="S4123">
        <v>1.4</v>
      </c>
      <c r="U4123">
        <v>1.375</v>
      </c>
    </row>
    <row r="4124" spans="1:21" x14ac:dyDescent="0.35">
      <c r="A4124">
        <v>262</v>
      </c>
      <c r="B4124" s="16">
        <v>40878</v>
      </c>
      <c r="C4124" s="15" t="s">
        <v>37</v>
      </c>
      <c r="D4124" s="15" t="s">
        <v>58</v>
      </c>
      <c r="E4124" s="15" t="s">
        <v>48</v>
      </c>
      <c r="F4124" s="15" t="s">
        <v>49</v>
      </c>
      <c r="G4124" s="15" t="s">
        <v>62</v>
      </c>
      <c r="H4124" s="15" t="s">
        <v>42</v>
      </c>
      <c r="I4124">
        <v>100</v>
      </c>
      <c r="J4124">
        <v>120</v>
      </c>
      <c r="K4124">
        <v>80</v>
      </c>
      <c r="L4124">
        <v>220</v>
      </c>
      <c r="M4124">
        <v>80</v>
      </c>
      <c r="N4124">
        <v>1079</v>
      </c>
      <c r="O4124">
        <v>96</v>
      </c>
      <c r="P4124">
        <v>24</v>
      </c>
      <c r="Q4124">
        <v>74</v>
      </c>
      <c r="R4124">
        <v>188</v>
      </c>
      <c r="S4124">
        <v>0.8545454545454545</v>
      </c>
      <c r="T4124">
        <v>0.92500000000000004</v>
      </c>
      <c r="U4124">
        <v>0.8</v>
      </c>
    </row>
    <row r="4125" spans="1:21" x14ac:dyDescent="0.35">
      <c r="A4125">
        <v>608</v>
      </c>
      <c r="B4125" s="16">
        <v>40878</v>
      </c>
      <c r="C4125" s="15" t="s">
        <v>37</v>
      </c>
      <c r="D4125" s="15" t="s">
        <v>58</v>
      </c>
      <c r="E4125" s="15" t="s">
        <v>50</v>
      </c>
      <c r="F4125" s="15" t="s">
        <v>49</v>
      </c>
      <c r="G4125" s="15" t="s">
        <v>62</v>
      </c>
      <c r="H4125" s="15" t="s">
        <v>45</v>
      </c>
      <c r="I4125">
        <v>30</v>
      </c>
      <c r="J4125">
        <v>40</v>
      </c>
      <c r="K4125">
        <v>30</v>
      </c>
      <c r="L4125">
        <v>70</v>
      </c>
      <c r="M4125">
        <v>24</v>
      </c>
      <c r="N4125">
        <v>567</v>
      </c>
      <c r="O4125">
        <v>32</v>
      </c>
      <c r="P4125">
        <v>7</v>
      </c>
      <c r="Q4125">
        <v>19</v>
      </c>
      <c r="R4125">
        <v>60</v>
      </c>
      <c r="S4125">
        <v>0.8571428571428571</v>
      </c>
      <c r="T4125">
        <v>0.6333333333333333</v>
      </c>
      <c r="U4125">
        <v>0.8</v>
      </c>
    </row>
    <row r="4126" spans="1:21" x14ac:dyDescent="0.35">
      <c r="A4126">
        <v>920</v>
      </c>
      <c r="B4126" s="16">
        <v>40878</v>
      </c>
      <c r="C4126" s="15" t="s">
        <v>37</v>
      </c>
      <c r="D4126" s="15" t="s">
        <v>58</v>
      </c>
      <c r="E4126" s="15" t="s">
        <v>39</v>
      </c>
      <c r="F4126" s="15" t="s">
        <v>40</v>
      </c>
      <c r="G4126" s="15" t="s">
        <v>62</v>
      </c>
      <c r="H4126" s="15" t="s">
        <v>42</v>
      </c>
      <c r="I4126">
        <v>60</v>
      </c>
      <c r="J4126">
        <v>80</v>
      </c>
      <c r="K4126">
        <v>30</v>
      </c>
      <c r="L4126">
        <v>140</v>
      </c>
      <c r="M4126">
        <v>65</v>
      </c>
      <c r="N4126">
        <v>403</v>
      </c>
      <c r="O4126">
        <v>80</v>
      </c>
      <c r="P4126">
        <v>24</v>
      </c>
      <c r="Q4126">
        <v>33</v>
      </c>
      <c r="R4126">
        <v>155</v>
      </c>
      <c r="S4126">
        <v>1.1071428571428572</v>
      </c>
      <c r="T4126">
        <v>1.1000000000000001</v>
      </c>
      <c r="U4126">
        <v>1.0833333333333333</v>
      </c>
    </row>
    <row r="4127" spans="1:21" x14ac:dyDescent="0.35">
      <c r="A4127">
        <v>262</v>
      </c>
      <c r="B4127" s="16">
        <v>40878</v>
      </c>
      <c r="C4127" s="15" t="s">
        <v>37</v>
      </c>
      <c r="D4127" s="15" t="s">
        <v>58</v>
      </c>
      <c r="E4127" s="15" t="s">
        <v>43</v>
      </c>
      <c r="F4127" s="15" t="s">
        <v>40</v>
      </c>
      <c r="G4127" s="15" t="s">
        <v>62</v>
      </c>
      <c r="H4127" s="15" t="s">
        <v>42</v>
      </c>
      <c r="I4127">
        <v>100</v>
      </c>
      <c r="J4127">
        <v>140</v>
      </c>
      <c r="K4127">
        <v>30</v>
      </c>
      <c r="L4127">
        <v>240</v>
      </c>
      <c r="M4127">
        <v>105</v>
      </c>
      <c r="N4127">
        <v>716</v>
      </c>
      <c r="O4127">
        <v>145</v>
      </c>
      <c r="P4127">
        <v>95</v>
      </c>
      <c r="Q4127">
        <v>30</v>
      </c>
      <c r="R4127">
        <v>266</v>
      </c>
      <c r="S4127">
        <v>1.1083333333333334</v>
      </c>
      <c r="T4127">
        <v>1</v>
      </c>
      <c r="U4127">
        <v>1.05</v>
      </c>
    </row>
    <row r="4128" spans="1:21" x14ac:dyDescent="0.35">
      <c r="A4128">
        <v>414</v>
      </c>
      <c r="B4128" s="16">
        <v>40878</v>
      </c>
      <c r="C4128" s="15" t="s">
        <v>37</v>
      </c>
      <c r="D4128" s="15" t="s">
        <v>58</v>
      </c>
      <c r="E4128" s="15" t="s">
        <v>44</v>
      </c>
      <c r="F4128" s="15" t="s">
        <v>40</v>
      </c>
      <c r="G4128" s="15" t="s">
        <v>62</v>
      </c>
      <c r="H4128" s="15" t="s">
        <v>45</v>
      </c>
      <c r="I4128">
        <v>80</v>
      </c>
      <c r="J4128">
        <v>110</v>
      </c>
      <c r="K4128">
        <v>70</v>
      </c>
      <c r="L4128">
        <v>190</v>
      </c>
      <c r="M4128">
        <v>83</v>
      </c>
      <c r="N4128">
        <v>575</v>
      </c>
      <c r="O4128">
        <v>112</v>
      </c>
      <c r="P4128">
        <v>27</v>
      </c>
      <c r="Q4128">
        <v>85</v>
      </c>
      <c r="R4128">
        <v>208</v>
      </c>
      <c r="S4128">
        <v>1.0947368421052632</v>
      </c>
      <c r="T4128">
        <v>1.2142857142857142</v>
      </c>
      <c r="U4128">
        <v>1.0375000000000001</v>
      </c>
    </row>
    <row r="4129" spans="1:21" x14ac:dyDescent="0.35">
      <c r="A4129">
        <v>860</v>
      </c>
      <c r="B4129" s="16">
        <v>40878</v>
      </c>
      <c r="C4129" s="15" t="s">
        <v>63</v>
      </c>
      <c r="D4129" s="15" t="s">
        <v>58</v>
      </c>
      <c r="E4129" s="15" t="s">
        <v>53</v>
      </c>
      <c r="F4129" s="15" t="s">
        <v>52</v>
      </c>
      <c r="G4129" s="15" t="s">
        <v>64</v>
      </c>
      <c r="H4129" s="15" t="s">
        <v>45</v>
      </c>
      <c r="I4129">
        <v>50</v>
      </c>
      <c r="J4129">
        <v>60</v>
      </c>
      <c r="K4129">
        <v>20</v>
      </c>
      <c r="L4129">
        <v>110</v>
      </c>
      <c r="M4129">
        <v>68</v>
      </c>
      <c r="N4129">
        <v>619</v>
      </c>
      <c r="O4129">
        <v>85</v>
      </c>
      <c r="P4129">
        <v>25</v>
      </c>
      <c r="Q4129">
        <v>40</v>
      </c>
      <c r="R4129">
        <v>163</v>
      </c>
      <c r="S4129">
        <v>1.4818181818181819</v>
      </c>
      <c r="T4129">
        <v>2</v>
      </c>
      <c r="U4129">
        <v>1.36</v>
      </c>
    </row>
    <row r="4130" spans="1:21" x14ac:dyDescent="0.35">
      <c r="A4130">
        <v>203</v>
      </c>
      <c r="B4130" s="16">
        <v>40878</v>
      </c>
      <c r="C4130" s="15" t="s">
        <v>63</v>
      </c>
      <c r="D4130" s="15" t="s">
        <v>58</v>
      </c>
      <c r="E4130" s="15" t="s">
        <v>54</v>
      </c>
      <c r="F4130" s="15" t="s">
        <v>52</v>
      </c>
      <c r="G4130" s="15" t="s">
        <v>64</v>
      </c>
      <c r="H4130" s="15" t="s">
        <v>45</v>
      </c>
      <c r="I4130">
        <v>40</v>
      </c>
      <c r="J4130">
        <v>60</v>
      </c>
      <c r="K4130">
        <v>40</v>
      </c>
      <c r="L4130">
        <v>100</v>
      </c>
      <c r="M4130">
        <v>63</v>
      </c>
      <c r="N4130">
        <v>1075</v>
      </c>
      <c r="O4130">
        <v>76</v>
      </c>
      <c r="P4130">
        <v>19</v>
      </c>
      <c r="Q4130">
        <v>53</v>
      </c>
      <c r="R4130">
        <v>148</v>
      </c>
      <c r="S4130">
        <v>1.48</v>
      </c>
      <c r="T4130">
        <v>1.325</v>
      </c>
      <c r="U4130">
        <v>1.575</v>
      </c>
    </row>
    <row r="4131" spans="1:21" x14ac:dyDescent="0.35">
      <c r="A4131">
        <v>959</v>
      </c>
      <c r="B4131" s="16">
        <v>40878</v>
      </c>
      <c r="C4131" s="15" t="s">
        <v>63</v>
      </c>
      <c r="D4131" s="15" t="s">
        <v>58</v>
      </c>
      <c r="E4131" s="15" t="s">
        <v>55</v>
      </c>
      <c r="F4131" s="15" t="s">
        <v>47</v>
      </c>
      <c r="G4131" s="15" t="s">
        <v>64</v>
      </c>
      <c r="H4131" s="15" t="s">
        <v>42</v>
      </c>
      <c r="I4131">
        <v>50</v>
      </c>
      <c r="J4131">
        <v>70</v>
      </c>
      <c r="K4131">
        <v>50</v>
      </c>
      <c r="L4131">
        <v>120</v>
      </c>
      <c r="M4131">
        <v>50</v>
      </c>
      <c r="N4131">
        <v>898</v>
      </c>
      <c r="O4131">
        <v>73</v>
      </c>
      <c r="P4131">
        <v>14</v>
      </c>
      <c r="Q4131">
        <v>70</v>
      </c>
      <c r="R4131">
        <v>131</v>
      </c>
      <c r="S4131">
        <v>1.0916666666666666</v>
      </c>
      <c r="T4131">
        <v>1.4</v>
      </c>
      <c r="U4131">
        <v>1</v>
      </c>
    </row>
    <row r="4132" spans="1:21" x14ac:dyDescent="0.35">
      <c r="A4132">
        <v>959</v>
      </c>
      <c r="B4132" s="16">
        <v>40878</v>
      </c>
      <c r="C4132" s="15" t="s">
        <v>63</v>
      </c>
      <c r="D4132" s="15" t="s">
        <v>58</v>
      </c>
      <c r="E4132" s="15" t="s">
        <v>46</v>
      </c>
      <c r="F4132" s="15" t="s">
        <v>47</v>
      </c>
      <c r="G4132" s="15" t="s">
        <v>64</v>
      </c>
      <c r="H4132" s="15" t="s">
        <v>42</v>
      </c>
      <c r="I4132">
        <v>30</v>
      </c>
      <c r="J4132">
        <v>50</v>
      </c>
      <c r="K4132">
        <v>40</v>
      </c>
      <c r="L4132">
        <v>80</v>
      </c>
      <c r="M4132">
        <v>33</v>
      </c>
      <c r="N4132">
        <v>818</v>
      </c>
      <c r="O4132">
        <v>49</v>
      </c>
      <c r="P4132">
        <v>9</v>
      </c>
      <c r="Q4132">
        <v>42</v>
      </c>
      <c r="R4132">
        <v>87</v>
      </c>
      <c r="S4132">
        <v>1.0874999999999999</v>
      </c>
      <c r="T4132">
        <v>1.05</v>
      </c>
      <c r="U4132">
        <v>1.1000000000000001</v>
      </c>
    </row>
    <row r="4133" spans="1:21" x14ac:dyDescent="0.35">
      <c r="A4133">
        <v>203</v>
      </c>
      <c r="B4133" s="16">
        <v>40878</v>
      </c>
      <c r="C4133" s="15" t="s">
        <v>63</v>
      </c>
      <c r="D4133" s="15" t="s">
        <v>58</v>
      </c>
      <c r="E4133" s="15" t="s">
        <v>48</v>
      </c>
      <c r="F4133" s="15" t="s">
        <v>49</v>
      </c>
      <c r="G4133" s="15" t="s">
        <v>64</v>
      </c>
      <c r="H4133" s="15" t="s">
        <v>42</v>
      </c>
      <c r="I4133">
        <v>50</v>
      </c>
      <c r="J4133">
        <v>70</v>
      </c>
      <c r="K4133">
        <v>10</v>
      </c>
      <c r="L4133">
        <v>120</v>
      </c>
      <c r="M4133">
        <v>55</v>
      </c>
      <c r="N4133">
        <v>627</v>
      </c>
      <c r="O4133">
        <v>76</v>
      </c>
      <c r="P4133">
        <v>49</v>
      </c>
      <c r="Q4133">
        <v>-3</v>
      </c>
      <c r="R4133">
        <v>140</v>
      </c>
      <c r="S4133">
        <v>1.1666666666666667</v>
      </c>
      <c r="T4133">
        <v>-0.3</v>
      </c>
      <c r="U4133">
        <v>1.1000000000000001</v>
      </c>
    </row>
    <row r="4134" spans="1:21" x14ac:dyDescent="0.35">
      <c r="A4134">
        <v>203</v>
      </c>
      <c r="B4134" s="16">
        <v>40878</v>
      </c>
      <c r="C4134" s="15" t="s">
        <v>63</v>
      </c>
      <c r="D4134" s="15" t="s">
        <v>58</v>
      </c>
      <c r="E4134" s="15" t="s">
        <v>50</v>
      </c>
      <c r="F4134" s="15" t="s">
        <v>49</v>
      </c>
      <c r="G4134" s="15" t="s">
        <v>64</v>
      </c>
      <c r="H4134" s="15" t="s">
        <v>45</v>
      </c>
      <c r="I4134">
        <v>40</v>
      </c>
      <c r="J4134">
        <v>70</v>
      </c>
      <c r="K4134">
        <v>40</v>
      </c>
      <c r="L4134">
        <v>110</v>
      </c>
      <c r="M4134">
        <v>49</v>
      </c>
      <c r="N4134">
        <v>392</v>
      </c>
      <c r="O4134">
        <v>65</v>
      </c>
      <c r="P4134">
        <v>16</v>
      </c>
      <c r="Q4134">
        <v>31</v>
      </c>
      <c r="R4134">
        <v>121</v>
      </c>
      <c r="S4134">
        <v>1.1000000000000001</v>
      </c>
      <c r="T4134">
        <v>0.77500000000000002</v>
      </c>
      <c r="U4134">
        <v>1.2250000000000001</v>
      </c>
    </row>
    <row r="4135" spans="1:21" x14ac:dyDescent="0.35">
      <c r="A4135">
        <v>959</v>
      </c>
      <c r="B4135" s="16">
        <v>40878</v>
      </c>
      <c r="C4135" s="15" t="s">
        <v>63</v>
      </c>
      <c r="D4135" s="15" t="s">
        <v>58</v>
      </c>
      <c r="E4135" s="15" t="s">
        <v>43</v>
      </c>
      <c r="F4135" s="15" t="s">
        <v>40</v>
      </c>
      <c r="G4135" s="15" t="s">
        <v>64</v>
      </c>
      <c r="H4135" s="15" t="s">
        <v>42</v>
      </c>
      <c r="I4135">
        <v>100</v>
      </c>
      <c r="J4135">
        <v>160</v>
      </c>
      <c r="K4135">
        <v>110</v>
      </c>
      <c r="L4135">
        <v>260</v>
      </c>
      <c r="M4135">
        <v>115</v>
      </c>
      <c r="N4135">
        <v>1166</v>
      </c>
      <c r="O4135">
        <v>174</v>
      </c>
      <c r="P4135">
        <v>37</v>
      </c>
      <c r="Q4135">
        <v>156</v>
      </c>
      <c r="R4135">
        <v>308</v>
      </c>
      <c r="S4135">
        <v>1.1846153846153846</v>
      </c>
      <c r="T4135">
        <v>1.4181818181818182</v>
      </c>
      <c r="U4135">
        <v>1.1499999999999999</v>
      </c>
    </row>
    <row r="4136" spans="1:21" x14ac:dyDescent="0.35">
      <c r="A4136">
        <v>904</v>
      </c>
      <c r="B4136" s="16">
        <v>40878</v>
      </c>
      <c r="C4136" s="15" t="s">
        <v>63</v>
      </c>
      <c r="D4136" s="15" t="s">
        <v>38</v>
      </c>
      <c r="E4136" s="15" t="s">
        <v>51</v>
      </c>
      <c r="F4136" s="15" t="s">
        <v>52</v>
      </c>
      <c r="G4136" s="15" t="s">
        <v>65</v>
      </c>
      <c r="H4136" s="15" t="s">
        <v>45</v>
      </c>
      <c r="I4136">
        <v>10</v>
      </c>
      <c r="J4136">
        <v>30</v>
      </c>
      <c r="K4136">
        <v>20</v>
      </c>
      <c r="L4136">
        <v>40</v>
      </c>
      <c r="M4136">
        <v>24</v>
      </c>
      <c r="N4136">
        <v>567</v>
      </c>
      <c r="O4136">
        <v>32</v>
      </c>
      <c r="P4136">
        <v>7</v>
      </c>
      <c r="Q4136">
        <v>18</v>
      </c>
      <c r="R4136">
        <v>60</v>
      </c>
      <c r="S4136">
        <v>1.5</v>
      </c>
      <c r="T4136">
        <v>0.9</v>
      </c>
      <c r="U4136">
        <v>2.4</v>
      </c>
    </row>
    <row r="4137" spans="1:21" x14ac:dyDescent="0.35">
      <c r="A4137">
        <v>305</v>
      </c>
      <c r="B4137" s="16">
        <v>40878</v>
      </c>
      <c r="C4137" s="15" t="s">
        <v>63</v>
      </c>
      <c r="D4137" s="15" t="s">
        <v>38</v>
      </c>
      <c r="E4137" s="15" t="s">
        <v>53</v>
      </c>
      <c r="F4137" s="15" t="s">
        <v>52</v>
      </c>
      <c r="G4137" s="15" t="s">
        <v>65</v>
      </c>
      <c r="H4137" s="15" t="s">
        <v>45</v>
      </c>
      <c r="I4137">
        <v>40</v>
      </c>
      <c r="J4137">
        <v>60</v>
      </c>
      <c r="K4137">
        <v>20</v>
      </c>
      <c r="L4137">
        <v>100</v>
      </c>
      <c r="M4137">
        <v>65</v>
      </c>
      <c r="N4137">
        <v>403</v>
      </c>
      <c r="O4137">
        <v>80</v>
      </c>
      <c r="P4137">
        <v>24</v>
      </c>
      <c r="Q4137">
        <v>34</v>
      </c>
      <c r="R4137">
        <v>155</v>
      </c>
      <c r="S4137">
        <v>1.55</v>
      </c>
      <c r="T4137">
        <v>1.7</v>
      </c>
      <c r="U4137">
        <v>1.625</v>
      </c>
    </row>
    <row r="4138" spans="1:21" x14ac:dyDescent="0.35">
      <c r="A4138">
        <v>407</v>
      </c>
      <c r="B4138" s="16">
        <v>40878</v>
      </c>
      <c r="C4138" s="15" t="s">
        <v>63</v>
      </c>
      <c r="D4138" s="15" t="s">
        <v>38</v>
      </c>
      <c r="E4138" s="15" t="s">
        <v>54</v>
      </c>
      <c r="F4138" s="15" t="s">
        <v>52</v>
      </c>
      <c r="G4138" s="15" t="s">
        <v>65</v>
      </c>
      <c r="H4138" s="15" t="s">
        <v>45</v>
      </c>
      <c r="I4138">
        <v>60</v>
      </c>
      <c r="J4138">
        <v>60</v>
      </c>
      <c r="K4138">
        <v>30</v>
      </c>
      <c r="L4138">
        <v>120</v>
      </c>
      <c r="M4138">
        <v>80</v>
      </c>
      <c r="N4138">
        <v>1079</v>
      </c>
      <c r="O4138">
        <v>96</v>
      </c>
      <c r="P4138">
        <v>24</v>
      </c>
      <c r="Q4138">
        <v>74</v>
      </c>
      <c r="R4138">
        <v>188</v>
      </c>
      <c r="S4138">
        <v>1.5666666666666667</v>
      </c>
      <c r="T4138">
        <v>2.4666666666666668</v>
      </c>
      <c r="U4138">
        <v>1.3333333333333333</v>
      </c>
    </row>
    <row r="4139" spans="1:21" x14ac:dyDescent="0.35">
      <c r="A4139">
        <v>321</v>
      </c>
      <c r="B4139" s="16">
        <v>40878</v>
      </c>
      <c r="C4139" s="15" t="s">
        <v>63</v>
      </c>
      <c r="D4139" s="15" t="s">
        <v>38</v>
      </c>
      <c r="E4139" s="15" t="s">
        <v>55</v>
      </c>
      <c r="F4139" s="15" t="s">
        <v>47</v>
      </c>
      <c r="G4139" s="15" t="s">
        <v>65</v>
      </c>
      <c r="H4139" s="15" t="s">
        <v>42</v>
      </c>
      <c r="I4139">
        <v>30</v>
      </c>
      <c r="J4139">
        <v>40</v>
      </c>
      <c r="K4139">
        <v>30</v>
      </c>
      <c r="L4139">
        <v>70</v>
      </c>
      <c r="M4139">
        <v>30</v>
      </c>
      <c r="N4139">
        <v>882</v>
      </c>
      <c r="O4139">
        <v>45</v>
      </c>
      <c r="P4139">
        <v>8</v>
      </c>
      <c r="Q4139">
        <v>39</v>
      </c>
      <c r="R4139">
        <v>80</v>
      </c>
      <c r="S4139">
        <v>1.1428571428571428</v>
      </c>
      <c r="T4139">
        <v>1.3</v>
      </c>
      <c r="U4139">
        <v>1</v>
      </c>
    </row>
    <row r="4140" spans="1:21" x14ac:dyDescent="0.35">
      <c r="A4140">
        <v>321</v>
      </c>
      <c r="B4140" s="16">
        <v>40878</v>
      </c>
      <c r="C4140" s="15" t="s">
        <v>63</v>
      </c>
      <c r="D4140" s="15" t="s">
        <v>38</v>
      </c>
      <c r="E4140" s="15" t="s">
        <v>46</v>
      </c>
      <c r="F4140" s="15" t="s">
        <v>47</v>
      </c>
      <c r="G4140" s="15" t="s">
        <v>65</v>
      </c>
      <c r="H4140" s="15" t="s">
        <v>42</v>
      </c>
      <c r="I4140">
        <v>30</v>
      </c>
      <c r="J4140">
        <v>50</v>
      </c>
      <c r="K4140">
        <v>40</v>
      </c>
      <c r="L4140">
        <v>80</v>
      </c>
      <c r="M4140">
        <v>34</v>
      </c>
      <c r="N4140">
        <v>863</v>
      </c>
      <c r="O4140">
        <v>51</v>
      </c>
      <c r="P4140">
        <v>9</v>
      </c>
      <c r="Q4140">
        <v>45</v>
      </c>
      <c r="R4140">
        <v>91</v>
      </c>
      <c r="S4140">
        <v>1.1375</v>
      </c>
      <c r="T4140">
        <v>1.125</v>
      </c>
      <c r="U4140">
        <v>1.1333333333333333</v>
      </c>
    </row>
    <row r="4141" spans="1:21" x14ac:dyDescent="0.35">
      <c r="A4141">
        <v>305</v>
      </c>
      <c r="B4141" s="16">
        <v>40878</v>
      </c>
      <c r="C4141" s="15" t="s">
        <v>63</v>
      </c>
      <c r="D4141" s="15" t="s">
        <v>38</v>
      </c>
      <c r="E4141" s="15" t="s">
        <v>48</v>
      </c>
      <c r="F4141" s="15" t="s">
        <v>49</v>
      </c>
      <c r="G4141" s="15" t="s">
        <v>65</v>
      </c>
      <c r="H4141" s="15" t="s">
        <v>42</v>
      </c>
      <c r="I4141">
        <v>100</v>
      </c>
      <c r="J4141">
        <v>140</v>
      </c>
      <c r="K4141">
        <v>30</v>
      </c>
      <c r="L4141">
        <v>240</v>
      </c>
      <c r="M4141">
        <v>105</v>
      </c>
      <c r="N4141">
        <v>716</v>
      </c>
      <c r="O4141">
        <v>145</v>
      </c>
      <c r="P4141">
        <v>95</v>
      </c>
      <c r="Q4141">
        <v>31</v>
      </c>
      <c r="R4141">
        <v>266</v>
      </c>
      <c r="S4141">
        <v>1.1083333333333334</v>
      </c>
      <c r="T4141">
        <v>1.0333333333333334</v>
      </c>
      <c r="U4141">
        <v>1.05</v>
      </c>
    </row>
    <row r="4142" spans="1:21" x14ac:dyDescent="0.35">
      <c r="A4142">
        <v>386</v>
      </c>
      <c r="B4142" s="16">
        <v>40878</v>
      </c>
      <c r="C4142" s="15" t="s">
        <v>63</v>
      </c>
      <c r="D4142" s="15" t="s">
        <v>38</v>
      </c>
      <c r="E4142" s="15" t="s">
        <v>50</v>
      </c>
      <c r="F4142" s="15" t="s">
        <v>49</v>
      </c>
      <c r="G4142" s="15" t="s">
        <v>65</v>
      </c>
      <c r="H4142" s="15" t="s">
        <v>45</v>
      </c>
      <c r="I4142">
        <v>80</v>
      </c>
      <c r="J4142">
        <v>110</v>
      </c>
      <c r="K4142">
        <v>70</v>
      </c>
      <c r="L4142">
        <v>190</v>
      </c>
      <c r="M4142">
        <v>83</v>
      </c>
      <c r="N4142">
        <v>575</v>
      </c>
      <c r="O4142">
        <v>112</v>
      </c>
      <c r="P4142">
        <v>27</v>
      </c>
      <c r="Q4142">
        <v>86</v>
      </c>
      <c r="R4142">
        <v>208</v>
      </c>
      <c r="S4142">
        <v>1.0947368421052632</v>
      </c>
      <c r="T4142">
        <v>1.2285714285714286</v>
      </c>
      <c r="U4142">
        <v>1.0375000000000001</v>
      </c>
    </row>
    <row r="4143" spans="1:21" x14ac:dyDescent="0.35">
      <c r="A4143">
        <v>407</v>
      </c>
      <c r="B4143" s="16">
        <v>40878</v>
      </c>
      <c r="C4143" s="15" t="s">
        <v>63</v>
      </c>
      <c r="D4143" s="15" t="s">
        <v>38</v>
      </c>
      <c r="E4143" s="15" t="s">
        <v>43</v>
      </c>
      <c r="F4143" s="15" t="s">
        <v>40</v>
      </c>
      <c r="G4143" s="15" t="s">
        <v>65</v>
      </c>
      <c r="H4143" s="15" t="s">
        <v>42</v>
      </c>
      <c r="I4143">
        <v>70</v>
      </c>
      <c r="J4143">
        <v>120</v>
      </c>
      <c r="K4143">
        <v>80</v>
      </c>
      <c r="L4143">
        <v>190</v>
      </c>
      <c r="M4143">
        <v>88</v>
      </c>
      <c r="N4143">
        <v>817</v>
      </c>
      <c r="O4143">
        <v>133</v>
      </c>
      <c r="P4143">
        <v>29</v>
      </c>
      <c r="Q4143">
        <v>108</v>
      </c>
      <c r="R4143">
        <v>236</v>
      </c>
      <c r="S4143">
        <v>1.2421052631578948</v>
      </c>
      <c r="T4143">
        <v>1.35</v>
      </c>
      <c r="U4143">
        <v>1.2571428571428571</v>
      </c>
    </row>
    <row r="4144" spans="1:21" x14ac:dyDescent="0.35">
      <c r="A4144">
        <v>727</v>
      </c>
      <c r="B4144" s="16">
        <v>40878</v>
      </c>
      <c r="C4144" s="15" t="s">
        <v>63</v>
      </c>
      <c r="D4144" s="15" t="s">
        <v>38</v>
      </c>
      <c r="E4144" s="15" t="s">
        <v>44</v>
      </c>
      <c r="F4144" s="15" t="s">
        <v>40</v>
      </c>
      <c r="G4144" s="15" t="s">
        <v>65</v>
      </c>
      <c r="H4144" s="15" t="s">
        <v>45</v>
      </c>
      <c r="I4144">
        <v>120</v>
      </c>
      <c r="J4144">
        <v>160</v>
      </c>
      <c r="K4144">
        <v>110</v>
      </c>
      <c r="L4144">
        <v>280</v>
      </c>
      <c r="M4144">
        <v>134</v>
      </c>
      <c r="N4144">
        <v>690</v>
      </c>
      <c r="O4144">
        <v>186</v>
      </c>
      <c r="P4144">
        <v>41</v>
      </c>
      <c r="Q4144">
        <v>181</v>
      </c>
      <c r="R4144">
        <v>341</v>
      </c>
      <c r="S4144">
        <v>1.2178571428571427</v>
      </c>
      <c r="T4144">
        <v>1.6454545454545455</v>
      </c>
      <c r="U4144">
        <v>1.1166666666666667</v>
      </c>
    </row>
    <row r="4145" spans="1:21" x14ac:dyDescent="0.35">
      <c r="A4145">
        <v>774</v>
      </c>
      <c r="B4145" s="16">
        <v>40878</v>
      </c>
      <c r="C4145" s="15" t="s">
        <v>63</v>
      </c>
      <c r="D4145" s="15" t="s">
        <v>38</v>
      </c>
      <c r="E4145" s="15" t="s">
        <v>53</v>
      </c>
      <c r="F4145" s="15" t="s">
        <v>52</v>
      </c>
      <c r="G4145" s="15" t="s">
        <v>66</v>
      </c>
      <c r="H4145" s="15" t="s">
        <v>45</v>
      </c>
      <c r="I4145">
        <v>30</v>
      </c>
      <c r="J4145">
        <v>40</v>
      </c>
      <c r="K4145">
        <v>10</v>
      </c>
      <c r="L4145">
        <v>70</v>
      </c>
      <c r="M4145">
        <v>46</v>
      </c>
      <c r="N4145">
        <v>422</v>
      </c>
      <c r="O4145">
        <v>57</v>
      </c>
      <c r="P4145">
        <v>17</v>
      </c>
      <c r="Q4145">
        <v>10</v>
      </c>
      <c r="R4145">
        <v>110</v>
      </c>
      <c r="S4145">
        <v>1.5714285714285714</v>
      </c>
      <c r="T4145">
        <v>1</v>
      </c>
      <c r="U4145">
        <v>1.5333333333333334</v>
      </c>
    </row>
    <row r="4146" spans="1:21" x14ac:dyDescent="0.35">
      <c r="A4146">
        <v>978</v>
      </c>
      <c r="B4146" s="16">
        <v>40878</v>
      </c>
      <c r="C4146" s="15" t="s">
        <v>63</v>
      </c>
      <c r="D4146" s="15" t="s">
        <v>38</v>
      </c>
      <c r="E4146" s="15" t="s">
        <v>55</v>
      </c>
      <c r="F4146" s="15" t="s">
        <v>47</v>
      </c>
      <c r="G4146" s="15" t="s">
        <v>66</v>
      </c>
      <c r="H4146" s="15" t="s">
        <v>42</v>
      </c>
      <c r="I4146">
        <v>30</v>
      </c>
      <c r="J4146">
        <v>50</v>
      </c>
      <c r="K4146">
        <v>40</v>
      </c>
      <c r="L4146">
        <v>80</v>
      </c>
      <c r="M4146">
        <v>33</v>
      </c>
      <c r="N4146">
        <v>870</v>
      </c>
      <c r="O4146">
        <v>49</v>
      </c>
      <c r="P4146">
        <v>9</v>
      </c>
      <c r="Q4146">
        <v>43</v>
      </c>
      <c r="R4146">
        <v>87</v>
      </c>
      <c r="S4146">
        <v>1.0874999999999999</v>
      </c>
      <c r="T4146">
        <v>1.075</v>
      </c>
      <c r="U4146">
        <v>1.1000000000000001</v>
      </c>
    </row>
    <row r="4147" spans="1:21" x14ac:dyDescent="0.35">
      <c r="A4147">
        <v>774</v>
      </c>
      <c r="B4147" s="16">
        <v>40878</v>
      </c>
      <c r="C4147" s="15" t="s">
        <v>63</v>
      </c>
      <c r="D4147" s="15" t="s">
        <v>38</v>
      </c>
      <c r="E4147" s="15" t="s">
        <v>46</v>
      </c>
      <c r="F4147" s="15" t="s">
        <v>47</v>
      </c>
      <c r="G4147" s="15" t="s">
        <v>66</v>
      </c>
      <c r="H4147" s="15" t="s">
        <v>42</v>
      </c>
      <c r="I4147">
        <v>30</v>
      </c>
      <c r="J4147">
        <v>40</v>
      </c>
      <c r="K4147">
        <v>30</v>
      </c>
      <c r="L4147">
        <v>70</v>
      </c>
      <c r="M4147">
        <v>29</v>
      </c>
      <c r="N4147">
        <v>490</v>
      </c>
      <c r="O4147">
        <v>44</v>
      </c>
      <c r="P4147">
        <v>8</v>
      </c>
      <c r="Q4147">
        <v>37</v>
      </c>
      <c r="R4147">
        <v>78</v>
      </c>
      <c r="S4147">
        <v>1.1142857142857143</v>
      </c>
      <c r="T4147">
        <v>1.2333333333333334</v>
      </c>
      <c r="U4147">
        <v>0.96666666666666667</v>
      </c>
    </row>
    <row r="4148" spans="1:21" x14ac:dyDescent="0.35">
      <c r="A4148">
        <v>978</v>
      </c>
      <c r="B4148" s="16">
        <v>40878</v>
      </c>
      <c r="C4148" s="15" t="s">
        <v>63</v>
      </c>
      <c r="D4148" s="15" t="s">
        <v>38</v>
      </c>
      <c r="E4148" s="15" t="s">
        <v>48</v>
      </c>
      <c r="F4148" s="15" t="s">
        <v>49</v>
      </c>
      <c r="G4148" s="15" t="s">
        <v>66</v>
      </c>
      <c r="H4148" s="15" t="s">
        <v>42</v>
      </c>
      <c r="I4148">
        <v>40</v>
      </c>
      <c r="J4148">
        <v>50</v>
      </c>
      <c r="K4148">
        <v>-10</v>
      </c>
      <c r="L4148">
        <v>90</v>
      </c>
      <c r="M4148">
        <v>47</v>
      </c>
      <c r="N4148">
        <v>571</v>
      </c>
      <c r="O4148">
        <v>52</v>
      </c>
      <c r="P4148">
        <v>42</v>
      </c>
      <c r="Q4148">
        <v>-30</v>
      </c>
      <c r="R4148">
        <v>106</v>
      </c>
      <c r="S4148">
        <v>1.1777777777777778</v>
      </c>
      <c r="T4148">
        <v>3</v>
      </c>
      <c r="U4148">
        <v>1.175</v>
      </c>
    </row>
    <row r="4149" spans="1:21" x14ac:dyDescent="0.35">
      <c r="A4149">
        <v>857</v>
      </c>
      <c r="B4149" s="16">
        <v>40878</v>
      </c>
      <c r="C4149" s="15" t="s">
        <v>63</v>
      </c>
      <c r="D4149" s="15" t="s">
        <v>38</v>
      </c>
      <c r="E4149" s="15" t="s">
        <v>67</v>
      </c>
      <c r="F4149" s="15" t="s">
        <v>49</v>
      </c>
      <c r="G4149" s="15" t="s">
        <v>66</v>
      </c>
      <c r="H4149" s="15" t="s">
        <v>42</v>
      </c>
      <c r="I4149">
        <v>150</v>
      </c>
      <c r="J4149">
        <v>140</v>
      </c>
      <c r="K4149">
        <v>80</v>
      </c>
      <c r="L4149">
        <v>290</v>
      </c>
      <c r="M4149">
        <v>153</v>
      </c>
      <c r="N4149">
        <v>1319</v>
      </c>
      <c r="O4149">
        <v>153</v>
      </c>
      <c r="P4149">
        <v>42</v>
      </c>
      <c r="Q4149">
        <v>129</v>
      </c>
      <c r="R4149">
        <v>326</v>
      </c>
      <c r="S4149">
        <v>1.1241379310344828</v>
      </c>
      <c r="T4149">
        <v>1.6125</v>
      </c>
      <c r="U4149">
        <v>1.02</v>
      </c>
    </row>
    <row r="4150" spans="1:21" x14ac:dyDescent="0.35">
      <c r="A4150">
        <v>351</v>
      </c>
      <c r="B4150" s="16">
        <v>40878</v>
      </c>
      <c r="C4150" s="15" t="s">
        <v>63</v>
      </c>
      <c r="D4150" s="15" t="s">
        <v>38</v>
      </c>
      <c r="E4150" s="15" t="s">
        <v>43</v>
      </c>
      <c r="F4150" s="15" t="s">
        <v>40</v>
      </c>
      <c r="G4150" s="15" t="s">
        <v>66</v>
      </c>
      <c r="H4150" s="15" t="s">
        <v>42</v>
      </c>
      <c r="I4150">
        <v>60</v>
      </c>
      <c r="J4150">
        <v>390</v>
      </c>
      <c r="K4150">
        <v>360</v>
      </c>
      <c r="L4150">
        <v>450</v>
      </c>
      <c r="M4150">
        <v>67</v>
      </c>
      <c r="N4150">
        <v>-3534</v>
      </c>
      <c r="O4150">
        <v>443</v>
      </c>
      <c r="P4150">
        <v>22</v>
      </c>
      <c r="Q4150">
        <v>579</v>
      </c>
      <c r="R4150">
        <v>543</v>
      </c>
      <c r="S4150">
        <v>1.2066666666666668</v>
      </c>
      <c r="T4150">
        <v>1.6083333333333334</v>
      </c>
      <c r="U4150">
        <v>1.1166666666666667</v>
      </c>
    </row>
    <row r="4151" spans="1:21" x14ac:dyDescent="0.35">
      <c r="A4151">
        <v>603</v>
      </c>
      <c r="B4151" s="16">
        <v>40878</v>
      </c>
      <c r="C4151" s="15" t="s">
        <v>63</v>
      </c>
      <c r="D4151" s="15" t="s">
        <v>58</v>
      </c>
      <c r="E4151" s="15" t="s">
        <v>53</v>
      </c>
      <c r="F4151" s="15" t="s">
        <v>52</v>
      </c>
      <c r="G4151" s="15" t="s">
        <v>68</v>
      </c>
      <c r="H4151" s="15" t="s">
        <v>45</v>
      </c>
      <c r="I4151">
        <v>20</v>
      </c>
      <c r="J4151">
        <v>40</v>
      </c>
      <c r="K4151">
        <v>10</v>
      </c>
      <c r="L4151">
        <v>60</v>
      </c>
      <c r="M4151">
        <v>39</v>
      </c>
      <c r="N4151">
        <v>250</v>
      </c>
      <c r="O4151">
        <v>49</v>
      </c>
      <c r="P4151">
        <v>14</v>
      </c>
      <c r="Q4151">
        <v>3</v>
      </c>
      <c r="R4151">
        <v>94</v>
      </c>
      <c r="S4151">
        <v>1.5666666666666667</v>
      </c>
      <c r="T4151">
        <v>0.3</v>
      </c>
      <c r="U4151">
        <v>1.95</v>
      </c>
    </row>
    <row r="4152" spans="1:21" x14ac:dyDescent="0.35">
      <c r="A4152">
        <v>603</v>
      </c>
      <c r="B4152" s="16">
        <v>40878</v>
      </c>
      <c r="C4152" s="15" t="s">
        <v>63</v>
      </c>
      <c r="D4152" s="15" t="s">
        <v>58</v>
      </c>
      <c r="E4152" s="15" t="s">
        <v>55</v>
      </c>
      <c r="F4152" s="15" t="s">
        <v>47</v>
      </c>
      <c r="G4152" s="15" t="s">
        <v>68</v>
      </c>
      <c r="H4152" s="15" t="s">
        <v>42</v>
      </c>
      <c r="I4152">
        <v>10</v>
      </c>
      <c r="J4152">
        <v>30</v>
      </c>
      <c r="K4152">
        <v>20</v>
      </c>
      <c r="L4152">
        <v>40</v>
      </c>
      <c r="M4152">
        <v>16</v>
      </c>
      <c r="N4152">
        <v>851</v>
      </c>
      <c r="O4152">
        <v>25</v>
      </c>
      <c r="P4152">
        <v>4</v>
      </c>
      <c r="Q4152">
        <v>15</v>
      </c>
      <c r="R4152">
        <v>44</v>
      </c>
      <c r="S4152">
        <v>1.1000000000000001</v>
      </c>
      <c r="T4152">
        <v>0.75</v>
      </c>
      <c r="U4152">
        <v>1.6</v>
      </c>
    </row>
    <row r="4153" spans="1:21" x14ac:dyDescent="0.35">
      <c r="A4153">
        <v>603</v>
      </c>
      <c r="B4153" s="16">
        <v>40878</v>
      </c>
      <c r="C4153" s="15" t="s">
        <v>63</v>
      </c>
      <c r="D4153" s="15" t="s">
        <v>58</v>
      </c>
      <c r="E4153" s="15" t="s">
        <v>46</v>
      </c>
      <c r="F4153" s="15" t="s">
        <v>47</v>
      </c>
      <c r="G4153" s="15" t="s">
        <v>68</v>
      </c>
      <c r="H4153" s="15" t="s">
        <v>42</v>
      </c>
      <c r="I4153">
        <v>0</v>
      </c>
      <c r="J4153">
        <v>40</v>
      </c>
      <c r="K4153">
        <v>30</v>
      </c>
      <c r="L4153">
        <v>40</v>
      </c>
      <c r="M4153">
        <v>0</v>
      </c>
      <c r="N4153">
        <v>344</v>
      </c>
      <c r="O4153">
        <v>43</v>
      </c>
      <c r="P4153">
        <v>0</v>
      </c>
      <c r="Q4153">
        <v>47</v>
      </c>
      <c r="R4153">
        <v>46</v>
      </c>
      <c r="S4153">
        <v>1.1499999999999999</v>
      </c>
      <c r="T4153">
        <v>1.5666666666666667</v>
      </c>
    </row>
    <row r="4154" spans="1:21" x14ac:dyDescent="0.35">
      <c r="A4154">
        <v>603</v>
      </c>
      <c r="B4154" s="16">
        <v>40878</v>
      </c>
      <c r="C4154" s="15" t="s">
        <v>63</v>
      </c>
      <c r="D4154" s="15" t="s">
        <v>58</v>
      </c>
      <c r="E4154" s="15" t="s">
        <v>48</v>
      </c>
      <c r="F4154" s="15" t="s">
        <v>49</v>
      </c>
      <c r="G4154" s="15" t="s">
        <v>68</v>
      </c>
      <c r="H4154" s="15" t="s">
        <v>42</v>
      </c>
      <c r="I4154">
        <v>40</v>
      </c>
      <c r="J4154">
        <v>70</v>
      </c>
      <c r="K4154">
        <v>10</v>
      </c>
      <c r="L4154">
        <v>110</v>
      </c>
      <c r="M4154">
        <v>49</v>
      </c>
      <c r="N4154">
        <v>335</v>
      </c>
      <c r="O4154">
        <v>69</v>
      </c>
      <c r="P4154">
        <v>44</v>
      </c>
      <c r="Q4154">
        <v>-6</v>
      </c>
      <c r="R4154">
        <v>126</v>
      </c>
      <c r="S4154">
        <v>1.1454545454545455</v>
      </c>
      <c r="T4154">
        <v>-0.6</v>
      </c>
      <c r="U4154">
        <v>1.2250000000000001</v>
      </c>
    </row>
    <row r="4155" spans="1:21" x14ac:dyDescent="0.35">
      <c r="A4155">
        <v>603</v>
      </c>
      <c r="B4155" s="16">
        <v>40878</v>
      </c>
      <c r="C4155" s="15" t="s">
        <v>63</v>
      </c>
      <c r="D4155" s="15" t="s">
        <v>58</v>
      </c>
      <c r="E4155" s="15" t="s">
        <v>67</v>
      </c>
      <c r="F4155" s="15" t="s">
        <v>49</v>
      </c>
      <c r="G4155" s="15" t="s">
        <v>68</v>
      </c>
      <c r="H4155" s="15" t="s">
        <v>42</v>
      </c>
      <c r="I4155">
        <v>10</v>
      </c>
      <c r="J4155">
        <v>30</v>
      </c>
      <c r="K4155">
        <v>0</v>
      </c>
      <c r="L4155">
        <v>40</v>
      </c>
      <c r="M4155">
        <v>20</v>
      </c>
      <c r="N4155">
        <v>218</v>
      </c>
      <c r="O4155">
        <v>25</v>
      </c>
      <c r="P4155">
        <v>7</v>
      </c>
      <c r="Q4155">
        <v>-24</v>
      </c>
      <c r="R4155">
        <v>48</v>
      </c>
      <c r="S4155">
        <v>1.2</v>
      </c>
      <c r="U4155">
        <v>2</v>
      </c>
    </row>
    <row r="4156" spans="1:21" x14ac:dyDescent="0.35">
      <c r="A4156">
        <v>603</v>
      </c>
      <c r="B4156" s="16">
        <v>40878</v>
      </c>
      <c r="C4156" s="15" t="s">
        <v>63</v>
      </c>
      <c r="D4156" s="15" t="s">
        <v>58</v>
      </c>
      <c r="E4156" s="15" t="s">
        <v>39</v>
      </c>
      <c r="F4156" s="15" t="s">
        <v>40</v>
      </c>
      <c r="G4156" s="15" t="s">
        <v>68</v>
      </c>
      <c r="H4156" s="15" t="s">
        <v>42</v>
      </c>
      <c r="I4156">
        <v>40</v>
      </c>
      <c r="J4156">
        <v>70</v>
      </c>
      <c r="K4156">
        <v>50</v>
      </c>
      <c r="L4156">
        <v>110</v>
      </c>
      <c r="M4156">
        <v>52</v>
      </c>
      <c r="N4156">
        <v>327</v>
      </c>
      <c r="O4156">
        <v>75</v>
      </c>
      <c r="P4156">
        <v>16</v>
      </c>
      <c r="Q4156">
        <v>55</v>
      </c>
      <c r="R4156">
        <v>135</v>
      </c>
      <c r="S4156">
        <v>1.2272727272727273</v>
      </c>
      <c r="T4156">
        <v>1.1000000000000001</v>
      </c>
      <c r="U4156">
        <v>1.3</v>
      </c>
    </row>
    <row r="4157" spans="1:21" x14ac:dyDescent="0.35">
      <c r="A4157">
        <v>603</v>
      </c>
      <c r="B4157" s="16">
        <v>40878</v>
      </c>
      <c r="C4157" s="15" t="s">
        <v>63</v>
      </c>
      <c r="D4157" s="15" t="s">
        <v>58</v>
      </c>
      <c r="E4157" s="15" t="s">
        <v>43</v>
      </c>
      <c r="F4157" s="15" t="s">
        <v>40</v>
      </c>
      <c r="G4157" s="15" t="s">
        <v>68</v>
      </c>
      <c r="H4157" s="15" t="s">
        <v>42</v>
      </c>
      <c r="I4157">
        <v>40</v>
      </c>
      <c r="J4157">
        <v>60</v>
      </c>
      <c r="K4157">
        <v>30</v>
      </c>
      <c r="L4157">
        <v>100</v>
      </c>
      <c r="M4157">
        <v>48</v>
      </c>
      <c r="N4157">
        <v>462</v>
      </c>
      <c r="O4157">
        <v>74</v>
      </c>
      <c r="P4157">
        <v>15</v>
      </c>
      <c r="Q4157">
        <v>42</v>
      </c>
      <c r="R4157">
        <v>130</v>
      </c>
      <c r="S4157">
        <v>1.3</v>
      </c>
      <c r="T4157">
        <v>1.4</v>
      </c>
      <c r="U4157">
        <v>1.2</v>
      </c>
    </row>
    <row r="4158" spans="1:21" x14ac:dyDescent="0.35">
      <c r="A4158">
        <v>631</v>
      </c>
      <c r="B4158" s="16">
        <v>40878</v>
      </c>
      <c r="C4158" s="15" t="s">
        <v>63</v>
      </c>
      <c r="D4158" s="15" t="s">
        <v>38</v>
      </c>
      <c r="E4158" s="15" t="s">
        <v>53</v>
      </c>
      <c r="F4158" s="15" t="s">
        <v>52</v>
      </c>
      <c r="G4158" s="15" t="s">
        <v>69</v>
      </c>
      <c r="H4158" s="15" t="s">
        <v>45</v>
      </c>
      <c r="I4158">
        <v>220</v>
      </c>
      <c r="J4158">
        <v>320</v>
      </c>
      <c r="K4158">
        <v>210</v>
      </c>
      <c r="L4158">
        <v>540</v>
      </c>
      <c r="M4158">
        <v>294</v>
      </c>
      <c r="N4158">
        <v>1727</v>
      </c>
      <c r="O4158">
        <v>453</v>
      </c>
      <c r="P4158">
        <v>111</v>
      </c>
      <c r="Q4158">
        <v>459</v>
      </c>
      <c r="R4158">
        <v>796</v>
      </c>
      <c r="S4158">
        <v>1.4740740740740741</v>
      </c>
      <c r="T4158">
        <v>2.1857142857142855</v>
      </c>
      <c r="U4158">
        <v>1.3363636363636364</v>
      </c>
    </row>
    <row r="4159" spans="1:21" x14ac:dyDescent="0.35">
      <c r="A4159">
        <v>716</v>
      </c>
      <c r="B4159" s="16">
        <v>40878</v>
      </c>
      <c r="C4159" s="15" t="s">
        <v>63</v>
      </c>
      <c r="D4159" s="15" t="s">
        <v>38</v>
      </c>
      <c r="E4159" s="15" t="s">
        <v>54</v>
      </c>
      <c r="F4159" s="15" t="s">
        <v>52</v>
      </c>
      <c r="G4159" s="15" t="s">
        <v>69</v>
      </c>
      <c r="H4159" s="15" t="s">
        <v>45</v>
      </c>
      <c r="I4159">
        <v>180</v>
      </c>
      <c r="J4159">
        <v>-80</v>
      </c>
      <c r="K4159">
        <v>-150</v>
      </c>
      <c r="L4159">
        <v>100</v>
      </c>
      <c r="M4159">
        <v>241</v>
      </c>
      <c r="N4159">
        <v>5121</v>
      </c>
      <c r="O4159">
        <v>-93</v>
      </c>
      <c r="P4159">
        <v>74</v>
      </c>
      <c r="Q4159">
        <v>-280</v>
      </c>
      <c r="R4159">
        <v>158</v>
      </c>
      <c r="S4159">
        <v>1.58</v>
      </c>
      <c r="T4159">
        <v>1.8666666666666667</v>
      </c>
      <c r="U4159">
        <v>1.3388888888888888</v>
      </c>
    </row>
    <row r="4160" spans="1:21" x14ac:dyDescent="0.35">
      <c r="A4160">
        <v>718</v>
      </c>
      <c r="B4160" s="16">
        <v>40878</v>
      </c>
      <c r="C4160" s="15" t="s">
        <v>63</v>
      </c>
      <c r="D4160" s="15" t="s">
        <v>38</v>
      </c>
      <c r="E4160" s="15" t="s">
        <v>55</v>
      </c>
      <c r="F4160" s="15" t="s">
        <v>47</v>
      </c>
      <c r="G4160" s="15" t="s">
        <v>69</v>
      </c>
      <c r="H4160" s="15" t="s">
        <v>42</v>
      </c>
      <c r="I4160">
        <v>90</v>
      </c>
      <c r="J4160">
        <v>120</v>
      </c>
      <c r="K4160">
        <v>90</v>
      </c>
      <c r="L4160">
        <v>210</v>
      </c>
      <c r="M4160">
        <v>86</v>
      </c>
      <c r="N4160">
        <v>1003</v>
      </c>
      <c r="O4160">
        <v>124</v>
      </c>
      <c r="P4160">
        <v>24</v>
      </c>
      <c r="Q4160">
        <v>132</v>
      </c>
      <c r="R4160">
        <v>224</v>
      </c>
      <c r="S4160">
        <v>1.0666666666666667</v>
      </c>
      <c r="T4160">
        <v>1.4666666666666666</v>
      </c>
      <c r="U4160">
        <v>0.9555555555555556</v>
      </c>
    </row>
    <row r="4161" spans="1:21" x14ac:dyDescent="0.35">
      <c r="A4161">
        <v>518</v>
      </c>
      <c r="B4161" s="16">
        <v>40878</v>
      </c>
      <c r="C4161" s="15" t="s">
        <v>63</v>
      </c>
      <c r="D4161" s="15" t="s">
        <v>38</v>
      </c>
      <c r="E4161" s="15" t="s">
        <v>56</v>
      </c>
      <c r="F4161" s="15" t="s">
        <v>47</v>
      </c>
      <c r="G4161" s="15" t="s">
        <v>69</v>
      </c>
      <c r="H4161" s="15" t="s">
        <v>42</v>
      </c>
      <c r="I4161">
        <v>120</v>
      </c>
      <c r="J4161">
        <v>190</v>
      </c>
      <c r="K4161">
        <v>150</v>
      </c>
      <c r="L4161">
        <v>310</v>
      </c>
      <c r="M4161">
        <v>123</v>
      </c>
      <c r="N4161">
        <v>959</v>
      </c>
      <c r="O4161">
        <v>179</v>
      </c>
      <c r="P4161">
        <v>34</v>
      </c>
      <c r="Q4161">
        <v>197</v>
      </c>
      <c r="R4161">
        <v>322</v>
      </c>
      <c r="S4161">
        <v>1.0387096774193549</v>
      </c>
      <c r="T4161">
        <v>1.3133333333333332</v>
      </c>
      <c r="U4161">
        <v>1.0249999999999999</v>
      </c>
    </row>
    <row r="4162" spans="1:21" x14ac:dyDescent="0.35">
      <c r="A4162">
        <v>585</v>
      </c>
      <c r="B4162" s="16">
        <v>40878</v>
      </c>
      <c r="C4162" s="15" t="s">
        <v>63</v>
      </c>
      <c r="D4162" s="15" t="s">
        <v>38</v>
      </c>
      <c r="E4162" s="15" t="s">
        <v>46</v>
      </c>
      <c r="F4162" s="15" t="s">
        <v>47</v>
      </c>
      <c r="G4162" s="15" t="s">
        <v>69</v>
      </c>
      <c r="H4162" s="15" t="s">
        <v>42</v>
      </c>
      <c r="I4162">
        <v>50</v>
      </c>
      <c r="J4162">
        <v>80</v>
      </c>
      <c r="K4162">
        <v>60</v>
      </c>
      <c r="L4162">
        <v>130</v>
      </c>
      <c r="M4162">
        <v>54</v>
      </c>
      <c r="N4162">
        <v>601</v>
      </c>
      <c r="O4162">
        <v>79</v>
      </c>
      <c r="P4162">
        <v>15</v>
      </c>
      <c r="Q4162">
        <v>77</v>
      </c>
      <c r="R4162">
        <v>142</v>
      </c>
      <c r="S4162">
        <v>1.0923076923076922</v>
      </c>
      <c r="T4162">
        <v>1.2833333333333334</v>
      </c>
      <c r="U4162">
        <v>1.08</v>
      </c>
    </row>
    <row r="4163" spans="1:21" x14ac:dyDescent="0.35">
      <c r="A4163">
        <v>845</v>
      </c>
      <c r="B4163" s="16">
        <v>40878</v>
      </c>
      <c r="C4163" s="15" t="s">
        <v>63</v>
      </c>
      <c r="D4163" s="15" t="s">
        <v>38</v>
      </c>
      <c r="E4163" s="15" t="s">
        <v>48</v>
      </c>
      <c r="F4163" s="15" t="s">
        <v>49</v>
      </c>
      <c r="G4163" s="15" t="s">
        <v>69</v>
      </c>
      <c r="H4163" s="15" t="s">
        <v>42</v>
      </c>
      <c r="I4163">
        <v>130</v>
      </c>
      <c r="J4163">
        <v>-70</v>
      </c>
      <c r="K4163">
        <v>-210</v>
      </c>
      <c r="L4163">
        <v>60</v>
      </c>
      <c r="M4163">
        <v>135</v>
      </c>
      <c r="N4163">
        <v>3641</v>
      </c>
      <c r="O4163">
        <v>-69</v>
      </c>
      <c r="P4163">
        <v>122</v>
      </c>
      <c r="Q4163">
        <v>-332</v>
      </c>
      <c r="R4163">
        <v>70</v>
      </c>
      <c r="S4163">
        <v>1.1666666666666667</v>
      </c>
      <c r="T4163">
        <v>1.5809523809523809</v>
      </c>
      <c r="U4163">
        <v>1.0384615384615385</v>
      </c>
    </row>
    <row r="4164" spans="1:21" x14ac:dyDescent="0.35">
      <c r="A4164">
        <v>518</v>
      </c>
      <c r="B4164" s="16">
        <v>40878</v>
      </c>
      <c r="C4164" s="15" t="s">
        <v>63</v>
      </c>
      <c r="D4164" s="15" t="s">
        <v>38</v>
      </c>
      <c r="E4164" s="15" t="s">
        <v>67</v>
      </c>
      <c r="F4164" s="15" t="s">
        <v>49</v>
      </c>
      <c r="G4164" s="15" t="s">
        <v>69</v>
      </c>
      <c r="H4164" s="15" t="s">
        <v>42</v>
      </c>
      <c r="I4164">
        <v>240</v>
      </c>
      <c r="J4164">
        <v>400</v>
      </c>
      <c r="K4164">
        <v>320</v>
      </c>
      <c r="L4164">
        <v>640</v>
      </c>
      <c r="M4164">
        <v>250</v>
      </c>
      <c r="N4164">
        <v>723</v>
      </c>
      <c r="O4164">
        <v>407</v>
      </c>
      <c r="P4164">
        <v>70</v>
      </c>
      <c r="Q4164">
        <v>463</v>
      </c>
      <c r="R4164">
        <v>700</v>
      </c>
      <c r="S4164">
        <v>1.09375</v>
      </c>
      <c r="T4164">
        <v>1.4468749999999999</v>
      </c>
      <c r="U4164">
        <v>1.0416666666666667</v>
      </c>
    </row>
    <row r="4165" spans="1:21" x14ac:dyDescent="0.35">
      <c r="A4165">
        <v>315</v>
      </c>
      <c r="B4165" s="16">
        <v>40878</v>
      </c>
      <c r="C4165" s="15" t="s">
        <v>63</v>
      </c>
      <c r="D4165" s="15" t="s">
        <v>38</v>
      </c>
      <c r="E4165" s="15" t="s">
        <v>43</v>
      </c>
      <c r="F4165" s="15" t="s">
        <v>40</v>
      </c>
      <c r="G4165" s="15" t="s">
        <v>69</v>
      </c>
      <c r="H4165" s="15" t="s">
        <v>42</v>
      </c>
      <c r="I4165">
        <v>250</v>
      </c>
      <c r="J4165">
        <v>370</v>
      </c>
      <c r="K4165">
        <v>250</v>
      </c>
      <c r="L4165">
        <v>620</v>
      </c>
      <c r="M4165">
        <v>279</v>
      </c>
      <c r="N4165">
        <v>2642</v>
      </c>
      <c r="O4165">
        <v>420</v>
      </c>
      <c r="P4165">
        <v>97</v>
      </c>
      <c r="Q4165">
        <v>402</v>
      </c>
      <c r="R4165">
        <v>745</v>
      </c>
      <c r="S4165">
        <v>1.2016129032258065</v>
      </c>
      <c r="T4165">
        <v>1.6080000000000001</v>
      </c>
      <c r="U4165">
        <v>1.1160000000000001</v>
      </c>
    </row>
    <row r="4166" spans="1:21" x14ac:dyDescent="0.35">
      <c r="A4166">
        <v>985</v>
      </c>
      <c r="B4166" s="16">
        <v>40878</v>
      </c>
      <c r="C4166" s="15" t="s">
        <v>70</v>
      </c>
      <c r="D4166" s="15" t="s">
        <v>58</v>
      </c>
      <c r="E4166" s="15" t="s">
        <v>51</v>
      </c>
      <c r="F4166" s="15" t="s">
        <v>52</v>
      </c>
      <c r="G4166" s="15" t="s">
        <v>71</v>
      </c>
      <c r="H4166" s="15" t="s">
        <v>45</v>
      </c>
      <c r="I4166">
        <v>80</v>
      </c>
      <c r="J4166">
        <v>110</v>
      </c>
      <c r="K4166">
        <v>70</v>
      </c>
      <c r="L4166">
        <v>190</v>
      </c>
      <c r="M4166">
        <v>94</v>
      </c>
      <c r="N4166">
        <v>540</v>
      </c>
      <c r="O4166">
        <v>120</v>
      </c>
      <c r="P4166">
        <v>31</v>
      </c>
      <c r="Q4166">
        <v>114</v>
      </c>
      <c r="R4166">
        <v>228</v>
      </c>
      <c r="S4166">
        <v>1.2</v>
      </c>
      <c r="T4166">
        <v>1.6285714285714286</v>
      </c>
      <c r="U4166">
        <v>1.175</v>
      </c>
    </row>
    <row r="4167" spans="1:21" x14ac:dyDescent="0.35">
      <c r="A4167">
        <v>318</v>
      </c>
      <c r="B4167" s="16">
        <v>40878</v>
      </c>
      <c r="C4167" s="15" t="s">
        <v>70</v>
      </c>
      <c r="D4167" s="15" t="s">
        <v>58</v>
      </c>
      <c r="E4167" s="15" t="s">
        <v>53</v>
      </c>
      <c r="F4167" s="15" t="s">
        <v>52</v>
      </c>
      <c r="G4167" s="15" t="s">
        <v>71</v>
      </c>
      <c r="H4167" s="15" t="s">
        <v>45</v>
      </c>
      <c r="I4167">
        <v>60</v>
      </c>
      <c r="J4167">
        <v>80</v>
      </c>
      <c r="K4167">
        <v>30</v>
      </c>
      <c r="L4167">
        <v>140</v>
      </c>
      <c r="M4167">
        <v>68</v>
      </c>
      <c r="N4167">
        <v>619</v>
      </c>
      <c r="O4167">
        <v>85</v>
      </c>
      <c r="P4167">
        <v>25</v>
      </c>
      <c r="Q4167">
        <v>39</v>
      </c>
      <c r="R4167">
        <v>163</v>
      </c>
      <c r="S4167">
        <v>1.1642857142857144</v>
      </c>
      <c r="T4167">
        <v>1.3</v>
      </c>
      <c r="U4167">
        <v>1.1333333333333333</v>
      </c>
    </row>
    <row r="4168" spans="1:21" x14ac:dyDescent="0.35">
      <c r="A4168">
        <v>985</v>
      </c>
      <c r="B4168" s="16">
        <v>40878</v>
      </c>
      <c r="C4168" s="15" t="s">
        <v>70</v>
      </c>
      <c r="D4168" s="15" t="s">
        <v>58</v>
      </c>
      <c r="E4168" s="15" t="s">
        <v>43</v>
      </c>
      <c r="F4168" s="15" t="s">
        <v>40</v>
      </c>
      <c r="G4168" s="15" t="s">
        <v>71</v>
      </c>
      <c r="H4168" s="15" t="s">
        <v>42</v>
      </c>
      <c r="I4168">
        <v>50</v>
      </c>
      <c r="J4168">
        <v>90</v>
      </c>
      <c r="K4168">
        <v>70</v>
      </c>
      <c r="L4168">
        <v>140</v>
      </c>
      <c r="M4168">
        <v>49</v>
      </c>
      <c r="N4168">
        <v>845</v>
      </c>
      <c r="O4168">
        <v>71</v>
      </c>
      <c r="P4168">
        <v>13</v>
      </c>
      <c r="Q4168">
        <v>68</v>
      </c>
      <c r="R4168">
        <v>128</v>
      </c>
      <c r="S4168">
        <v>0.91428571428571426</v>
      </c>
      <c r="T4168">
        <v>0.97142857142857142</v>
      </c>
      <c r="U4168">
        <v>0.98</v>
      </c>
    </row>
    <row r="4169" spans="1:21" x14ac:dyDescent="0.35">
      <c r="A4169">
        <v>337</v>
      </c>
      <c r="B4169" s="16">
        <v>40878</v>
      </c>
      <c r="C4169" s="15" t="s">
        <v>70</v>
      </c>
      <c r="D4169" s="15" t="s">
        <v>58</v>
      </c>
      <c r="E4169" s="15" t="s">
        <v>44</v>
      </c>
      <c r="F4169" s="15" t="s">
        <v>40</v>
      </c>
      <c r="G4169" s="15" t="s">
        <v>71</v>
      </c>
      <c r="H4169" s="15" t="s">
        <v>45</v>
      </c>
      <c r="I4169">
        <v>40</v>
      </c>
      <c r="J4169">
        <v>60</v>
      </c>
      <c r="K4169">
        <v>50</v>
      </c>
      <c r="L4169">
        <v>100</v>
      </c>
      <c r="M4169">
        <v>34</v>
      </c>
      <c r="N4169">
        <v>863</v>
      </c>
      <c r="O4169">
        <v>51</v>
      </c>
      <c r="P4169">
        <v>9</v>
      </c>
      <c r="Q4169">
        <v>46</v>
      </c>
      <c r="R4169">
        <v>91</v>
      </c>
      <c r="S4169">
        <v>0.91</v>
      </c>
      <c r="T4169">
        <v>0.92</v>
      </c>
      <c r="U4169">
        <v>0.85</v>
      </c>
    </row>
    <row r="4170" spans="1:21" x14ac:dyDescent="0.35">
      <c r="A4170">
        <v>225</v>
      </c>
      <c r="B4170" s="16">
        <v>40878</v>
      </c>
      <c r="C4170" s="15" t="s">
        <v>70</v>
      </c>
      <c r="D4170" s="15" t="s">
        <v>58</v>
      </c>
      <c r="E4170" s="15" t="s">
        <v>72</v>
      </c>
      <c r="F4170" s="15" t="s">
        <v>49</v>
      </c>
      <c r="G4170" s="15" t="s">
        <v>71</v>
      </c>
      <c r="H4170" s="15" t="s">
        <v>42</v>
      </c>
      <c r="I4170">
        <v>40</v>
      </c>
      <c r="J4170">
        <v>60</v>
      </c>
      <c r="K4170">
        <v>0</v>
      </c>
      <c r="L4170">
        <v>100</v>
      </c>
      <c r="M4170">
        <v>55</v>
      </c>
      <c r="N4170">
        <v>-1053</v>
      </c>
      <c r="O4170">
        <v>76</v>
      </c>
      <c r="P4170">
        <v>49</v>
      </c>
      <c r="Q4170">
        <v>-4</v>
      </c>
      <c r="R4170">
        <v>140</v>
      </c>
      <c r="S4170">
        <v>1.4</v>
      </c>
      <c r="U4170">
        <v>1.375</v>
      </c>
    </row>
    <row r="4171" spans="1:21" x14ac:dyDescent="0.35">
      <c r="A4171">
        <v>225</v>
      </c>
      <c r="B4171" s="16">
        <v>40878</v>
      </c>
      <c r="C4171" s="15" t="s">
        <v>70</v>
      </c>
      <c r="D4171" s="15" t="s">
        <v>58</v>
      </c>
      <c r="E4171" s="15" t="s">
        <v>48</v>
      </c>
      <c r="F4171" s="15" t="s">
        <v>49</v>
      </c>
      <c r="G4171" s="15" t="s">
        <v>71</v>
      </c>
      <c r="H4171" s="15" t="s">
        <v>42</v>
      </c>
      <c r="I4171">
        <v>30</v>
      </c>
      <c r="J4171">
        <v>50</v>
      </c>
      <c r="K4171">
        <v>20</v>
      </c>
      <c r="L4171">
        <v>80</v>
      </c>
      <c r="M4171">
        <v>41</v>
      </c>
      <c r="N4171">
        <v>320</v>
      </c>
      <c r="O4171">
        <v>66</v>
      </c>
      <c r="P4171">
        <v>12</v>
      </c>
      <c r="Q4171">
        <v>46</v>
      </c>
      <c r="R4171">
        <v>114</v>
      </c>
      <c r="S4171">
        <v>1.425</v>
      </c>
      <c r="T4171">
        <v>2.2999999999999998</v>
      </c>
      <c r="U4171">
        <v>1.3666666666666667</v>
      </c>
    </row>
    <row r="4172" spans="1:21" x14ac:dyDescent="0.35">
      <c r="A4172">
        <v>318</v>
      </c>
      <c r="B4172" s="16">
        <v>40878</v>
      </c>
      <c r="C4172" s="15" t="s">
        <v>70</v>
      </c>
      <c r="D4172" s="15" t="s">
        <v>58</v>
      </c>
      <c r="E4172" s="15" t="s">
        <v>50</v>
      </c>
      <c r="F4172" s="15" t="s">
        <v>49</v>
      </c>
      <c r="G4172" s="15" t="s">
        <v>71</v>
      </c>
      <c r="H4172" s="15" t="s">
        <v>45</v>
      </c>
      <c r="I4172">
        <v>30</v>
      </c>
      <c r="J4172">
        <v>50</v>
      </c>
      <c r="K4172">
        <v>20</v>
      </c>
      <c r="L4172">
        <v>80</v>
      </c>
      <c r="M4172">
        <v>43</v>
      </c>
      <c r="N4172">
        <v>466</v>
      </c>
      <c r="O4172">
        <v>63</v>
      </c>
      <c r="P4172">
        <v>13</v>
      </c>
      <c r="Q4172">
        <v>40</v>
      </c>
      <c r="R4172">
        <v>113</v>
      </c>
      <c r="S4172">
        <v>1.4125000000000001</v>
      </c>
      <c r="T4172">
        <v>2</v>
      </c>
      <c r="U4172">
        <v>1.4333333333333333</v>
      </c>
    </row>
    <row r="4173" spans="1:21" x14ac:dyDescent="0.35">
      <c r="A4173">
        <v>505</v>
      </c>
      <c r="B4173" s="16">
        <v>40878</v>
      </c>
      <c r="C4173" s="15" t="s">
        <v>70</v>
      </c>
      <c r="D4173" s="15" t="s">
        <v>58</v>
      </c>
      <c r="E4173" s="15" t="s">
        <v>51</v>
      </c>
      <c r="F4173" s="15" t="s">
        <v>52</v>
      </c>
      <c r="G4173" s="15" t="s">
        <v>73</v>
      </c>
      <c r="H4173" s="15" t="s">
        <v>45</v>
      </c>
      <c r="I4173">
        <v>10</v>
      </c>
      <c r="J4173">
        <v>20</v>
      </c>
      <c r="K4173">
        <v>10</v>
      </c>
      <c r="L4173">
        <v>30</v>
      </c>
      <c r="M4173">
        <v>16</v>
      </c>
      <c r="N4173">
        <v>851</v>
      </c>
      <c r="O4173">
        <v>25</v>
      </c>
      <c r="P4173">
        <v>4</v>
      </c>
      <c r="Q4173">
        <v>13</v>
      </c>
      <c r="R4173">
        <v>44</v>
      </c>
      <c r="S4173">
        <v>1.4666666666666666</v>
      </c>
      <c r="T4173">
        <v>1.3</v>
      </c>
      <c r="U4173">
        <v>1.6</v>
      </c>
    </row>
    <row r="4174" spans="1:21" x14ac:dyDescent="0.35">
      <c r="A4174">
        <v>505</v>
      </c>
      <c r="B4174" s="16">
        <v>40878</v>
      </c>
      <c r="C4174" s="15" t="s">
        <v>70</v>
      </c>
      <c r="D4174" s="15" t="s">
        <v>58</v>
      </c>
      <c r="E4174" s="15" t="s">
        <v>53</v>
      </c>
      <c r="F4174" s="15" t="s">
        <v>52</v>
      </c>
      <c r="G4174" s="15" t="s">
        <v>73</v>
      </c>
      <c r="H4174" s="15" t="s">
        <v>45</v>
      </c>
      <c r="I4174">
        <v>20</v>
      </c>
      <c r="J4174">
        <v>40</v>
      </c>
      <c r="K4174">
        <v>20</v>
      </c>
      <c r="L4174">
        <v>60</v>
      </c>
      <c r="M4174">
        <v>31</v>
      </c>
      <c r="N4174">
        <v>1009</v>
      </c>
      <c r="O4174">
        <v>38</v>
      </c>
      <c r="P4174">
        <v>9</v>
      </c>
      <c r="Q4174">
        <v>10</v>
      </c>
      <c r="R4174">
        <v>74</v>
      </c>
      <c r="S4174">
        <v>1.2333333333333334</v>
      </c>
      <c r="T4174">
        <v>0.5</v>
      </c>
      <c r="U4174">
        <v>1.55</v>
      </c>
    </row>
    <row r="4175" spans="1:21" x14ac:dyDescent="0.35">
      <c r="A4175">
        <v>505</v>
      </c>
      <c r="B4175" s="16">
        <v>40878</v>
      </c>
      <c r="C4175" s="15" t="s">
        <v>70</v>
      </c>
      <c r="D4175" s="15" t="s">
        <v>58</v>
      </c>
      <c r="E4175" s="15" t="s">
        <v>43</v>
      </c>
      <c r="F4175" s="15" t="s">
        <v>40</v>
      </c>
      <c r="G4175" s="15" t="s">
        <v>73</v>
      </c>
      <c r="H4175" s="15" t="s">
        <v>42</v>
      </c>
      <c r="I4175">
        <v>50</v>
      </c>
      <c r="J4175">
        <v>90</v>
      </c>
      <c r="K4175">
        <v>50</v>
      </c>
      <c r="L4175">
        <v>140</v>
      </c>
      <c r="M4175">
        <v>48</v>
      </c>
      <c r="N4175">
        <v>462</v>
      </c>
      <c r="O4175">
        <v>74</v>
      </c>
      <c r="P4175">
        <v>15</v>
      </c>
      <c r="Q4175">
        <v>40</v>
      </c>
      <c r="R4175">
        <v>130</v>
      </c>
      <c r="S4175">
        <v>0.9285714285714286</v>
      </c>
      <c r="T4175">
        <v>0.8</v>
      </c>
      <c r="U4175">
        <v>0.96</v>
      </c>
    </row>
    <row r="4176" spans="1:21" x14ac:dyDescent="0.35">
      <c r="A4176">
        <v>505</v>
      </c>
      <c r="B4176" s="16">
        <v>40878</v>
      </c>
      <c r="C4176" s="15" t="s">
        <v>70</v>
      </c>
      <c r="D4176" s="15" t="s">
        <v>58</v>
      </c>
      <c r="E4176" s="15" t="s">
        <v>44</v>
      </c>
      <c r="F4176" s="15" t="s">
        <v>40</v>
      </c>
      <c r="G4176" s="15" t="s">
        <v>73</v>
      </c>
      <c r="H4176" s="15" t="s">
        <v>45</v>
      </c>
      <c r="I4176">
        <v>100</v>
      </c>
      <c r="J4176">
        <v>90</v>
      </c>
      <c r="K4176">
        <v>40</v>
      </c>
      <c r="L4176">
        <v>190</v>
      </c>
      <c r="M4176">
        <v>92</v>
      </c>
      <c r="N4176">
        <v>1898</v>
      </c>
      <c r="O4176">
        <v>68</v>
      </c>
      <c r="P4176">
        <v>28</v>
      </c>
      <c r="Q4176">
        <v>24</v>
      </c>
      <c r="R4176">
        <v>171</v>
      </c>
      <c r="S4176">
        <v>0.9</v>
      </c>
      <c r="T4176">
        <v>0.6</v>
      </c>
      <c r="U4176">
        <v>0.92</v>
      </c>
    </row>
    <row r="4177" spans="1:21" x14ac:dyDescent="0.35">
      <c r="A4177">
        <v>505</v>
      </c>
      <c r="B4177" s="16">
        <v>40878</v>
      </c>
      <c r="C4177" s="15" t="s">
        <v>70</v>
      </c>
      <c r="D4177" s="15" t="s">
        <v>58</v>
      </c>
      <c r="E4177" s="15" t="s">
        <v>72</v>
      </c>
      <c r="F4177" s="15" t="s">
        <v>49</v>
      </c>
      <c r="G4177" s="15" t="s">
        <v>73</v>
      </c>
      <c r="H4177" s="15" t="s">
        <v>42</v>
      </c>
      <c r="I4177">
        <v>10</v>
      </c>
      <c r="J4177">
        <v>20</v>
      </c>
      <c r="K4177">
        <v>-10</v>
      </c>
      <c r="L4177">
        <v>30</v>
      </c>
      <c r="M4177">
        <v>20</v>
      </c>
      <c r="N4177">
        <v>-598</v>
      </c>
      <c r="O4177">
        <v>25</v>
      </c>
      <c r="P4177">
        <v>7</v>
      </c>
      <c r="Q4177">
        <v>-22</v>
      </c>
      <c r="R4177">
        <v>48</v>
      </c>
      <c r="S4177">
        <v>1.6</v>
      </c>
      <c r="T4177">
        <v>2.2000000000000002</v>
      </c>
      <c r="U4177">
        <v>2</v>
      </c>
    </row>
    <row r="4178" spans="1:21" x14ac:dyDescent="0.35">
      <c r="A4178">
        <v>505</v>
      </c>
      <c r="B4178" s="16">
        <v>40878</v>
      </c>
      <c r="C4178" s="15" t="s">
        <v>70</v>
      </c>
      <c r="D4178" s="15" t="s">
        <v>58</v>
      </c>
      <c r="E4178" s="15" t="s">
        <v>48</v>
      </c>
      <c r="F4178" s="15" t="s">
        <v>49</v>
      </c>
      <c r="G4178" s="15" t="s">
        <v>73</v>
      </c>
      <c r="H4178" s="15" t="s">
        <v>42</v>
      </c>
      <c r="I4178">
        <v>30</v>
      </c>
      <c r="J4178">
        <v>60</v>
      </c>
      <c r="K4178">
        <v>10</v>
      </c>
      <c r="L4178">
        <v>90</v>
      </c>
      <c r="M4178">
        <v>49</v>
      </c>
      <c r="N4178">
        <v>335</v>
      </c>
      <c r="O4178">
        <v>69</v>
      </c>
      <c r="P4178">
        <v>44</v>
      </c>
      <c r="Q4178">
        <v>-7</v>
      </c>
      <c r="R4178">
        <v>126</v>
      </c>
      <c r="S4178">
        <v>1.4</v>
      </c>
      <c r="T4178">
        <v>-0.7</v>
      </c>
      <c r="U4178">
        <v>1.6333333333333333</v>
      </c>
    </row>
    <row r="4179" spans="1:21" x14ac:dyDescent="0.35">
      <c r="A4179">
        <v>505</v>
      </c>
      <c r="B4179" s="16">
        <v>40878</v>
      </c>
      <c r="C4179" s="15" t="s">
        <v>70</v>
      </c>
      <c r="D4179" s="15" t="s">
        <v>58</v>
      </c>
      <c r="E4179" s="15" t="s">
        <v>50</v>
      </c>
      <c r="F4179" s="15" t="s">
        <v>49</v>
      </c>
      <c r="G4179" s="15" t="s">
        <v>73</v>
      </c>
      <c r="H4179" s="15" t="s">
        <v>45</v>
      </c>
      <c r="I4179">
        <v>30</v>
      </c>
      <c r="J4179">
        <v>30</v>
      </c>
      <c r="K4179">
        <v>0</v>
      </c>
      <c r="L4179">
        <v>60</v>
      </c>
      <c r="M4179">
        <v>38</v>
      </c>
      <c r="N4179">
        <v>256</v>
      </c>
      <c r="O4179">
        <v>51</v>
      </c>
      <c r="P4179">
        <v>12</v>
      </c>
      <c r="Q4179">
        <v>18</v>
      </c>
      <c r="R4179">
        <v>95</v>
      </c>
      <c r="S4179">
        <v>1.5833333333333333</v>
      </c>
      <c r="U4179">
        <v>1.2666666666666666</v>
      </c>
    </row>
    <row r="4180" spans="1:21" x14ac:dyDescent="0.35">
      <c r="A4180">
        <v>405</v>
      </c>
      <c r="B4180" s="16">
        <v>40878</v>
      </c>
      <c r="C4180" s="15" t="s">
        <v>70</v>
      </c>
      <c r="D4180" s="15" t="s">
        <v>58</v>
      </c>
      <c r="E4180" s="15" t="s">
        <v>51</v>
      </c>
      <c r="F4180" s="15" t="s">
        <v>52</v>
      </c>
      <c r="G4180" s="15" t="s">
        <v>74</v>
      </c>
      <c r="H4180" s="15" t="s">
        <v>45</v>
      </c>
      <c r="I4180">
        <v>60</v>
      </c>
      <c r="J4180">
        <v>70</v>
      </c>
      <c r="K4180">
        <v>20</v>
      </c>
      <c r="L4180">
        <v>130</v>
      </c>
      <c r="M4180">
        <v>65</v>
      </c>
      <c r="N4180">
        <v>403</v>
      </c>
      <c r="O4180">
        <v>80</v>
      </c>
      <c r="P4180">
        <v>24</v>
      </c>
      <c r="Q4180">
        <v>33</v>
      </c>
      <c r="R4180">
        <v>155</v>
      </c>
      <c r="S4180">
        <v>1.1923076923076923</v>
      </c>
      <c r="T4180">
        <v>1.65</v>
      </c>
      <c r="U4180">
        <v>1.0833333333333333</v>
      </c>
    </row>
    <row r="4181" spans="1:21" x14ac:dyDescent="0.35">
      <c r="A4181">
        <v>580</v>
      </c>
      <c r="B4181" s="16">
        <v>40878</v>
      </c>
      <c r="C4181" s="15" t="s">
        <v>70</v>
      </c>
      <c r="D4181" s="15" t="s">
        <v>58</v>
      </c>
      <c r="E4181" s="15" t="s">
        <v>53</v>
      </c>
      <c r="F4181" s="15" t="s">
        <v>52</v>
      </c>
      <c r="G4181" s="15" t="s">
        <v>74</v>
      </c>
      <c r="H4181" s="15" t="s">
        <v>45</v>
      </c>
      <c r="I4181">
        <v>90</v>
      </c>
      <c r="J4181">
        <v>140</v>
      </c>
      <c r="K4181">
        <v>30</v>
      </c>
      <c r="L4181">
        <v>230</v>
      </c>
      <c r="M4181">
        <v>105</v>
      </c>
      <c r="N4181">
        <v>716</v>
      </c>
      <c r="O4181">
        <v>145</v>
      </c>
      <c r="P4181">
        <v>95</v>
      </c>
      <c r="Q4181">
        <v>30</v>
      </c>
      <c r="R4181">
        <v>266</v>
      </c>
      <c r="S4181">
        <v>1.1565217391304348</v>
      </c>
      <c r="T4181">
        <v>1</v>
      </c>
      <c r="U4181">
        <v>1.1666666666666667</v>
      </c>
    </row>
    <row r="4182" spans="1:21" x14ac:dyDescent="0.35">
      <c r="A4182">
        <v>580</v>
      </c>
      <c r="B4182" s="16">
        <v>40878</v>
      </c>
      <c r="C4182" s="15" t="s">
        <v>70</v>
      </c>
      <c r="D4182" s="15" t="s">
        <v>58</v>
      </c>
      <c r="E4182" s="15" t="s">
        <v>43</v>
      </c>
      <c r="F4182" s="15" t="s">
        <v>40</v>
      </c>
      <c r="G4182" s="15" t="s">
        <v>74</v>
      </c>
      <c r="H4182" s="15" t="s">
        <v>42</v>
      </c>
      <c r="I4182">
        <v>90</v>
      </c>
      <c r="J4182">
        <v>130</v>
      </c>
      <c r="K4182">
        <v>100</v>
      </c>
      <c r="L4182">
        <v>220</v>
      </c>
      <c r="M4182">
        <v>81</v>
      </c>
      <c r="N4182">
        <v>551</v>
      </c>
      <c r="O4182">
        <v>104</v>
      </c>
      <c r="P4182">
        <v>26</v>
      </c>
      <c r="Q4182">
        <v>98</v>
      </c>
      <c r="R4182">
        <v>197</v>
      </c>
      <c r="S4182">
        <v>0.8954545454545455</v>
      </c>
      <c r="T4182">
        <v>0.98</v>
      </c>
      <c r="U4182">
        <v>0.9</v>
      </c>
    </row>
    <row r="4183" spans="1:21" x14ac:dyDescent="0.35">
      <c r="A4183">
        <v>918</v>
      </c>
      <c r="B4183" s="16">
        <v>40878</v>
      </c>
      <c r="C4183" s="15" t="s">
        <v>70</v>
      </c>
      <c r="D4183" s="15" t="s">
        <v>58</v>
      </c>
      <c r="E4183" s="15" t="s">
        <v>44</v>
      </c>
      <c r="F4183" s="15" t="s">
        <v>40</v>
      </c>
      <c r="G4183" s="15" t="s">
        <v>74</v>
      </c>
      <c r="H4183" s="15" t="s">
        <v>45</v>
      </c>
      <c r="I4183">
        <v>30</v>
      </c>
      <c r="J4183">
        <v>60</v>
      </c>
      <c r="K4183">
        <v>50</v>
      </c>
      <c r="L4183">
        <v>90</v>
      </c>
      <c r="M4183">
        <v>33</v>
      </c>
      <c r="N4183">
        <v>870</v>
      </c>
      <c r="O4183">
        <v>49</v>
      </c>
      <c r="P4183">
        <v>9</v>
      </c>
      <c r="Q4183">
        <v>42</v>
      </c>
      <c r="R4183">
        <v>87</v>
      </c>
      <c r="S4183">
        <v>0.96666666666666667</v>
      </c>
      <c r="T4183">
        <v>0.84</v>
      </c>
      <c r="U4183">
        <v>1.1000000000000001</v>
      </c>
    </row>
    <row r="4184" spans="1:21" x14ac:dyDescent="0.35">
      <c r="A4184">
        <v>918</v>
      </c>
      <c r="B4184" s="16">
        <v>40878</v>
      </c>
      <c r="C4184" s="15" t="s">
        <v>70</v>
      </c>
      <c r="D4184" s="15" t="s">
        <v>58</v>
      </c>
      <c r="E4184" s="15" t="s">
        <v>72</v>
      </c>
      <c r="F4184" s="15" t="s">
        <v>49</v>
      </c>
      <c r="G4184" s="15" t="s">
        <v>74</v>
      </c>
      <c r="H4184" s="15" t="s">
        <v>42</v>
      </c>
      <c r="I4184">
        <v>100</v>
      </c>
      <c r="J4184">
        <v>140</v>
      </c>
      <c r="K4184">
        <v>90</v>
      </c>
      <c r="L4184">
        <v>240</v>
      </c>
      <c r="M4184">
        <v>134</v>
      </c>
      <c r="N4184">
        <v>-2248</v>
      </c>
      <c r="O4184">
        <v>186</v>
      </c>
      <c r="P4184">
        <v>41</v>
      </c>
      <c r="Q4184">
        <v>180</v>
      </c>
      <c r="R4184">
        <v>341</v>
      </c>
      <c r="S4184">
        <v>1.4208333333333334</v>
      </c>
      <c r="T4184">
        <v>2</v>
      </c>
      <c r="U4184">
        <v>1.34</v>
      </c>
    </row>
    <row r="4185" spans="1:21" x14ac:dyDescent="0.35">
      <c r="A4185">
        <v>580</v>
      </c>
      <c r="B4185" s="16">
        <v>40878</v>
      </c>
      <c r="C4185" s="15" t="s">
        <v>70</v>
      </c>
      <c r="D4185" s="15" t="s">
        <v>58</v>
      </c>
      <c r="E4185" s="15" t="s">
        <v>48</v>
      </c>
      <c r="F4185" s="15" t="s">
        <v>49</v>
      </c>
      <c r="G4185" s="15" t="s">
        <v>74</v>
      </c>
      <c r="H4185" s="15" t="s">
        <v>42</v>
      </c>
      <c r="I4185">
        <v>20</v>
      </c>
      <c r="J4185">
        <v>30</v>
      </c>
      <c r="K4185">
        <v>20</v>
      </c>
      <c r="L4185">
        <v>50</v>
      </c>
      <c r="M4185">
        <v>29</v>
      </c>
      <c r="N4185">
        <v>490</v>
      </c>
      <c r="O4185">
        <v>44</v>
      </c>
      <c r="P4185">
        <v>8</v>
      </c>
      <c r="Q4185">
        <v>36</v>
      </c>
      <c r="R4185">
        <v>78</v>
      </c>
      <c r="S4185">
        <v>1.56</v>
      </c>
      <c r="T4185">
        <v>1.8</v>
      </c>
      <c r="U4185">
        <v>1.45</v>
      </c>
    </row>
    <row r="4186" spans="1:21" x14ac:dyDescent="0.35">
      <c r="A4186">
        <v>918</v>
      </c>
      <c r="B4186" s="16">
        <v>40878</v>
      </c>
      <c r="C4186" s="15" t="s">
        <v>70</v>
      </c>
      <c r="D4186" s="15" t="s">
        <v>58</v>
      </c>
      <c r="E4186" s="15" t="s">
        <v>50</v>
      </c>
      <c r="F4186" s="15" t="s">
        <v>49</v>
      </c>
      <c r="G4186" s="15" t="s">
        <v>74</v>
      </c>
      <c r="H4186" s="15" t="s">
        <v>45</v>
      </c>
      <c r="I4186">
        <v>60</v>
      </c>
      <c r="J4186">
        <v>110</v>
      </c>
      <c r="K4186">
        <v>60</v>
      </c>
      <c r="L4186">
        <v>170</v>
      </c>
      <c r="M4186">
        <v>88</v>
      </c>
      <c r="N4186">
        <v>817</v>
      </c>
      <c r="O4186">
        <v>133</v>
      </c>
      <c r="P4186">
        <v>29</v>
      </c>
      <c r="Q4186">
        <v>107</v>
      </c>
      <c r="R4186">
        <v>236</v>
      </c>
      <c r="S4186">
        <v>1.388235294117647</v>
      </c>
      <c r="T4186">
        <v>1.7833333333333334</v>
      </c>
      <c r="U4186">
        <v>1.4666666666666666</v>
      </c>
    </row>
    <row r="4187" spans="1:21" x14ac:dyDescent="0.35">
      <c r="A4187">
        <v>325</v>
      </c>
      <c r="B4187" s="16">
        <v>40878</v>
      </c>
      <c r="C4187" s="15" t="s">
        <v>70</v>
      </c>
      <c r="D4187" s="15" t="s">
        <v>38</v>
      </c>
      <c r="E4187" s="15" t="s">
        <v>51</v>
      </c>
      <c r="F4187" s="15" t="s">
        <v>52</v>
      </c>
      <c r="G4187" s="15" t="s">
        <v>75</v>
      </c>
      <c r="H4187" s="15" t="s">
        <v>45</v>
      </c>
      <c r="I4187">
        <v>50</v>
      </c>
      <c r="J4187">
        <v>60</v>
      </c>
      <c r="K4187">
        <v>30</v>
      </c>
      <c r="L4187">
        <v>110</v>
      </c>
      <c r="M4187">
        <v>54</v>
      </c>
      <c r="N4187">
        <v>424</v>
      </c>
      <c r="O4187">
        <v>73</v>
      </c>
      <c r="P4187">
        <v>17</v>
      </c>
      <c r="Q4187">
        <v>42</v>
      </c>
      <c r="R4187">
        <v>135</v>
      </c>
      <c r="S4187">
        <v>1.2272727272727273</v>
      </c>
      <c r="T4187">
        <v>1.4</v>
      </c>
      <c r="U4187">
        <v>1.08</v>
      </c>
    </row>
    <row r="4188" spans="1:21" x14ac:dyDescent="0.35">
      <c r="A4188">
        <v>430</v>
      </c>
      <c r="B4188" s="16">
        <v>40878</v>
      </c>
      <c r="C4188" s="15" t="s">
        <v>70</v>
      </c>
      <c r="D4188" s="15" t="s">
        <v>38</v>
      </c>
      <c r="E4188" s="15" t="s">
        <v>53</v>
      </c>
      <c r="F4188" s="15" t="s">
        <v>52</v>
      </c>
      <c r="G4188" s="15" t="s">
        <v>75</v>
      </c>
      <c r="H4188" s="15" t="s">
        <v>45</v>
      </c>
      <c r="I4188">
        <v>30</v>
      </c>
      <c r="J4188">
        <v>60</v>
      </c>
      <c r="K4188">
        <v>30</v>
      </c>
      <c r="L4188">
        <v>90</v>
      </c>
      <c r="M4188">
        <v>41</v>
      </c>
      <c r="N4188">
        <v>435</v>
      </c>
      <c r="O4188">
        <v>60</v>
      </c>
      <c r="P4188">
        <v>13</v>
      </c>
      <c r="Q4188">
        <v>36</v>
      </c>
      <c r="R4188">
        <v>108</v>
      </c>
      <c r="S4188">
        <v>1.2</v>
      </c>
      <c r="T4188">
        <v>1.2</v>
      </c>
      <c r="U4188">
        <v>1.3666666666666667</v>
      </c>
    </row>
    <row r="4189" spans="1:21" x14ac:dyDescent="0.35">
      <c r="A4189">
        <v>409</v>
      </c>
      <c r="B4189" s="16">
        <v>40878</v>
      </c>
      <c r="C4189" s="15" t="s">
        <v>70</v>
      </c>
      <c r="D4189" s="15" t="s">
        <v>38</v>
      </c>
      <c r="E4189" s="15" t="s">
        <v>43</v>
      </c>
      <c r="F4189" s="15" t="s">
        <v>40</v>
      </c>
      <c r="G4189" s="15" t="s">
        <v>75</v>
      </c>
      <c r="H4189" s="15" t="s">
        <v>42</v>
      </c>
      <c r="I4189">
        <v>280</v>
      </c>
      <c r="J4189">
        <v>340</v>
      </c>
      <c r="K4189">
        <v>240</v>
      </c>
      <c r="L4189">
        <v>620</v>
      </c>
      <c r="M4189">
        <v>241</v>
      </c>
      <c r="N4189">
        <v>1321</v>
      </c>
      <c r="O4189">
        <v>284</v>
      </c>
      <c r="P4189">
        <v>74</v>
      </c>
      <c r="Q4189">
        <v>279</v>
      </c>
      <c r="R4189">
        <v>559</v>
      </c>
      <c r="S4189">
        <v>0.90161290322580645</v>
      </c>
      <c r="T4189">
        <v>1.1625000000000001</v>
      </c>
      <c r="U4189">
        <v>0.86071428571428577</v>
      </c>
    </row>
    <row r="4190" spans="1:21" x14ac:dyDescent="0.35">
      <c r="A4190">
        <v>956</v>
      </c>
      <c r="B4190" s="16">
        <v>40878</v>
      </c>
      <c r="C4190" s="15" t="s">
        <v>70</v>
      </c>
      <c r="D4190" s="15" t="s">
        <v>38</v>
      </c>
      <c r="E4190" s="15" t="s">
        <v>44</v>
      </c>
      <c r="F4190" s="15" t="s">
        <v>40</v>
      </c>
      <c r="G4190" s="15" t="s">
        <v>75</v>
      </c>
      <c r="H4190" s="15" t="s">
        <v>45</v>
      </c>
      <c r="I4190">
        <v>50</v>
      </c>
      <c r="J4190">
        <v>60</v>
      </c>
      <c r="K4190">
        <v>40</v>
      </c>
      <c r="L4190">
        <v>110</v>
      </c>
      <c r="M4190">
        <v>43</v>
      </c>
      <c r="N4190">
        <v>531</v>
      </c>
      <c r="O4190">
        <v>56</v>
      </c>
      <c r="P4190">
        <v>14</v>
      </c>
      <c r="Q4190">
        <v>45</v>
      </c>
      <c r="R4190">
        <v>106</v>
      </c>
      <c r="S4190">
        <v>0.96363636363636362</v>
      </c>
      <c r="T4190">
        <v>1.125</v>
      </c>
      <c r="U4190">
        <v>0.86</v>
      </c>
    </row>
    <row r="4191" spans="1:21" x14ac:dyDescent="0.35">
      <c r="A4191">
        <v>361</v>
      </c>
      <c r="B4191" s="16">
        <v>40878</v>
      </c>
      <c r="C4191" s="15" t="s">
        <v>70</v>
      </c>
      <c r="D4191" s="15" t="s">
        <v>38</v>
      </c>
      <c r="E4191" s="15" t="s">
        <v>72</v>
      </c>
      <c r="F4191" s="15" t="s">
        <v>49</v>
      </c>
      <c r="G4191" s="15" t="s">
        <v>75</v>
      </c>
      <c r="H4191" s="15" t="s">
        <v>42</v>
      </c>
      <c r="I4191">
        <v>50</v>
      </c>
      <c r="J4191">
        <v>70</v>
      </c>
      <c r="K4191">
        <v>30</v>
      </c>
      <c r="L4191">
        <v>120</v>
      </c>
      <c r="M4191">
        <v>67</v>
      </c>
      <c r="N4191">
        <v>-1239</v>
      </c>
      <c r="O4191">
        <v>101</v>
      </c>
      <c r="P4191">
        <v>22</v>
      </c>
      <c r="Q4191">
        <v>70</v>
      </c>
      <c r="R4191">
        <v>179</v>
      </c>
      <c r="S4191">
        <v>1.4916666666666667</v>
      </c>
      <c r="T4191">
        <v>2.3333333333333335</v>
      </c>
      <c r="U4191">
        <v>1.34</v>
      </c>
    </row>
    <row r="4192" spans="1:21" x14ac:dyDescent="0.35">
      <c r="A4192">
        <v>254</v>
      </c>
      <c r="B4192" s="16">
        <v>40878</v>
      </c>
      <c r="C4192" s="15" t="s">
        <v>70</v>
      </c>
      <c r="D4192" s="15" t="s">
        <v>38</v>
      </c>
      <c r="E4192" s="15" t="s">
        <v>48</v>
      </c>
      <c r="F4192" s="15" t="s">
        <v>49</v>
      </c>
      <c r="G4192" s="15" t="s">
        <v>75</v>
      </c>
      <c r="H4192" s="15" t="s">
        <v>42</v>
      </c>
      <c r="I4192">
        <v>90</v>
      </c>
      <c r="J4192">
        <v>140</v>
      </c>
      <c r="K4192">
        <v>110</v>
      </c>
      <c r="L4192">
        <v>230</v>
      </c>
      <c r="M4192">
        <v>123</v>
      </c>
      <c r="N4192">
        <v>959</v>
      </c>
      <c r="O4192">
        <v>179</v>
      </c>
      <c r="P4192">
        <v>34</v>
      </c>
      <c r="Q4192">
        <v>197</v>
      </c>
      <c r="R4192">
        <v>322</v>
      </c>
      <c r="S4192">
        <v>1.4</v>
      </c>
      <c r="T4192">
        <v>1.790909090909091</v>
      </c>
      <c r="U4192">
        <v>1.3666666666666667</v>
      </c>
    </row>
    <row r="4193" spans="1:21" x14ac:dyDescent="0.35">
      <c r="A4193">
        <v>430</v>
      </c>
      <c r="B4193" s="16">
        <v>40878</v>
      </c>
      <c r="C4193" s="15" t="s">
        <v>70</v>
      </c>
      <c r="D4193" s="15" t="s">
        <v>38</v>
      </c>
      <c r="E4193" s="15" t="s">
        <v>50</v>
      </c>
      <c r="F4193" s="15" t="s">
        <v>49</v>
      </c>
      <c r="G4193" s="15" t="s">
        <v>75</v>
      </c>
      <c r="H4193" s="15" t="s">
        <v>45</v>
      </c>
      <c r="I4193">
        <v>40</v>
      </c>
      <c r="J4193">
        <v>60</v>
      </c>
      <c r="K4193">
        <v>40</v>
      </c>
      <c r="L4193">
        <v>100</v>
      </c>
      <c r="M4193">
        <v>54</v>
      </c>
      <c r="N4193">
        <v>601</v>
      </c>
      <c r="O4193">
        <v>79</v>
      </c>
      <c r="P4193">
        <v>15</v>
      </c>
      <c r="Q4193">
        <v>77</v>
      </c>
      <c r="R4193">
        <v>142</v>
      </c>
      <c r="S4193">
        <v>1.42</v>
      </c>
      <c r="T4193">
        <v>1.925</v>
      </c>
      <c r="U4193">
        <v>1.35</v>
      </c>
    </row>
    <row r="4194" spans="1:21" x14ac:dyDescent="0.35">
      <c r="A4194">
        <v>435</v>
      </c>
      <c r="B4194" s="16">
        <v>40878</v>
      </c>
      <c r="C4194" s="15" t="s">
        <v>76</v>
      </c>
      <c r="D4194" s="15" t="s">
        <v>58</v>
      </c>
      <c r="E4194" s="15" t="s">
        <v>55</v>
      </c>
      <c r="F4194" s="15" t="s">
        <v>47</v>
      </c>
      <c r="G4194" s="15" t="s">
        <v>77</v>
      </c>
      <c r="H4194" s="15" t="s">
        <v>42</v>
      </c>
      <c r="I4194">
        <v>30</v>
      </c>
      <c r="J4194">
        <v>50</v>
      </c>
      <c r="K4194">
        <v>0</v>
      </c>
      <c r="L4194">
        <v>80</v>
      </c>
      <c r="M4194">
        <v>49</v>
      </c>
      <c r="N4194">
        <v>335</v>
      </c>
      <c r="O4194">
        <v>69</v>
      </c>
      <c r="P4194">
        <v>44</v>
      </c>
      <c r="Q4194">
        <v>-6</v>
      </c>
      <c r="R4194">
        <v>126</v>
      </c>
      <c r="S4194">
        <v>1.575</v>
      </c>
      <c r="U4194">
        <v>1.6333333333333333</v>
      </c>
    </row>
    <row r="4195" spans="1:21" x14ac:dyDescent="0.35">
      <c r="A4195">
        <v>435</v>
      </c>
      <c r="B4195" s="16">
        <v>40878</v>
      </c>
      <c r="C4195" s="15" t="s">
        <v>76</v>
      </c>
      <c r="D4195" s="15" t="s">
        <v>58</v>
      </c>
      <c r="E4195" s="15" t="s">
        <v>56</v>
      </c>
      <c r="F4195" s="15" t="s">
        <v>47</v>
      </c>
      <c r="G4195" s="15" t="s">
        <v>77</v>
      </c>
      <c r="H4195" s="15" t="s">
        <v>42</v>
      </c>
      <c r="I4195">
        <v>20</v>
      </c>
      <c r="J4195">
        <v>40</v>
      </c>
      <c r="K4195">
        <v>10</v>
      </c>
      <c r="L4195">
        <v>60</v>
      </c>
      <c r="M4195">
        <v>38</v>
      </c>
      <c r="N4195">
        <v>256</v>
      </c>
      <c r="O4195">
        <v>51</v>
      </c>
      <c r="P4195">
        <v>12</v>
      </c>
      <c r="Q4195">
        <v>18</v>
      </c>
      <c r="R4195">
        <v>95</v>
      </c>
      <c r="S4195">
        <v>1.5833333333333333</v>
      </c>
      <c r="T4195">
        <v>1.8</v>
      </c>
      <c r="U4195">
        <v>1.9</v>
      </c>
    </row>
    <row r="4196" spans="1:21" x14ac:dyDescent="0.35">
      <c r="A4196">
        <v>435</v>
      </c>
      <c r="B4196" s="16">
        <v>40878</v>
      </c>
      <c r="C4196" s="15" t="s">
        <v>76</v>
      </c>
      <c r="D4196" s="15" t="s">
        <v>58</v>
      </c>
      <c r="E4196" s="15" t="s">
        <v>46</v>
      </c>
      <c r="F4196" s="15" t="s">
        <v>47</v>
      </c>
      <c r="G4196" s="15" t="s">
        <v>77</v>
      </c>
      <c r="H4196" s="15" t="s">
        <v>42</v>
      </c>
      <c r="I4196">
        <v>10</v>
      </c>
      <c r="J4196">
        <v>20</v>
      </c>
      <c r="K4196">
        <v>0</v>
      </c>
      <c r="L4196">
        <v>30</v>
      </c>
      <c r="M4196">
        <v>20</v>
      </c>
      <c r="N4196">
        <v>218</v>
      </c>
      <c r="O4196">
        <v>25</v>
      </c>
      <c r="P4196">
        <v>7</v>
      </c>
      <c r="Q4196">
        <v>-22</v>
      </c>
      <c r="R4196">
        <v>48</v>
      </c>
      <c r="S4196">
        <v>1.6</v>
      </c>
      <c r="U4196">
        <v>2</v>
      </c>
    </row>
    <row r="4197" spans="1:21" x14ac:dyDescent="0.35">
      <c r="A4197">
        <v>435</v>
      </c>
      <c r="B4197" s="16">
        <v>40878</v>
      </c>
      <c r="C4197" s="15" t="s">
        <v>76</v>
      </c>
      <c r="D4197" s="15" t="s">
        <v>58</v>
      </c>
      <c r="E4197" s="15" t="s">
        <v>51</v>
      </c>
      <c r="F4197" s="15" t="s">
        <v>52</v>
      </c>
      <c r="G4197" s="15" t="s">
        <v>77</v>
      </c>
      <c r="H4197" s="15" t="s">
        <v>45</v>
      </c>
      <c r="I4197">
        <v>40</v>
      </c>
      <c r="J4197">
        <v>70</v>
      </c>
      <c r="K4197">
        <v>40</v>
      </c>
      <c r="L4197">
        <v>110</v>
      </c>
      <c r="M4197">
        <v>52</v>
      </c>
      <c r="N4197">
        <v>327</v>
      </c>
      <c r="O4197">
        <v>75</v>
      </c>
      <c r="P4197">
        <v>16</v>
      </c>
      <c r="Q4197">
        <v>53</v>
      </c>
      <c r="R4197">
        <v>135</v>
      </c>
      <c r="S4197">
        <v>1.2272727272727273</v>
      </c>
      <c r="T4197">
        <v>1.325</v>
      </c>
      <c r="U4197">
        <v>1.3</v>
      </c>
    </row>
    <row r="4198" spans="1:21" x14ac:dyDescent="0.35">
      <c r="A4198">
        <v>435</v>
      </c>
      <c r="B4198" s="16">
        <v>40878</v>
      </c>
      <c r="C4198" s="15" t="s">
        <v>76</v>
      </c>
      <c r="D4198" s="15" t="s">
        <v>58</v>
      </c>
      <c r="E4198" s="15" t="s">
        <v>53</v>
      </c>
      <c r="F4198" s="15" t="s">
        <v>52</v>
      </c>
      <c r="G4198" s="15" t="s">
        <v>77</v>
      </c>
      <c r="H4198" s="15" t="s">
        <v>45</v>
      </c>
      <c r="I4198">
        <v>40</v>
      </c>
      <c r="J4198">
        <v>70</v>
      </c>
      <c r="K4198">
        <v>40</v>
      </c>
      <c r="L4198">
        <v>110</v>
      </c>
      <c r="M4198">
        <v>48</v>
      </c>
      <c r="N4198">
        <v>462</v>
      </c>
      <c r="O4198">
        <v>74</v>
      </c>
      <c r="P4198">
        <v>15</v>
      </c>
      <c r="Q4198">
        <v>42</v>
      </c>
      <c r="R4198">
        <v>130</v>
      </c>
      <c r="S4198">
        <v>1.1818181818181819</v>
      </c>
      <c r="T4198">
        <v>1.05</v>
      </c>
      <c r="U4198">
        <v>1.2</v>
      </c>
    </row>
    <row r="4199" spans="1:21" x14ac:dyDescent="0.35">
      <c r="A4199">
        <v>435</v>
      </c>
      <c r="B4199" s="16">
        <v>40878</v>
      </c>
      <c r="C4199" s="15" t="s">
        <v>76</v>
      </c>
      <c r="D4199" s="15" t="s">
        <v>58</v>
      </c>
      <c r="E4199" s="15" t="s">
        <v>54</v>
      </c>
      <c r="F4199" s="15" t="s">
        <v>52</v>
      </c>
      <c r="G4199" s="15" t="s">
        <v>77</v>
      </c>
      <c r="H4199" s="15" t="s">
        <v>45</v>
      </c>
      <c r="I4199">
        <v>80</v>
      </c>
      <c r="J4199">
        <v>60</v>
      </c>
      <c r="K4199">
        <v>20</v>
      </c>
      <c r="L4199">
        <v>140</v>
      </c>
      <c r="M4199">
        <v>92</v>
      </c>
      <c r="N4199">
        <v>1898</v>
      </c>
      <c r="O4199">
        <v>68</v>
      </c>
      <c r="P4199">
        <v>28</v>
      </c>
      <c r="Q4199">
        <v>25</v>
      </c>
      <c r="R4199">
        <v>171</v>
      </c>
      <c r="S4199">
        <v>1.2214285714285715</v>
      </c>
      <c r="T4199">
        <v>1.25</v>
      </c>
      <c r="U4199">
        <v>1.1499999999999999</v>
      </c>
    </row>
    <row r="4200" spans="1:21" x14ac:dyDescent="0.35">
      <c r="A4200">
        <v>435</v>
      </c>
      <c r="B4200" s="16">
        <v>40878</v>
      </c>
      <c r="C4200" s="15" t="s">
        <v>76</v>
      </c>
      <c r="D4200" s="15" t="s">
        <v>58</v>
      </c>
      <c r="E4200" s="15" t="s">
        <v>72</v>
      </c>
      <c r="F4200" s="15" t="s">
        <v>49</v>
      </c>
      <c r="G4200" s="15" t="s">
        <v>77</v>
      </c>
      <c r="H4200" s="15" t="s">
        <v>42</v>
      </c>
      <c r="I4200">
        <v>30</v>
      </c>
      <c r="J4200">
        <v>40</v>
      </c>
      <c r="K4200">
        <v>30</v>
      </c>
      <c r="L4200">
        <v>70</v>
      </c>
      <c r="M4200">
        <v>31</v>
      </c>
      <c r="N4200">
        <v>844</v>
      </c>
      <c r="O4200">
        <v>46</v>
      </c>
      <c r="P4200">
        <v>8</v>
      </c>
      <c r="Q4200">
        <v>39</v>
      </c>
      <c r="R4200">
        <v>82</v>
      </c>
      <c r="S4200">
        <v>1.1714285714285715</v>
      </c>
      <c r="T4200">
        <v>1.3</v>
      </c>
      <c r="U4200">
        <v>1.0333333333333334</v>
      </c>
    </row>
    <row r="4201" spans="1:21" x14ac:dyDescent="0.35">
      <c r="A4201">
        <v>435</v>
      </c>
      <c r="B4201" s="16">
        <v>40878</v>
      </c>
      <c r="C4201" s="15" t="s">
        <v>76</v>
      </c>
      <c r="D4201" s="15" t="s">
        <v>58</v>
      </c>
      <c r="E4201" s="15" t="s">
        <v>48</v>
      </c>
      <c r="F4201" s="15" t="s">
        <v>49</v>
      </c>
      <c r="G4201" s="15" t="s">
        <v>77</v>
      </c>
      <c r="H4201" s="15" t="s">
        <v>42</v>
      </c>
      <c r="I4201">
        <v>90</v>
      </c>
      <c r="J4201">
        <v>110</v>
      </c>
      <c r="K4201">
        <v>70</v>
      </c>
      <c r="L4201">
        <v>200</v>
      </c>
      <c r="M4201">
        <v>94</v>
      </c>
      <c r="N4201">
        <v>540</v>
      </c>
      <c r="O4201">
        <v>120</v>
      </c>
      <c r="P4201">
        <v>31</v>
      </c>
      <c r="Q4201">
        <v>114</v>
      </c>
      <c r="R4201">
        <v>228</v>
      </c>
      <c r="S4201">
        <v>1.1399999999999999</v>
      </c>
      <c r="T4201">
        <v>1.6285714285714286</v>
      </c>
      <c r="U4201">
        <v>1.0444444444444445</v>
      </c>
    </row>
    <row r="4202" spans="1:21" x14ac:dyDescent="0.35">
      <c r="A4202">
        <v>435</v>
      </c>
      <c r="B4202" s="16">
        <v>40878</v>
      </c>
      <c r="C4202" s="15" t="s">
        <v>76</v>
      </c>
      <c r="D4202" s="15" t="s">
        <v>58</v>
      </c>
      <c r="E4202" s="15" t="s">
        <v>50</v>
      </c>
      <c r="F4202" s="15" t="s">
        <v>49</v>
      </c>
      <c r="G4202" s="15" t="s">
        <v>77</v>
      </c>
      <c r="H4202" s="15" t="s">
        <v>45</v>
      </c>
      <c r="I4202">
        <v>40</v>
      </c>
      <c r="J4202">
        <v>70</v>
      </c>
      <c r="K4202">
        <v>50</v>
      </c>
      <c r="L4202">
        <v>110</v>
      </c>
      <c r="M4202">
        <v>50</v>
      </c>
      <c r="N4202">
        <v>898</v>
      </c>
      <c r="O4202">
        <v>73</v>
      </c>
      <c r="P4202">
        <v>14</v>
      </c>
      <c r="Q4202">
        <v>70</v>
      </c>
      <c r="R4202">
        <v>131</v>
      </c>
      <c r="S4202">
        <v>1.1909090909090909</v>
      </c>
      <c r="T4202">
        <v>1.4</v>
      </c>
      <c r="U4202">
        <v>1.25</v>
      </c>
    </row>
    <row r="4203" spans="1:21" x14ac:dyDescent="0.35">
      <c r="A4203">
        <v>435</v>
      </c>
      <c r="B4203" s="16">
        <v>40878</v>
      </c>
      <c r="C4203" s="15" t="s">
        <v>76</v>
      </c>
      <c r="D4203" s="15" t="s">
        <v>58</v>
      </c>
      <c r="E4203" s="15" t="s">
        <v>39</v>
      </c>
      <c r="F4203" s="15" t="s">
        <v>40</v>
      </c>
      <c r="G4203" s="15" t="s">
        <v>77</v>
      </c>
      <c r="H4203" s="15" t="s">
        <v>42</v>
      </c>
      <c r="I4203">
        <v>70</v>
      </c>
      <c r="J4203">
        <v>90</v>
      </c>
      <c r="K4203">
        <v>50</v>
      </c>
      <c r="L4203">
        <v>160</v>
      </c>
      <c r="M4203">
        <v>63</v>
      </c>
      <c r="N4203">
        <v>1075</v>
      </c>
      <c r="O4203">
        <v>76</v>
      </c>
      <c r="P4203">
        <v>19</v>
      </c>
      <c r="Q4203">
        <v>53</v>
      </c>
      <c r="R4203">
        <v>148</v>
      </c>
      <c r="S4203">
        <v>0.92500000000000004</v>
      </c>
      <c r="T4203">
        <v>1.06</v>
      </c>
      <c r="U4203">
        <v>0.9</v>
      </c>
    </row>
    <row r="4204" spans="1:21" x14ac:dyDescent="0.35">
      <c r="A4204">
        <v>435</v>
      </c>
      <c r="B4204" s="16">
        <v>40878</v>
      </c>
      <c r="C4204" s="15" t="s">
        <v>76</v>
      </c>
      <c r="D4204" s="15" t="s">
        <v>58</v>
      </c>
      <c r="E4204" s="15" t="s">
        <v>43</v>
      </c>
      <c r="F4204" s="15" t="s">
        <v>40</v>
      </c>
      <c r="G4204" s="15" t="s">
        <v>77</v>
      </c>
      <c r="H4204" s="15" t="s">
        <v>42</v>
      </c>
      <c r="I4204">
        <v>50</v>
      </c>
      <c r="J4204">
        <v>80</v>
      </c>
      <c r="K4204">
        <v>50</v>
      </c>
      <c r="L4204">
        <v>130</v>
      </c>
      <c r="M4204">
        <v>49</v>
      </c>
      <c r="N4204">
        <v>392</v>
      </c>
      <c r="O4204">
        <v>65</v>
      </c>
      <c r="P4204">
        <v>16</v>
      </c>
      <c r="Q4204">
        <v>31</v>
      </c>
      <c r="R4204">
        <v>121</v>
      </c>
      <c r="S4204">
        <v>0.93076923076923079</v>
      </c>
      <c r="T4204">
        <v>0.62</v>
      </c>
      <c r="U4204">
        <v>0.98</v>
      </c>
    </row>
    <row r="4205" spans="1:21" x14ac:dyDescent="0.35">
      <c r="A4205">
        <v>801</v>
      </c>
      <c r="B4205" s="16">
        <v>40878</v>
      </c>
      <c r="C4205" s="15" t="s">
        <v>76</v>
      </c>
      <c r="D4205" s="15" t="s">
        <v>58</v>
      </c>
      <c r="E4205" s="15" t="s">
        <v>44</v>
      </c>
      <c r="F4205" s="15" t="s">
        <v>40</v>
      </c>
      <c r="G4205" s="15" t="s">
        <v>77</v>
      </c>
      <c r="H4205" s="15" t="s">
        <v>45</v>
      </c>
      <c r="I4205">
        <v>80</v>
      </c>
      <c r="J4205">
        <v>100</v>
      </c>
      <c r="K4205">
        <v>50</v>
      </c>
      <c r="L4205">
        <v>180</v>
      </c>
      <c r="M4205">
        <v>68</v>
      </c>
      <c r="N4205">
        <v>619</v>
      </c>
      <c r="O4205">
        <v>85</v>
      </c>
      <c r="P4205">
        <v>25</v>
      </c>
      <c r="Q4205">
        <v>39</v>
      </c>
      <c r="R4205">
        <v>163</v>
      </c>
      <c r="S4205">
        <v>0.90555555555555556</v>
      </c>
      <c r="T4205">
        <v>0.78</v>
      </c>
      <c r="U4205">
        <v>0.85</v>
      </c>
    </row>
    <row r="4206" spans="1:21" x14ac:dyDescent="0.35">
      <c r="A4206">
        <v>323</v>
      </c>
      <c r="B4206" s="16">
        <v>40878</v>
      </c>
      <c r="C4206" s="15" t="s">
        <v>76</v>
      </c>
      <c r="D4206" s="15" t="s">
        <v>38</v>
      </c>
      <c r="E4206" s="15" t="s">
        <v>55</v>
      </c>
      <c r="F4206" s="15" t="s">
        <v>47</v>
      </c>
      <c r="G4206" s="15" t="s">
        <v>78</v>
      </c>
      <c r="H4206" s="15" t="s">
        <v>42</v>
      </c>
      <c r="I4206">
        <v>90</v>
      </c>
      <c r="J4206">
        <v>130</v>
      </c>
      <c r="K4206">
        <v>110</v>
      </c>
      <c r="L4206">
        <v>220</v>
      </c>
      <c r="M4206">
        <v>123</v>
      </c>
      <c r="N4206">
        <v>959</v>
      </c>
      <c r="O4206">
        <v>179</v>
      </c>
      <c r="P4206">
        <v>34</v>
      </c>
      <c r="Q4206">
        <v>199</v>
      </c>
      <c r="R4206">
        <v>322</v>
      </c>
      <c r="S4206">
        <v>1.4636363636363636</v>
      </c>
      <c r="T4206">
        <v>1.8090909090909091</v>
      </c>
      <c r="U4206">
        <v>1.3666666666666667</v>
      </c>
    </row>
    <row r="4207" spans="1:21" x14ac:dyDescent="0.35">
      <c r="A4207">
        <v>408</v>
      </c>
      <c r="B4207" s="16">
        <v>40878</v>
      </c>
      <c r="C4207" s="15" t="s">
        <v>76</v>
      </c>
      <c r="D4207" s="15" t="s">
        <v>38</v>
      </c>
      <c r="E4207" s="15" t="s">
        <v>56</v>
      </c>
      <c r="F4207" s="15" t="s">
        <v>47</v>
      </c>
      <c r="G4207" s="15" t="s">
        <v>78</v>
      </c>
      <c r="H4207" s="15" t="s">
        <v>42</v>
      </c>
      <c r="I4207">
        <v>30</v>
      </c>
      <c r="J4207">
        <v>60</v>
      </c>
      <c r="K4207">
        <v>50</v>
      </c>
      <c r="L4207">
        <v>90</v>
      </c>
      <c r="M4207">
        <v>54</v>
      </c>
      <c r="N4207">
        <v>601</v>
      </c>
      <c r="O4207">
        <v>79</v>
      </c>
      <c r="P4207">
        <v>15</v>
      </c>
      <c r="Q4207">
        <v>79</v>
      </c>
      <c r="R4207">
        <v>142</v>
      </c>
      <c r="S4207">
        <v>1.5777777777777777</v>
      </c>
      <c r="T4207">
        <v>1.58</v>
      </c>
      <c r="U4207">
        <v>1.8</v>
      </c>
    </row>
    <row r="4208" spans="1:21" x14ac:dyDescent="0.35">
      <c r="A4208">
        <v>510</v>
      </c>
      <c r="B4208" s="16">
        <v>40878</v>
      </c>
      <c r="C4208" s="15" t="s">
        <v>76</v>
      </c>
      <c r="D4208" s="15" t="s">
        <v>38</v>
      </c>
      <c r="E4208" s="15" t="s">
        <v>46</v>
      </c>
      <c r="F4208" s="15" t="s">
        <v>47</v>
      </c>
      <c r="G4208" s="15" t="s">
        <v>78</v>
      </c>
      <c r="H4208" s="15" t="s">
        <v>42</v>
      </c>
      <c r="I4208">
        <v>40</v>
      </c>
      <c r="J4208">
        <v>80</v>
      </c>
      <c r="K4208">
        <v>50</v>
      </c>
      <c r="L4208">
        <v>120</v>
      </c>
      <c r="M4208">
        <v>67</v>
      </c>
      <c r="N4208">
        <v>677</v>
      </c>
      <c r="O4208">
        <v>101</v>
      </c>
      <c r="P4208">
        <v>22</v>
      </c>
      <c r="Q4208">
        <v>70</v>
      </c>
      <c r="R4208">
        <v>179</v>
      </c>
      <c r="S4208">
        <v>1.4916666666666667</v>
      </c>
      <c r="T4208">
        <v>1.4</v>
      </c>
      <c r="U4208">
        <v>1.675</v>
      </c>
    </row>
    <row r="4209" spans="1:21" x14ac:dyDescent="0.35">
      <c r="A4209">
        <v>916</v>
      </c>
      <c r="B4209" s="16">
        <v>40878</v>
      </c>
      <c r="C4209" s="15" t="s">
        <v>76</v>
      </c>
      <c r="D4209" s="15" t="s">
        <v>38</v>
      </c>
      <c r="E4209" s="15" t="s">
        <v>51</v>
      </c>
      <c r="F4209" s="15" t="s">
        <v>52</v>
      </c>
      <c r="G4209" s="15" t="s">
        <v>78</v>
      </c>
      <c r="H4209" s="15" t="s">
        <v>45</v>
      </c>
      <c r="I4209">
        <v>80</v>
      </c>
      <c r="J4209">
        <v>110</v>
      </c>
      <c r="K4209">
        <v>80</v>
      </c>
      <c r="L4209">
        <v>190</v>
      </c>
      <c r="M4209">
        <v>86</v>
      </c>
      <c r="N4209">
        <v>1003</v>
      </c>
      <c r="O4209">
        <v>124</v>
      </c>
      <c r="P4209">
        <v>24</v>
      </c>
      <c r="Q4209">
        <v>132</v>
      </c>
      <c r="R4209">
        <v>224</v>
      </c>
      <c r="S4209">
        <v>1.1789473684210525</v>
      </c>
      <c r="T4209">
        <v>1.65</v>
      </c>
      <c r="U4209">
        <v>1.075</v>
      </c>
    </row>
    <row r="4210" spans="1:21" x14ac:dyDescent="0.35">
      <c r="A4210">
        <v>661</v>
      </c>
      <c r="B4210" s="16">
        <v>40878</v>
      </c>
      <c r="C4210" s="15" t="s">
        <v>76</v>
      </c>
      <c r="D4210" s="15" t="s">
        <v>38</v>
      </c>
      <c r="E4210" s="15" t="s">
        <v>53</v>
      </c>
      <c r="F4210" s="15" t="s">
        <v>52</v>
      </c>
      <c r="G4210" s="15" t="s">
        <v>78</v>
      </c>
      <c r="H4210" s="15" t="s">
        <v>45</v>
      </c>
      <c r="I4210">
        <v>220</v>
      </c>
      <c r="J4210">
        <v>260</v>
      </c>
      <c r="K4210">
        <v>170</v>
      </c>
      <c r="L4210">
        <v>480</v>
      </c>
      <c r="M4210">
        <v>241</v>
      </c>
      <c r="N4210">
        <v>1321</v>
      </c>
      <c r="O4210">
        <v>284</v>
      </c>
      <c r="P4210">
        <v>74</v>
      </c>
      <c r="Q4210">
        <v>279</v>
      </c>
      <c r="R4210">
        <v>559</v>
      </c>
      <c r="S4210">
        <v>1.1645833333333333</v>
      </c>
      <c r="T4210">
        <v>1.6411764705882352</v>
      </c>
      <c r="U4210">
        <v>1.0954545454545455</v>
      </c>
    </row>
    <row r="4211" spans="1:21" x14ac:dyDescent="0.35">
      <c r="A4211">
        <v>323</v>
      </c>
      <c r="B4211" s="16">
        <v>40878</v>
      </c>
      <c r="C4211" s="15" t="s">
        <v>76</v>
      </c>
      <c r="D4211" s="15" t="s">
        <v>38</v>
      </c>
      <c r="E4211" s="15" t="s">
        <v>54</v>
      </c>
      <c r="F4211" s="15" t="s">
        <v>52</v>
      </c>
      <c r="G4211" s="15" t="s">
        <v>78</v>
      </c>
      <c r="H4211" s="15" t="s">
        <v>45</v>
      </c>
      <c r="I4211">
        <v>40</v>
      </c>
      <c r="J4211">
        <v>50</v>
      </c>
      <c r="K4211">
        <v>30</v>
      </c>
      <c r="L4211">
        <v>90</v>
      </c>
      <c r="M4211">
        <v>43</v>
      </c>
      <c r="N4211">
        <v>531</v>
      </c>
      <c r="O4211">
        <v>56</v>
      </c>
      <c r="P4211">
        <v>14</v>
      </c>
      <c r="Q4211">
        <v>43</v>
      </c>
      <c r="R4211">
        <v>106</v>
      </c>
      <c r="S4211">
        <v>1.1777777777777778</v>
      </c>
      <c r="T4211">
        <v>1.4333333333333333</v>
      </c>
      <c r="U4211">
        <v>1.075</v>
      </c>
    </row>
    <row r="4212" spans="1:21" x14ac:dyDescent="0.35">
      <c r="A4212">
        <v>949</v>
      </c>
      <c r="B4212" s="16">
        <v>40878</v>
      </c>
      <c r="C4212" s="15" t="s">
        <v>76</v>
      </c>
      <c r="D4212" s="15" t="s">
        <v>38</v>
      </c>
      <c r="E4212" s="15" t="s">
        <v>72</v>
      </c>
      <c r="F4212" s="15" t="s">
        <v>49</v>
      </c>
      <c r="G4212" s="15" t="s">
        <v>78</v>
      </c>
      <c r="H4212" s="15" t="s">
        <v>42</v>
      </c>
      <c r="I4212">
        <v>240</v>
      </c>
      <c r="J4212">
        <v>240</v>
      </c>
      <c r="K4212">
        <v>160</v>
      </c>
      <c r="L4212">
        <v>480</v>
      </c>
      <c r="M4212">
        <v>250</v>
      </c>
      <c r="N4212">
        <v>1820</v>
      </c>
      <c r="O4212">
        <v>251</v>
      </c>
      <c r="P4212">
        <v>70</v>
      </c>
      <c r="Q4212">
        <v>233</v>
      </c>
      <c r="R4212">
        <v>534</v>
      </c>
      <c r="S4212">
        <v>1.1125</v>
      </c>
      <c r="T4212">
        <v>1.45625</v>
      </c>
      <c r="U4212">
        <v>1.0416666666666667</v>
      </c>
    </row>
    <row r="4213" spans="1:21" x14ac:dyDescent="0.35">
      <c r="A4213">
        <v>530</v>
      </c>
      <c r="B4213" s="16">
        <v>40878</v>
      </c>
      <c r="C4213" s="15" t="s">
        <v>76</v>
      </c>
      <c r="D4213" s="15" t="s">
        <v>38</v>
      </c>
      <c r="E4213" s="15" t="s">
        <v>48</v>
      </c>
      <c r="F4213" s="15" t="s">
        <v>49</v>
      </c>
      <c r="G4213" s="15" t="s">
        <v>78</v>
      </c>
      <c r="H4213" s="15" t="s">
        <v>42</v>
      </c>
      <c r="I4213">
        <v>130</v>
      </c>
      <c r="J4213">
        <v>180</v>
      </c>
      <c r="K4213">
        <v>40</v>
      </c>
      <c r="L4213">
        <v>310</v>
      </c>
      <c r="M4213">
        <v>135</v>
      </c>
      <c r="N4213">
        <v>940</v>
      </c>
      <c r="O4213">
        <v>187</v>
      </c>
      <c r="P4213">
        <v>122</v>
      </c>
      <c r="Q4213">
        <v>46</v>
      </c>
      <c r="R4213">
        <v>343</v>
      </c>
      <c r="S4213">
        <v>1.1064516129032258</v>
      </c>
      <c r="T4213">
        <v>1.1499999999999999</v>
      </c>
      <c r="U4213">
        <v>1.0384615384615385</v>
      </c>
    </row>
    <row r="4214" spans="1:21" x14ac:dyDescent="0.35">
      <c r="A4214">
        <v>209</v>
      </c>
      <c r="B4214" s="16">
        <v>40878</v>
      </c>
      <c r="C4214" s="15" t="s">
        <v>76</v>
      </c>
      <c r="D4214" s="15" t="s">
        <v>38</v>
      </c>
      <c r="E4214" s="15" t="s">
        <v>50</v>
      </c>
      <c r="F4214" s="15" t="s">
        <v>49</v>
      </c>
      <c r="G4214" s="15" t="s">
        <v>78</v>
      </c>
      <c r="H4214" s="15" t="s">
        <v>45</v>
      </c>
      <c r="I4214">
        <v>240</v>
      </c>
      <c r="J4214">
        <v>310</v>
      </c>
      <c r="K4214">
        <v>210</v>
      </c>
      <c r="L4214">
        <v>550</v>
      </c>
      <c r="M4214">
        <v>247</v>
      </c>
      <c r="N4214">
        <v>1744</v>
      </c>
      <c r="O4214">
        <v>329</v>
      </c>
      <c r="P4214">
        <v>81</v>
      </c>
      <c r="Q4214">
        <v>321</v>
      </c>
      <c r="R4214">
        <v>614</v>
      </c>
      <c r="S4214">
        <v>1.1163636363636364</v>
      </c>
      <c r="T4214">
        <v>1.5285714285714285</v>
      </c>
      <c r="U4214">
        <v>1.0291666666666666</v>
      </c>
    </row>
    <row r="4215" spans="1:21" x14ac:dyDescent="0.35">
      <c r="A4215">
        <v>209</v>
      </c>
      <c r="B4215" s="16">
        <v>40878</v>
      </c>
      <c r="C4215" s="15" t="s">
        <v>76</v>
      </c>
      <c r="D4215" s="15" t="s">
        <v>38</v>
      </c>
      <c r="E4215" s="15" t="s">
        <v>39</v>
      </c>
      <c r="F4215" s="15" t="s">
        <v>40</v>
      </c>
      <c r="G4215" s="15" t="s">
        <v>78</v>
      </c>
      <c r="H4215" s="15" t="s">
        <v>42</v>
      </c>
      <c r="I4215">
        <v>150</v>
      </c>
      <c r="J4215">
        <v>-30</v>
      </c>
      <c r="K4215">
        <v>-90</v>
      </c>
      <c r="L4215">
        <v>120</v>
      </c>
      <c r="M4215">
        <v>127</v>
      </c>
      <c r="N4215">
        <v>2947</v>
      </c>
      <c r="O4215">
        <v>-25</v>
      </c>
      <c r="P4215">
        <v>40</v>
      </c>
      <c r="Q4215">
        <v>-131</v>
      </c>
      <c r="R4215">
        <v>109</v>
      </c>
      <c r="S4215">
        <v>0.90833333333333333</v>
      </c>
      <c r="T4215">
        <v>1.4555555555555555</v>
      </c>
      <c r="U4215">
        <v>0.84666666666666668</v>
      </c>
    </row>
    <row r="4216" spans="1:21" x14ac:dyDescent="0.35">
      <c r="A4216">
        <v>530</v>
      </c>
      <c r="B4216" s="16">
        <v>40878</v>
      </c>
      <c r="C4216" s="15" t="s">
        <v>76</v>
      </c>
      <c r="D4216" s="15" t="s">
        <v>38</v>
      </c>
      <c r="E4216" s="15" t="s">
        <v>43</v>
      </c>
      <c r="F4216" s="15" t="s">
        <v>40</v>
      </c>
      <c r="G4216" s="15" t="s">
        <v>78</v>
      </c>
      <c r="H4216" s="15" t="s">
        <v>42</v>
      </c>
      <c r="I4216">
        <v>330</v>
      </c>
      <c r="J4216">
        <v>500</v>
      </c>
      <c r="K4216">
        <v>350</v>
      </c>
      <c r="L4216">
        <v>830</v>
      </c>
      <c r="M4216">
        <v>279</v>
      </c>
      <c r="N4216">
        <v>2642</v>
      </c>
      <c r="O4216">
        <v>420</v>
      </c>
      <c r="P4216">
        <v>97</v>
      </c>
      <c r="Q4216">
        <v>402</v>
      </c>
      <c r="R4216">
        <v>745</v>
      </c>
      <c r="S4216">
        <v>0.89759036144578308</v>
      </c>
      <c r="T4216">
        <v>1.1485714285714286</v>
      </c>
      <c r="U4216">
        <v>0.84545454545454546</v>
      </c>
    </row>
    <row r="4217" spans="1:21" x14ac:dyDescent="0.35">
      <c r="A4217">
        <v>951</v>
      </c>
      <c r="B4217" s="16">
        <v>40878</v>
      </c>
      <c r="C4217" s="15" t="s">
        <v>76</v>
      </c>
      <c r="D4217" s="15" t="s">
        <v>38</v>
      </c>
      <c r="E4217" s="15" t="s">
        <v>44</v>
      </c>
      <c r="F4217" s="15" t="s">
        <v>40</v>
      </c>
      <c r="G4217" s="15" t="s">
        <v>78</v>
      </c>
      <c r="H4217" s="15" t="s">
        <v>45</v>
      </c>
      <c r="I4217">
        <v>260</v>
      </c>
      <c r="J4217">
        <v>-40</v>
      </c>
      <c r="K4217">
        <v>-150</v>
      </c>
      <c r="L4217">
        <v>220</v>
      </c>
      <c r="M4217">
        <v>224</v>
      </c>
      <c r="N4217">
        <v>4216</v>
      </c>
      <c r="O4217">
        <v>-32</v>
      </c>
      <c r="P4217">
        <v>73</v>
      </c>
      <c r="Q4217">
        <v>-221</v>
      </c>
      <c r="R4217">
        <v>205</v>
      </c>
      <c r="S4217">
        <v>0.93181818181818177</v>
      </c>
      <c r="T4217">
        <v>1.4733333333333334</v>
      </c>
      <c r="U4217">
        <v>0.86153846153846159</v>
      </c>
    </row>
    <row r="4218" spans="1:21" x14ac:dyDescent="0.35">
      <c r="A4218">
        <v>775</v>
      </c>
      <c r="B4218" s="16">
        <v>40878</v>
      </c>
      <c r="C4218" s="15" t="s">
        <v>76</v>
      </c>
      <c r="D4218" s="15" t="s">
        <v>58</v>
      </c>
      <c r="E4218" s="15" t="s">
        <v>55</v>
      </c>
      <c r="F4218" s="15" t="s">
        <v>47</v>
      </c>
      <c r="G4218" s="15" t="s">
        <v>79</v>
      </c>
      <c r="H4218" s="15" t="s">
        <v>42</v>
      </c>
      <c r="I4218">
        <v>180</v>
      </c>
      <c r="J4218">
        <v>240</v>
      </c>
      <c r="K4218">
        <v>150</v>
      </c>
      <c r="L4218">
        <v>420</v>
      </c>
      <c r="M4218">
        <v>247</v>
      </c>
      <c r="N4218">
        <v>1744</v>
      </c>
      <c r="O4218">
        <v>329</v>
      </c>
      <c r="P4218">
        <v>81</v>
      </c>
      <c r="Q4218">
        <v>319</v>
      </c>
      <c r="R4218">
        <v>614</v>
      </c>
      <c r="S4218">
        <v>1.4619047619047618</v>
      </c>
      <c r="T4218">
        <v>2.1266666666666665</v>
      </c>
      <c r="U4218">
        <v>1.3722222222222222</v>
      </c>
    </row>
    <row r="4219" spans="1:21" x14ac:dyDescent="0.35">
      <c r="A4219">
        <v>775</v>
      </c>
      <c r="B4219" s="16">
        <v>40878</v>
      </c>
      <c r="C4219" s="15" t="s">
        <v>76</v>
      </c>
      <c r="D4219" s="15" t="s">
        <v>58</v>
      </c>
      <c r="E4219" s="15" t="s">
        <v>56</v>
      </c>
      <c r="F4219" s="15" t="s">
        <v>47</v>
      </c>
      <c r="G4219" s="15" t="s">
        <v>79</v>
      </c>
      <c r="H4219" s="15" t="s">
        <v>42</v>
      </c>
      <c r="I4219">
        <v>180</v>
      </c>
      <c r="J4219">
        <v>180</v>
      </c>
      <c r="K4219">
        <v>100</v>
      </c>
      <c r="L4219">
        <v>360</v>
      </c>
      <c r="M4219">
        <v>250</v>
      </c>
      <c r="N4219">
        <v>1820</v>
      </c>
      <c r="O4219">
        <v>251</v>
      </c>
      <c r="P4219">
        <v>70</v>
      </c>
      <c r="Q4219">
        <v>233</v>
      </c>
      <c r="R4219">
        <v>534</v>
      </c>
      <c r="S4219">
        <v>1.4833333333333334</v>
      </c>
      <c r="T4219">
        <v>2.33</v>
      </c>
      <c r="U4219">
        <v>1.3888888888888888</v>
      </c>
    </row>
    <row r="4220" spans="1:21" x14ac:dyDescent="0.35">
      <c r="A4220">
        <v>775</v>
      </c>
      <c r="B4220" s="16">
        <v>40878</v>
      </c>
      <c r="C4220" s="15" t="s">
        <v>76</v>
      </c>
      <c r="D4220" s="15" t="s">
        <v>58</v>
      </c>
      <c r="E4220" s="15" t="s">
        <v>46</v>
      </c>
      <c r="F4220" s="15" t="s">
        <v>47</v>
      </c>
      <c r="G4220" s="15" t="s">
        <v>79</v>
      </c>
      <c r="H4220" s="15" t="s">
        <v>42</v>
      </c>
      <c r="I4220">
        <v>210</v>
      </c>
      <c r="J4220">
        <v>-210</v>
      </c>
      <c r="K4220">
        <v>-320</v>
      </c>
      <c r="L4220">
        <v>0</v>
      </c>
      <c r="M4220">
        <v>294</v>
      </c>
      <c r="N4220">
        <v>8252</v>
      </c>
      <c r="O4220">
        <v>-294</v>
      </c>
      <c r="P4220">
        <v>111</v>
      </c>
      <c r="Q4220">
        <v>-605</v>
      </c>
      <c r="R4220">
        <v>33</v>
      </c>
      <c r="T4220">
        <v>1.890625</v>
      </c>
      <c r="U4220">
        <v>1.4</v>
      </c>
    </row>
    <row r="4221" spans="1:21" x14ac:dyDescent="0.35">
      <c r="A4221">
        <v>702</v>
      </c>
      <c r="B4221" s="16">
        <v>40878</v>
      </c>
      <c r="C4221" s="15" t="s">
        <v>76</v>
      </c>
      <c r="D4221" s="15" t="s">
        <v>58</v>
      </c>
      <c r="E4221" s="15" t="s">
        <v>51</v>
      </c>
      <c r="F4221" s="15" t="s">
        <v>52</v>
      </c>
      <c r="G4221" s="15" t="s">
        <v>79</v>
      </c>
      <c r="H4221" s="15" t="s">
        <v>45</v>
      </c>
      <c r="I4221">
        <v>120</v>
      </c>
      <c r="J4221">
        <v>170</v>
      </c>
      <c r="K4221">
        <v>30</v>
      </c>
      <c r="L4221">
        <v>290</v>
      </c>
      <c r="M4221">
        <v>135</v>
      </c>
      <c r="N4221">
        <v>940</v>
      </c>
      <c r="O4221">
        <v>187</v>
      </c>
      <c r="P4221">
        <v>122</v>
      </c>
      <c r="Q4221">
        <v>47</v>
      </c>
      <c r="R4221">
        <v>343</v>
      </c>
      <c r="S4221">
        <v>1.1827586206896552</v>
      </c>
      <c r="T4221">
        <v>1.5666666666666667</v>
      </c>
      <c r="U4221">
        <v>1.125</v>
      </c>
    </row>
    <row r="4222" spans="1:21" x14ac:dyDescent="0.35">
      <c r="A4222">
        <v>702</v>
      </c>
      <c r="B4222" s="16">
        <v>40878</v>
      </c>
      <c r="C4222" s="15" t="s">
        <v>76</v>
      </c>
      <c r="D4222" s="15" t="s">
        <v>58</v>
      </c>
      <c r="E4222" s="15" t="s">
        <v>53</v>
      </c>
      <c r="F4222" s="15" t="s">
        <v>52</v>
      </c>
      <c r="G4222" s="15" t="s">
        <v>79</v>
      </c>
      <c r="H4222" s="15" t="s">
        <v>45</v>
      </c>
      <c r="I4222">
        <v>210</v>
      </c>
      <c r="J4222">
        <v>280</v>
      </c>
      <c r="K4222">
        <v>170</v>
      </c>
      <c r="L4222">
        <v>490</v>
      </c>
      <c r="M4222">
        <v>224</v>
      </c>
      <c r="N4222">
        <v>1191</v>
      </c>
      <c r="O4222">
        <v>310</v>
      </c>
      <c r="P4222">
        <v>73</v>
      </c>
      <c r="Q4222">
        <v>288</v>
      </c>
      <c r="R4222">
        <v>569</v>
      </c>
      <c r="S4222">
        <v>1.1612244897959183</v>
      </c>
      <c r="T4222">
        <v>1.6941176470588235</v>
      </c>
      <c r="U4222">
        <v>1.0666666666666667</v>
      </c>
    </row>
    <row r="4223" spans="1:21" x14ac:dyDescent="0.35">
      <c r="A4223">
        <v>775</v>
      </c>
      <c r="B4223" s="16">
        <v>40878</v>
      </c>
      <c r="C4223" s="15" t="s">
        <v>76</v>
      </c>
      <c r="D4223" s="15" t="s">
        <v>58</v>
      </c>
      <c r="E4223" s="15" t="s">
        <v>54</v>
      </c>
      <c r="F4223" s="15" t="s">
        <v>52</v>
      </c>
      <c r="G4223" s="15" t="s">
        <v>79</v>
      </c>
      <c r="H4223" s="15" t="s">
        <v>45</v>
      </c>
      <c r="I4223">
        <v>120</v>
      </c>
      <c r="J4223">
        <v>170</v>
      </c>
      <c r="K4223">
        <v>120</v>
      </c>
      <c r="L4223">
        <v>290</v>
      </c>
      <c r="M4223">
        <v>127</v>
      </c>
      <c r="N4223">
        <v>830</v>
      </c>
      <c r="O4223">
        <v>185</v>
      </c>
      <c r="P4223">
        <v>40</v>
      </c>
      <c r="Q4223">
        <v>181</v>
      </c>
      <c r="R4223">
        <v>332</v>
      </c>
      <c r="S4223">
        <v>1.1448275862068966</v>
      </c>
      <c r="T4223">
        <v>1.5083333333333333</v>
      </c>
      <c r="U4223">
        <v>1.0583333333333333</v>
      </c>
    </row>
    <row r="4224" spans="1:21" x14ac:dyDescent="0.35">
      <c r="A4224">
        <v>775</v>
      </c>
      <c r="B4224" s="16">
        <v>40878</v>
      </c>
      <c r="C4224" s="15" t="s">
        <v>76</v>
      </c>
      <c r="D4224" s="15" t="s">
        <v>58</v>
      </c>
      <c r="E4224" s="15" t="s">
        <v>72</v>
      </c>
      <c r="F4224" s="15" t="s">
        <v>49</v>
      </c>
      <c r="G4224" s="15" t="s">
        <v>79</v>
      </c>
      <c r="H4224" s="15" t="s">
        <v>42</v>
      </c>
      <c r="I4224">
        <v>0</v>
      </c>
      <c r="J4224">
        <v>40</v>
      </c>
      <c r="K4224">
        <v>30</v>
      </c>
      <c r="L4224">
        <v>40</v>
      </c>
      <c r="M4224">
        <v>0</v>
      </c>
      <c r="N4224">
        <v>344</v>
      </c>
      <c r="O4224">
        <v>43</v>
      </c>
      <c r="P4224">
        <v>0</v>
      </c>
      <c r="Q4224">
        <v>46</v>
      </c>
      <c r="R4224">
        <v>46</v>
      </c>
      <c r="S4224">
        <v>1.1499999999999999</v>
      </c>
      <c r="T4224">
        <v>1.5333333333333334</v>
      </c>
    </row>
    <row r="4225" spans="1:21" x14ac:dyDescent="0.35">
      <c r="A4225">
        <v>775</v>
      </c>
      <c r="B4225" s="16">
        <v>40878</v>
      </c>
      <c r="C4225" s="15" t="s">
        <v>76</v>
      </c>
      <c r="D4225" s="15" t="s">
        <v>58</v>
      </c>
      <c r="E4225" s="15" t="s">
        <v>48</v>
      </c>
      <c r="F4225" s="15" t="s">
        <v>49</v>
      </c>
      <c r="G4225" s="15" t="s">
        <v>79</v>
      </c>
      <c r="H4225" s="15" t="s">
        <v>42</v>
      </c>
      <c r="I4225">
        <v>10</v>
      </c>
      <c r="J4225">
        <v>20</v>
      </c>
      <c r="K4225">
        <v>10</v>
      </c>
      <c r="L4225">
        <v>30</v>
      </c>
      <c r="M4225">
        <v>16</v>
      </c>
      <c r="N4225">
        <v>851</v>
      </c>
      <c r="O4225">
        <v>25</v>
      </c>
      <c r="P4225">
        <v>4</v>
      </c>
      <c r="Q4225">
        <v>15</v>
      </c>
      <c r="R4225">
        <v>44</v>
      </c>
      <c r="S4225">
        <v>1.4666666666666666</v>
      </c>
      <c r="T4225">
        <v>1.5</v>
      </c>
      <c r="U4225">
        <v>1.6</v>
      </c>
    </row>
    <row r="4226" spans="1:21" x14ac:dyDescent="0.35">
      <c r="A4226">
        <v>775</v>
      </c>
      <c r="B4226" s="16">
        <v>40878</v>
      </c>
      <c r="C4226" s="15" t="s">
        <v>76</v>
      </c>
      <c r="D4226" s="15" t="s">
        <v>58</v>
      </c>
      <c r="E4226" s="15" t="s">
        <v>50</v>
      </c>
      <c r="F4226" s="15" t="s">
        <v>49</v>
      </c>
      <c r="G4226" s="15" t="s">
        <v>79</v>
      </c>
      <c r="H4226" s="15" t="s">
        <v>45</v>
      </c>
      <c r="I4226">
        <v>20</v>
      </c>
      <c r="J4226">
        <v>30</v>
      </c>
      <c r="K4226">
        <v>20</v>
      </c>
      <c r="L4226">
        <v>50</v>
      </c>
      <c r="M4226">
        <v>23</v>
      </c>
      <c r="N4226">
        <v>807</v>
      </c>
      <c r="O4226">
        <v>35</v>
      </c>
      <c r="P4226">
        <v>6</v>
      </c>
      <c r="Q4226">
        <v>25</v>
      </c>
      <c r="R4226">
        <v>62</v>
      </c>
      <c r="S4226">
        <v>1.24</v>
      </c>
      <c r="T4226">
        <v>1.25</v>
      </c>
      <c r="U4226">
        <v>1.1499999999999999</v>
      </c>
    </row>
    <row r="4227" spans="1:21" x14ac:dyDescent="0.35">
      <c r="A4227">
        <v>702</v>
      </c>
      <c r="B4227" s="16">
        <v>40878</v>
      </c>
      <c r="C4227" s="15" t="s">
        <v>76</v>
      </c>
      <c r="D4227" s="15" t="s">
        <v>58</v>
      </c>
      <c r="E4227" s="15" t="s">
        <v>43</v>
      </c>
      <c r="F4227" s="15" t="s">
        <v>40</v>
      </c>
      <c r="G4227" s="15" t="s">
        <v>79</v>
      </c>
      <c r="H4227" s="15" t="s">
        <v>42</v>
      </c>
      <c r="I4227">
        <v>40</v>
      </c>
      <c r="J4227">
        <v>60</v>
      </c>
      <c r="K4227">
        <v>20</v>
      </c>
      <c r="L4227">
        <v>100</v>
      </c>
      <c r="M4227">
        <v>39</v>
      </c>
      <c r="N4227">
        <v>250</v>
      </c>
      <c r="O4227">
        <v>49</v>
      </c>
      <c r="P4227">
        <v>14</v>
      </c>
      <c r="Q4227">
        <v>1</v>
      </c>
      <c r="R4227">
        <v>94</v>
      </c>
      <c r="S4227">
        <v>0.94</v>
      </c>
      <c r="T4227">
        <v>0.05</v>
      </c>
      <c r="U4227">
        <v>0.97499999999999998</v>
      </c>
    </row>
    <row r="4228" spans="1:21" x14ac:dyDescent="0.35">
      <c r="A4228">
        <v>775</v>
      </c>
      <c r="B4228" s="16">
        <v>40878</v>
      </c>
      <c r="C4228" s="15" t="s">
        <v>76</v>
      </c>
      <c r="D4228" s="15" t="s">
        <v>58</v>
      </c>
      <c r="E4228" s="15" t="s">
        <v>44</v>
      </c>
      <c r="F4228" s="15" t="s">
        <v>40</v>
      </c>
      <c r="G4228" s="15" t="s">
        <v>79</v>
      </c>
      <c r="H4228" s="15" t="s">
        <v>45</v>
      </c>
      <c r="I4228">
        <v>30</v>
      </c>
      <c r="J4228">
        <v>50</v>
      </c>
      <c r="K4228">
        <v>30</v>
      </c>
      <c r="L4228">
        <v>80</v>
      </c>
      <c r="M4228">
        <v>31</v>
      </c>
      <c r="N4228">
        <v>1009</v>
      </c>
      <c r="O4228">
        <v>38</v>
      </c>
      <c r="P4228">
        <v>9</v>
      </c>
      <c r="Q4228">
        <v>12</v>
      </c>
      <c r="R4228">
        <v>74</v>
      </c>
      <c r="S4228">
        <v>0.92500000000000004</v>
      </c>
      <c r="T4228">
        <v>0.4</v>
      </c>
      <c r="U4228">
        <v>1.0333333333333334</v>
      </c>
    </row>
    <row r="4229" spans="1:21" x14ac:dyDescent="0.35">
      <c r="A4229">
        <v>541</v>
      </c>
      <c r="B4229" s="16">
        <v>40878</v>
      </c>
      <c r="C4229" s="15" t="s">
        <v>76</v>
      </c>
      <c r="D4229" s="15" t="s">
        <v>58</v>
      </c>
      <c r="E4229" s="15" t="s">
        <v>55</v>
      </c>
      <c r="F4229" s="15" t="s">
        <v>47</v>
      </c>
      <c r="G4229" s="15" t="s">
        <v>80</v>
      </c>
      <c r="H4229" s="15" t="s">
        <v>42</v>
      </c>
      <c r="I4229">
        <v>20</v>
      </c>
      <c r="J4229">
        <v>30</v>
      </c>
      <c r="K4229">
        <v>30</v>
      </c>
      <c r="L4229">
        <v>50</v>
      </c>
      <c r="M4229">
        <v>29</v>
      </c>
      <c r="N4229">
        <v>490</v>
      </c>
      <c r="O4229">
        <v>44</v>
      </c>
      <c r="P4229">
        <v>8</v>
      </c>
      <c r="Q4229">
        <v>37</v>
      </c>
      <c r="R4229">
        <v>78</v>
      </c>
      <c r="S4229">
        <v>1.56</v>
      </c>
      <c r="T4229">
        <v>1.2333333333333334</v>
      </c>
      <c r="U4229">
        <v>1.45</v>
      </c>
    </row>
    <row r="4230" spans="1:21" x14ac:dyDescent="0.35">
      <c r="A4230">
        <v>971</v>
      </c>
      <c r="B4230" s="16">
        <v>40878</v>
      </c>
      <c r="C4230" s="15" t="s">
        <v>76</v>
      </c>
      <c r="D4230" s="15" t="s">
        <v>58</v>
      </c>
      <c r="E4230" s="15" t="s">
        <v>56</v>
      </c>
      <c r="F4230" s="15" t="s">
        <v>47</v>
      </c>
      <c r="G4230" s="15" t="s">
        <v>80</v>
      </c>
      <c r="H4230" s="15" t="s">
        <v>42</v>
      </c>
      <c r="I4230">
        <v>60</v>
      </c>
      <c r="J4230">
        <v>100</v>
      </c>
      <c r="K4230">
        <v>60</v>
      </c>
      <c r="L4230">
        <v>160</v>
      </c>
      <c r="M4230">
        <v>88</v>
      </c>
      <c r="N4230">
        <v>817</v>
      </c>
      <c r="O4230">
        <v>133</v>
      </c>
      <c r="P4230">
        <v>29</v>
      </c>
      <c r="Q4230">
        <v>108</v>
      </c>
      <c r="R4230">
        <v>236</v>
      </c>
      <c r="S4230">
        <v>1.4750000000000001</v>
      </c>
      <c r="T4230">
        <v>1.8</v>
      </c>
      <c r="U4230">
        <v>1.4666666666666666</v>
      </c>
    </row>
    <row r="4231" spans="1:21" x14ac:dyDescent="0.35">
      <c r="A4231">
        <v>503</v>
      </c>
      <c r="B4231" s="16">
        <v>40878</v>
      </c>
      <c r="C4231" s="15" t="s">
        <v>76</v>
      </c>
      <c r="D4231" s="15" t="s">
        <v>58</v>
      </c>
      <c r="E4231" s="15" t="s">
        <v>46</v>
      </c>
      <c r="F4231" s="15" t="s">
        <v>47</v>
      </c>
      <c r="G4231" s="15" t="s">
        <v>80</v>
      </c>
      <c r="H4231" s="15" t="s">
        <v>42</v>
      </c>
      <c r="I4231">
        <v>90</v>
      </c>
      <c r="J4231">
        <v>140</v>
      </c>
      <c r="K4231">
        <v>100</v>
      </c>
      <c r="L4231">
        <v>230</v>
      </c>
      <c r="M4231">
        <v>134</v>
      </c>
      <c r="N4231">
        <v>690</v>
      </c>
      <c r="O4231">
        <v>186</v>
      </c>
      <c r="P4231">
        <v>41</v>
      </c>
      <c r="Q4231">
        <v>180</v>
      </c>
      <c r="R4231">
        <v>341</v>
      </c>
      <c r="S4231">
        <v>1.482608695652174</v>
      </c>
      <c r="T4231">
        <v>1.8</v>
      </c>
      <c r="U4231">
        <v>1.4888888888888889</v>
      </c>
    </row>
    <row r="4232" spans="1:21" x14ac:dyDescent="0.35">
      <c r="A4232">
        <v>503</v>
      </c>
      <c r="B4232" s="16">
        <v>40878</v>
      </c>
      <c r="C4232" s="15" t="s">
        <v>76</v>
      </c>
      <c r="D4232" s="15" t="s">
        <v>58</v>
      </c>
      <c r="E4232" s="15" t="s">
        <v>51</v>
      </c>
      <c r="F4232" s="15" t="s">
        <v>52</v>
      </c>
      <c r="G4232" s="15" t="s">
        <v>80</v>
      </c>
      <c r="H4232" s="15" t="s">
        <v>45</v>
      </c>
      <c r="I4232">
        <v>20</v>
      </c>
      <c r="J4232">
        <v>30</v>
      </c>
      <c r="K4232">
        <v>20</v>
      </c>
      <c r="L4232">
        <v>50</v>
      </c>
      <c r="M4232">
        <v>24</v>
      </c>
      <c r="N4232">
        <v>829</v>
      </c>
      <c r="O4232">
        <v>36</v>
      </c>
      <c r="P4232">
        <v>6</v>
      </c>
      <c r="Q4232">
        <v>28</v>
      </c>
      <c r="R4232">
        <v>64</v>
      </c>
      <c r="S4232">
        <v>1.28</v>
      </c>
      <c r="T4232">
        <v>1.4</v>
      </c>
      <c r="U4232">
        <v>1.2</v>
      </c>
    </row>
    <row r="4233" spans="1:21" x14ac:dyDescent="0.35">
      <c r="A4233">
        <v>503</v>
      </c>
      <c r="B4233" s="16">
        <v>40878</v>
      </c>
      <c r="C4233" s="15" t="s">
        <v>76</v>
      </c>
      <c r="D4233" s="15" t="s">
        <v>58</v>
      </c>
      <c r="E4233" s="15" t="s">
        <v>53</v>
      </c>
      <c r="F4233" s="15" t="s">
        <v>52</v>
      </c>
      <c r="G4233" s="15" t="s">
        <v>80</v>
      </c>
      <c r="H4233" s="15" t="s">
        <v>45</v>
      </c>
      <c r="I4233">
        <v>70</v>
      </c>
      <c r="J4233">
        <v>100</v>
      </c>
      <c r="K4233">
        <v>70</v>
      </c>
      <c r="L4233">
        <v>170</v>
      </c>
      <c r="M4233">
        <v>81</v>
      </c>
      <c r="N4233">
        <v>551</v>
      </c>
      <c r="O4233">
        <v>104</v>
      </c>
      <c r="P4233">
        <v>26</v>
      </c>
      <c r="Q4233">
        <v>98</v>
      </c>
      <c r="R4233">
        <v>197</v>
      </c>
      <c r="S4233">
        <v>1.1588235294117648</v>
      </c>
      <c r="T4233">
        <v>1.4</v>
      </c>
      <c r="U4233">
        <v>1.1571428571428573</v>
      </c>
    </row>
    <row r="4234" spans="1:21" x14ac:dyDescent="0.35">
      <c r="A4234">
        <v>971</v>
      </c>
      <c r="B4234" s="16">
        <v>40878</v>
      </c>
      <c r="C4234" s="15" t="s">
        <v>76</v>
      </c>
      <c r="D4234" s="15" t="s">
        <v>58</v>
      </c>
      <c r="E4234" s="15" t="s">
        <v>72</v>
      </c>
      <c r="F4234" s="15" t="s">
        <v>49</v>
      </c>
      <c r="G4234" s="15" t="s">
        <v>80</v>
      </c>
      <c r="H4234" s="15" t="s">
        <v>42</v>
      </c>
      <c r="I4234">
        <v>40</v>
      </c>
      <c r="J4234">
        <v>50</v>
      </c>
      <c r="K4234">
        <v>10</v>
      </c>
      <c r="L4234">
        <v>90</v>
      </c>
      <c r="M4234">
        <v>46</v>
      </c>
      <c r="N4234">
        <v>422</v>
      </c>
      <c r="O4234">
        <v>57</v>
      </c>
      <c r="P4234">
        <v>17</v>
      </c>
      <c r="Q4234">
        <v>9</v>
      </c>
      <c r="R4234">
        <v>110</v>
      </c>
      <c r="S4234">
        <v>1.2222222222222223</v>
      </c>
      <c r="T4234">
        <v>0.9</v>
      </c>
      <c r="U4234">
        <v>1.1499999999999999</v>
      </c>
    </row>
    <row r="4235" spans="1:21" x14ac:dyDescent="0.35">
      <c r="A4235">
        <v>503</v>
      </c>
      <c r="B4235" s="16">
        <v>40878</v>
      </c>
      <c r="C4235" s="15" t="s">
        <v>76</v>
      </c>
      <c r="D4235" s="15" t="s">
        <v>58</v>
      </c>
      <c r="E4235" s="15" t="s">
        <v>48</v>
      </c>
      <c r="F4235" s="15" t="s">
        <v>49</v>
      </c>
      <c r="G4235" s="15" t="s">
        <v>80</v>
      </c>
      <c r="H4235" s="15" t="s">
        <v>42</v>
      </c>
      <c r="I4235">
        <v>50</v>
      </c>
      <c r="J4235">
        <v>70</v>
      </c>
      <c r="K4235">
        <v>40</v>
      </c>
      <c r="L4235">
        <v>120</v>
      </c>
      <c r="M4235">
        <v>54</v>
      </c>
      <c r="N4235">
        <v>424</v>
      </c>
      <c r="O4235">
        <v>73</v>
      </c>
      <c r="P4235">
        <v>17</v>
      </c>
      <c r="Q4235">
        <v>42</v>
      </c>
      <c r="R4235">
        <v>135</v>
      </c>
      <c r="S4235">
        <v>1.125</v>
      </c>
      <c r="T4235">
        <v>1.05</v>
      </c>
      <c r="U4235">
        <v>1.08</v>
      </c>
    </row>
    <row r="4236" spans="1:21" x14ac:dyDescent="0.35">
      <c r="A4236">
        <v>971</v>
      </c>
      <c r="B4236" s="16">
        <v>40878</v>
      </c>
      <c r="C4236" s="15" t="s">
        <v>76</v>
      </c>
      <c r="D4236" s="15" t="s">
        <v>58</v>
      </c>
      <c r="E4236" s="15" t="s">
        <v>50</v>
      </c>
      <c r="F4236" s="15" t="s">
        <v>49</v>
      </c>
      <c r="G4236" s="15" t="s">
        <v>80</v>
      </c>
      <c r="H4236" s="15" t="s">
        <v>45</v>
      </c>
      <c r="I4236">
        <v>150</v>
      </c>
      <c r="J4236">
        <v>140</v>
      </c>
      <c r="K4236">
        <v>80</v>
      </c>
      <c r="L4236">
        <v>290</v>
      </c>
      <c r="M4236">
        <v>153</v>
      </c>
      <c r="N4236">
        <v>1319</v>
      </c>
      <c r="O4236">
        <v>153</v>
      </c>
      <c r="P4236">
        <v>42</v>
      </c>
      <c r="Q4236">
        <v>129</v>
      </c>
      <c r="R4236">
        <v>326</v>
      </c>
      <c r="S4236">
        <v>1.1241379310344828</v>
      </c>
      <c r="T4236">
        <v>1.6125</v>
      </c>
      <c r="U4236">
        <v>1.02</v>
      </c>
    </row>
    <row r="4237" spans="1:21" x14ac:dyDescent="0.35">
      <c r="A4237">
        <v>541</v>
      </c>
      <c r="B4237" s="16">
        <v>40878</v>
      </c>
      <c r="C4237" s="15" t="s">
        <v>76</v>
      </c>
      <c r="D4237" s="15" t="s">
        <v>58</v>
      </c>
      <c r="E4237" s="15" t="s">
        <v>39</v>
      </c>
      <c r="F4237" s="15" t="s">
        <v>40</v>
      </c>
      <c r="G4237" s="15" t="s">
        <v>80</v>
      </c>
      <c r="H4237" s="15" t="s">
        <v>42</v>
      </c>
      <c r="I4237">
        <v>50</v>
      </c>
      <c r="J4237">
        <v>80</v>
      </c>
      <c r="K4237">
        <v>20</v>
      </c>
      <c r="L4237">
        <v>130</v>
      </c>
      <c r="M4237">
        <v>47</v>
      </c>
      <c r="N4237">
        <v>521</v>
      </c>
      <c r="O4237">
        <v>65</v>
      </c>
      <c r="P4237">
        <v>42</v>
      </c>
      <c r="Q4237">
        <v>-10</v>
      </c>
      <c r="R4237">
        <v>119</v>
      </c>
      <c r="S4237">
        <v>0.91538461538461535</v>
      </c>
      <c r="T4237">
        <v>-0.5</v>
      </c>
      <c r="U4237">
        <v>0.94</v>
      </c>
    </row>
    <row r="4238" spans="1:21" x14ac:dyDescent="0.35">
      <c r="A4238">
        <v>541</v>
      </c>
      <c r="B4238" s="16">
        <v>40878</v>
      </c>
      <c r="C4238" s="15" t="s">
        <v>76</v>
      </c>
      <c r="D4238" s="15" t="s">
        <v>58</v>
      </c>
      <c r="E4238" s="15" t="s">
        <v>43</v>
      </c>
      <c r="F4238" s="15" t="s">
        <v>40</v>
      </c>
      <c r="G4238" s="15" t="s">
        <v>80</v>
      </c>
      <c r="H4238" s="15" t="s">
        <v>42</v>
      </c>
      <c r="I4238">
        <v>40</v>
      </c>
      <c r="J4238">
        <v>70</v>
      </c>
      <c r="K4238">
        <v>20</v>
      </c>
      <c r="L4238">
        <v>110</v>
      </c>
      <c r="M4238">
        <v>41</v>
      </c>
      <c r="N4238">
        <v>482</v>
      </c>
      <c r="O4238">
        <v>57</v>
      </c>
      <c r="P4238">
        <v>13</v>
      </c>
      <c r="Q4238">
        <v>1</v>
      </c>
      <c r="R4238">
        <v>104</v>
      </c>
      <c r="S4238">
        <v>0.94545454545454544</v>
      </c>
      <c r="T4238">
        <v>0.05</v>
      </c>
      <c r="U4238">
        <v>1.0249999999999999</v>
      </c>
    </row>
    <row r="4239" spans="1:21" x14ac:dyDescent="0.35">
      <c r="A4239">
        <v>541</v>
      </c>
      <c r="B4239" s="16">
        <v>40878</v>
      </c>
      <c r="C4239" s="15" t="s">
        <v>76</v>
      </c>
      <c r="D4239" s="15" t="s">
        <v>58</v>
      </c>
      <c r="E4239" s="15" t="s">
        <v>44</v>
      </c>
      <c r="F4239" s="15" t="s">
        <v>40</v>
      </c>
      <c r="G4239" s="15" t="s">
        <v>80</v>
      </c>
      <c r="H4239" s="15" t="s">
        <v>45</v>
      </c>
      <c r="I4239">
        <v>40</v>
      </c>
      <c r="J4239">
        <v>80</v>
      </c>
      <c r="K4239">
        <v>50</v>
      </c>
      <c r="L4239">
        <v>120</v>
      </c>
      <c r="M4239">
        <v>41</v>
      </c>
      <c r="N4239">
        <v>435</v>
      </c>
      <c r="O4239">
        <v>60</v>
      </c>
      <c r="P4239">
        <v>13</v>
      </c>
      <c r="Q4239">
        <v>37</v>
      </c>
      <c r="R4239">
        <v>108</v>
      </c>
      <c r="S4239">
        <v>0.9</v>
      </c>
      <c r="T4239">
        <v>0.74</v>
      </c>
      <c r="U4239">
        <v>1.0249999999999999</v>
      </c>
    </row>
    <row r="4240" spans="1:21" x14ac:dyDescent="0.35">
      <c r="A4240">
        <v>253</v>
      </c>
      <c r="B4240" s="16">
        <v>40878</v>
      </c>
      <c r="C4240" s="15" t="s">
        <v>76</v>
      </c>
      <c r="D4240" s="15" t="s">
        <v>58</v>
      </c>
      <c r="E4240" s="15" t="s">
        <v>55</v>
      </c>
      <c r="F4240" s="15" t="s">
        <v>47</v>
      </c>
      <c r="G4240" s="15" t="s">
        <v>81</v>
      </c>
      <c r="H4240" s="15" t="s">
        <v>42</v>
      </c>
      <c r="I4240">
        <v>30</v>
      </c>
      <c r="J4240">
        <v>40</v>
      </c>
      <c r="K4240">
        <v>20</v>
      </c>
      <c r="L4240">
        <v>70</v>
      </c>
      <c r="M4240">
        <v>41</v>
      </c>
      <c r="N4240">
        <v>320</v>
      </c>
      <c r="O4240">
        <v>66</v>
      </c>
      <c r="P4240">
        <v>12</v>
      </c>
      <c r="Q4240">
        <v>45</v>
      </c>
      <c r="R4240">
        <v>114</v>
      </c>
      <c r="S4240">
        <v>1.6285714285714286</v>
      </c>
      <c r="T4240">
        <v>2.25</v>
      </c>
      <c r="U4240">
        <v>1.3666666666666667</v>
      </c>
    </row>
    <row r="4241" spans="1:21" x14ac:dyDescent="0.35">
      <c r="A4241">
        <v>253</v>
      </c>
      <c r="B4241" s="16">
        <v>40878</v>
      </c>
      <c r="C4241" s="15" t="s">
        <v>76</v>
      </c>
      <c r="D4241" s="15" t="s">
        <v>58</v>
      </c>
      <c r="E4241" s="15" t="s">
        <v>56</v>
      </c>
      <c r="F4241" s="15" t="s">
        <v>47</v>
      </c>
      <c r="G4241" s="15" t="s">
        <v>81</v>
      </c>
      <c r="H4241" s="15" t="s">
        <v>42</v>
      </c>
      <c r="I4241">
        <v>30</v>
      </c>
      <c r="J4241">
        <v>40</v>
      </c>
      <c r="K4241">
        <v>20</v>
      </c>
      <c r="L4241">
        <v>70</v>
      </c>
      <c r="M4241">
        <v>43</v>
      </c>
      <c r="N4241">
        <v>466</v>
      </c>
      <c r="O4241">
        <v>63</v>
      </c>
      <c r="P4241">
        <v>13</v>
      </c>
      <c r="Q4241">
        <v>42</v>
      </c>
      <c r="R4241">
        <v>113</v>
      </c>
      <c r="S4241">
        <v>1.6142857142857143</v>
      </c>
      <c r="T4241">
        <v>2.1</v>
      </c>
      <c r="U4241">
        <v>1.4333333333333333</v>
      </c>
    </row>
    <row r="4242" spans="1:21" x14ac:dyDescent="0.35">
      <c r="A4242">
        <v>509</v>
      </c>
      <c r="B4242" s="16">
        <v>40878</v>
      </c>
      <c r="C4242" s="15" t="s">
        <v>76</v>
      </c>
      <c r="D4242" s="15" t="s">
        <v>58</v>
      </c>
      <c r="E4242" s="15" t="s">
        <v>46</v>
      </c>
      <c r="F4242" s="15" t="s">
        <v>47</v>
      </c>
      <c r="G4242" s="15" t="s">
        <v>81</v>
      </c>
      <c r="H4242" s="15" t="s">
        <v>42</v>
      </c>
      <c r="I4242">
        <v>40</v>
      </c>
      <c r="J4242">
        <v>50</v>
      </c>
      <c r="K4242">
        <v>-10</v>
      </c>
      <c r="L4242">
        <v>90</v>
      </c>
      <c r="M4242">
        <v>55</v>
      </c>
      <c r="N4242">
        <v>627</v>
      </c>
      <c r="O4242">
        <v>76</v>
      </c>
      <c r="P4242">
        <v>49</v>
      </c>
      <c r="Q4242">
        <v>-4</v>
      </c>
      <c r="R4242">
        <v>140</v>
      </c>
      <c r="S4242">
        <v>1.5555555555555556</v>
      </c>
      <c r="T4242">
        <v>0.4</v>
      </c>
      <c r="U4242">
        <v>1.375</v>
      </c>
    </row>
    <row r="4243" spans="1:21" x14ac:dyDescent="0.35">
      <c r="A4243">
        <v>253</v>
      </c>
      <c r="B4243" s="16">
        <v>40878</v>
      </c>
      <c r="C4243" s="15" t="s">
        <v>76</v>
      </c>
      <c r="D4243" s="15" t="s">
        <v>58</v>
      </c>
      <c r="E4243" s="15" t="s">
        <v>51</v>
      </c>
      <c r="F4243" s="15" t="s">
        <v>52</v>
      </c>
      <c r="G4243" s="15" t="s">
        <v>81</v>
      </c>
      <c r="H4243" s="15" t="s">
        <v>45</v>
      </c>
      <c r="I4243">
        <v>100</v>
      </c>
      <c r="J4243">
        <v>160</v>
      </c>
      <c r="K4243">
        <v>110</v>
      </c>
      <c r="L4243">
        <v>260</v>
      </c>
      <c r="M4243">
        <v>115</v>
      </c>
      <c r="N4243">
        <v>1166</v>
      </c>
      <c r="O4243">
        <v>174</v>
      </c>
      <c r="P4243">
        <v>37</v>
      </c>
      <c r="Q4243">
        <v>156</v>
      </c>
      <c r="R4243">
        <v>308</v>
      </c>
      <c r="S4243">
        <v>1.1846153846153846</v>
      </c>
      <c r="T4243">
        <v>1.4181818181818182</v>
      </c>
      <c r="U4243">
        <v>1.1499999999999999</v>
      </c>
    </row>
    <row r="4244" spans="1:21" x14ac:dyDescent="0.35">
      <c r="A4244">
        <v>425</v>
      </c>
      <c r="B4244" s="16">
        <v>40878</v>
      </c>
      <c r="C4244" s="15" t="s">
        <v>76</v>
      </c>
      <c r="D4244" s="15" t="s">
        <v>58</v>
      </c>
      <c r="E4244" s="15" t="s">
        <v>53</v>
      </c>
      <c r="F4244" s="15" t="s">
        <v>52</v>
      </c>
      <c r="G4244" s="15" t="s">
        <v>81</v>
      </c>
      <c r="H4244" s="15" t="s">
        <v>45</v>
      </c>
      <c r="I4244">
        <v>40</v>
      </c>
      <c r="J4244">
        <v>70</v>
      </c>
      <c r="K4244">
        <v>50</v>
      </c>
      <c r="L4244">
        <v>110</v>
      </c>
      <c r="M4244">
        <v>49</v>
      </c>
      <c r="N4244">
        <v>845</v>
      </c>
      <c r="O4244">
        <v>71</v>
      </c>
      <c r="P4244">
        <v>13</v>
      </c>
      <c r="Q4244">
        <v>68</v>
      </c>
      <c r="R4244">
        <v>128</v>
      </c>
      <c r="S4244">
        <v>1.1636363636363636</v>
      </c>
      <c r="T4244">
        <v>1.36</v>
      </c>
      <c r="U4244">
        <v>1.2250000000000001</v>
      </c>
    </row>
    <row r="4245" spans="1:21" x14ac:dyDescent="0.35">
      <c r="A4245">
        <v>206</v>
      </c>
      <c r="B4245" s="16">
        <v>40878</v>
      </c>
      <c r="C4245" s="15" t="s">
        <v>76</v>
      </c>
      <c r="D4245" s="15" t="s">
        <v>58</v>
      </c>
      <c r="E4245" s="15" t="s">
        <v>72</v>
      </c>
      <c r="F4245" s="15" t="s">
        <v>49</v>
      </c>
      <c r="G4245" s="15" t="s">
        <v>81</v>
      </c>
      <c r="H4245" s="15" t="s">
        <v>42</v>
      </c>
      <c r="I4245">
        <v>20</v>
      </c>
      <c r="J4245">
        <v>30</v>
      </c>
      <c r="K4245">
        <v>20</v>
      </c>
      <c r="L4245">
        <v>50</v>
      </c>
      <c r="M4245">
        <v>24</v>
      </c>
      <c r="N4245">
        <v>567</v>
      </c>
      <c r="O4245">
        <v>32</v>
      </c>
      <c r="P4245">
        <v>7</v>
      </c>
      <c r="Q4245">
        <v>19</v>
      </c>
      <c r="R4245">
        <v>60</v>
      </c>
      <c r="S4245">
        <v>1.2</v>
      </c>
      <c r="T4245">
        <v>0.95</v>
      </c>
      <c r="U4245">
        <v>1.2</v>
      </c>
    </row>
    <row r="4246" spans="1:21" x14ac:dyDescent="0.35">
      <c r="A4246">
        <v>509</v>
      </c>
      <c r="B4246" s="16">
        <v>40878</v>
      </c>
      <c r="C4246" s="15" t="s">
        <v>76</v>
      </c>
      <c r="D4246" s="15" t="s">
        <v>58</v>
      </c>
      <c r="E4246" s="15" t="s">
        <v>48</v>
      </c>
      <c r="F4246" s="15" t="s">
        <v>49</v>
      </c>
      <c r="G4246" s="15" t="s">
        <v>81</v>
      </c>
      <c r="H4246" s="15" t="s">
        <v>42</v>
      </c>
      <c r="I4246">
        <v>60</v>
      </c>
      <c r="J4246">
        <v>80</v>
      </c>
      <c r="K4246">
        <v>30</v>
      </c>
      <c r="L4246">
        <v>140</v>
      </c>
      <c r="M4246">
        <v>65</v>
      </c>
      <c r="N4246">
        <v>403</v>
      </c>
      <c r="O4246">
        <v>80</v>
      </c>
      <c r="P4246">
        <v>24</v>
      </c>
      <c r="Q4246">
        <v>34</v>
      </c>
      <c r="R4246">
        <v>155</v>
      </c>
      <c r="S4246">
        <v>1.1071428571428572</v>
      </c>
      <c r="T4246">
        <v>1.1333333333333333</v>
      </c>
      <c r="U4246">
        <v>1.0833333333333333</v>
      </c>
    </row>
    <row r="4247" spans="1:21" x14ac:dyDescent="0.35">
      <c r="A4247">
        <v>360</v>
      </c>
      <c r="B4247" s="16">
        <v>40878</v>
      </c>
      <c r="C4247" s="15" t="s">
        <v>76</v>
      </c>
      <c r="D4247" s="15" t="s">
        <v>58</v>
      </c>
      <c r="E4247" s="15" t="s">
        <v>50</v>
      </c>
      <c r="F4247" s="15" t="s">
        <v>49</v>
      </c>
      <c r="G4247" s="15" t="s">
        <v>81</v>
      </c>
      <c r="H4247" s="15" t="s">
        <v>45</v>
      </c>
      <c r="I4247">
        <v>70</v>
      </c>
      <c r="J4247">
        <v>100</v>
      </c>
      <c r="K4247">
        <v>60</v>
      </c>
      <c r="L4247">
        <v>170</v>
      </c>
      <c r="M4247">
        <v>80</v>
      </c>
      <c r="N4247">
        <v>1079</v>
      </c>
      <c r="O4247">
        <v>96</v>
      </c>
      <c r="P4247">
        <v>24</v>
      </c>
      <c r="Q4247">
        <v>76</v>
      </c>
      <c r="R4247">
        <v>188</v>
      </c>
      <c r="S4247">
        <v>1.1058823529411765</v>
      </c>
      <c r="T4247">
        <v>1.2666666666666666</v>
      </c>
      <c r="U4247">
        <v>1.1428571428571428</v>
      </c>
    </row>
    <row r="4248" spans="1:21" x14ac:dyDescent="0.35">
      <c r="A4248">
        <v>360</v>
      </c>
      <c r="B4248" s="16">
        <v>40878</v>
      </c>
      <c r="C4248" s="15" t="s">
        <v>76</v>
      </c>
      <c r="D4248" s="15" t="s">
        <v>58</v>
      </c>
      <c r="E4248" s="15" t="s">
        <v>43</v>
      </c>
      <c r="F4248" s="15" t="s">
        <v>40</v>
      </c>
      <c r="G4248" s="15" t="s">
        <v>81</v>
      </c>
      <c r="H4248" s="15" t="s">
        <v>42</v>
      </c>
      <c r="I4248">
        <v>80</v>
      </c>
      <c r="J4248">
        <v>120</v>
      </c>
      <c r="K4248">
        <v>80</v>
      </c>
      <c r="L4248">
        <v>200</v>
      </c>
      <c r="M4248">
        <v>72</v>
      </c>
      <c r="N4248">
        <v>461</v>
      </c>
      <c r="O4248">
        <v>104</v>
      </c>
      <c r="P4248">
        <v>23</v>
      </c>
      <c r="Q4248">
        <v>86</v>
      </c>
      <c r="R4248">
        <v>188</v>
      </c>
      <c r="S4248">
        <v>0.94</v>
      </c>
      <c r="T4248">
        <v>1.075</v>
      </c>
      <c r="U4248">
        <v>0.9</v>
      </c>
    </row>
    <row r="4249" spans="1:21" x14ac:dyDescent="0.35">
      <c r="A4249">
        <v>206</v>
      </c>
      <c r="B4249" s="16">
        <v>40878</v>
      </c>
      <c r="C4249" s="15" t="s">
        <v>76</v>
      </c>
      <c r="D4249" s="15" t="s">
        <v>58</v>
      </c>
      <c r="E4249" s="15" t="s">
        <v>44</v>
      </c>
      <c r="F4249" s="15" t="s">
        <v>40</v>
      </c>
      <c r="G4249" s="15" t="s">
        <v>81</v>
      </c>
      <c r="H4249" s="15" t="s">
        <v>45</v>
      </c>
      <c r="I4249">
        <v>120</v>
      </c>
      <c r="J4249">
        <v>170</v>
      </c>
      <c r="K4249">
        <v>50</v>
      </c>
      <c r="L4249">
        <v>290</v>
      </c>
      <c r="M4249">
        <v>105</v>
      </c>
      <c r="N4249">
        <v>716</v>
      </c>
      <c r="O4249">
        <v>145</v>
      </c>
      <c r="P4249">
        <v>95</v>
      </c>
      <c r="Q4249">
        <v>30</v>
      </c>
      <c r="R4249">
        <v>266</v>
      </c>
      <c r="S4249">
        <v>0.91724137931034477</v>
      </c>
      <c r="T4249">
        <v>0.6</v>
      </c>
      <c r="U4249">
        <v>0.875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FAF4CE-2E12-4D1E-9E39-C854052FEA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</vt:lpstr>
      <vt:lpstr>Coffee Store Pivot</vt:lpstr>
      <vt:lpstr>Forcast -1</vt:lpstr>
      <vt:lpstr>Forcasting</vt:lpstr>
      <vt:lpstr>Data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Durgesh Pratap tiwari</dc:creator>
  <cp:lastModifiedBy>Durgesh Pratap tiwari</cp:lastModifiedBy>
  <dcterms:created xsi:type="dcterms:W3CDTF">2025-11-12T10:52:49Z</dcterms:created>
  <dcterms:modified xsi:type="dcterms:W3CDTF">2025-11-14T12:12:37Z</dcterms:modified>
</cp:coreProperties>
</file>